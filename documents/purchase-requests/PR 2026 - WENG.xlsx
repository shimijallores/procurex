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PR 2026\"/>
    </mc:Choice>
  </mc:AlternateContent>
  <xr:revisionPtr revIDLastSave="0" documentId="13_ncr:1_{00F9942B-FF94-4CB2-8BF6-4CCA4E258AB1}" xr6:coauthVersionLast="47" xr6:coauthVersionMax="47" xr10:uidLastSave="{00000000-0000-0000-0000-000000000000}"/>
  <bookViews>
    <workbookView xWindow="-120" yWindow="-120" windowWidth="29040" windowHeight="15720" tabRatio="944" firstSheet="28" activeTab="36" xr2:uid="{00000000-000D-0000-FFFF-FFFF00000000}"/>
  </bookViews>
  <sheets>
    <sheet name="OVG" sheetId="4" r:id="rId1"/>
    <sheet name="SP" sheetId="140" r:id="rId2"/>
    <sheet name="BM MARCUS MENDOZA" sheetId="181" r:id="rId3"/>
    <sheet name="BM BALBA" sheetId="138" r:id="rId4"/>
    <sheet name="BM BAUSAS" sheetId="137" r:id="rId5"/>
    <sheet name="BM BLANCO" sheetId="136" r:id="rId6"/>
    <sheet name="BM BERBERABE" sheetId="135" r:id="rId7"/>
    <sheet name="BM CORONA" sheetId="189" r:id="rId8"/>
    <sheet name="BM GOZOS" sheetId="134" r:id="rId9"/>
    <sheet name="ABU-REYES" sheetId="129" r:id="rId10"/>
    <sheet name="BM MARCUS" sheetId="190" r:id="rId11"/>
    <sheet name="BM MENDOZA" sheetId="131" r:id="rId12"/>
    <sheet name="BM BRIONES-QUEYQUEP" sheetId="126" r:id="rId13"/>
    <sheet name="BM ROCAFORT" sheetId="167" r:id="rId14"/>
    <sheet name="BM SANTOS" sheetId="124" r:id="rId15"/>
    <sheet name="BM PUA" sheetId="125" r:id="rId16"/>
    <sheet name="BM VIDAL" sheetId="168" r:id="rId17"/>
    <sheet name="ACCOUNTING" sheetId="166" r:id="rId18"/>
    <sheet name="ADMIN" sheetId="165" r:id="rId19"/>
    <sheet name="AGRI" sheetId="164" r:id="rId20"/>
    <sheet name="ASSESSOR" sheetId="163" r:id="rId21"/>
    <sheet name="BAC" sheetId="162" r:id="rId22"/>
    <sheet name="BUDGET" sheetId="158" r:id="rId23"/>
    <sheet name="COA" sheetId="156" r:id="rId24"/>
    <sheet name="COOP" sheetId="160" r:id="rId25"/>
    <sheet name="ENRO" sheetId="161" r:id="rId26"/>
    <sheet name="GSO" sheetId="155" r:id="rId27"/>
    <sheet name="HRMO" sheetId="151" r:id="rId28"/>
    <sheet name="JAIL" sheetId="150" r:id="rId29"/>
    <sheet name="LEGAL" sheetId="154" r:id="rId30"/>
    <sheet name="LIBRARY" sheetId="159" r:id="rId31"/>
    <sheet name="OPG" sheetId="157" r:id="rId32"/>
    <sheet name="PACD" sheetId="153" r:id="rId33"/>
    <sheet name="PDRRMO" sheetId="152" r:id="rId34"/>
    <sheet name="PEO" sheetId="148" r:id="rId35"/>
    <sheet name="PHO" sheetId="147" r:id="rId36"/>
    <sheet name="APACIBLE" sheetId="173" r:id="rId37"/>
    <sheet name="BAUAN-HEALTHCARE" sheetId="182" r:id="rId38"/>
    <sheet name="BPH" sheetId="169" r:id="rId39"/>
    <sheet name="CALATAGAN" sheetId="191" r:id="rId40"/>
    <sheet name="DON MANUEL" sheetId="192" r:id="rId41"/>
    <sheet name="DR ERNESTO" sheetId="170" r:id="rId42"/>
    <sheet name="LAUREL MEMORIAL" sheetId="184" r:id="rId43"/>
    <sheet name="LOBO" sheetId="178" r:id="rId44"/>
    <sheet name="MARTIN MARASIGAN" sheetId="172" r:id="rId45"/>
    <sheet name="MVM" sheetId="171" r:id="rId46"/>
    <sheet name="SAN JOSE" sheetId="174" r:id="rId47"/>
    <sheet name="SAN JUAN" sheetId="193" r:id="rId48"/>
    <sheet name="TUY" sheetId="194" r:id="rId49"/>
    <sheet name="PIO" sheetId="144" r:id="rId50"/>
    <sheet name="PLANNING" sheetId="146" r:id="rId51"/>
    <sheet name="PPOSD" sheetId="149" r:id="rId52"/>
    <sheet name="PSB" sheetId="143" r:id="rId53"/>
    <sheet name="PROSEC" sheetId="142" r:id="rId54"/>
    <sheet name="PSWDO" sheetId="145" r:id="rId55"/>
    <sheet name="PTO" sheetId="122" r:id="rId56"/>
    <sheet name="TOURISM" sheetId="121" r:id="rId57"/>
    <sheet name="VET" sheetId="141" r:id="rId58"/>
    <sheet name="RD" sheetId="36" r:id="rId59"/>
    <sheet name="COMELEC" sheetId="72" r:id="rId60"/>
    <sheet name="BPLC" sheetId="29" r:id="rId61"/>
    <sheet name="RTC" sheetId="35" r:id="rId62"/>
    <sheet name="offices" sheetId="84" r:id="rId63"/>
    <sheet name="Sheet1" sheetId="85" r:id="rId64"/>
    <sheet name="Sheet7" sheetId="186" r:id="rId65"/>
    <sheet name="Sheet2" sheetId="183" r:id="rId66"/>
    <sheet name="Sheet6" sheetId="179" r:id="rId67"/>
    <sheet name="Sheet4" sheetId="177" r:id="rId68"/>
    <sheet name="Sheet3" sheetId="185" r:id="rId69"/>
    <sheet name="Sheet5" sheetId="188" r:id="rId70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0" i="173" l="1"/>
  <c r="G411" i="173"/>
  <c r="G412" i="173"/>
  <c r="G414" i="173"/>
  <c r="G416" i="173"/>
  <c r="G417" i="173"/>
  <c r="G418" i="173"/>
  <c r="G419" i="173"/>
  <c r="G420" i="173"/>
  <c r="G422" i="173"/>
  <c r="G424" i="173"/>
  <c r="G359" i="173"/>
  <c r="G360" i="173"/>
  <c r="G362" i="173"/>
  <c r="G363" i="173"/>
  <c r="G364" i="173"/>
  <c r="G365" i="173"/>
  <c r="G366" i="173"/>
  <c r="G367" i="173"/>
  <c r="G369" i="173"/>
  <c r="G370" i="173"/>
  <c r="G371" i="173"/>
  <c r="G372" i="173"/>
  <c r="G373" i="173"/>
  <c r="G376" i="173"/>
  <c r="G377" i="173"/>
  <c r="G379" i="173"/>
  <c r="G380" i="173"/>
  <c r="G381" i="173"/>
  <c r="G382" i="173"/>
  <c r="G383" i="173"/>
  <c r="G385" i="173"/>
  <c r="G387" i="173"/>
  <c r="G388" i="173"/>
  <c r="G389" i="173"/>
  <c r="G390" i="173"/>
  <c r="G310" i="173"/>
  <c r="G311" i="173"/>
  <c r="G312" i="173"/>
  <c r="G313" i="173"/>
  <c r="G315" i="173"/>
  <c r="G317" i="173"/>
  <c r="G318" i="173"/>
  <c r="G319" i="173"/>
  <c r="G320" i="173"/>
  <c r="G321" i="173"/>
  <c r="G323" i="173"/>
  <c r="G324" i="173"/>
  <c r="G326" i="173"/>
  <c r="G327" i="173"/>
  <c r="G328" i="173"/>
  <c r="G329" i="173"/>
  <c r="G330" i="173"/>
  <c r="G331" i="173"/>
  <c r="G332" i="173"/>
  <c r="G333" i="173"/>
  <c r="G334" i="173"/>
  <c r="G335" i="173"/>
  <c r="G336" i="173"/>
  <c r="G337" i="173"/>
  <c r="G339" i="173"/>
  <c r="G261" i="173"/>
  <c r="G262" i="173"/>
  <c r="G263" i="173"/>
  <c r="G264" i="173"/>
  <c r="G266" i="173"/>
  <c r="G268" i="173"/>
  <c r="G270" i="173"/>
  <c r="G272" i="173"/>
  <c r="G274" i="173"/>
  <c r="G276" i="173"/>
  <c r="G278" i="173"/>
  <c r="G280" i="173"/>
  <c r="G281" i="173"/>
  <c r="G283" i="173"/>
  <c r="G284" i="173"/>
  <c r="G285" i="173"/>
  <c r="G287" i="173"/>
  <c r="G289" i="173"/>
  <c r="G290" i="173"/>
  <c r="G210" i="173"/>
  <c r="G211" i="173"/>
  <c r="G212" i="173"/>
  <c r="G214" i="173"/>
  <c r="G215" i="173"/>
  <c r="G217" i="173"/>
  <c r="G219" i="173"/>
  <c r="G221" i="173"/>
  <c r="G223" i="173"/>
  <c r="G224" i="173"/>
  <c r="G225" i="173"/>
  <c r="G226" i="173"/>
  <c r="G228" i="173"/>
  <c r="G230" i="173"/>
  <c r="G232" i="173"/>
  <c r="G233" i="173"/>
  <c r="G234" i="173"/>
  <c r="G236" i="173"/>
  <c r="G238" i="173"/>
  <c r="G239" i="173"/>
  <c r="G240" i="173"/>
  <c r="G241" i="173"/>
  <c r="G161" i="173"/>
  <c r="G162" i="173"/>
  <c r="G163" i="173"/>
  <c r="G165" i="173"/>
  <c r="G167" i="173"/>
  <c r="G168" i="173"/>
  <c r="G169" i="173"/>
  <c r="G170" i="173"/>
  <c r="G171" i="173"/>
  <c r="G173" i="173"/>
  <c r="G175" i="173"/>
  <c r="G177" i="173"/>
  <c r="G178" i="173"/>
  <c r="G180" i="173"/>
  <c r="G182" i="173"/>
  <c r="G184" i="173"/>
  <c r="G186" i="173"/>
  <c r="G188" i="173"/>
  <c r="G190" i="173"/>
  <c r="G191" i="173"/>
  <c r="G110" i="173"/>
  <c r="G111" i="173"/>
  <c r="G112" i="173"/>
  <c r="G113" i="173"/>
  <c r="G114" i="173"/>
  <c r="G115" i="173"/>
  <c r="G117" i="173"/>
  <c r="G119" i="173"/>
  <c r="G121" i="173"/>
  <c r="G122" i="173"/>
  <c r="G123" i="173"/>
  <c r="G125" i="173"/>
  <c r="G126" i="173"/>
  <c r="G127" i="173"/>
  <c r="G128" i="173"/>
  <c r="G129" i="173"/>
  <c r="G130" i="173"/>
  <c r="G131" i="173"/>
  <c r="G132" i="173"/>
  <c r="G133" i="173"/>
  <c r="G135" i="173"/>
  <c r="G136" i="173"/>
  <c r="G137" i="173"/>
  <c r="G139" i="173"/>
  <c r="G140" i="173"/>
  <c r="G61" i="173"/>
  <c r="G62" i="173"/>
  <c r="G63" i="173"/>
  <c r="G64" i="173"/>
  <c r="G66" i="173"/>
  <c r="G68" i="173"/>
  <c r="G70" i="173"/>
  <c r="G71" i="173"/>
  <c r="G72" i="173"/>
  <c r="G73" i="173"/>
  <c r="G74" i="173"/>
  <c r="G75" i="173"/>
  <c r="G76" i="173"/>
  <c r="G77" i="173"/>
  <c r="G79" i="173"/>
  <c r="G81" i="173"/>
  <c r="G82" i="173"/>
  <c r="G83" i="173"/>
  <c r="G84" i="173"/>
  <c r="G85" i="173"/>
  <c r="G86" i="173"/>
  <c r="G87" i="173"/>
  <c r="G88" i="173"/>
  <c r="G89" i="173"/>
  <c r="G90" i="173"/>
  <c r="G91" i="173"/>
  <c r="G408" i="173"/>
  <c r="G358" i="173"/>
  <c r="G308" i="173"/>
  <c r="G259" i="173"/>
  <c r="G209" i="173"/>
  <c r="G159" i="173"/>
  <c r="G109" i="173"/>
  <c r="G60" i="173"/>
  <c r="G14" i="171" l="1"/>
  <c r="G15" i="171"/>
  <c r="G17" i="171"/>
  <c r="G11" i="171" l="1"/>
  <c r="G43" i="171" l="1"/>
  <c r="G59" i="172"/>
  <c r="G60" i="172"/>
  <c r="G61" i="172"/>
  <c r="G62" i="172"/>
  <c r="G63" i="172"/>
  <c r="G444" i="169"/>
  <c r="G446" i="169"/>
  <c r="G448" i="169"/>
  <c r="G450" i="169"/>
  <c r="G451" i="169"/>
  <c r="G453" i="169"/>
  <c r="G454" i="169"/>
  <c r="G455" i="169"/>
  <c r="G456" i="169"/>
  <c r="G457" i="169"/>
  <c r="G459" i="169"/>
  <c r="G461" i="169"/>
  <c r="G396" i="169"/>
  <c r="G397" i="169"/>
  <c r="G399" i="169"/>
  <c r="G400" i="169"/>
  <c r="G401" i="169"/>
  <c r="G403" i="169"/>
  <c r="G404" i="169"/>
  <c r="G405" i="169"/>
  <c r="G406" i="169"/>
  <c r="G407" i="169"/>
  <c r="G408" i="169"/>
  <c r="G410" i="169"/>
  <c r="G411" i="169"/>
  <c r="G412" i="169"/>
  <c r="G413" i="169"/>
  <c r="G415" i="169"/>
  <c r="G416" i="169"/>
  <c r="G417" i="169"/>
  <c r="G418" i="169"/>
  <c r="G419" i="169"/>
  <c r="G420" i="169"/>
  <c r="G422" i="169"/>
  <c r="G423" i="169"/>
  <c r="G424" i="169"/>
  <c r="G425" i="169"/>
  <c r="G348" i="169"/>
  <c r="G350" i="169"/>
  <c r="G351" i="169"/>
  <c r="G353" i="169"/>
  <c r="G355" i="169"/>
  <c r="G356" i="169"/>
  <c r="G357" i="169"/>
  <c r="G358" i="169"/>
  <c r="G359" i="169"/>
  <c r="G360" i="169"/>
  <c r="G361" i="169"/>
  <c r="G363" i="169"/>
  <c r="G365" i="169"/>
  <c r="G366" i="169"/>
  <c r="G367" i="169"/>
  <c r="G368" i="169"/>
  <c r="G369" i="169"/>
  <c r="G370" i="169"/>
  <c r="G372" i="169"/>
  <c r="G373" i="169"/>
  <c r="G375" i="169"/>
  <c r="G376" i="169"/>
  <c r="G377" i="169"/>
  <c r="G301" i="169"/>
  <c r="G303" i="169"/>
  <c r="G304" i="169"/>
  <c r="G306" i="169"/>
  <c r="G308" i="169"/>
  <c r="G310" i="169"/>
  <c r="G311" i="169"/>
  <c r="G312" i="169"/>
  <c r="G314" i="169"/>
  <c r="G316" i="169"/>
  <c r="G317" i="169"/>
  <c r="G319" i="169"/>
  <c r="G320" i="169"/>
  <c r="G322" i="169"/>
  <c r="G323" i="169"/>
  <c r="G325" i="169"/>
  <c r="G327" i="169"/>
  <c r="G328" i="169"/>
  <c r="G253" i="169"/>
  <c r="G255" i="169"/>
  <c r="G256" i="169"/>
  <c r="G257" i="169"/>
  <c r="G258" i="169"/>
  <c r="G259" i="169"/>
  <c r="G260" i="169"/>
  <c r="G261" i="169"/>
  <c r="G263" i="169"/>
  <c r="G265" i="169"/>
  <c r="G266" i="169"/>
  <c r="G267" i="169"/>
  <c r="G269" i="169"/>
  <c r="G270" i="169"/>
  <c r="G271" i="169"/>
  <c r="G273" i="169"/>
  <c r="G275" i="169"/>
  <c r="G276" i="169"/>
  <c r="G277" i="169"/>
  <c r="G279" i="169"/>
  <c r="G280" i="169"/>
  <c r="G204" i="169"/>
  <c r="G205" i="169"/>
  <c r="G206" i="169"/>
  <c r="G207" i="169"/>
  <c r="G208" i="169"/>
  <c r="G209" i="169"/>
  <c r="G210" i="169"/>
  <c r="G211" i="169"/>
  <c r="G212" i="169"/>
  <c r="G213" i="169"/>
  <c r="G214" i="169"/>
  <c r="G215" i="169"/>
  <c r="G216" i="169"/>
  <c r="G217" i="169"/>
  <c r="G218" i="169"/>
  <c r="G220" i="169"/>
  <c r="G221" i="169"/>
  <c r="G222" i="169"/>
  <c r="G224" i="169"/>
  <c r="G225" i="169"/>
  <c r="G226" i="169"/>
  <c r="G227" i="169"/>
  <c r="G228" i="169"/>
  <c r="G230" i="169"/>
  <c r="G231" i="169"/>
  <c r="G232" i="169"/>
  <c r="G233" i="169"/>
  <c r="G58" i="172" l="1"/>
  <c r="G90" i="172" l="1"/>
  <c r="G190" i="192" l="1"/>
  <c r="G158" i="192"/>
  <c r="G159" i="192"/>
  <c r="G160" i="192"/>
  <c r="G161" i="192"/>
  <c r="G162" i="192"/>
  <c r="G163" i="192"/>
  <c r="G164" i="192"/>
  <c r="G165" i="192"/>
  <c r="G166" i="192"/>
  <c r="G167" i="192"/>
  <c r="G157" i="192" l="1"/>
  <c r="G860" i="146" l="1"/>
  <c r="G858" i="146"/>
  <c r="G892" i="146" l="1"/>
  <c r="G284" i="191" l="1"/>
  <c r="G253" i="191"/>
  <c r="G254" i="191"/>
  <c r="G252" i="191"/>
  <c r="G456" i="173"/>
  <c r="G490" i="173" s="1"/>
  <c r="G204" i="191"/>
  <c r="G236" i="191" s="1"/>
  <c r="G522" i="169" l="1"/>
  <c r="G491" i="169"/>
  <c r="G492" i="169"/>
  <c r="G493" i="169"/>
  <c r="G494" i="169"/>
  <c r="G495" i="169"/>
  <c r="G490" i="169"/>
  <c r="G109" i="192"/>
  <c r="G110" i="192"/>
  <c r="G111" i="192"/>
  <c r="G112" i="192"/>
  <c r="G113" i="192"/>
  <c r="G108" i="192"/>
  <c r="G141" i="192" l="1"/>
  <c r="G61" i="174" l="1"/>
  <c r="G62" i="174"/>
  <c r="G63" i="174"/>
  <c r="G64" i="174"/>
  <c r="G65" i="174"/>
  <c r="G60" i="174"/>
  <c r="G443" i="169"/>
  <c r="G395" i="169"/>
  <c r="G347" i="169"/>
  <c r="G299" i="169"/>
  <c r="G251" i="169"/>
  <c r="G234" i="169"/>
  <c r="G250" i="169" s="1"/>
  <c r="G282" i="169" s="1"/>
  <c r="G298" i="169" s="1"/>
  <c r="G330" i="169" s="1"/>
  <c r="G346" i="169" s="1"/>
  <c r="G378" i="169" s="1"/>
  <c r="G394" i="169" s="1"/>
  <c r="G426" i="169" s="1"/>
  <c r="G442" i="169" s="1"/>
  <c r="G203" i="169"/>
  <c r="G474" i="169" l="1"/>
  <c r="G92" i="174"/>
  <c r="G59" i="173"/>
  <c r="G92" i="173" s="1"/>
  <c r="G141" i="182" l="1"/>
  <c r="G109" i="182"/>
  <c r="G110" i="182"/>
  <c r="G111" i="182"/>
  <c r="G112" i="182"/>
  <c r="G113" i="182"/>
  <c r="G108" i="182"/>
  <c r="G11" i="193"/>
  <c r="G12" i="193"/>
  <c r="G13" i="193"/>
  <c r="G14" i="193"/>
  <c r="G15" i="193"/>
  <c r="G16" i="193"/>
  <c r="G17" i="193"/>
  <c r="G18" i="193"/>
  <c r="G19" i="193"/>
  <c r="G20" i="193"/>
  <c r="G21" i="193"/>
  <c r="G22" i="193"/>
  <c r="G23" i="193"/>
  <c r="G24" i="193"/>
  <c r="G43" i="193"/>
  <c r="G10" i="193"/>
  <c r="G59" i="184"/>
  <c r="G60" i="184"/>
  <c r="G61" i="184"/>
  <c r="G62" i="184"/>
  <c r="G63" i="184"/>
  <c r="G58" i="184"/>
  <c r="G42" i="184"/>
  <c r="G11" i="184"/>
  <c r="G12" i="184"/>
  <c r="G13" i="184"/>
  <c r="G14" i="184"/>
  <c r="G15" i="184"/>
  <c r="G10" i="184"/>
  <c r="G141" i="178"/>
  <c r="G111" i="178"/>
  <c r="G112" i="178"/>
  <c r="G113" i="178"/>
  <c r="G114" i="178"/>
  <c r="G115" i="178"/>
  <c r="G110" i="178"/>
  <c r="G42" i="172"/>
  <c r="G12" i="172"/>
  <c r="G13" i="172"/>
  <c r="G14" i="172"/>
  <c r="G15" i="172"/>
  <c r="G16" i="172"/>
  <c r="G17" i="172"/>
  <c r="G18" i="172"/>
  <c r="G19" i="172"/>
  <c r="G20" i="172"/>
  <c r="G21" i="172"/>
  <c r="G22" i="172"/>
  <c r="G23" i="172"/>
  <c r="G24" i="172"/>
  <c r="G25" i="172"/>
  <c r="G90" i="184" l="1"/>
  <c r="G156" i="169" l="1"/>
  <c r="G157" i="169"/>
  <c r="G158" i="169"/>
  <c r="G161" i="169"/>
  <c r="G163" i="169"/>
  <c r="G164" i="169"/>
  <c r="G165" i="169"/>
  <c r="G166" i="169"/>
  <c r="G167" i="169"/>
  <c r="G168" i="169"/>
  <c r="G169" i="169"/>
  <c r="G170" i="169"/>
  <c r="G172" i="169"/>
  <c r="G173" i="169"/>
  <c r="G174" i="169"/>
  <c r="G175" i="169"/>
  <c r="G176" i="169"/>
  <c r="G177" i="169"/>
  <c r="G178" i="169"/>
  <c r="G180" i="169"/>
  <c r="G181" i="169"/>
  <c r="G155" i="169"/>
  <c r="G186" i="169" l="1"/>
  <c r="G62" i="192"/>
  <c r="G63" i="192"/>
  <c r="G64" i="192"/>
  <c r="G65" i="192"/>
  <c r="G60" i="192" l="1"/>
  <c r="G92" i="192"/>
  <c r="G11" i="174"/>
  <c r="G12" i="174"/>
  <c r="G13" i="174"/>
  <c r="G14" i="174"/>
  <c r="G15" i="174"/>
  <c r="G16" i="174"/>
  <c r="G17" i="174"/>
  <c r="G18" i="174"/>
  <c r="G19" i="174"/>
  <c r="G20" i="174"/>
  <c r="G21" i="174"/>
  <c r="G22" i="174"/>
  <c r="G43" i="174" s="1"/>
  <c r="G23" i="174"/>
  <c r="G24" i="174"/>
  <c r="G25" i="174"/>
  <c r="G26" i="174"/>
  <c r="G27" i="174"/>
  <c r="G10" i="174"/>
  <c r="G62" i="178" l="1"/>
  <c r="G63" i="178"/>
  <c r="G64" i="178"/>
  <c r="G65" i="178"/>
  <c r="G66" i="178"/>
  <c r="G67" i="178"/>
  <c r="G68" i="178"/>
  <c r="G69" i="178"/>
  <c r="G70" i="178"/>
  <c r="G71" i="178"/>
  <c r="G72" i="178"/>
  <c r="G61" i="178"/>
  <c r="G92" i="178" l="1"/>
  <c r="G479" i="147"/>
  <c r="G480" i="147"/>
  <c r="G481" i="147"/>
  <c r="G482" i="147"/>
  <c r="G483" i="147"/>
  <c r="G484" i="147"/>
  <c r="G485" i="147"/>
  <c r="G486" i="147"/>
  <c r="G487" i="147"/>
  <c r="G488" i="147"/>
  <c r="G489" i="147"/>
  <c r="G490" i="147"/>
  <c r="G491" i="147"/>
  <c r="G492" i="147"/>
  <c r="G493" i="147"/>
  <c r="G478" i="147"/>
  <c r="G10" i="178"/>
  <c r="G43" i="178" s="1"/>
  <c r="G11" i="172"/>
  <c r="G514" i="147" l="1"/>
  <c r="G13" i="173"/>
  <c r="G14" i="173"/>
  <c r="G16" i="173"/>
  <c r="G18" i="173"/>
  <c r="G21" i="173"/>
  <c r="G11" i="173"/>
  <c r="G11" i="192" l="1"/>
  <c r="G10" i="192"/>
  <c r="G427" i="147"/>
  <c r="G428" i="147"/>
  <c r="G429" i="147"/>
  <c r="G430" i="147"/>
  <c r="G431" i="147"/>
  <c r="G432" i="147"/>
  <c r="G433" i="147"/>
  <c r="G462" i="147" l="1"/>
  <c r="G107" i="169" l="1"/>
  <c r="G108" i="169"/>
  <c r="G109" i="169"/>
  <c r="G110" i="169"/>
  <c r="G111" i="169"/>
  <c r="G112" i="169"/>
  <c r="G113" i="169"/>
  <c r="G114" i="169"/>
  <c r="G115" i="169"/>
  <c r="G116" i="169"/>
  <c r="G117" i="169"/>
  <c r="G118" i="169"/>
  <c r="G119" i="169"/>
  <c r="G120" i="169"/>
  <c r="G121" i="169"/>
  <c r="G122" i="169"/>
  <c r="G123" i="169"/>
  <c r="G124" i="169"/>
  <c r="G106" i="169"/>
  <c r="G138" i="169" l="1"/>
  <c r="G43" i="173"/>
  <c r="G12" i="194" l="1"/>
  <c r="G13" i="194"/>
  <c r="G43" i="194" s="1"/>
  <c r="G14" i="194"/>
  <c r="G16" i="194"/>
  <c r="G17" i="194"/>
  <c r="G18" i="194"/>
  <c r="G20" i="194"/>
  <c r="G22" i="194"/>
  <c r="G11" i="194"/>
  <c r="G377" i="147" l="1"/>
  <c r="G380" i="147"/>
  <c r="G383" i="147"/>
  <c r="G384" i="147"/>
  <c r="G386" i="147"/>
  <c r="G388" i="147"/>
  <c r="G390" i="147"/>
  <c r="G392" i="147"/>
  <c r="G393" i="147"/>
  <c r="G394" i="147"/>
  <c r="G395" i="147"/>
  <c r="G397" i="147"/>
  <c r="G398" i="147"/>
  <c r="G399" i="147"/>
  <c r="G400" i="147"/>
  <c r="G375" i="147"/>
  <c r="G325" i="147"/>
  <c r="G327" i="147"/>
  <c r="G328" i="147"/>
  <c r="G329" i="147"/>
  <c r="G330" i="147"/>
  <c r="G332" i="147"/>
  <c r="G333" i="147"/>
  <c r="G334" i="147"/>
  <c r="G336" i="147"/>
  <c r="G337" i="147"/>
  <c r="G339" i="147"/>
  <c r="G340" i="147"/>
  <c r="G341" i="147"/>
  <c r="G342" i="147"/>
  <c r="G344" i="147"/>
  <c r="G345" i="147"/>
  <c r="G346" i="147"/>
  <c r="G347" i="147"/>
  <c r="G348" i="147"/>
  <c r="G349" i="147"/>
  <c r="G350" i="147"/>
  <c r="G351" i="147"/>
  <c r="G352" i="147"/>
  <c r="G354" i="147"/>
  <c r="G355" i="147"/>
  <c r="G356" i="147"/>
  <c r="G357" i="147"/>
  <c r="G323" i="147"/>
  <c r="G273" i="147"/>
  <c r="G274" i="147"/>
  <c r="G275" i="147"/>
  <c r="G276" i="147"/>
  <c r="G277" i="147"/>
  <c r="G278" i="147"/>
  <c r="G280" i="147"/>
  <c r="G282" i="147"/>
  <c r="G283" i="147"/>
  <c r="G284" i="147"/>
  <c r="G286" i="147"/>
  <c r="G287" i="147"/>
  <c r="G289" i="147"/>
  <c r="G290" i="147"/>
  <c r="G291" i="147"/>
  <c r="G293" i="147"/>
  <c r="G295" i="147"/>
  <c r="G296" i="147"/>
  <c r="G297" i="147"/>
  <c r="G298" i="147"/>
  <c r="G299" i="147"/>
  <c r="G301" i="147"/>
  <c r="G302" i="147"/>
  <c r="G303" i="147"/>
  <c r="G304" i="147"/>
  <c r="G271" i="147"/>
  <c r="G219" i="147"/>
  <c r="G220" i="147"/>
  <c r="G221" i="147"/>
  <c r="G222" i="147"/>
  <c r="G224" i="147"/>
  <c r="G226" i="147"/>
  <c r="G227" i="147"/>
  <c r="G228" i="147"/>
  <c r="G229" i="147"/>
  <c r="G231" i="147"/>
  <c r="G232" i="147"/>
  <c r="G233" i="147"/>
  <c r="G234" i="147"/>
  <c r="G235" i="147"/>
  <c r="G236" i="147"/>
  <c r="G237" i="147"/>
  <c r="G238" i="147"/>
  <c r="G239" i="147"/>
  <c r="G241" i="147"/>
  <c r="G243" i="147"/>
  <c r="G245" i="147"/>
  <c r="G246" i="147"/>
  <c r="G248" i="147"/>
  <c r="G249" i="147"/>
  <c r="G250" i="147"/>
  <c r="G252" i="147"/>
  <c r="G218" i="147"/>
  <c r="G61" i="182"/>
  <c r="G62" i="182"/>
  <c r="G63" i="182"/>
  <c r="G64" i="182"/>
  <c r="G65" i="182"/>
  <c r="G60" i="182"/>
  <c r="G43" i="182"/>
  <c r="G59" i="182" s="1"/>
  <c r="G92" i="182" s="1"/>
  <c r="G11" i="182"/>
  <c r="G13" i="182"/>
  <c r="G14" i="182"/>
  <c r="G15" i="182"/>
  <c r="G16" i="182"/>
  <c r="G17" i="182"/>
  <c r="G18" i="182"/>
  <c r="G19" i="182"/>
  <c r="G20" i="182"/>
  <c r="G21" i="182"/>
  <c r="G22" i="182"/>
  <c r="G23" i="182"/>
  <c r="G24" i="182"/>
  <c r="G25" i="182"/>
  <c r="G26" i="182"/>
  <c r="G27" i="182"/>
  <c r="G28" i="182"/>
  <c r="G29" i="182"/>
  <c r="G30" i="182"/>
  <c r="G31" i="182"/>
  <c r="G33" i="182"/>
  <c r="G34" i="182"/>
  <c r="G36" i="182"/>
  <c r="G37" i="182"/>
  <c r="G38" i="182"/>
  <c r="G39" i="182"/>
  <c r="G40" i="182"/>
  <c r="G41" i="182"/>
  <c r="G42" i="182"/>
  <c r="G10" i="182"/>
  <c r="G254" i="147" l="1"/>
  <c r="G270" i="147" s="1"/>
  <c r="G306" i="147" s="1"/>
  <c r="G322" i="147" s="1"/>
  <c r="G358" i="147" s="1"/>
  <c r="G374" i="147" s="1"/>
  <c r="G410" i="147"/>
  <c r="G59" i="169"/>
  <c r="G60" i="169"/>
  <c r="G61" i="169"/>
  <c r="G62" i="169"/>
  <c r="G58" i="169"/>
  <c r="G90" i="169" s="1"/>
  <c r="G10" i="169"/>
  <c r="G168" i="147" l="1"/>
  <c r="G166" i="147"/>
  <c r="G202" i="147" l="1"/>
  <c r="G158" i="191"/>
  <c r="G160" i="191"/>
  <c r="G161" i="191"/>
  <c r="G162" i="191"/>
  <c r="G164" i="191"/>
  <c r="G166" i="191"/>
  <c r="G168" i="191"/>
  <c r="G170" i="191"/>
  <c r="G171" i="191"/>
  <c r="G172" i="191"/>
  <c r="G174" i="191"/>
  <c r="G108" i="191"/>
  <c r="G139" i="191" s="1"/>
  <c r="G155" i="191" s="1"/>
  <c r="G109" i="191"/>
  <c r="G110" i="191"/>
  <c r="G111" i="191"/>
  <c r="G112" i="191"/>
  <c r="G113" i="191"/>
  <c r="G114" i="191"/>
  <c r="G115" i="191"/>
  <c r="G117" i="191"/>
  <c r="G118" i="191"/>
  <c r="G119" i="191"/>
  <c r="G120" i="191"/>
  <c r="G121" i="191"/>
  <c r="G122" i="191"/>
  <c r="G123" i="191"/>
  <c r="G125" i="191"/>
  <c r="G126" i="191"/>
  <c r="G127" i="191"/>
  <c r="G129" i="191"/>
  <c r="G130" i="191"/>
  <c r="G131" i="191"/>
  <c r="G132" i="191"/>
  <c r="G133" i="191"/>
  <c r="G134" i="191"/>
  <c r="G135" i="191"/>
  <c r="G136" i="191"/>
  <c r="G137" i="191"/>
  <c r="G138" i="191"/>
  <c r="G156" i="191"/>
  <c r="G107" i="191"/>
  <c r="G188" i="191" l="1"/>
  <c r="G115" i="147" l="1"/>
  <c r="G118" i="147"/>
  <c r="G120" i="147"/>
  <c r="G116" i="147" l="1"/>
  <c r="G114" i="147"/>
  <c r="G64" i="147"/>
  <c r="G65" i="147"/>
  <c r="G150" i="147" l="1"/>
  <c r="G62" i="147"/>
  <c r="G98" i="147" s="1"/>
  <c r="G59" i="191" l="1"/>
  <c r="G91" i="191" s="1"/>
  <c r="G10" i="191"/>
  <c r="G43" i="191" s="1"/>
  <c r="G11" i="147"/>
  <c r="G43" i="192"/>
  <c r="G60" i="190"/>
  <c r="G93" i="190" s="1"/>
  <c r="G1109" i="161"/>
  <c r="G1107" i="161"/>
  <c r="G1141" i="161" s="1"/>
  <c r="G1059" i="161"/>
  <c r="G1057" i="161"/>
  <c r="G1091" i="161" s="1"/>
  <c r="G2412" i="157"/>
  <c r="G2411" i="157"/>
  <c r="G2410" i="157"/>
  <c r="G2409" i="157"/>
  <c r="G2408" i="157"/>
  <c r="G2407" i="157"/>
  <c r="G2441" i="157" s="1"/>
  <c r="G2390" i="157"/>
  <c r="G2389" i="157"/>
  <c r="G2388" i="157"/>
  <c r="G2387" i="157"/>
  <c r="G2386" i="157"/>
  <c r="G2385" i="157"/>
  <c r="G2384" i="157"/>
  <c r="G2383" i="157"/>
  <c r="G2382" i="157"/>
  <c r="G2381" i="157"/>
  <c r="G2380" i="157"/>
  <c r="G2379" i="157"/>
  <c r="G2378" i="157"/>
  <c r="G2377" i="157"/>
  <c r="G2376" i="157"/>
  <c r="G2375" i="157"/>
  <c r="G2374" i="157"/>
  <c r="G2373" i="157"/>
  <c r="G2372" i="157"/>
  <c r="G2371" i="157"/>
  <c r="G2370" i="157"/>
  <c r="G2369" i="157"/>
  <c r="G2368" i="157"/>
  <c r="G2367" i="157"/>
  <c r="G2366" i="157"/>
  <c r="G2365" i="157"/>
  <c r="G2364" i="157"/>
  <c r="G2363" i="157"/>
  <c r="G2362" i="157"/>
  <c r="G2361" i="157"/>
  <c r="G2360" i="157"/>
  <c r="G2359" i="157"/>
  <c r="G2358" i="157"/>
  <c r="G2357" i="157"/>
  <c r="G111" i="144"/>
  <c r="G112" i="144"/>
  <c r="G113" i="144"/>
  <c r="G114" i="144"/>
  <c r="G110" i="144"/>
  <c r="G10" i="147"/>
  <c r="A2055" i="145"/>
  <c r="A2056" i="145" s="1"/>
  <c r="A2057" i="145" s="1"/>
  <c r="A2058" i="145" s="1"/>
  <c r="A2059" i="145" s="1"/>
  <c r="G2059" i="145"/>
  <c r="G2058" i="145"/>
  <c r="G2057" i="145"/>
  <c r="G2056" i="145"/>
  <c r="G2055" i="145"/>
  <c r="G2020" i="145"/>
  <c r="L2030" i="145"/>
  <c r="J2030" i="145"/>
  <c r="L2029" i="145"/>
  <c r="L2028" i="145"/>
  <c r="P2029" i="145"/>
  <c r="N2029" i="145"/>
  <c r="P2027" i="145"/>
  <c r="P2028" i="145"/>
  <c r="P2026" i="145"/>
  <c r="L2027" i="145"/>
  <c r="L2026" i="145"/>
  <c r="R2015" i="145"/>
  <c r="J2020" i="145"/>
  <c r="H2002" i="145"/>
  <c r="P2021" i="145"/>
  <c r="N2021" i="145"/>
  <c r="P2019" i="145"/>
  <c r="P2020" i="145"/>
  <c r="P2018" i="145"/>
  <c r="N2015" i="145"/>
  <c r="P2009" i="145"/>
  <c r="P2010" i="145"/>
  <c r="P2011" i="145"/>
  <c r="P2012" i="145"/>
  <c r="P2013" i="145"/>
  <c r="P2014" i="145"/>
  <c r="P2008" i="145"/>
  <c r="P2005" i="145"/>
  <c r="N2005" i="145"/>
  <c r="P2003" i="145"/>
  <c r="P2004" i="145"/>
  <c r="P2002" i="145"/>
  <c r="J2016" i="145"/>
  <c r="L2014" i="145"/>
  <c r="L2015" i="145"/>
  <c r="L2013" i="145"/>
  <c r="J2010" i="145"/>
  <c r="L2003" i="145"/>
  <c r="L2004" i="145"/>
  <c r="L2005" i="145"/>
  <c r="L2006" i="145"/>
  <c r="L2007" i="145"/>
  <c r="L2008" i="145"/>
  <c r="L2009" i="145"/>
  <c r="L2002" i="145"/>
  <c r="L2010" i="145" s="1"/>
  <c r="M1997" i="145"/>
  <c r="K1997" i="145"/>
  <c r="G2054" i="145"/>
  <c r="G2053" i="145"/>
  <c r="G2052" i="145"/>
  <c r="G2051" i="145"/>
  <c r="G2050" i="145"/>
  <c r="G2049" i="145"/>
  <c r="G2048" i="145"/>
  <c r="G2047" i="145"/>
  <c r="A2047" i="145"/>
  <c r="A2048" i="145" s="1"/>
  <c r="A2049" i="145" s="1"/>
  <c r="A2050" i="145" s="1"/>
  <c r="A2051" i="145" s="1"/>
  <c r="A2052" i="145" s="1"/>
  <c r="A2053" i="145" s="1"/>
  <c r="A2054" i="145" s="1"/>
  <c r="G2046" i="145"/>
  <c r="G2027" i="145"/>
  <c r="G2026" i="145"/>
  <c r="G2025" i="145"/>
  <c r="G2024" i="145"/>
  <c r="G2023" i="145"/>
  <c r="G2022" i="145"/>
  <c r="G2021" i="145"/>
  <c r="G2019" i="145"/>
  <c r="G2018" i="145"/>
  <c r="G2017" i="145"/>
  <c r="G2016" i="145"/>
  <c r="G2015" i="145"/>
  <c r="G2014" i="145"/>
  <c r="G2013" i="145"/>
  <c r="G2012" i="145"/>
  <c r="G2011" i="145"/>
  <c r="G2010" i="145"/>
  <c r="G2009" i="145"/>
  <c r="G2008" i="145"/>
  <c r="G2007" i="145"/>
  <c r="G2006" i="145"/>
  <c r="H2020" i="145" s="1"/>
  <c r="G2005" i="145"/>
  <c r="G2004" i="145"/>
  <c r="G2003" i="145"/>
  <c r="G2002" i="145"/>
  <c r="G2000" i="145"/>
  <c r="G1999" i="145"/>
  <c r="G1998" i="145"/>
  <c r="A1997" i="145"/>
  <c r="A1998" i="145" s="1"/>
  <c r="A1999" i="145" s="1"/>
  <c r="A2000" i="145" s="1"/>
  <c r="A2001" i="145" s="1"/>
  <c r="A2002" i="145" s="1"/>
  <c r="A2003" i="145" s="1"/>
  <c r="A2004" i="145" s="1"/>
  <c r="A2005" i="145" s="1"/>
  <c r="A2006" i="145" s="1"/>
  <c r="A2007" i="145" s="1"/>
  <c r="A2008" i="145" s="1"/>
  <c r="A2009" i="145" s="1"/>
  <c r="A2010" i="145" s="1"/>
  <c r="A2011" i="145" s="1"/>
  <c r="A2012" i="145" s="1"/>
  <c r="A2013" i="145" s="1"/>
  <c r="A2014" i="145" s="1"/>
  <c r="A2015" i="145" s="1"/>
  <c r="A2016" i="145" s="1"/>
  <c r="A2017" i="145" s="1"/>
  <c r="A2018" i="145" s="1"/>
  <c r="A2019" i="145" s="1"/>
  <c r="A2020" i="145" s="1"/>
  <c r="A2021" i="145" s="1"/>
  <c r="A2022" i="145" s="1"/>
  <c r="A2023" i="145" s="1"/>
  <c r="A2024" i="145" s="1"/>
  <c r="A2025" i="145" s="1"/>
  <c r="A2026" i="145" s="1"/>
  <c r="A2027" i="145" s="1"/>
  <c r="G1996" i="145"/>
  <c r="H2284" i="157"/>
  <c r="H2281" i="157"/>
  <c r="J2280" i="157"/>
  <c r="H2277" i="157"/>
  <c r="J2277" i="157"/>
  <c r="H2274" i="157"/>
  <c r="H2276" i="157"/>
  <c r="A2258" i="157"/>
  <c r="A2259" i="157" s="1"/>
  <c r="A2260" i="157" s="1"/>
  <c r="A2261" i="157" s="1"/>
  <c r="A2262" i="157" s="1"/>
  <c r="A2263" i="157" s="1"/>
  <c r="A2264" i="157" s="1"/>
  <c r="A2265" i="157" s="1"/>
  <c r="A2266" i="157" s="1"/>
  <c r="A2267" i="157" s="1"/>
  <c r="A2268" i="157" s="1"/>
  <c r="A2269" i="157" s="1"/>
  <c r="A2270" i="157" s="1"/>
  <c r="A2271" i="157" s="1"/>
  <c r="A2272" i="157" s="1"/>
  <c r="A2273" i="157" s="1"/>
  <c r="A2274" i="157" s="1"/>
  <c r="A2275" i="157" s="1"/>
  <c r="A2276" i="157" s="1"/>
  <c r="A2277" i="157" s="1"/>
  <c r="A2278" i="157" s="1"/>
  <c r="A2279" i="157" s="1"/>
  <c r="A2280" i="157" s="1"/>
  <c r="A2281" i="157" s="1"/>
  <c r="A2282" i="157" s="1"/>
  <c r="A2283" i="157" s="1"/>
  <c r="A2284" i="157" s="1"/>
  <c r="N2292" i="157"/>
  <c r="L2292" i="157"/>
  <c r="N2291" i="157"/>
  <c r="N2290" i="157"/>
  <c r="L2287" i="157"/>
  <c r="N2282" i="157"/>
  <c r="N2283" i="157"/>
  <c r="N2284" i="157"/>
  <c r="N2285" i="157"/>
  <c r="N2286" i="157"/>
  <c r="N2281" i="157"/>
  <c r="N2287" i="157" s="1"/>
  <c r="L2278" i="157"/>
  <c r="N2276" i="157"/>
  <c r="N2277" i="157"/>
  <c r="N2275" i="157"/>
  <c r="L2272" i="157"/>
  <c r="N2269" i="157"/>
  <c r="N2270" i="157"/>
  <c r="N2271" i="157"/>
  <c r="N2268" i="157"/>
  <c r="N2272" i="157" s="1"/>
  <c r="G2270" i="157"/>
  <c r="G2271" i="157"/>
  <c r="G2272" i="157"/>
  <c r="G2273" i="157"/>
  <c r="G2274" i="157"/>
  <c r="G2275" i="157"/>
  <c r="G2276" i="157"/>
  <c r="G2277" i="157"/>
  <c r="G2278" i="157"/>
  <c r="G2279" i="157"/>
  <c r="G2280" i="157"/>
  <c r="G2281" i="157"/>
  <c r="G2282" i="157"/>
  <c r="G2283" i="157"/>
  <c r="G2284" i="157"/>
  <c r="G2267" i="157"/>
  <c r="G2268" i="157"/>
  <c r="G2269" i="157"/>
  <c r="G108" i="189"/>
  <c r="G142" i="189" s="1"/>
  <c r="G91" i="189"/>
  <c r="G59" i="189"/>
  <c r="G46" i="147" l="1"/>
  <c r="G144" i="144"/>
  <c r="G2029" i="145"/>
  <c r="G2045" i="145" s="1"/>
  <c r="G2078" i="145" s="1"/>
  <c r="N2278" i="157"/>
  <c r="G2307" i="157"/>
  <c r="G2341" i="157" s="1"/>
  <c r="G2266" i="157"/>
  <c r="G2265" i="157"/>
  <c r="G2264" i="157"/>
  <c r="G2263" i="157"/>
  <c r="G2262" i="157"/>
  <c r="G2261" i="157"/>
  <c r="G2260" i="157"/>
  <c r="H2260" i="157" s="1"/>
  <c r="G2259" i="157"/>
  <c r="H2259" i="157" s="1"/>
  <c r="G2258" i="157"/>
  <c r="H2258" i="157" s="1"/>
  <c r="G2257" i="157"/>
  <c r="H2257" i="157" s="1"/>
  <c r="K2236" i="157"/>
  <c r="K2235" i="157"/>
  <c r="K2221" i="157"/>
  <c r="M2219" i="157"/>
  <c r="M2220" i="157"/>
  <c r="M2218" i="157"/>
  <c r="K2216" i="157"/>
  <c r="M2213" i="157"/>
  <c r="M2216" i="157" s="1"/>
  <c r="M2214" i="157"/>
  <c r="M2215" i="157"/>
  <c r="M2212" i="157"/>
  <c r="M2208" i="157"/>
  <c r="M2209" i="157"/>
  <c r="M2207" i="157"/>
  <c r="K2210" i="157"/>
  <c r="G2209" i="157"/>
  <c r="G2210" i="157"/>
  <c r="G2211" i="157"/>
  <c r="G2212" i="157"/>
  <c r="G2213" i="157"/>
  <c r="G2214" i="157"/>
  <c r="G2215" i="157"/>
  <c r="H2215" i="157" s="1"/>
  <c r="G2216" i="157"/>
  <c r="H2216" i="157" s="1"/>
  <c r="G2208" i="157"/>
  <c r="G2207" i="157"/>
  <c r="H2214" i="157" s="1"/>
  <c r="G10" i="190"/>
  <c r="G44" i="190" s="1"/>
  <c r="G357" i="151"/>
  <c r="G391" i="151" s="1"/>
  <c r="G559" i="165"/>
  <c r="G593" i="165" s="1"/>
  <c r="G509" i="165"/>
  <c r="G2159" i="157"/>
  <c r="G2160" i="157"/>
  <c r="G2161" i="157"/>
  <c r="G2162" i="157"/>
  <c r="G2108" i="157"/>
  <c r="G2109" i="157"/>
  <c r="G2110" i="157"/>
  <c r="G2111" i="157"/>
  <c r="G2112" i="157"/>
  <c r="G2113" i="157"/>
  <c r="G2114" i="157"/>
  <c r="G2115" i="157"/>
  <c r="G2116" i="157"/>
  <c r="G2117" i="157"/>
  <c r="G2118" i="157"/>
  <c r="G2119" i="157"/>
  <c r="G2120" i="157"/>
  <c r="G2121" i="157"/>
  <c r="G2122" i="157"/>
  <c r="G2123" i="157"/>
  <c r="G2124" i="157"/>
  <c r="G2125" i="157"/>
  <c r="G2126" i="157"/>
  <c r="G2127" i="157"/>
  <c r="G2128" i="157"/>
  <c r="G2129" i="157"/>
  <c r="G2130" i="157"/>
  <c r="G2131" i="157"/>
  <c r="G2132" i="157"/>
  <c r="G2133" i="157"/>
  <c r="G2134" i="157"/>
  <c r="G2135" i="157"/>
  <c r="G2136" i="157"/>
  <c r="G2137" i="157"/>
  <c r="G2138" i="157"/>
  <c r="G2139" i="157"/>
  <c r="G2140" i="157"/>
  <c r="K2238" i="157" l="1"/>
  <c r="K2241" i="157" s="1"/>
  <c r="M2221" i="157"/>
  <c r="M2210" i="157"/>
  <c r="G2291" i="157"/>
  <c r="J2291" i="157" s="1"/>
  <c r="G2241" i="157"/>
  <c r="G543" i="165"/>
  <c r="M2117" i="157"/>
  <c r="G2158" i="157" l="1"/>
  <c r="G2107" i="157"/>
  <c r="G106" i="126"/>
  <c r="G138" i="126" s="1"/>
  <c r="G460" i="165"/>
  <c r="G462" i="165"/>
  <c r="G464" i="165"/>
  <c r="G467" i="165"/>
  <c r="G469" i="165"/>
  <c r="G471" i="165"/>
  <c r="G2157" i="157" l="1"/>
  <c r="G2191" i="157" s="1"/>
  <c r="G493" i="165" l="1"/>
  <c r="G2058" i="157"/>
  <c r="G2059" i="157"/>
  <c r="G2060" i="157"/>
  <c r="G2061" i="157"/>
  <c r="G2062" i="157"/>
  <c r="G2063" i="157"/>
  <c r="G2064" i="157"/>
  <c r="G2065" i="157"/>
  <c r="L2057" i="157"/>
  <c r="G2057" i="157"/>
  <c r="G607" i="140"/>
  <c r="G641" i="140" s="1"/>
  <c r="G557" i="140"/>
  <c r="G591" i="140" s="1"/>
  <c r="G507" i="140"/>
  <c r="G541" i="140" s="1"/>
  <c r="G409" i="165"/>
  <c r="G443" i="165" s="1"/>
  <c r="G457" i="140"/>
  <c r="G491" i="140" s="1"/>
  <c r="G2091" i="157" l="1"/>
  <c r="G10" i="168"/>
  <c r="G10" i="189"/>
  <c r="G42" i="189" s="1"/>
  <c r="G59" i="148"/>
  <c r="G93" i="148" s="1"/>
  <c r="M92" i="4" l="1"/>
  <c r="M91" i="4"/>
  <c r="M90" i="4"/>
  <c r="M94" i="4" s="1"/>
  <c r="G60" i="4"/>
  <c r="G94" i="4" s="1"/>
  <c r="G1858" i="157"/>
  <c r="G1859" i="157"/>
  <c r="G1860" i="157"/>
  <c r="G1861" i="157"/>
  <c r="G1862" i="157"/>
  <c r="G1863" i="157"/>
  <c r="G1864" i="157"/>
  <c r="G1865" i="157"/>
  <c r="G1866" i="157"/>
  <c r="G1867" i="157"/>
  <c r="G1868" i="157"/>
  <c r="G1869" i="157"/>
  <c r="G1870" i="157"/>
  <c r="G1871" i="157"/>
  <c r="G1872" i="157"/>
  <c r="G1873" i="157"/>
  <c r="G1874" i="157"/>
  <c r="G1875" i="157"/>
  <c r="G1876" i="157"/>
  <c r="G1877" i="157"/>
  <c r="G1878" i="157"/>
  <c r="G1879" i="157"/>
  <c r="G1880" i="157"/>
  <c r="O110" i="151" l="1"/>
  <c r="O112" i="151"/>
  <c r="O113" i="151"/>
  <c r="O115" i="151"/>
  <c r="O116" i="151"/>
  <c r="O118" i="151"/>
  <c r="O119" i="151"/>
  <c r="O109" i="151"/>
  <c r="J808" i="146"/>
  <c r="G808" i="146"/>
  <c r="G840" i="146" s="1"/>
  <c r="G1008" i="161"/>
  <c r="G1010" i="161"/>
  <c r="G1007" i="161"/>
  <c r="G2009" i="157"/>
  <c r="G2008" i="157"/>
  <c r="L2007" i="157"/>
  <c r="G2007" i="157"/>
  <c r="M1981" i="157"/>
  <c r="K1962" i="157"/>
  <c r="K1961" i="157"/>
  <c r="K1960" i="157"/>
  <c r="G1963" i="157"/>
  <c r="G1962" i="157"/>
  <c r="G1961" i="157"/>
  <c r="G1960" i="157"/>
  <c r="G1959" i="157"/>
  <c r="G1958" i="157"/>
  <c r="A1959" i="157"/>
  <c r="A1960" i="157" s="1"/>
  <c r="A1961" i="157" s="1"/>
  <c r="A1962" i="157" s="1"/>
  <c r="A1963" i="157" s="1"/>
  <c r="G1931" i="157"/>
  <c r="G1932" i="157"/>
  <c r="G1933" i="157"/>
  <c r="G1934" i="157"/>
  <c r="G1935" i="157"/>
  <c r="G1936" i="157"/>
  <c r="G1937" i="157"/>
  <c r="G1938" i="157"/>
  <c r="L1911" i="157"/>
  <c r="K1911" i="157"/>
  <c r="G1930" i="157"/>
  <c r="G1929" i="157"/>
  <c r="G1928" i="157"/>
  <c r="G1927" i="157"/>
  <c r="G1926" i="157"/>
  <c r="G1925" i="157"/>
  <c r="G1924" i="157"/>
  <c r="G1923" i="157"/>
  <c r="G1922" i="157"/>
  <c r="G1921" i="157"/>
  <c r="G1920" i="157"/>
  <c r="G1919" i="157"/>
  <c r="G1918" i="157"/>
  <c r="G1917" i="157"/>
  <c r="G1916" i="157"/>
  <c r="G1915" i="157"/>
  <c r="G1914" i="157"/>
  <c r="G1913" i="157"/>
  <c r="G1912" i="157"/>
  <c r="G1911" i="157"/>
  <c r="G1910" i="157"/>
  <c r="G1909" i="157"/>
  <c r="G1908" i="157"/>
  <c r="A1908" i="157"/>
  <c r="A1909" i="157" s="1"/>
  <c r="A1910" i="157" s="1"/>
  <c r="A1911" i="157" s="1"/>
  <c r="A1912" i="157" s="1"/>
  <c r="A1913" i="157" s="1"/>
  <c r="A1914" i="157" s="1"/>
  <c r="A1915" i="157" s="1"/>
  <c r="A1916" i="157" s="1"/>
  <c r="A1917" i="157" s="1"/>
  <c r="A1918" i="157" s="1"/>
  <c r="A1919" i="157" s="1"/>
  <c r="A1920" i="157" s="1"/>
  <c r="A1921" i="157" s="1"/>
  <c r="A1922" i="157" s="1"/>
  <c r="A1923" i="157" s="1"/>
  <c r="A1924" i="157" s="1"/>
  <c r="A1925" i="157" s="1"/>
  <c r="A1926" i="157" s="1"/>
  <c r="A1927" i="157" s="1"/>
  <c r="A1928" i="157" s="1"/>
  <c r="A1929" i="157" s="1"/>
  <c r="A1930" i="157" s="1"/>
  <c r="A1931" i="157" s="1"/>
  <c r="A1932" i="157" s="1"/>
  <c r="A1933" i="157" s="1"/>
  <c r="A1934" i="157" s="1"/>
  <c r="A1935" i="157" s="1"/>
  <c r="A1936" i="157" s="1"/>
  <c r="A1937" i="157" s="1"/>
  <c r="A1938" i="157" s="1"/>
  <c r="G1907" i="157"/>
  <c r="P1880" i="157"/>
  <c r="A1858" i="157"/>
  <c r="A1859" i="157" s="1"/>
  <c r="A1860" i="157" s="1"/>
  <c r="A1861" i="157" s="1"/>
  <c r="A1862" i="157" s="1"/>
  <c r="A1863" i="157" s="1"/>
  <c r="A1864" i="157" s="1"/>
  <c r="A1865" i="157" s="1"/>
  <c r="A1866" i="157" s="1"/>
  <c r="A1867" i="157" s="1"/>
  <c r="A1868" i="157" s="1"/>
  <c r="A1869" i="157" s="1"/>
  <c r="A1870" i="157" s="1"/>
  <c r="A1871" i="157" s="1"/>
  <c r="A1872" i="157" s="1"/>
  <c r="A1873" i="157" s="1"/>
  <c r="A1874" i="157" s="1"/>
  <c r="A1875" i="157" s="1"/>
  <c r="A1876" i="157" s="1"/>
  <c r="A1877" i="157" s="1"/>
  <c r="A1878" i="157" s="1"/>
  <c r="A1879" i="157" s="1"/>
  <c r="A1880" i="157" s="1"/>
  <c r="H1858" i="157"/>
  <c r="H1859" i="157"/>
  <c r="G60" i="136"/>
  <c r="G94" i="136" s="1"/>
  <c r="G1857" i="157"/>
  <c r="H1857" i="157" s="1"/>
  <c r="H1961" i="157" l="1"/>
  <c r="H1937" i="157"/>
  <c r="H1938" i="157" s="1"/>
  <c r="K1938" i="157" s="1"/>
  <c r="L1938" i="157" s="1"/>
  <c r="H1880" i="157"/>
  <c r="M1880" i="157" s="1"/>
  <c r="N1880" i="157" s="1"/>
  <c r="H1861" i="157"/>
  <c r="O122" i="151"/>
  <c r="G1041" i="161"/>
  <c r="G2041" i="157"/>
  <c r="G1941" i="157"/>
  <c r="G1957" i="157" s="1"/>
  <c r="G1991" i="157" s="1"/>
  <c r="G1891" i="157"/>
  <c r="G314" i="153"/>
  <c r="G312" i="153"/>
  <c r="G310" i="153"/>
  <c r="G811" i="121"/>
  <c r="G810" i="121"/>
  <c r="G809" i="121"/>
  <c r="G761" i="121"/>
  <c r="G763" i="121"/>
  <c r="G764" i="121"/>
  <c r="G760" i="121"/>
  <c r="G760" i="152"/>
  <c r="G794" i="152" s="1"/>
  <c r="G710" i="152"/>
  <c r="G957" i="161"/>
  <c r="G991" i="161" s="1"/>
  <c r="G907" i="161"/>
  <c r="G941" i="161" s="1"/>
  <c r="L1807" i="157"/>
  <c r="G1808" i="157"/>
  <c r="G1809" i="157"/>
  <c r="G1810" i="157"/>
  <c r="G1811" i="157"/>
  <c r="G1807" i="157"/>
  <c r="G1757" i="157"/>
  <c r="G1791" i="157" s="1"/>
  <c r="G843" i="121" l="1"/>
  <c r="H1811" i="157"/>
  <c r="G344" i="153"/>
  <c r="G793" i="121"/>
  <c r="G744" i="152"/>
  <c r="G1841" i="157"/>
  <c r="G667" i="152"/>
  <c r="A662" i="152"/>
  <c r="A663" i="152" s="1"/>
  <c r="A664" i="152" s="1"/>
  <c r="A665" i="152" s="1"/>
  <c r="A666" i="152" s="1"/>
  <c r="A668" i="152" s="1"/>
  <c r="A669" i="152" s="1"/>
  <c r="A670" i="152" s="1"/>
  <c r="G662" i="152"/>
  <c r="H662" i="152" s="1"/>
  <c r="G663" i="152"/>
  <c r="G664" i="152"/>
  <c r="G665" i="152"/>
  <c r="G666" i="152"/>
  <c r="G668" i="152"/>
  <c r="G669" i="152"/>
  <c r="G670" i="152"/>
  <c r="G660" i="152"/>
  <c r="H660" i="152" s="1"/>
  <c r="G59" i="155"/>
  <c r="G93" i="155" s="1"/>
  <c r="G1608" i="157"/>
  <c r="G1707" i="157"/>
  <c r="G1741" i="157" s="1"/>
  <c r="G1657" i="157"/>
  <c r="G1691" i="157" s="1"/>
  <c r="G1160" i="157"/>
  <c r="G1227" i="157"/>
  <c r="N1610" i="157"/>
  <c r="G1607" i="157"/>
  <c r="G58" i="126"/>
  <c r="G90" i="126" s="1"/>
  <c r="G857" i="161"/>
  <c r="G891" i="161" s="1"/>
  <c r="M94" i="137"/>
  <c r="M93" i="137"/>
  <c r="M92" i="137"/>
  <c r="M95" i="137" s="1"/>
  <c r="M89" i="137"/>
  <c r="M88" i="137"/>
  <c r="M90" i="137" s="1"/>
  <c r="M87" i="137"/>
  <c r="M83" i="137"/>
  <c r="M84" i="137"/>
  <c r="M82" i="137"/>
  <c r="G360" i="165"/>
  <c r="G359" i="165"/>
  <c r="G393" i="165" s="1"/>
  <c r="G154" i="167"/>
  <c r="G186" i="167" s="1"/>
  <c r="G60" i="137"/>
  <c r="G94" i="137" s="1"/>
  <c r="G1557" i="157"/>
  <c r="G1591" i="157" s="1"/>
  <c r="J1467" i="145"/>
  <c r="M85" i="137" l="1"/>
  <c r="G1641" i="157"/>
  <c r="H670" i="152"/>
  <c r="G694" i="152"/>
  <c r="J819" i="161"/>
  <c r="G809" i="161"/>
  <c r="G810" i="161"/>
  <c r="G811" i="161"/>
  <c r="G812" i="161"/>
  <c r="G813" i="161"/>
  <c r="G814" i="161"/>
  <c r="G815" i="161"/>
  <c r="G816" i="161"/>
  <c r="G817" i="161"/>
  <c r="G818" i="161"/>
  <c r="G819" i="161"/>
  <c r="H819" i="161" s="1"/>
  <c r="G808" i="161"/>
  <c r="A809" i="161"/>
  <c r="A810" i="161" s="1"/>
  <c r="A811" i="161" s="1"/>
  <c r="A812" i="161" s="1"/>
  <c r="A813" i="161" s="1"/>
  <c r="A814" i="161" s="1"/>
  <c r="A815" i="161" s="1"/>
  <c r="A816" i="161" s="1"/>
  <c r="A817" i="161" s="1"/>
  <c r="A818" i="161" s="1"/>
  <c r="A819" i="161" s="1"/>
  <c r="M1515" i="157"/>
  <c r="G1508" i="157"/>
  <c r="G1509" i="157"/>
  <c r="G1510" i="157"/>
  <c r="G1512" i="157"/>
  <c r="G1513" i="157"/>
  <c r="G1514" i="157"/>
  <c r="G1515" i="157"/>
  <c r="G1516" i="157"/>
  <c r="G1517" i="157"/>
  <c r="H1517" i="157" s="1"/>
  <c r="G1518" i="157"/>
  <c r="H1518" i="157" s="1"/>
  <c r="G1519" i="157"/>
  <c r="H1519" i="157" s="1"/>
  <c r="M1510" i="157"/>
  <c r="M1508" i="157"/>
  <c r="A1508" i="157"/>
  <c r="A1509" i="157" s="1"/>
  <c r="A1510" i="157" s="1"/>
  <c r="A1511" i="157" s="1"/>
  <c r="A1512" i="157" s="1"/>
  <c r="A1513" i="157" s="1"/>
  <c r="A1514" i="157" s="1"/>
  <c r="A1515" i="157" s="1"/>
  <c r="A1516" i="157" s="1"/>
  <c r="A1517" i="157" s="1"/>
  <c r="A1518" i="157" s="1"/>
  <c r="A1519" i="157" s="1"/>
  <c r="G1507" i="157"/>
  <c r="H1507" i="157" s="1"/>
  <c r="G715" i="121"/>
  <c r="G711" i="121"/>
  <c r="G407" i="140"/>
  <c r="G441" i="140" s="1"/>
  <c r="G357" i="140"/>
  <c r="G391" i="140" s="1"/>
  <c r="G307" i="140"/>
  <c r="G341" i="140" s="1"/>
  <c r="G257" i="140"/>
  <c r="G291" i="140" s="1"/>
  <c r="G207" i="140"/>
  <c r="G241" i="140" s="1"/>
  <c r="L103" i="167"/>
  <c r="G106" i="167"/>
  <c r="G138" i="167" s="1"/>
  <c r="J1933" i="145"/>
  <c r="L1931" i="145"/>
  <c r="L1932" i="145"/>
  <c r="L1930" i="145"/>
  <c r="L1933" i="145" s="1"/>
  <c r="J1927" i="145"/>
  <c r="L1925" i="145"/>
  <c r="L1926" i="145"/>
  <c r="L1924" i="145"/>
  <c r="J1922" i="145"/>
  <c r="L1921" i="145"/>
  <c r="L1920" i="145"/>
  <c r="L1922" i="145" s="1"/>
  <c r="X1919" i="145"/>
  <c r="X1918" i="145"/>
  <c r="X1917" i="145"/>
  <c r="X1916" i="145"/>
  <c r="X1915" i="145"/>
  <c r="X1914" i="145"/>
  <c r="X1913" i="145"/>
  <c r="X1912" i="145"/>
  <c r="X1911" i="145"/>
  <c r="X1910" i="145"/>
  <c r="X1909" i="145"/>
  <c r="X1908" i="145"/>
  <c r="X1907" i="145"/>
  <c r="X1906" i="145"/>
  <c r="X1905" i="145"/>
  <c r="X1904" i="145"/>
  <c r="X1903" i="145"/>
  <c r="X1902" i="145"/>
  <c r="X1901" i="145"/>
  <c r="X1900" i="145"/>
  <c r="X1899" i="145"/>
  <c r="T1912" i="145"/>
  <c r="T1913" i="145"/>
  <c r="M1929" i="145"/>
  <c r="M1925" i="145"/>
  <c r="O1923" i="145"/>
  <c r="O1924" i="145"/>
  <c r="O1922" i="145"/>
  <c r="M1920" i="145"/>
  <c r="O1913" i="145"/>
  <c r="O1914" i="145"/>
  <c r="O1915" i="145"/>
  <c r="O1916" i="145"/>
  <c r="O1917" i="145"/>
  <c r="O1918" i="145"/>
  <c r="O1919" i="145"/>
  <c r="O1912" i="145"/>
  <c r="M1909" i="145"/>
  <c r="O1900" i="145"/>
  <c r="O1901" i="145"/>
  <c r="O1902" i="145"/>
  <c r="O1903" i="145"/>
  <c r="O1904" i="145"/>
  <c r="O1905" i="145"/>
  <c r="O1906" i="145"/>
  <c r="O1907" i="145"/>
  <c r="O1908" i="145"/>
  <c r="O1899" i="145"/>
  <c r="G1956" i="145"/>
  <c r="G1955" i="145"/>
  <c r="G1954" i="145"/>
  <c r="G1953" i="145"/>
  <c r="G1952" i="145"/>
  <c r="G1951" i="145"/>
  <c r="G1950" i="145"/>
  <c r="G1949" i="145"/>
  <c r="A1949" i="145"/>
  <c r="A1950" i="145" s="1"/>
  <c r="A1951" i="145" s="1"/>
  <c r="A1952" i="145" s="1"/>
  <c r="A1953" i="145" s="1"/>
  <c r="A1954" i="145" s="1"/>
  <c r="A1955" i="145" s="1"/>
  <c r="A1956" i="145" s="1"/>
  <c r="G1948" i="145"/>
  <c r="G1929" i="145"/>
  <c r="G1928" i="145"/>
  <c r="G1927" i="145"/>
  <c r="G1926" i="145"/>
  <c r="G1925" i="145"/>
  <c r="G1924" i="145"/>
  <c r="G1923" i="145"/>
  <c r="G1922" i="145"/>
  <c r="G1921" i="145"/>
  <c r="G1920" i="145"/>
  <c r="G1919" i="145"/>
  <c r="G1918" i="145"/>
  <c r="G1917" i="145"/>
  <c r="G1916" i="145"/>
  <c r="G1915" i="145"/>
  <c r="G1914" i="145"/>
  <c r="G1913" i="145"/>
  <c r="G1912" i="145"/>
  <c r="G1911" i="145"/>
  <c r="G1910" i="145"/>
  <c r="G1909" i="145"/>
  <c r="G1908" i="145"/>
  <c r="G1907" i="145"/>
  <c r="G1906" i="145"/>
  <c r="G1905" i="145"/>
  <c r="G1904" i="145"/>
  <c r="G1903" i="145"/>
  <c r="G1902" i="145"/>
  <c r="G1901" i="145"/>
  <c r="G1900" i="145"/>
  <c r="G1899" i="145"/>
  <c r="A1899" i="145"/>
  <c r="A1900" i="145" s="1"/>
  <c r="A1901" i="145" s="1"/>
  <c r="A1902" i="145" s="1"/>
  <c r="A1903" i="145" s="1"/>
  <c r="A1904" i="145" s="1"/>
  <c r="A1905" i="145" s="1"/>
  <c r="A1906" i="145" s="1"/>
  <c r="A1907" i="145" s="1"/>
  <c r="A1908" i="145" s="1"/>
  <c r="A1909" i="145" s="1"/>
  <c r="A1910" i="145" s="1"/>
  <c r="A1911" i="145" s="1"/>
  <c r="A1912" i="145" s="1"/>
  <c r="A1913" i="145" s="1"/>
  <c r="A1914" i="145" s="1"/>
  <c r="A1915" i="145" s="1"/>
  <c r="A1916" i="145" s="1"/>
  <c r="A1917" i="145" s="1"/>
  <c r="A1918" i="145" s="1"/>
  <c r="A1919" i="145" s="1"/>
  <c r="A1920" i="145" s="1"/>
  <c r="A1921" i="145" s="1"/>
  <c r="A1922" i="145" s="1"/>
  <c r="A1923" i="145" s="1"/>
  <c r="A1924" i="145" s="1"/>
  <c r="A1925" i="145" s="1"/>
  <c r="A1926" i="145" s="1"/>
  <c r="A1927" i="145" s="1"/>
  <c r="A1928" i="145" s="1"/>
  <c r="A1929" i="145" s="1"/>
  <c r="G1898" i="145"/>
  <c r="G672" i="121"/>
  <c r="G673" i="121"/>
  <c r="G674" i="121"/>
  <c r="G675" i="121"/>
  <c r="G676" i="121"/>
  <c r="G678" i="121"/>
  <c r="G679" i="121"/>
  <c r="G680" i="121"/>
  <c r="G681" i="121"/>
  <c r="G682" i="121"/>
  <c r="G661" i="121"/>
  <c r="G662" i="121"/>
  <c r="G663" i="121"/>
  <c r="G664" i="121"/>
  <c r="G666" i="121"/>
  <c r="G667" i="121"/>
  <c r="G668" i="121"/>
  <c r="G669" i="121"/>
  <c r="G670" i="121"/>
  <c r="G660" i="121"/>
  <c r="G308" i="151"/>
  <c r="G307" i="151"/>
  <c r="G257" i="151"/>
  <c r="G291" i="151" s="1"/>
  <c r="G207" i="151"/>
  <c r="G1467" i="157"/>
  <c r="G1468" i="157"/>
  <c r="G1469" i="157"/>
  <c r="G1470" i="157"/>
  <c r="G1471" i="157"/>
  <c r="G1472" i="157"/>
  <c r="G1473" i="157"/>
  <c r="G1474" i="157"/>
  <c r="G1475" i="157"/>
  <c r="G1459" i="157"/>
  <c r="G1460" i="157"/>
  <c r="G1461" i="157"/>
  <c r="G1462" i="157"/>
  <c r="G1463" i="157"/>
  <c r="G1464" i="157"/>
  <c r="G1465" i="157"/>
  <c r="G1466" i="157"/>
  <c r="A1458" i="157"/>
  <c r="A1459" i="157" s="1"/>
  <c r="A1460" i="157" s="1"/>
  <c r="A1461" i="157" s="1"/>
  <c r="A1462" i="157" s="1"/>
  <c r="A1463" i="157" s="1"/>
  <c r="A1464" i="157" s="1"/>
  <c r="A1465" i="157" s="1"/>
  <c r="A1466" i="157" s="1"/>
  <c r="A1467" i="157" s="1"/>
  <c r="A1468" i="157" s="1"/>
  <c r="A1469" i="157" s="1"/>
  <c r="A1470" i="157" s="1"/>
  <c r="A1471" i="157" s="1"/>
  <c r="A1472" i="157" s="1"/>
  <c r="A1473" i="157" s="1"/>
  <c r="A1474" i="157" s="1"/>
  <c r="A1475" i="157" s="1"/>
  <c r="G1458" i="157"/>
  <c r="G1457" i="157"/>
  <c r="G1410" i="157"/>
  <c r="G1408" i="157"/>
  <c r="G1407" i="157"/>
  <c r="G1358" i="157"/>
  <c r="G1360" i="157"/>
  <c r="G1357" i="157"/>
  <c r="G1307" i="157"/>
  <c r="G1341" i="157" s="1"/>
  <c r="G1257" i="157"/>
  <c r="G1291" i="157" s="1"/>
  <c r="G1850" i="145"/>
  <c r="G1848" i="145"/>
  <c r="G1800" i="145"/>
  <c r="G1798" i="145"/>
  <c r="G1750" i="145"/>
  <c r="G1748" i="145"/>
  <c r="G1782" i="145" s="1"/>
  <c r="G1700" i="145"/>
  <c r="G1698" i="145"/>
  <c r="G1650" i="145"/>
  <c r="G1648" i="145"/>
  <c r="G1600" i="145"/>
  <c r="G1598" i="145"/>
  <c r="G1632" i="145" s="1"/>
  <c r="G1550" i="145"/>
  <c r="G1548" i="145"/>
  <c r="G1500" i="145"/>
  <c r="G1498" i="145"/>
  <c r="G1532" i="145" s="1"/>
  <c r="G60" i="144"/>
  <c r="G94" i="144" s="1"/>
  <c r="G1350" i="145"/>
  <c r="G1348" i="145"/>
  <c r="G1250" i="145"/>
  <c r="G1248" i="145"/>
  <c r="G1456" i="145"/>
  <c r="G1458" i="145"/>
  <c r="G1455" i="145"/>
  <c r="G1452" i="145"/>
  <c r="G1450" i="145"/>
  <c r="G1400" i="145"/>
  <c r="G1398" i="145"/>
  <c r="G1432" i="145" s="1"/>
  <c r="G1300" i="145"/>
  <c r="G1298" i="145"/>
  <c r="G1200" i="145"/>
  <c r="G1198" i="145"/>
  <c r="L1226" i="157"/>
  <c r="H1231" i="157"/>
  <c r="L1231" i="157"/>
  <c r="L1210" i="157"/>
  <c r="A1208" i="157"/>
  <c r="A1209" i="157" s="1"/>
  <c r="A1210" i="157" s="1"/>
  <c r="A1211" i="157" s="1"/>
  <c r="A1212" i="157" s="1"/>
  <c r="A1213" i="157" s="1"/>
  <c r="A1214" i="157" s="1"/>
  <c r="A1215" i="157" s="1"/>
  <c r="A1216" i="157" s="1"/>
  <c r="A1217" i="157" s="1"/>
  <c r="A1218" i="157" s="1"/>
  <c r="A1219" i="157" s="1"/>
  <c r="A1220" i="157" s="1"/>
  <c r="A1221" i="157" s="1"/>
  <c r="A1222" i="157" s="1"/>
  <c r="A1223" i="157" s="1"/>
  <c r="A1224" i="157" s="1"/>
  <c r="A1225" i="157" s="1"/>
  <c r="A1226" i="157" s="1"/>
  <c r="A1227" i="157" s="1"/>
  <c r="A1228" i="157" s="1"/>
  <c r="A1229" i="157" s="1"/>
  <c r="A1230" i="157" s="1"/>
  <c r="A1231" i="157" s="1"/>
  <c r="A1232" i="157" s="1"/>
  <c r="G1209" i="157"/>
  <c r="G1210" i="157"/>
  <c r="G1211" i="157"/>
  <c r="G1212" i="157"/>
  <c r="G1213" i="157"/>
  <c r="G1214" i="157"/>
  <c r="G1215" i="157"/>
  <c r="G1216" i="157"/>
  <c r="G1217" i="157"/>
  <c r="G1218" i="157"/>
  <c r="G1219" i="157"/>
  <c r="G1220" i="157"/>
  <c r="H1220" i="157" s="1"/>
  <c r="G1221" i="157"/>
  <c r="H1221" i="157" s="1"/>
  <c r="G1222" i="157"/>
  <c r="H1222" i="157" s="1"/>
  <c r="G1223" i="157"/>
  <c r="H1223" i="157" s="1"/>
  <c r="G1224" i="157"/>
  <c r="G1225" i="157"/>
  <c r="G1226" i="157"/>
  <c r="G1228" i="157"/>
  <c r="G1229" i="157"/>
  <c r="G1230" i="157"/>
  <c r="G1232" i="157"/>
  <c r="H1232" i="157" s="1"/>
  <c r="G1208" i="157"/>
  <c r="G1207" i="157"/>
  <c r="G310" i="165"/>
  <c r="G309" i="165"/>
  <c r="G1165" i="145"/>
  <c r="G1166" i="145"/>
  <c r="K1140" i="145"/>
  <c r="N1137" i="145"/>
  <c r="N1138" i="145"/>
  <c r="N1136" i="145"/>
  <c r="P1124" i="145"/>
  <c r="P1125" i="145"/>
  <c r="P1126" i="145"/>
  <c r="P1127" i="145"/>
  <c r="N1134" i="145"/>
  <c r="P1130" i="145"/>
  <c r="P1129" i="145"/>
  <c r="P1128" i="145"/>
  <c r="P1123" i="145"/>
  <c r="N1120" i="145"/>
  <c r="P1119" i="145"/>
  <c r="P1118" i="145"/>
  <c r="P1117" i="145"/>
  <c r="N1114" i="145"/>
  <c r="P1108" i="145"/>
  <c r="P1109" i="145"/>
  <c r="P1110" i="145"/>
  <c r="P1111" i="145"/>
  <c r="P1112" i="145"/>
  <c r="P1107" i="145"/>
  <c r="N1105" i="145"/>
  <c r="P1102" i="145"/>
  <c r="P1103" i="145"/>
  <c r="P1101" i="145"/>
  <c r="G1164" i="145"/>
  <c r="G1163" i="145"/>
  <c r="G1162" i="145"/>
  <c r="G1161" i="145"/>
  <c r="G1160" i="145"/>
  <c r="G1159" i="145"/>
  <c r="G1158" i="145"/>
  <c r="G1157" i="145"/>
  <c r="G1156" i="145"/>
  <c r="G1155" i="145"/>
  <c r="G1154" i="145"/>
  <c r="G1153" i="145"/>
  <c r="G1152" i="145"/>
  <c r="G1151" i="145"/>
  <c r="A1151" i="145"/>
  <c r="A1152" i="145" s="1"/>
  <c r="A1153" i="145" s="1"/>
  <c r="A1154" i="145" s="1"/>
  <c r="A1155" i="145" s="1"/>
  <c r="A1156" i="145" s="1"/>
  <c r="A1157" i="145" s="1"/>
  <c r="A1158" i="145" s="1"/>
  <c r="A1159" i="145" s="1"/>
  <c r="A1160" i="145" s="1"/>
  <c r="A1161" i="145" s="1"/>
  <c r="A1162" i="145" s="1"/>
  <c r="A1163" i="145" s="1"/>
  <c r="A1164" i="145" s="1"/>
  <c r="A1165" i="145" s="1"/>
  <c r="A1166" i="145" s="1"/>
  <c r="G1150" i="145"/>
  <c r="G1131" i="145"/>
  <c r="G1130" i="145"/>
  <c r="G1129" i="145"/>
  <c r="G1128" i="145"/>
  <c r="G1127" i="145"/>
  <c r="G1126" i="145"/>
  <c r="G1125" i="145"/>
  <c r="G1124" i="145"/>
  <c r="G1123" i="145"/>
  <c r="G1122" i="145"/>
  <c r="G1121" i="145"/>
  <c r="G1120" i="145"/>
  <c r="G1119" i="145"/>
  <c r="G1118" i="145"/>
  <c r="G1117" i="145"/>
  <c r="G1116" i="145"/>
  <c r="G1115" i="145"/>
  <c r="G1114" i="145"/>
  <c r="G1113" i="145"/>
  <c r="G1112" i="145"/>
  <c r="G1111" i="145"/>
  <c r="G1110" i="145"/>
  <c r="G1109" i="145"/>
  <c r="G1108" i="145"/>
  <c r="G1107" i="145"/>
  <c r="G1106" i="145"/>
  <c r="G1105" i="145"/>
  <c r="G1104" i="145"/>
  <c r="K1104" i="145" s="1"/>
  <c r="G1103" i="145"/>
  <c r="K1103" i="145" s="1"/>
  <c r="G1102" i="145"/>
  <c r="G1101" i="145"/>
  <c r="A1101" i="145"/>
  <c r="A1102" i="145" s="1"/>
  <c r="A1103" i="145" s="1"/>
  <c r="A1104" i="145" s="1"/>
  <c r="A1105" i="145" s="1"/>
  <c r="A1106" i="145" s="1"/>
  <c r="A1107" i="145" s="1"/>
  <c r="A1108" i="145" s="1"/>
  <c r="A1109" i="145" s="1"/>
  <c r="A1110" i="145" s="1"/>
  <c r="A1111" i="145" s="1"/>
  <c r="A1112" i="145" s="1"/>
  <c r="A1113" i="145" s="1"/>
  <c r="A1114" i="145" s="1"/>
  <c r="A1115" i="145" s="1"/>
  <c r="A1116" i="145" s="1"/>
  <c r="A1117" i="145" s="1"/>
  <c r="A1118" i="145" s="1"/>
  <c r="A1119" i="145" s="1"/>
  <c r="A1120" i="145" s="1"/>
  <c r="A1121" i="145" s="1"/>
  <c r="A1122" i="145" s="1"/>
  <c r="A1123" i="145" s="1"/>
  <c r="A1124" i="145" s="1"/>
  <c r="A1125" i="145" s="1"/>
  <c r="A1126" i="145" s="1"/>
  <c r="A1127" i="145" s="1"/>
  <c r="A1128" i="145" s="1"/>
  <c r="A1129" i="145" s="1"/>
  <c r="A1130" i="145" s="1"/>
  <c r="A1131" i="145" s="1"/>
  <c r="G1100" i="145"/>
  <c r="G61" i="149"/>
  <c r="G60" i="149"/>
  <c r="G59" i="149"/>
  <c r="G758" i="146"/>
  <c r="G761" i="146"/>
  <c r="G759" i="146"/>
  <c r="G1157" i="157"/>
  <c r="M1136" i="157"/>
  <c r="M1135" i="157"/>
  <c r="G1135" i="157"/>
  <c r="G1129" i="157"/>
  <c r="G1123" i="157"/>
  <c r="G1117" i="157"/>
  <c r="Q1124" i="157"/>
  <c r="Q1118" i="157"/>
  <c r="Q1112" i="157"/>
  <c r="G1112" i="157"/>
  <c r="G1107" i="157"/>
  <c r="G1882" i="145" l="1"/>
  <c r="G341" i="151"/>
  <c r="G1332" i="145"/>
  <c r="G1582" i="145"/>
  <c r="Q1114" i="145"/>
  <c r="H1956" i="145"/>
  <c r="L1927" i="145"/>
  <c r="M1137" i="157"/>
  <c r="G1732" i="145"/>
  <c r="H818" i="161"/>
  <c r="H1226" i="157"/>
  <c r="N1226" i="157" s="1"/>
  <c r="G1391" i="157"/>
  <c r="G1441" i="157"/>
  <c r="H1929" i="145"/>
  <c r="I1956" i="145" s="1"/>
  <c r="Q1130" i="145"/>
  <c r="H1516" i="157"/>
  <c r="H1152" i="145"/>
  <c r="H1513" i="157"/>
  <c r="O1909" i="145"/>
  <c r="H1131" i="145"/>
  <c r="H1106" i="145"/>
  <c r="G841" i="161"/>
  <c r="G1541" i="157"/>
  <c r="G743" i="121"/>
  <c r="G1832" i="145"/>
  <c r="G1682" i="145"/>
  <c r="G1282" i="145"/>
  <c r="O1920" i="145"/>
  <c r="O1925" i="145"/>
  <c r="G1382" i="145"/>
  <c r="Q1119" i="145"/>
  <c r="H1901" i="145"/>
  <c r="Q1105" i="145"/>
  <c r="N1140" i="145"/>
  <c r="G1931" i="145"/>
  <c r="G1947" i="145" s="1"/>
  <c r="G1980" i="145" s="1"/>
  <c r="S1928" i="145"/>
  <c r="G693" i="121"/>
  <c r="G241" i="151"/>
  <c r="G1491" i="157"/>
  <c r="H1219" i="157"/>
  <c r="H1230" i="157"/>
  <c r="G1241" i="157"/>
  <c r="L1241" i="157" s="1"/>
  <c r="H1214" i="157"/>
  <c r="G1482" i="145"/>
  <c r="G1133" i="145"/>
  <c r="G1149" i="145" s="1"/>
  <c r="G1182" i="145" s="1"/>
  <c r="G1232" i="145"/>
  <c r="G343" i="165"/>
  <c r="K1131" i="145"/>
  <c r="G93" i="149"/>
  <c r="G792" i="146"/>
  <c r="G1191" i="157"/>
  <c r="G1141" i="157"/>
  <c r="S1130" i="145" l="1"/>
  <c r="P1929" i="145"/>
  <c r="K1152" i="145"/>
  <c r="G11" i="155"/>
  <c r="G12" i="155"/>
  <c r="G10" i="155"/>
  <c r="G42" i="155" s="1"/>
  <c r="G760" i="161"/>
  <c r="G792" i="161" s="1"/>
  <c r="G712" i="161"/>
  <c r="G714" i="161"/>
  <c r="G717" i="161"/>
  <c r="G719" i="161"/>
  <c r="G721" i="161"/>
  <c r="G710" i="161"/>
  <c r="G661" i="161"/>
  <c r="G659" i="161"/>
  <c r="K1082" i="157"/>
  <c r="G1074" i="157"/>
  <c r="G1084" i="157"/>
  <c r="G1083" i="157"/>
  <c r="G1082" i="157"/>
  <c r="G1081" i="157"/>
  <c r="G1080" i="157"/>
  <c r="G1079" i="157"/>
  <c r="G1078" i="157"/>
  <c r="G1077" i="157"/>
  <c r="G1076" i="157"/>
  <c r="G1075" i="157"/>
  <c r="G1073" i="157"/>
  <c r="G1072" i="157"/>
  <c r="G1071" i="157"/>
  <c r="G1070" i="157"/>
  <c r="G1069" i="157"/>
  <c r="G1068" i="157"/>
  <c r="G1067" i="157"/>
  <c r="G1066" i="157"/>
  <c r="G1065" i="157"/>
  <c r="G1064" i="157"/>
  <c r="G1063" i="157"/>
  <c r="G1062" i="157"/>
  <c r="G1061" i="157"/>
  <c r="G1060" i="157"/>
  <c r="G1059" i="157"/>
  <c r="G1058" i="157"/>
  <c r="A1058" i="157"/>
  <c r="A1059" i="157" s="1"/>
  <c r="A1060" i="157" s="1"/>
  <c r="A1061" i="157" s="1"/>
  <c r="A1062" i="157" s="1"/>
  <c r="A1063" i="157" s="1"/>
  <c r="A1064" i="157" s="1"/>
  <c r="A1065" i="157" s="1"/>
  <c r="A1066" i="157" s="1"/>
  <c r="A1067" i="157" s="1"/>
  <c r="A1068" i="157" s="1"/>
  <c r="A1069" i="157" s="1"/>
  <c r="A1070" i="157" s="1"/>
  <c r="A1071" i="157" s="1"/>
  <c r="A1072" i="157" s="1"/>
  <c r="A1073" i="157" s="1"/>
  <c r="A1074" i="157" s="1"/>
  <c r="A1075" i="157" s="1"/>
  <c r="A1076" i="157" s="1"/>
  <c r="A1077" i="157" s="1"/>
  <c r="A1078" i="157" s="1"/>
  <c r="A1079" i="157" s="1"/>
  <c r="A1080" i="157" s="1"/>
  <c r="A1081" i="157" s="1"/>
  <c r="A1082" i="157" s="1"/>
  <c r="A1083" i="157" s="1"/>
  <c r="A1084" i="157" s="1"/>
  <c r="G1057" i="157"/>
  <c r="G1030" i="157"/>
  <c r="L1030" i="157"/>
  <c r="G743" i="161" l="1"/>
  <c r="G693" i="161"/>
  <c r="G1091" i="157"/>
  <c r="G1029" i="157" l="1"/>
  <c r="G1031" i="157"/>
  <c r="G1032" i="157"/>
  <c r="G1033" i="157"/>
  <c r="G1034" i="157"/>
  <c r="G1035" i="157"/>
  <c r="G1036" i="157"/>
  <c r="G1037" i="157"/>
  <c r="G1038" i="157"/>
  <c r="H1038" i="157" s="1"/>
  <c r="G1039" i="157"/>
  <c r="H1039" i="157" s="1"/>
  <c r="G1040" i="157"/>
  <c r="H1040" i="157" s="1"/>
  <c r="A1008" i="157"/>
  <c r="A1009" i="157" s="1"/>
  <c r="A1010" i="157" s="1"/>
  <c r="A1011" i="157" s="1"/>
  <c r="A1012" i="157" s="1"/>
  <c r="A1013" i="157" s="1"/>
  <c r="A1014" i="157" s="1"/>
  <c r="A1015" i="157" s="1"/>
  <c r="A1016" i="157" s="1"/>
  <c r="A1017" i="157" s="1"/>
  <c r="A1018" i="157" s="1"/>
  <c r="A1019" i="157" s="1"/>
  <c r="A1020" i="157" s="1"/>
  <c r="A1021" i="157" s="1"/>
  <c r="A1022" i="157" s="1"/>
  <c r="A1023" i="157" s="1"/>
  <c r="A1024" i="157" s="1"/>
  <c r="A1025" i="157" s="1"/>
  <c r="A1026" i="157" s="1"/>
  <c r="A1027" i="157" s="1"/>
  <c r="A1028" i="157" s="1"/>
  <c r="A1029" i="157" s="1"/>
  <c r="A1030" i="157" s="1"/>
  <c r="A1031" i="157" s="1"/>
  <c r="A1032" i="157" s="1"/>
  <c r="A1033" i="157" s="1"/>
  <c r="A1034" i="157" s="1"/>
  <c r="A1035" i="157" s="1"/>
  <c r="A1036" i="157" s="1"/>
  <c r="A1037" i="157" s="1"/>
  <c r="A1038" i="157" s="1"/>
  <c r="A1039" i="157" s="1"/>
  <c r="A1040" i="157" s="1"/>
  <c r="G1011" i="157"/>
  <c r="G1012" i="157"/>
  <c r="G1013" i="157"/>
  <c r="G1014" i="157"/>
  <c r="G1015" i="157"/>
  <c r="G1016" i="157"/>
  <c r="H1016" i="157" s="1"/>
  <c r="G1017" i="157"/>
  <c r="G1018" i="157"/>
  <c r="G1019" i="157"/>
  <c r="G1020" i="157"/>
  <c r="G1021" i="157"/>
  <c r="G1022" i="157"/>
  <c r="G1023" i="157"/>
  <c r="H1023" i="157" s="1"/>
  <c r="G1024" i="157"/>
  <c r="G1025" i="157"/>
  <c r="G1026" i="157"/>
  <c r="G1027" i="157"/>
  <c r="G1028" i="157"/>
  <c r="H1028" i="157" s="1"/>
  <c r="G1010" i="157"/>
  <c r="G1009" i="157"/>
  <c r="G1008" i="157"/>
  <c r="G1007" i="157"/>
  <c r="G960" i="157"/>
  <c r="G959" i="157"/>
  <c r="G958" i="157"/>
  <c r="G957" i="157"/>
  <c r="G910" i="157"/>
  <c r="G908" i="157"/>
  <c r="G909" i="157"/>
  <c r="G907" i="157"/>
  <c r="S9" i="188"/>
  <c r="S10" i="188"/>
  <c r="S11" i="188"/>
  <c r="S12" i="188"/>
  <c r="S13" i="188"/>
  <c r="S14" i="188"/>
  <c r="S15" i="188"/>
  <c r="S16" i="188"/>
  <c r="S17" i="188"/>
  <c r="S18" i="188"/>
  <c r="S19" i="188"/>
  <c r="S20" i="188"/>
  <c r="S21" i="188"/>
  <c r="S22" i="188"/>
  <c r="S23" i="188"/>
  <c r="S8" i="188"/>
  <c r="L66" i="188"/>
  <c r="P66" i="188" s="1"/>
  <c r="L65" i="188"/>
  <c r="P65" i="188" s="1"/>
  <c r="L64" i="188"/>
  <c r="P64" i="188" s="1"/>
  <c r="L63" i="188"/>
  <c r="P63" i="188" s="1"/>
  <c r="L62" i="188"/>
  <c r="P62" i="188" s="1"/>
  <c r="L61" i="188"/>
  <c r="P61" i="188" s="1"/>
  <c r="L60" i="188"/>
  <c r="P60" i="188" s="1"/>
  <c r="L59" i="188"/>
  <c r="P59" i="188" s="1"/>
  <c r="L58" i="188"/>
  <c r="P58" i="188" s="1"/>
  <c r="L57" i="188"/>
  <c r="P57" i="188" s="1"/>
  <c r="L56" i="188"/>
  <c r="P56" i="188" s="1"/>
  <c r="L55" i="188"/>
  <c r="P55" i="188" s="1"/>
  <c r="L54" i="188"/>
  <c r="P54" i="188" s="1"/>
  <c r="L53" i="188"/>
  <c r="P53" i="188" s="1"/>
  <c r="L52" i="188"/>
  <c r="P52" i="188" s="1"/>
  <c r="L51" i="188"/>
  <c r="P51" i="188" s="1"/>
  <c r="L50" i="188"/>
  <c r="P50" i="188" s="1"/>
  <c r="L49" i="188"/>
  <c r="P49" i="188" s="1"/>
  <c r="L48" i="188"/>
  <c r="P48" i="188" s="1"/>
  <c r="L28" i="188"/>
  <c r="L29" i="188"/>
  <c r="L30" i="188"/>
  <c r="L31" i="188"/>
  <c r="L32" i="188"/>
  <c r="L33" i="188"/>
  <c r="L34" i="188"/>
  <c r="L35" i="188"/>
  <c r="L36" i="188"/>
  <c r="L37" i="188"/>
  <c r="L38" i="188"/>
  <c r="L39" i="188"/>
  <c r="L40" i="188"/>
  <c r="L41" i="188"/>
  <c r="L42" i="188"/>
  <c r="L43" i="188"/>
  <c r="L44" i="188"/>
  <c r="L45" i="188"/>
  <c r="L27" i="188"/>
  <c r="L9" i="188"/>
  <c r="P9" i="188" s="1"/>
  <c r="L10" i="188"/>
  <c r="P10" i="188" s="1"/>
  <c r="L11" i="188"/>
  <c r="P11" i="188" s="1"/>
  <c r="L12" i="188"/>
  <c r="P12" i="188" s="1"/>
  <c r="L13" i="188"/>
  <c r="P13" i="188" s="1"/>
  <c r="L14" i="188"/>
  <c r="P14" i="188" s="1"/>
  <c r="L15" i="188"/>
  <c r="P15" i="188" s="1"/>
  <c r="L16" i="188"/>
  <c r="P16" i="188" s="1"/>
  <c r="L17" i="188"/>
  <c r="P17" i="188" s="1"/>
  <c r="L18" i="188"/>
  <c r="P18" i="188" s="1"/>
  <c r="L19" i="188"/>
  <c r="P19" i="188" s="1"/>
  <c r="L20" i="188"/>
  <c r="P20" i="188" s="1"/>
  <c r="L21" i="188"/>
  <c r="P21" i="188" s="1"/>
  <c r="L22" i="188"/>
  <c r="P22" i="188" s="1"/>
  <c r="L23" i="188"/>
  <c r="P23" i="188" s="1"/>
  <c r="L8" i="188"/>
  <c r="P8" i="188" s="1"/>
  <c r="G991" i="157" l="1"/>
  <c r="H1015" i="157"/>
  <c r="H1022" i="157"/>
  <c r="H1027" i="157"/>
  <c r="H1037" i="157"/>
  <c r="G1041" i="157"/>
  <c r="G941" i="157"/>
  <c r="G14" i="121"/>
  <c r="Q63" i="121"/>
  <c r="Q62" i="121"/>
  <c r="G261" i="153"/>
  <c r="G262" i="153"/>
  <c r="G1070" i="145"/>
  <c r="G1069" i="145"/>
  <c r="O1058" i="145"/>
  <c r="Q1056" i="145"/>
  <c r="Q1057" i="145"/>
  <c r="Q1055" i="145"/>
  <c r="P1019" i="145"/>
  <c r="R1018" i="145"/>
  <c r="R1017" i="145"/>
  <c r="P1014" i="145"/>
  <c r="R1008" i="145"/>
  <c r="R1009" i="145"/>
  <c r="R1010" i="145"/>
  <c r="R1011" i="145"/>
  <c r="R1012" i="145"/>
  <c r="R1013" i="145"/>
  <c r="R1007" i="145"/>
  <c r="P1004" i="145"/>
  <c r="R1002" i="145"/>
  <c r="R1003" i="145"/>
  <c r="R1001" i="145"/>
  <c r="G1068" i="145"/>
  <c r="G1067" i="145"/>
  <c r="G1066" i="145"/>
  <c r="G1065" i="145"/>
  <c r="G1064" i="145"/>
  <c r="G1063" i="145"/>
  <c r="G1062" i="145"/>
  <c r="G1061" i="145"/>
  <c r="G1060" i="145"/>
  <c r="G1059" i="145"/>
  <c r="G1058" i="145"/>
  <c r="G1057" i="145"/>
  <c r="G1056" i="145"/>
  <c r="G1055" i="145"/>
  <c r="G1054" i="145"/>
  <c r="G1053" i="145"/>
  <c r="G1052" i="145"/>
  <c r="A1052" i="145"/>
  <c r="A1053" i="145" s="1"/>
  <c r="A1054" i="145" s="1"/>
  <c r="A1055" i="145" s="1"/>
  <c r="A1056" i="145" s="1"/>
  <c r="A1057" i="145" s="1"/>
  <c r="A1058" i="145" s="1"/>
  <c r="A1059" i="145" s="1"/>
  <c r="A1060" i="145" s="1"/>
  <c r="A1061" i="145" s="1"/>
  <c r="A1062" i="145" s="1"/>
  <c r="A1063" i="145" s="1"/>
  <c r="A1064" i="145" s="1"/>
  <c r="A1065" i="145" s="1"/>
  <c r="A1066" i="145" s="1"/>
  <c r="A1067" i="145" s="1"/>
  <c r="A1068" i="145" s="1"/>
  <c r="A1069" i="145" s="1"/>
  <c r="A1070" i="145" s="1"/>
  <c r="G1051" i="145"/>
  <c r="G1032" i="145"/>
  <c r="G1031" i="145"/>
  <c r="G1030" i="145"/>
  <c r="G1029" i="145"/>
  <c r="G1028" i="145"/>
  <c r="G1027" i="145"/>
  <c r="G1026" i="145"/>
  <c r="G1025" i="145"/>
  <c r="G1024" i="145"/>
  <c r="G1023" i="145"/>
  <c r="G1022" i="145"/>
  <c r="G1021" i="145"/>
  <c r="G1020" i="145"/>
  <c r="G1019" i="145"/>
  <c r="G1018" i="145"/>
  <c r="G1017" i="145"/>
  <c r="G1016" i="145"/>
  <c r="G1015" i="145"/>
  <c r="G1014" i="145"/>
  <c r="G1013" i="145"/>
  <c r="G1012" i="145"/>
  <c r="G1011" i="145"/>
  <c r="G1010" i="145"/>
  <c r="G1009" i="145"/>
  <c r="G1008" i="145"/>
  <c r="G1007" i="145"/>
  <c r="G1006" i="145"/>
  <c r="G1005" i="145"/>
  <c r="G1004" i="145"/>
  <c r="G1003" i="145"/>
  <c r="G1002" i="145"/>
  <c r="A1002" i="145"/>
  <c r="A1003" i="145" s="1"/>
  <c r="A1004" i="145" s="1"/>
  <c r="A1005" i="145" s="1"/>
  <c r="A1006" i="145" s="1"/>
  <c r="A1007" i="145" s="1"/>
  <c r="A1008" i="145" s="1"/>
  <c r="A1009" i="145" s="1"/>
  <c r="A1010" i="145" s="1"/>
  <c r="A1011" i="145" s="1"/>
  <c r="A1012" i="145" s="1"/>
  <c r="A1013" i="145" s="1"/>
  <c r="A1014" i="145" s="1"/>
  <c r="A1015" i="145" s="1"/>
  <c r="A1016" i="145" s="1"/>
  <c r="A1017" i="145" s="1"/>
  <c r="A1018" i="145" s="1"/>
  <c r="A1019" i="145" s="1"/>
  <c r="A1020" i="145" s="1"/>
  <c r="A1021" i="145" s="1"/>
  <c r="A1022" i="145" s="1"/>
  <c r="A1023" i="145" s="1"/>
  <c r="A1024" i="145" s="1"/>
  <c r="A1025" i="145" s="1"/>
  <c r="A1026" i="145" s="1"/>
  <c r="A1027" i="145" s="1"/>
  <c r="A1028" i="145" s="1"/>
  <c r="A1029" i="145" s="1"/>
  <c r="A1030" i="145" s="1"/>
  <c r="A1031" i="145" s="1"/>
  <c r="A1032" i="145" s="1"/>
  <c r="G1001" i="145"/>
  <c r="R1019" i="145" l="1"/>
  <c r="Q1058" i="145"/>
  <c r="R1004" i="145"/>
  <c r="Q93" i="121"/>
  <c r="K1057" i="145"/>
  <c r="R1014" i="145"/>
  <c r="K1032" i="145"/>
  <c r="K1006" i="145"/>
  <c r="G294" i="153"/>
  <c r="G1034" i="145"/>
  <c r="G1050" i="145" s="1"/>
  <c r="G1084" i="145" s="1"/>
  <c r="M1057" i="145" l="1"/>
  <c r="G509" i="160"/>
  <c r="G507" i="160"/>
  <c r="G541" i="160" s="1"/>
  <c r="K422" i="141"/>
  <c r="K421" i="141"/>
  <c r="K420" i="141"/>
  <c r="K419" i="141"/>
  <c r="K417" i="141"/>
  <c r="K415" i="141"/>
  <c r="K413" i="141"/>
  <c r="K412" i="141"/>
  <c r="K410" i="141"/>
  <c r="K409" i="141"/>
  <c r="K408" i="141"/>
  <c r="J168" i="151"/>
  <c r="J169" i="151"/>
  <c r="T63" i="151"/>
  <c r="R62" i="151"/>
  <c r="T62" i="151" s="1"/>
  <c r="G162" i="151"/>
  <c r="G158" i="151"/>
  <c r="G160" i="151"/>
  <c r="G118" i="151"/>
  <c r="G119" i="151"/>
  <c r="G116" i="151"/>
  <c r="G113" i="151"/>
  <c r="G115" i="151"/>
  <c r="G112" i="151"/>
  <c r="G110" i="151"/>
  <c r="G109" i="151"/>
  <c r="P73" i="151"/>
  <c r="P72" i="151"/>
  <c r="P70" i="151"/>
  <c r="P68" i="151"/>
  <c r="P67" i="151"/>
  <c r="P65" i="151"/>
  <c r="P63" i="151"/>
  <c r="P62" i="151"/>
  <c r="P60" i="151"/>
  <c r="L62" i="151"/>
  <c r="L63" i="151"/>
  <c r="L65" i="151"/>
  <c r="L67" i="151"/>
  <c r="L68" i="151"/>
  <c r="L70" i="151"/>
  <c r="L72" i="151"/>
  <c r="L73" i="151"/>
  <c r="L60" i="151"/>
  <c r="G70" i="151"/>
  <c r="G72" i="151"/>
  <c r="G73" i="151"/>
  <c r="G68" i="151"/>
  <c r="G67" i="151"/>
  <c r="G65" i="151"/>
  <c r="G63" i="151"/>
  <c r="G62" i="151"/>
  <c r="G60" i="151"/>
  <c r="G18" i="151"/>
  <c r="G19" i="151"/>
  <c r="G16" i="151"/>
  <c r="G13" i="151"/>
  <c r="G14" i="151"/>
  <c r="G11" i="151"/>
  <c r="G420" i="141"/>
  <c r="G409" i="141"/>
  <c r="G410" i="141"/>
  <c r="G412" i="141"/>
  <c r="G413" i="141"/>
  <c r="G415" i="141"/>
  <c r="G417" i="141"/>
  <c r="G419" i="141"/>
  <c r="G421" i="141"/>
  <c r="G422" i="141"/>
  <c r="G408" i="141"/>
  <c r="T65" i="151" l="1"/>
  <c r="G191" i="151"/>
  <c r="I119" i="151"/>
  <c r="I118" i="151"/>
  <c r="I120" i="151" s="1"/>
  <c r="G92" i="151"/>
  <c r="G141" i="151"/>
  <c r="L76" i="151"/>
  <c r="P76" i="151"/>
  <c r="G43" i="151"/>
  <c r="G442" i="141"/>
  <c r="P82" i="151" l="1"/>
  <c r="P84" i="151" s="1"/>
  <c r="G1458" i="164" l="1"/>
  <c r="G1492" i="164" s="1"/>
  <c r="G259" i="165" l="1"/>
  <c r="G293" i="165" s="1"/>
  <c r="G953" i="145"/>
  <c r="G951" i="145"/>
  <c r="G360" i="141"/>
  <c r="G358" i="141"/>
  <c r="G1408" i="164"/>
  <c r="G1442" i="164" s="1"/>
  <c r="G1358" i="164"/>
  <c r="G1392" i="164" s="1"/>
  <c r="G609" i="161"/>
  <c r="G643" i="161" s="1"/>
  <c r="G608" i="164"/>
  <c r="P309" i="146"/>
  <c r="P308" i="146"/>
  <c r="P459" i="146"/>
  <c r="P458" i="146"/>
  <c r="G563" i="161"/>
  <c r="G561" i="161"/>
  <c r="G559" i="161"/>
  <c r="L837" i="157"/>
  <c r="L836" i="157"/>
  <c r="G858" i="157"/>
  <c r="G985" i="145" l="1"/>
  <c r="G392" i="141"/>
  <c r="G593" i="161"/>
  <c r="G891" i="157"/>
  <c r="G807" i="157"/>
  <c r="G840" i="157" s="1"/>
  <c r="G757" i="157"/>
  <c r="G790" i="157" s="1"/>
  <c r="G707" i="157"/>
  <c r="G741" i="157" s="1"/>
  <c r="K642" i="157"/>
  <c r="G657" i="157"/>
  <c r="G691" i="157" s="1"/>
  <c r="G607" i="157"/>
  <c r="G641" i="157" s="1"/>
  <c r="G557" i="157"/>
  <c r="G591" i="157" s="1"/>
  <c r="G507" i="157"/>
  <c r="G541" i="157" s="1"/>
  <c r="G457" i="157"/>
  <c r="G491" i="157" s="1"/>
  <c r="L283" i="157"/>
  <c r="Q110" i="157"/>
  <c r="L721" i="146" l="1"/>
  <c r="L720" i="146"/>
  <c r="L718" i="146"/>
  <c r="L717" i="146"/>
  <c r="L715" i="146"/>
  <c r="L714" i="146"/>
  <c r="L716" i="146" s="1"/>
  <c r="G708" i="146"/>
  <c r="G742" i="146" s="1"/>
  <c r="G903" i="145"/>
  <c r="G901" i="145"/>
  <c r="G1308" i="164"/>
  <c r="G1342" i="164" s="1"/>
  <c r="G310" i="141"/>
  <c r="G308" i="141"/>
  <c r="G509" i="161"/>
  <c r="G543" i="161" s="1"/>
  <c r="G108" i="158"/>
  <c r="G107" i="158"/>
  <c r="G106" i="158"/>
  <c r="G1258" i="164"/>
  <c r="G1292" i="164" s="1"/>
  <c r="G1208" i="164"/>
  <c r="G1242" i="164" s="1"/>
  <c r="G1158" i="164"/>
  <c r="G1192" i="164" s="1"/>
  <c r="G138" i="158" l="1"/>
  <c r="L722" i="146"/>
  <c r="L719" i="146"/>
  <c r="G342" i="141"/>
  <c r="G935" i="145"/>
  <c r="I14" i="126" l="1"/>
  <c r="G10" i="126"/>
  <c r="G853" i="145"/>
  <c r="G851" i="145"/>
  <c r="G1108" i="164"/>
  <c r="G1142" i="164" s="1"/>
  <c r="G1059" i="164"/>
  <c r="G1061" i="164"/>
  <c r="G1058" i="164"/>
  <c r="G459" i="161"/>
  <c r="G493" i="161" s="1"/>
  <c r="G803" i="145"/>
  <c r="G801" i="145"/>
  <c r="G835" i="145" s="1"/>
  <c r="G1008" i="164"/>
  <c r="G1042" i="164" s="1"/>
  <c r="G958" i="164"/>
  <c r="G992" i="164" s="1"/>
  <c r="G409" i="161"/>
  <c r="G443" i="161" s="1"/>
  <c r="G885" i="145" l="1"/>
  <c r="G1092" i="164"/>
  <c r="G260" i="141"/>
  <c r="G258" i="141"/>
  <c r="G755" i="145"/>
  <c r="G753" i="145"/>
  <c r="G751" i="145"/>
  <c r="G459" i="160"/>
  <c r="G457" i="160"/>
  <c r="G908" i="164"/>
  <c r="G942" i="164" s="1"/>
  <c r="G858" i="164"/>
  <c r="G892" i="164" s="1"/>
  <c r="G808" i="164"/>
  <c r="G842" i="164" s="1"/>
  <c r="G704" i="145"/>
  <c r="G702" i="145"/>
  <c r="G735" i="145" s="1"/>
  <c r="G655" i="145"/>
  <c r="G653" i="145"/>
  <c r="G658" i="146"/>
  <c r="G692" i="146" s="1"/>
  <c r="G359" i="161"/>
  <c r="G393" i="161" s="1"/>
  <c r="G758" i="164"/>
  <c r="G792" i="164" s="1"/>
  <c r="G708" i="164"/>
  <c r="G742" i="164" s="1"/>
  <c r="G610" i="152"/>
  <c r="G644" i="152" s="1"/>
  <c r="G560" i="152"/>
  <c r="G594" i="152" s="1"/>
  <c r="G510" i="152"/>
  <c r="G544" i="152" s="1"/>
  <c r="G460" i="152"/>
  <c r="G494" i="152" s="1"/>
  <c r="G410" i="152"/>
  <c r="G444" i="152" s="1"/>
  <c r="G110" i="163"/>
  <c r="G144" i="163" s="1"/>
  <c r="G208" i="141"/>
  <c r="G360" i="152"/>
  <c r="G394" i="152" s="1"/>
  <c r="G491" i="160" l="1"/>
  <c r="G292" i="141"/>
  <c r="G784" i="145"/>
  <c r="G686" i="145"/>
  <c r="G242" i="141"/>
  <c r="G605" i="145"/>
  <c r="G606" i="145"/>
  <c r="G607" i="145"/>
  <c r="G608" i="145"/>
  <c r="G609" i="145"/>
  <c r="G610" i="145"/>
  <c r="G611" i="145"/>
  <c r="G612" i="145"/>
  <c r="G613" i="145"/>
  <c r="G614" i="145"/>
  <c r="G615" i="145"/>
  <c r="G616" i="145"/>
  <c r="G617" i="145"/>
  <c r="G618" i="145"/>
  <c r="G619" i="145"/>
  <c r="G620" i="145"/>
  <c r="G621" i="145"/>
  <c r="G622" i="145"/>
  <c r="G623" i="145"/>
  <c r="G624" i="145"/>
  <c r="G625" i="145"/>
  <c r="G626" i="145"/>
  <c r="G604" i="145"/>
  <c r="A605" i="145"/>
  <c r="A606" i="145" s="1"/>
  <c r="A607" i="145" s="1"/>
  <c r="A608" i="145" s="1"/>
  <c r="A609" i="145" s="1"/>
  <c r="A610" i="145" s="1"/>
  <c r="A611" i="145" s="1"/>
  <c r="A612" i="145" s="1"/>
  <c r="A613" i="145" s="1"/>
  <c r="A614" i="145" s="1"/>
  <c r="A615" i="145" s="1"/>
  <c r="A616" i="145" s="1"/>
  <c r="A617" i="145" s="1"/>
  <c r="A618" i="145" s="1"/>
  <c r="A619" i="145" s="1"/>
  <c r="A620" i="145" s="1"/>
  <c r="A621" i="145" s="1"/>
  <c r="A622" i="145" s="1"/>
  <c r="A623" i="145" s="1"/>
  <c r="A624" i="145" s="1"/>
  <c r="A625" i="145" s="1"/>
  <c r="A626" i="145" s="1"/>
  <c r="G659" i="164"/>
  <c r="G661" i="164"/>
  <c r="G658" i="164"/>
  <c r="G557" i="145"/>
  <c r="G555" i="145"/>
  <c r="G642" i="164"/>
  <c r="G160" i="141"/>
  <c r="G158" i="141"/>
  <c r="G192" i="141" s="1"/>
  <c r="G508" i="145"/>
  <c r="G506" i="145"/>
  <c r="G458" i="145"/>
  <c r="G457" i="145"/>
  <c r="G609" i="146"/>
  <c r="G608" i="146"/>
  <c r="G558" i="164"/>
  <c r="G592" i="164" s="1"/>
  <c r="G508" i="164"/>
  <c r="G542" i="164" s="1"/>
  <c r="G610" i="121"/>
  <c r="G609" i="121"/>
  <c r="G458" i="164"/>
  <c r="G492" i="164" s="1"/>
  <c r="G212" i="153"/>
  <c r="G210" i="153"/>
  <c r="G588" i="145" l="1"/>
  <c r="G637" i="145"/>
  <c r="G692" i="164"/>
  <c r="G539" i="145"/>
  <c r="G490" i="145"/>
  <c r="G642" i="146"/>
  <c r="G643" i="121"/>
  <c r="G244" i="153" l="1"/>
  <c r="G409" i="160"/>
  <c r="G407" i="160"/>
  <c r="G408" i="164"/>
  <c r="G442" i="164" s="1"/>
  <c r="G359" i="160"/>
  <c r="G357" i="160"/>
  <c r="G391" i="160" s="1"/>
  <c r="G558" i="146"/>
  <c r="G358" i="164"/>
  <c r="G392" i="164" s="1"/>
  <c r="G309" i="160"/>
  <c r="G307" i="160"/>
  <c r="G341" i="160" s="1"/>
  <c r="G308" i="164"/>
  <c r="G342" i="164" s="1"/>
  <c r="G310" i="152"/>
  <c r="G344" i="152" s="1"/>
  <c r="G309" i="161"/>
  <c r="G343" i="161" s="1"/>
  <c r="G409" i="145"/>
  <c r="G407" i="145"/>
  <c r="G258" i="164"/>
  <c r="G292" i="164" s="1"/>
  <c r="G560" i="121"/>
  <c r="G559" i="121"/>
  <c r="G208" i="164"/>
  <c r="G242" i="164" s="1"/>
  <c r="G261" i="161"/>
  <c r="G259" i="161"/>
  <c r="G358" i="145"/>
  <c r="G357" i="145"/>
  <c r="G309" i="145"/>
  <c r="G307" i="145"/>
  <c r="I209" i="165"/>
  <c r="G209" i="165"/>
  <c r="G243" i="165" s="1"/>
  <c r="I159" i="165"/>
  <c r="G159" i="165"/>
  <c r="G193" i="165" s="1"/>
  <c r="G441" i="160" l="1"/>
  <c r="G341" i="145"/>
  <c r="G593" i="121"/>
  <c r="G441" i="145"/>
  <c r="G592" i="146"/>
  <c r="G293" i="161"/>
  <c r="G391" i="145"/>
  <c r="G508" i="146" l="1"/>
  <c r="G542" i="146" s="1"/>
  <c r="A409" i="157"/>
  <c r="A410" i="157" s="1"/>
  <c r="A411" i="157" s="1"/>
  <c r="A412" i="157" s="1"/>
  <c r="A413" i="157" s="1"/>
  <c r="A414" i="157" s="1"/>
  <c r="G411" i="157"/>
  <c r="G412" i="157"/>
  <c r="G413" i="157"/>
  <c r="G414" i="157"/>
  <c r="G410" i="157"/>
  <c r="G379" i="157"/>
  <c r="G380" i="157"/>
  <c r="G381" i="157"/>
  <c r="G382" i="157"/>
  <c r="G383" i="157"/>
  <c r="G384" i="157"/>
  <c r="G385" i="157"/>
  <c r="G386" i="157"/>
  <c r="G387" i="157"/>
  <c r="G388" i="157"/>
  <c r="G389" i="157"/>
  <c r="G378" i="157"/>
  <c r="G409" i="157"/>
  <c r="G408" i="157"/>
  <c r="A358" i="157"/>
  <c r="A359" i="157" s="1"/>
  <c r="A360" i="157" s="1"/>
  <c r="A361" i="157" s="1"/>
  <c r="A362" i="157" s="1"/>
  <c r="A363" i="157" s="1"/>
  <c r="A364" i="157" s="1"/>
  <c r="A365" i="157" s="1"/>
  <c r="A366" i="157" s="1"/>
  <c r="A367" i="157" s="1"/>
  <c r="A368" i="157" s="1"/>
  <c r="A369" i="157" s="1"/>
  <c r="A370" i="157" s="1"/>
  <c r="A371" i="157" s="1"/>
  <c r="A372" i="157" s="1"/>
  <c r="A373" i="157" s="1"/>
  <c r="A374" i="157" s="1"/>
  <c r="A375" i="157" s="1"/>
  <c r="A376" i="157" s="1"/>
  <c r="A377" i="157" s="1"/>
  <c r="A378" i="157" s="1"/>
  <c r="A379" i="157" s="1"/>
  <c r="A380" i="157" s="1"/>
  <c r="A381" i="157" s="1"/>
  <c r="A382" i="157" s="1"/>
  <c r="A383" i="157" s="1"/>
  <c r="A384" i="157" s="1"/>
  <c r="A385" i="157" s="1"/>
  <c r="A386" i="157" s="1"/>
  <c r="A387" i="157" s="1"/>
  <c r="A388" i="157" s="1"/>
  <c r="A389" i="157" s="1"/>
  <c r="G358" i="157"/>
  <c r="G359" i="157"/>
  <c r="G360" i="157"/>
  <c r="G361" i="157"/>
  <c r="G362" i="157"/>
  <c r="G363" i="157"/>
  <c r="G364" i="157"/>
  <c r="G365" i="157"/>
  <c r="G366" i="157"/>
  <c r="G367" i="157"/>
  <c r="G368" i="157"/>
  <c r="G369" i="157"/>
  <c r="G370" i="157"/>
  <c r="G371" i="157"/>
  <c r="G372" i="157"/>
  <c r="G373" i="157"/>
  <c r="G374" i="157"/>
  <c r="G375" i="157"/>
  <c r="G376" i="157"/>
  <c r="G377" i="157"/>
  <c r="K414" i="157" l="1"/>
  <c r="K390" i="157"/>
  <c r="L414" i="157" l="1"/>
  <c r="G357" i="157"/>
  <c r="L32" i="144"/>
  <c r="L27" i="144"/>
  <c r="L29" i="144"/>
  <c r="G12" i="144"/>
  <c r="G15" i="144"/>
  <c r="G16" i="144"/>
  <c r="G11" i="144"/>
  <c r="G283" i="145"/>
  <c r="G260" i="145"/>
  <c r="G262" i="145"/>
  <c r="G265" i="145"/>
  <c r="G267" i="145"/>
  <c r="G269" i="145"/>
  <c r="G272" i="145"/>
  <c r="G274" i="145"/>
  <c r="G276" i="145"/>
  <c r="G279" i="145"/>
  <c r="G281" i="145"/>
  <c r="G285" i="145"/>
  <c r="G287" i="145"/>
  <c r="G289" i="145"/>
  <c r="G258" i="145"/>
  <c r="G161" i="153"/>
  <c r="G163" i="153"/>
  <c r="G166" i="153"/>
  <c r="G168" i="153"/>
  <c r="G171" i="153"/>
  <c r="G173" i="153"/>
  <c r="G176" i="153"/>
  <c r="G178" i="153"/>
  <c r="I15" i="144" l="1"/>
  <c r="I16" i="144"/>
  <c r="G194" i="153"/>
  <c r="G391" i="157"/>
  <c r="G407" i="157" s="1"/>
  <c r="G441" i="157" s="1"/>
  <c r="L379" i="157"/>
  <c r="G44" i="144"/>
  <c r="G291" i="145"/>
  <c r="G276" i="160" l="1"/>
  <c r="G274" i="160"/>
  <c r="G272" i="160"/>
  <c r="G269" i="160"/>
  <c r="G267" i="160"/>
  <c r="G265" i="160"/>
  <c r="G262" i="160"/>
  <c r="G260" i="160"/>
  <c r="G258" i="160"/>
  <c r="G221" i="160"/>
  <c r="G223" i="160"/>
  <c r="G225" i="160"/>
  <c r="G210" i="160"/>
  <c r="G212" i="160"/>
  <c r="G214" i="160"/>
  <c r="G216" i="160"/>
  <c r="G218" i="160"/>
  <c r="G208" i="160"/>
  <c r="L124" i="141"/>
  <c r="L123" i="141"/>
  <c r="G108" i="141"/>
  <c r="G142" i="141" s="1"/>
  <c r="L126" i="141" l="1"/>
  <c r="G291" i="160"/>
  <c r="G241" i="160"/>
  <c r="G209" i="145"/>
  <c r="G207" i="145"/>
  <c r="G159" i="145"/>
  <c r="G157" i="145"/>
  <c r="G161" i="164"/>
  <c r="G159" i="164"/>
  <c r="G158" i="164"/>
  <c r="G110" i="145"/>
  <c r="G108" i="145"/>
  <c r="G209" i="161"/>
  <c r="G243" i="161" s="1"/>
  <c r="G191" i="145" l="1"/>
  <c r="G241" i="145"/>
  <c r="G141" i="145"/>
  <c r="G192" i="164"/>
  <c r="G114" i="153" l="1"/>
  <c r="G112" i="153"/>
  <c r="G110" i="153"/>
  <c r="G511" i="121"/>
  <c r="G513" i="121"/>
  <c r="G514" i="121"/>
  <c r="G516" i="121"/>
  <c r="G517" i="121"/>
  <c r="G519" i="121"/>
  <c r="G520" i="121"/>
  <c r="G522" i="121"/>
  <c r="G523" i="121"/>
  <c r="G525" i="121"/>
  <c r="G526" i="121"/>
  <c r="G528" i="121"/>
  <c r="G529" i="121"/>
  <c r="G531" i="121"/>
  <c r="G532" i="121"/>
  <c r="G534" i="121"/>
  <c r="G535" i="121"/>
  <c r="G537" i="121"/>
  <c r="G538" i="121"/>
  <c r="G510" i="121"/>
  <c r="G418" i="121"/>
  <c r="G466" i="121"/>
  <c r="G465" i="121"/>
  <c r="G464" i="121"/>
  <c r="G462" i="121"/>
  <c r="G461" i="121"/>
  <c r="G460" i="121"/>
  <c r="G419" i="121"/>
  <c r="G415" i="121"/>
  <c r="G414" i="121"/>
  <c r="G411" i="121"/>
  <c r="G410" i="121"/>
  <c r="G361" i="121"/>
  <c r="G362" i="121"/>
  <c r="G364" i="121"/>
  <c r="G365" i="121"/>
  <c r="G366" i="121"/>
  <c r="G367" i="121"/>
  <c r="G369" i="121"/>
  <c r="G370" i="121"/>
  <c r="G371" i="121"/>
  <c r="G372" i="121"/>
  <c r="G374" i="121"/>
  <c r="G375" i="121"/>
  <c r="G376" i="121"/>
  <c r="G377" i="121"/>
  <c r="G379" i="121"/>
  <c r="G380" i="121"/>
  <c r="G381" i="121"/>
  <c r="G382" i="121"/>
  <c r="G384" i="121"/>
  <c r="G385" i="121"/>
  <c r="G386" i="121"/>
  <c r="G360" i="121"/>
  <c r="G493" i="121" l="1"/>
  <c r="G443" i="121"/>
  <c r="G144" i="153"/>
  <c r="G543" i="121"/>
  <c r="G393" i="121"/>
  <c r="G63" i="163" l="1"/>
  <c r="G62" i="163"/>
  <c r="G60" i="163"/>
  <c r="G108" i="164"/>
  <c r="G142" i="164" s="1"/>
  <c r="G310" i="121"/>
  <c r="G309" i="121"/>
  <c r="G343" i="121" s="1"/>
  <c r="G59" i="164"/>
  <c r="G92" i="164" s="1"/>
  <c r="G162" i="161"/>
  <c r="G159" i="161"/>
  <c r="G261" i="121"/>
  <c r="G260" i="121"/>
  <c r="G259" i="121"/>
  <c r="G260" i="152"/>
  <c r="G294" i="152" s="1"/>
  <c r="G210" i="121"/>
  <c r="G209" i="121"/>
  <c r="G458" i="146"/>
  <c r="G492" i="146" s="1"/>
  <c r="G109" i="161"/>
  <c r="G143" i="161" s="1"/>
  <c r="G94" i="163" l="1"/>
  <c r="G293" i="121"/>
  <c r="G193" i="161"/>
  <c r="G243" i="121"/>
  <c r="G60" i="153" l="1"/>
  <c r="G94" i="153" s="1"/>
  <c r="G157" i="160"/>
  <c r="G191" i="160" s="1"/>
  <c r="G111" i="160"/>
  <c r="G113" i="160"/>
  <c r="G116" i="160"/>
  <c r="G118" i="160"/>
  <c r="G120" i="160"/>
  <c r="G109" i="160"/>
  <c r="G161" i="121"/>
  <c r="G163" i="121"/>
  <c r="G164" i="121"/>
  <c r="G166" i="121"/>
  <c r="G167" i="121"/>
  <c r="G169" i="121"/>
  <c r="G170" i="121"/>
  <c r="G172" i="121"/>
  <c r="G173" i="121"/>
  <c r="G175" i="121"/>
  <c r="G176" i="121"/>
  <c r="G178" i="121"/>
  <c r="G179" i="121"/>
  <c r="G181" i="121"/>
  <c r="G182" i="121"/>
  <c r="G184" i="121"/>
  <c r="G185" i="121"/>
  <c r="G187" i="121"/>
  <c r="G188" i="121"/>
  <c r="G160" i="121"/>
  <c r="G12" i="153"/>
  <c r="G13" i="153"/>
  <c r="G10" i="153"/>
  <c r="G307" i="157"/>
  <c r="G341" i="157" s="1"/>
  <c r="G257" i="157"/>
  <c r="G290" i="157" s="1"/>
  <c r="G111" i="121"/>
  <c r="G143" i="121" s="1"/>
  <c r="G63" i="121"/>
  <c r="G62" i="121"/>
  <c r="G16" i="121"/>
  <c r="G12" i="121"/>
  <c r="G13" i="163"/>
  <c r="G12" i="163"/>
  <c r="G10" i="163"/>
  <c r="G110" i="165"/>
  <c r="G111" i="165"/>
  <c r="G109" i="165"/>
  <c r="G141" i="160" l="1"/>
  <c r="G44" i="163"/>
  <c r="G44" i="121"/>
  <c r="G193" i="121"/>
  <c r="G93" i="121"/>
  <c r="G143" i="165"/>
  <c r="G61" i="141"/>
  <c r="G59" i="141"/>
  <c r="G59" i="167"/>
  <c r="G58" i="167"/>
  <c r="G210" i="152"/>
  <c r="G244" i="152" s="1"/>
  <c r="G63" i="161"/>
  <c r="G61" i="161"/>
  <c r="G59" i="161"/>
  <c r="G10" i="161"/>
  <c r="G43" i="161" s="1"/>
  <c r="G90" i="167" l="1"/>
  <c r="G92" i="141"/>
  <c r="G93" i="161"/>
  <c r="M168" i="152" l="1"/>
  <c r="M166" i="152"/>
  <c r="G160" i="152"/>
  <c r="M118" i="152"/>
  <c r="M116" i="152"/>
  <c r="G194" i="152" l="1"/>
  <c r="G12" i="141" l="1"/>
  <c r="G10" i="141"/>
  <c r="G110" i="152"/>
  <c r="G144" i="152" s="1"/>
  <c r="G64" i="152"/>
  <c r="G62" i="152"/>
  <c r="G60" i="152"/>
  <c r="G65" i="145"/>
  <c r="G62" i="145"/>
  <c r="G60" i="145"/>
  <c r="G60" i="158"/>
  <c r="G59" i="158"/>
  <c r="G58" i="158"/>
  <c r="G90" i="158" s="1"/>
  <c r="G71" i="160"/>
  <c r="G60" i="160"/>
  <c r="G62" i="160"/>
  <c r="G63" i="160"/>
  <c r="G66" i="160"/>
  <c r="G67" i="160"/>
  <c r="G69" i="160"/>
  <c r="G410" i="146"/>
  <c r="G411" i="146"/>
  <c r="G413" i="146"/>
  <c r="G414" i="146"/>
  <c r="G415" i="146"/>
  <c r="G409" i="146"/>
  <c r="G358" i="146"/>
  <c r="G392" i="146" s="1"/>
  <c r="G308" i="146"/>
  <c r="G259" i="146"/>
  <c r="G260" i="146"/>
  <c r="G258" i="146"/>
  <c r="M42" i="4"/>
  <c r="M41" i="4"/>
  <c r="M40" i="4"/>
  <c r="G10" i="4"/>
  <c r="G157" i="140"/>
  <c r="G191" i="140" s="1"/>
  <c r="G108" i="140"/>
  <c r="G141" i="140" s="1"/>
  <c r="G59" i="140"/>
  <c r="G92" i="140" s="1"/>
  <c r="G10" i="140"/>
  <c r="G43" i="140" s="1"/>
  <c r="G59" i="165"/>
  <c r="G93" i="165" s="1"/>
  <c r="M44" i="4" l="1"/>
  <c r="G44" i="4"/>
  <c r="G342" i="146"/>
  <c r="G292" i="146"/>
  <c r="G92" i="145"/>
  <c r="G94" i="152"/>
  <c r="G92" i="160"/>
  <c r="G442" i="146"/>
  <c r="G208" i="146" l="1"/>
  <c r="G242" i="146" s="1"/>
  <c r="G110" i="131"/>
  <c r="G144" i="131" s="1"/>
  <c r="G60" i="131"/>
  <c r="G94" i="131" s="1"/>
  <c r="G13" i="160"/>
  <c r="G10" i="160"/>
  <c r="G207" i="157"/>
  <c r="G241" i="157" s="1"/>
  <c r="G43" i="160" l="1"/>
  <c r="K30" i="158" l="1"/>
  <c r="G157" i="157"/>
  <c r="G191" i="157" s="1"/>
  <c r="G108" i="157"/>
  <c r="G141" i="157" s="1"/>
  <c r="G61" i="157"/>
  <c r="G59" i="157"/>
  <c r="G10" i="157"/>
  <c r="G92" i="157" l="1"/>
  <c r="G159" i="146" l="1"/>
  <c r="G161" i="146"/>
  <c r="G158" i="146"/>
  <c r="G108" i="146"/>
  <c r="G142" i="146" s="1"/>
  <c r="I41" i="164"/>
  <c r="G60" i="146"/>
  <c r="G59" i="146"/>
  <c r="G191" i="146" l="1"/>
  <c r="G92" i="146"/>
  <c r="O296" i="179"/>
  <c r="G40" i="29"/>
  <c r="G11" i="122"/>
  <c r="G12" i="122"/>
  <c r="G13" i="122"/>
  <c r="G16" i="122"/>
  <c r="G17" i="122"/>
  <c r="G18" i="122"/>
  <c r="G20" i="122"/>
  <c r="G21" i="122"/>
  <c r="G22" i="122"/>
  <c r="G10" i="145"/>
  <c r="G12" i="145"/>
  <c r="G14" i="145"/>
  <c r="G10" i="142"/>
  <c r="G40" i="142" s="1"/>
  <c r="G10" i="143"/>
  <c r="G40" i="143" s="1"/>
  <c r="G11" i="149"/>
  <c r="G12" i="149"/>
  <c r="G10" i="146"/>
  <c r="G10" i="148"/>
  <c r="G43" i="148" s="1"/>
  <c r="G10" i="152"/>
  <c r="G44" i="152" s="1"/>
  <c r="G11" i="153"/>
  <c r="G44" i="153" s="1"/>
  <c r="G43" i="157"/>
  <c r="G10" i="159"/>
  <c r="G10" i="150"/>
  <c r="G40" i="150" s="1"/>
  <c r="G10" i="158"/>
  <c r="G11" i="158"/>
  <c r="G12" i="158"/>
  <c r="G10" i="162"/>
  <c r="G40" i="162" s="1"/>
  <c r="G10" i="164"/>
  <c r="G43" i="164" s="1"/>
  <c r="G10" i="165"/>
  <c r="G10" i="166"/>
  <c r="G42" i="166" s="1"/>
  <c r="G11" i="168"/>
  <c r="G10" i="125"/>
  <c r="G12" i="125"/>
  <c r="G40" i="124"/>
  <c r="G10" i="167"/>
  <c r="G11" i="167"/>
  <c r="G10" i="131"/>
  <c r="G44" i="131" s="1"/>
  <c r="G10" i="129"/>
  <c r="G42" i="129" s="1"/>
  <c r="G10" i="134"/>
  <c r="G42" i="134" s="1"/>
  <c r="G10" i="135"/>
  <c r="G42" i="135" s="1"/>
  <c r="G10" i="136"/>
  <c r="G44" i="136" s="1"/>
  <c r="G10" i="137"/>
  <c r="G44" i="137" s="1"/>
  <c r="G10" i="138"/>
  <c r="G40" i="138" s="1"/>
  <c r="G10" i="181"/>
  <c r="G43" i="181" s="1"/>
  <c r="G42" i="168" l="1"/>
  <c r="G42" i="169"/>
  <c r="G42" i="167"/>
  <c r="G43" i="141"/>
  <c r="AJ25" i="157"/>
  <c r="AJ39" i="157" s="1"/>
  <c r="G40" i="154"/>
  <c r="G42" i="156"/>
  <c r="G42" i="158"/>
  <c r="G44" i="125"/>
  <c r="G42" i="126"/>
  <c r="G43" i="146"/>
  <c r="G44" i="159"/>
  <c r="G43" i="165"/>
  <c r="G41" i="122"/>
  <c r="G43" i="149"/>
  <c r="G43" i="145"/>
  <c r="G108" i="173"/>
  <c r="G142" i="173" s="1"/>
  <c r="G158" i="173" s="1"/>
  <c r="G192" i="173" s="1"/>
  <c r="G208" i="173" s="1"/>
  <c r="G242" i="173" s="1"/>
  <c r="G258" i="173" s="1"/>
  <c r="G291" i="173" s="1"/>
  <c r="G307" i="173" s="1"/>
  <c r="G341" i="173" s="1"/>
  <c r="G357" i="173" s="1"/>
  <c r="G391" i="173" s="1"/>
  <c r="G407" i="173" s="1"/>
  <c r="G440" i="173" s="1"/>
</calcChain>
</file>

<file path=xl/sharedStrings.xml><?xml version="1.0" encoding="utf-8"?>
<sst xmlns="http://schemas.openxmlformats.org/spreadsheetml/2006/main" count="19315" uniqueCount="3578">
  <si>
    <t>Governor</t>
  </si>
  <si>
    <t xml:space="preserve">Department </t>
  </si>
  <si>
    <t xml:space="preserve">     Library      </t>
  </si>
  <si>
    <t>PR No. ______________</t>
  </si>
  <si>
    <t>Provincial Budget Officer</t>
  </si>
  <si>
    <t xml:space="preserve">  Office of the Provincial Governor  </t>
  </si>
  <si>
    <t xml:space="preserve">   Office of the Provincial Prosecutor   </t>
  </si>
  <si>
    <t xml:space="preserve"> Provincial Health Office  </t>
  </si>
  <si>
    <t xml:space="preserve"> </t>
  </si>
  <si>
    <t xml:space="preserve">   Provincial Information Office    </t>
  </si>
  <si>
    <t>CELIA L. ATIENZA</t>
  </si>
  <si>
    <t>Requested by:</t>
  </si>
  <si>
    <t>Approved by:</t>
  </si>
  <si>
    <t>General Services Office</t>
  </si>
  <si>
    <t>Board Member</t>
  </si>
  <si>
    <t>GRAND TOTAL- P</t>
  </si>
  <si>
    <t xml:space="preserve">  Provincial Planning &amp; Development Office  </t>
  </si>
  <si>
    <t>Signature:</t>
  </si>
  <si>
    <t xml:space="preserve">   Provincial Veterinary Office  </t>
  </si>
  <si>
    <t xml:space="preserve">   Provincial Agriculture Office   </t>
  </si>
  <si>
    <t>Page 1 of 1</t>
  </si>
  <si>
    <t xml:space="preserve">  Provincial Assessors Office  </t>
  </si>
  <si>
    <t xml:space="preserve">   Provincial School Board  </t>
  </si>
  <si>
    <t>Stock No.</t>
  </si>
  <si>
    <t xml:space="preserve">   Bids &amp; Awards Committee  </t>
  </si>
  <si>
    <t xml:space="preserve">   Batangas Provincial Jail   </t>
  </si>
  <si>
    <t xml:space="preserve">  Batangas Provincial Livelihood Center </t>
  </si>
  <si>
    <t xml:space="preserve">    PG-ENRO   </t>
  </si>
  <si>
    <t xml:space="preserve">   Provincial Accounting Office   </t>
  </si>
  <si>
    <t>PURCHASE REQUEST</t>
  </si>
  <si>
    <t xml:space="preserve">   Provincial Budget Office  </t>
  </si>
  <si>
    <t>VICTORIA B. CULIAT</t>
  </si>
  <si>
    <t>Sangguniang Panlalawigan</t>
  </si>
  <si>
    <t>Vice Governor</t>
  </si>
  <si>
    <t>Unit of Issue</t>
  </si>
  <si>
    <t>Total Cost</t>
  </si>
  <si>
    <t xml:space="preserve">  Provincial Social Welfare &amp; Development Office  </t>
  </si>
  <si>
    <t>Section:______________________________</t>
  </si>
  <si>
    <t>Printed Name:</t>
  </si>
  <si>
    <t>Designation:</t>
  </si>
  <si>
    <t xml:space="preserve">Date: ________ </t>
  </si>
  <si>
    <t xml:space="preserve">Department  </t>
  </si>
  <si>
    <r>
      <t xml:space="preserve">Department     </t>
    </r>
    <r>
      <rPr>
        <u/>
        <sz val="10"/>
        <rFont val="Arial"/>
        <family val="2"/>
      </rPr>
      <t xml:space="preserve">  Provincial Treasurer's Office    </t>
    </r>
  </si>
  <si>
    <t>Office for Legal Services</t>
  </si>
  <si>
    <t>Department Head</t>
  </si>
  <si>
    <t>Provincial Human Resource Management Office</t>
  </si>
  <si>
    <t>SAI No._________</t>
  </si>
  <si>
    <t>Item No.</t>
  </si>
  <si>
    <t>PROVINCIAL GOVERNMENT OF BATANGAS</t>
  </si>
  <si>
    <t>LGU</t>
  </si>
  <si>
    <t>Date:_________</t>
  </si>
  <si>
    <t xml:space="preserve">  Office of the Provincial Administrator  </t>
  </si>
  <si>
    <t xml:space="preserve">  Provincial Auditor's Office  </t>
  </si>
  <si>
    <t>Item Description</t>
  </si>
  <si>
    <t>Qty.</t>
  </si>
  <si>
    <t>Unit Cost</t>
  </si>
  <si>
    <t xml:space="preserve">  RTC - Branch 5 - Lemery    </t>
  </si>
  <si>
    <t xml:space="preserve">Department    </t>
  </si>
  <si>
    <t>MARITES S. CASTILLO</t>
  </si>
  <si>
    <r>
      <t xml:space="preserve">Department     </t>
    </r>
    <r>
      <rPr>
        <u/>
        <sz val="10"/>
        <rFont val="Arial"/>
        <family val="2"/>
      </rPr>
      <t xml:space="preserve"> </t>
    </r>
  </si>
  <si>
    <r>
      <t>PR No.</t>
    </r>
    <r>
      <rPr>
        <u/>
        <sz val="10"/>
        <rFont val="Arial"/>
        <family val="2"/>
      </rPr>
      <t xml:space="preserve">   </t>
    </r>
  </si>
  <si>
    <t xml:space="preserve">  PDRRMO  </t>
  </si>
  <si>
    <t>Date:</t>
  </si>
  <si>
    <t xml:space="preserve">  Commission on Elections  </t>
  </si>
  <si>
    <r>
      <t>PR No.</t>
    </r>
    <r>
      <rPr>
        <u/>
        <sz val="10"/>
        <rFont val="Arial"/>
        <family val="2"/>
      </rPr>
      <t xml:space="preserve">  </t>
    </r>
  </si>
  <si>
    <t xml:space="preserve">      PPOSD      </t>
  </si>
  <si>
    <t>PCLEDO</t>
  </si>
  <si>
    <t xml:space="preserve">Purpose/Remarks : </t>
  </si>
  <si>
    <r>
      <t xml:space="preserve">PR No. </t>
    </r>
    <r>
      <rPr>
        <u/>
        <sz val="10"/>
        <rFont val="Arial"/>
        <family val="2"/>
      </rPr>
      <t xml:space="preserve"> </t>
    </r>
  </si>
  <si>
    <t>HERMILANDO I. MANDANAS</t>
  </si>
  <si>
    <r>
      <t xml:space="preserve">Date: </t>
    </r>
    <r>
      <rPr>
        <u/>
        <sz val="10"/>
        <rFont val="Arial"/>
        <family val="2"/>
      </rPr>
      <t xml:space="preserve"> </t>
    </r>
  </si>
  <si>
    <t>OVG</t>
  </si>
  <si>
    <t>SP</t>
  </si>
  <si>
    <t>ACCOUNTING</t>
  </si>
  <si>
    <t>ADMIN</t>
  </si>
  <si>
    <t>ADMIN - HOUSING</t>
  </si>
  <si>
    <t>AGRI</t>
  </si>
  <si>
    <t>ASSESSOR</t>
  </si>
  <si>
    <t>BAC</t>
  </si>
  <si>
    <t>BUDGET</t>
  </si>
  <si>
    <t>COA</t>
  </si>
  <si>
    <t>ENRO</t>
  </si>
  <si>
    <t>GSO Maintenance</t>
  </si>
  <si>
    <t>GSO</t>
  </si>
  <si>
    <t>HRMO</t>
  </si>
  <si>
    <t>JAIL</t>
  </si>
  <si>
    <t>LEGAL</t>
  </si>
  <si>
    <t>LIBRARY</t>
  </si>
  <si>
    <t>OPG</t>
  </si>
  <si>
    <t>PACD</t>
  </si>
  <si>
    <t>PDRRMO</t>
  </si>
  <si>
    <t>PEO</t>
  </si>
  <si>
    <t>PHO</t>
  </si>
  <si>
    <t>PIO</t>
  </si>
  <si>
    <t>PLANNING</t>
  </si>
  <si>
    <t>PPOSD</t>
  </si>
  <si>
    <t>PSB</t>
  </si>
  <si>
    <t>PROSEC.</t>
  </si>
  <si>
    <t>PSWDO</t>
  </si>
  <si>
    <t>PTO</t>
  </si>
  <si>
    <t>TOURISM</t>
  </si>
  <si>
    <t>VET</t>
  </si>
  <si>
    <t>BM AMBIDA</t>
  </si>
  <si>
    <t>BM AFRICA</t>
  </si>
  <si>
    <t>BM BALBA</t>
  </si>
  <si>
    <t>BM BAUSAS</t>
  </si>
  <si>
    <t>BM BLANCO</t>
  </si>
  <si>
    <t>BM GOZOS</t>
  </si>
  <si>
    <t>BM SANCHEZ</t>
  </si>
  <si>
    <t>BM RIVERA</t>
  </si>
  <si>
    <t>BM CORONA</t>
  </si>
  <si>
    <t>BM MALIKSI</t>
  </si>
  <si>
    <t>BM MAGBOO</t>
  </si>
  <si>
    <t>BM ROSALES</t>
  </si>
  <si>
    <t>BM DE VEYRA</t>
  </si>
  <si>
    <t>BM LOPEZ</t>
  </si>
  <si>
    <t>RD</t>
  </si>
  <si>
    <t>3rd quarter</t>
  </si>
  <si>
    <t>Register of Deeds III</t>
  </si>
  <si>
    <t>OFFICES</t>
  </si>
  <si>
    <t>PPMP</t>
  </si>
  <si>
    <t>PHRMO</t>
  </si>
  <si>
    <t>PROSEC</t>
  </si>
  <si>
    <t>ACCTNG</t>
  </si>
  <si>
    <t>GSO MAINT.</t>
  </si>
  <si>
    <t>PPDO</t>
  </si>
  <si>
    <t>PACD - YSD</t>
  </si>
  <si>
    <t>PACD - PESO</t>
  </si>
  <si>
    <t>Office Supplies</t>
  </si>
  <si>
    <t>Janitorial</t>
  </si>
  <si>
    <t xml:space="preserve">    Registry of Deeds   </t>
  </si>
  <si>
    <t>ATTY. EVA GAINZA VALENTON</t>
  </si>
  <si>
    <t>2nd &amp;3rd</t>
  </si>
  <si>
    <t>3rd</t>
  </si>
  <si>
    <t>OTHER SUPPLIES</t>
  </si>
  <si>
    <t>OFFICE SUPPLIES</t>
  </si>
  <si>
    <t>ARIES EMMANUEL D. MENDOZA</t>
  </si>
  <si>
    <t>FREDESVINDA R. MENDOZA, RSW</t>
  </si>
  <si>
    <t>RODOLFO M. BALBA</t>
  </si>
  <si>
    <r>
      <t xml:space="preserve">Purpose/Remarks : </t>
    </r>
    <r>
      <rPr>
        <u/>
        <sz val="10"/>
        <rFont val="Arial"/>
        <family val="2"/>
      </rPr>
      <t xml:space="preserve">For office use. </t>
    </r>
  </si>
  <si>
    <r>
      <t xml:space="preserve">PR No. </t>
    </r>
    <r>
      <rPr>
        <u/>
        <sz val="10"/>
        <rFont val="Arial"/>
        <family val="2"/>
      </rPr>
      <t>0</t>
    </r>
  </si>
  <si>
    <r>
      <t xml:space="preserve">Date: </t>
    </r>
    <r>
      <rPr>
        <u/>
        <sz val="10"/>
        <rFont val="Arial"/>
        <family val="2"/>
      </rPr>
      <t>0</t>
    </r>
  </si>
  <si>
    <t>VILMA SANTOS - RECTO</t>
  </si>
  <si>
    <t>ARMIE MARIE C. BAUSAS</t>
  </si>
  <si>
    <t>VOLTAIRE AEDRIAN P. PUA</t>
  </si>
  <si>
    <t>FERNANDO R. ROCAFORT</t>
  </si>
  <si>
    <t>MELVIN V. VIDAL</t>
  </si>
  <si>
    <t>GERALD G. ALDAY, MD., MPH, FPSMSI</t>
  </si>
  <si>
    <t>OIC - PHO</t>
  </si>
  <si>
    <t>pack</t>
  </si>
  <si>
    <t xml:space="preserve">   </t>
  </si>
  <si>
    <t xml:space="preserve">     </t>
  </si>
  <si>
    <t xml:space="preserve">  </t>
  </si>
  <si>
    <t>piece</t>
  </si>
  <si>
    <t>Loaf Bread 450g</t>
  </si>
  <si>
    <t>Mint Candy Barley 50's</t>
  </si>
  <si>
    <t>Fresh Egg Medium 12's</t>
  </si>
  <si>
    <t>Mayonnaise 3.5L</t>
  </si>
  <si>
    <t>SUB TOTAL- P</t>
  </si>
  <si>
    <t xml:space="preserve">                                 May 09-10, 2025.</t>
  </si>
  <si>
    <t>balance forwarded</t>
  </si>
  <si>
    <t>Crackers 25g</t>
  </si>
  <si>
    <t>Crackers 30gx10</t>
  </si>
  <si>
    <t>Crackers Plain 10's</t>
  </si>
  <si>
    <t>Chicken Spread 470ml</t>
  </si>
  <si>
    <t>Sandwich Spread 470ml</t>
  </si>
  <si>
    <t>Chicken Spread 220ml</t>
  </si>
  <si>
    <t xml:space="preserve">Ham Spread </t>
  </si>
  <si>
    <t>Kapeng Barako</t>
  </si>
  <si>
    <t xml:space="preserve">Loaf Bread  </t>
  </si>
  <si>
    <t>White Pepper Ground 31g</t>
  </si>
  <si>
    <t>Garlic Powder</t>
  </si>
  <si>
    <t>Premium Raw Sugar 1kl</t>
  </si>
  <si>
    <t>Cheese Crackers 12pcs</t>
  </si>
  <si>
    <t>Plain Crackers 10pcs</t>
  </si>
  <si>
    <t>Fresh Eggs Medium 12pcs.</t>
  </si>
  <si>
    <t>gallon</t>
  </si>
  <si>
    <t>box</t>
  </si>
  <si>
    <t>tube</t>
  </si>
  <si>
    <t>sachet</t>
  </si>
  <si>
    <t xml:space="preserve">Page 1 of 3 </t>
  </si>
  <si>
    <t xml:space="preserve">Page 2 of 3 </t>
  </si>
  <si>
    <t xml:space="preserve">Page 3 of 3 </t>
  </si>
  <si>
    <r>
      <t xml:space="preserve">Purpose/Remarks : </t>
    </r>
    <r>
      <rPr>
        <u/>
        <sz val="10"/>
        <rFont val="Arial"/>
        <family val="2"/>
      </rPr>
      <t>For use of Dr. Ernesto H. Malabanan Memorial Hospital.</t>
    </r>
  </si>
  <si>
    <r>
      <t xml:space="preserve">Purpose/Remarks : </t>
    </r>
    <r>
      <rPr>
        <u/>
        <sz val="10"/>
        <rFont val="Arial"/>
        <family val="2"/>
      </rPr>
      <t>For use of Mahal na Virgen Maria Sto. Rosario District Hospital.</t>
    </r>
  </si>
  <si>
    <t>bottle</t>
  </si>
  <si>
    <t>capsule</t>
  </si>
  <si>
    <t>tablet</t>
  </si>
  <si>
    <r>
      <t xml:space="preserve">Purpose/Remarks : </t>
    </r>
    <r>
      <rPr>
        <u/>
        <sz val="10"/>
        <rFont val="Arial"/>
        <family val="2"/>
      </rPr>
      <t>For use of Batangas Provincial Hospital.</t>
    </r>
  </si>
  <si>
    <t xml:space="preserve">PR No. </t>
  </si>
  <si>
    <t>Date:_______</t>
  </si>
  <si>
    <t>Patola</t>
  </si>
  <si>
    <t>Kamote</t>
  </si>
  <si>
    <t>Bawang</t>
  </si>
  <si>
    <t>Sili</t>
  </si>
  <si>
    <t>Laurel</t>
  </si>
  <si>
    <t>Parsley</t>
  </si>
  <si>
    <t>Cheese Single 12's 250g</t>
  </si>
  <si>
    <t>Wheat Bread</t>
  </si>
  <si>
    <t>Misua 250g</t>
  </si>
  <si>
    <t>Control No:</t>
  </si>
  <si>
    <t>Office:</t>
  </si>
  <si>
    <t>PR No.:</t>
  </si>
  <si>
    <r>
      <rPr>
        <sz val="10"/>
        <rFont val="Arial"/>
        <family val="2"/>
      </rPr>
      <t xml:space="preserve">                     </t>
    </r>
    <r>
      <rPr>
        <u/>
        <sz val="11"/>
        <color indexed="8"/>
        <rFont val="Calibri"/>
        <family val="2"/>
      </rPr>
      <t>Office of the Provincial Governor</t>
    </r>
  </si>
  <si>
    <t>Emanating Department</t>
  </si>
  <si>
    <t>Province of Batangas</t>
  </si>
  <si>
    <t>The Provincial Department Head</t>
  </si>
  <si>
    <t>Provincial Capitol</t>
  </si>
  <si>
    <t>Batangas</t>
  </si>
  <si>
    <t>Sir,</t>
  </si>
  <si>
    <t>May I kindly request for the purchase of supplies and materials needed by our department</t>
  </si>
  <si>
    <t xml:space="preserve">for the </t>
  </si>
  <si>
    <t xml:space="preserve">quarter/month of </t>
  </si>
  <si>
    <t>July</t>
  </si>
  <si>
    <t>, 2025 to wit:</t>
  </si>
  <si>
    <t>Qty</t>
  </si>
  <si>
    <t>PARTICULARS/ITEM DESCRIPTION</t>
  </si>
  <si>
    <t>1 pack</t>
  </si>
  <si>
    <t>3 pack</t>
  </si>
  <si>
    <t>2 pack</t>
  </si>
  <si>
    <t>1 piece</t>
  </si>
  <si>
    <t>3 piece</t>
  </si>
  <si>
    <t>2 piece</t>
  </si>
  <si>
    <t>Charge To:</t>
  </si>
  <si>
    <t>Account:</t>
  </si>
  <si>
    <t>5 02 99 030 - Representation Expense</t>
  </si>
  <si>
    <t>Purpose:</t>
  </si>
  <si>
    <t>07/14/2025</t>
  </si>
  <si>
    <t>22 piece</t>
  </si>
  <si>
    <t>3 kilo</t>
  </si>
  <si>
    <t>1 tub</t>
  </si>
  <si>
    <t>To cover expenses on foods served to visitors and various meetings on July 7 &amp; 10, 2025.</t>
  </si>
  <si>
    <t>OPG - 90102</t>
  </si>
  <si>
    <t>Boneless Bangus</t>
  </si>
  <si>
    <t>Pakwan</t>
  </si>
  <si>
    <t>Lychee</t>
  </si>
  <si>
    <t>Pinya</t>
  </si>
  <si>
    <t>Rice</t>
  </si>
  <si>
    <t>Canola Oil 1L</t>
  </si>
  <si>
    <t>Whole Chicken</t>
  </si>
  <si>
    <t>Adobo Cut</t>
  </si>
  <si>
    <t>Lean Ground Pork</t>
  </si>
  <si>
    <t>pax</t>
  </si>
  <si>
    <t>unit</t>
  </si>
  <si>
    <r>
      <t xml:space="preserve">Purpose/Remarks : </t>
    </r>
    <r>
      <rPr>
        <u/>
        <sz val="10"/>
        <rFont val="Arial"/>
        <family val="2"/>
      </rPr>
      <t>For use of Martin Marasigan District Hospital.</t>
    </r>
  </si>
  <si>
    <t>PGDH - PPDO</t>
  </si>
  <si>
    <t>Dari Creme Spreadable 200g</t>
  </si>
  <si>
    <t>Fresh Eggs Medium 12's</t>
  </si>
  <si>
    <t xml:space="preserve">Crackers 25g </t>
  </si>
  <si>
    <t>Onion Chives Flavored Crackers</t>
  </si>
  <si>
    <t>Coffee Candy 50's</t>
  </si>
  <si>
    <t>Instant Coffee Cappucino 50's</t>
  </si>
  <si>
    <t>Mint Candy Apple Peach 150g</t>
  </si>
  <si>
    <t>Mint Candy Calamansi</t>
  </si>
  <si>
    <t>Candy Caramel Sweets Chocolate Filled</t>
  </si>
  <si>
    <t>Saging</t>
  </si>
  <si>
    <t>Cheese Slices 200g</t>
  </si>
  <si>
    <t>Sweet Pickle Relish 270g</t>
  </si>
  <si>
    <t>Loaf Bread</t>
  </si>
  <si>
    <t>To cover expenses on foods served to visitors and various meetings on July 13, 2025.</t>
  </si>
  <si>
    <t>0.08 kg</t>
  </si>
  <si>
    <t>9 piece</t>
  </si>
  <si>
    <t>2 bottle</t>
  </si>
  <si>
    <t xml:space="preserve"> 3.235 kg</t>
  </si>
  <si>
    <t>3.145 kg</t>
  </si>
  <si>
    <t>6.02 kg</t>
  </si>
  <si>
    <t>2 kg</t>
  </si>
  <si>
    <t>1 kilo</t>
  </si>
  <si>
    <t>15 kg</t>
  </si>
  <si>
    <t>Candy Coffee Flavor 50's</t>
  </si>
  <si>
    <t>Candy Cappuccino Flavor 50's</t>
  </si>
  <si>
    <t>DR. MARIVIC P. ESMAS, EnP.RCh</t>
  </si>
  <si>
    <t>OIC - ENRO</t>
  </si>
  <si>
    <t>13 kilo</t>
  </si>
  <si>
    <t>2 kilo</t>
  </si>
  <si>
    <t>1 bottle</t>
  </si>
  <si>
    <t>42 piece</t>
  </si>
  <si>
    <t>To cover expenses on foods served to visitors and various meetings on July 13-14, 2025.</t>
  </si>
  <si>
    <t>ream</t>
  </si>
  <si>
    <t>set</t>
  </si>
  <si>
    <r>
      <t xml:space="preserve">Purpose/Remarks : </t>
    </r>
    <r>
      <rPr>
        <u/>
        <sz val="10"/>
        <rFont val="Arial"/>
        <family val="2"/>
      </rPr>
      <t>For use of Apacible Memorial District Hospital.</t>
    </r>
  </si>
  <si>
    <t>Kangkong</t>
  </si>
  <si>
    <t>Tofu</t>
  </si>
  <si>
    <t>Chicken Cubes</t>
  </si>
  <si>
    <t>Pork</t>
  </si>
  <si>
    <t xml:space="preserve">Mushrooms </t>
  </si>
  <si>
    <t>Liverspread Big</t>
  </si>
  <si>
    <t>Tomato Paste</t>
  </si>
  <si>
    <t>Tomato Sauce</t>
  </si>
  <si>
    <t>Green Peas Big</t>
  </si>
  <si>
    <t>Cream of Mushroom</t>
  </si>
  <si>
    <t>Pickles</t>
  </si>
  <si>
    <t>Ketchup</t>
  </si>
  <si>
    <t xml:space="preserve">Paminta Durog </t>
  </si>
  <si>
    <t>Hotdog</t>
  </si>
  <si>
    <t xml:space="preserve">Chicken  </t>
  </si>
  <si>
    <t>Ground Pork 500g</t>
  </si>
  <si>
    <t>Mustard 200g</t>
  </si>
  <si>
    <t>Fish Fillet</t>
  </si>
  <si>
    <t>NELSON M. BAYANI</t>
  </si>
  <si>
    <t>Secretary - Sangguniang Panlalawigan</t>
  </si>
  <si>
    <t>Bottled Water</t>
  </si>
  <si>
    <r>
      <t xml:space="preserve">Purpose/Remarks : </t>
    </r>
    <r>
      <rPr>
        <u/>
        <sz val="10"/>
        <rFont val="Arial"/>
        <family val="2"/>
      </rPr>
      <t>For use of San Jose District Hospital.</t>
    </r>
  </si>
  <si>
    <t>NOEL R. ROCAFORT</t>
  </si>
  <si>
    <t>PGDH-GSO</t>
  </si>
  <si>
    <t xml:space="preserve">Lunch: 3 Viands with Rice, Dessert and </t>
  </si>
  <si>
    <t>Lunch: 3 Viands with Rice, Dessert and Drinks</t>
  </si>
  <si>
    <t>JOSELITO S. JAVIER, REA</t>
  </si>
  <si>
    <t>SARAH MARIE D. ADOLFO</t>
  </si>
  <si>
    <t>Executive Assistant IV</t>
  </si>
  <si>
    <t>PM Snacks: Pasta and Drinks</t>
  </si>
  <si>
    <t>To cover expenses on foods served to visitors and various meetings on July 16-17, 2025.</t>
  </si>
  <si>
    <t>August</t>
  </si>
  <si>
    <t xml:space="preserve"> 10 bundle</t>
  </si>
  <si>
    <t>5 piece</t>
  </si>
  <si>
    <t>11 kilo</t>
  </si>
  <si>
    <t>4.25 kg</t>
  </si>
  <si>
    <t>14 kilo</t>
  </si>
  <si>
    <t>1 piling</t>
  </si>
  <si>
    <t>1 can</t>
  </si>
  <si>
    <t>1 liter</t>
  </si>
  <si>
    <t>8.6 kilo</t>
  </si>
  <si>
    <t>4 pack</t>
  </si>
  <si>
    <t>4 piece</t>
  </si>
  <si>
    <t>AM Snacks: Sandwich and Drinks</t>
  </si>
  <si>
    <t>Lunch: 2 Viands with Rice, Dessert and Drinks</t>
  </si>
  <si>
    <t>ATTY. JOEL L. MONTEALTO</t>
  </si>
  <si>
    <t>Provincial Administrator</t>
  </si>
  <si>
    <t>Snacks</t>
  </si>
  <si>
    <t>Heavy Snacks</t>
  </si>
  <si>
    <t>Pasta / Noodles</t>
  </si>
  <si>
    <t>Lunch</t>
  </si>
  <si>
    <t>Dessert</t>
  </si>
  <si>
    <t>3 Viands</t>
  </si>
  <si>
    <t>Page 1 of 2</t>
  </si>
  <si>
    <t>Page 2 of 2</t>
  </si>
  <si>
    <t>FE D. FERNANDEZ</t>
  </si>
  <si>
    <t>OIC - PDRRMO</t>
  </si>
  <si>
    <t>Bottled Juice</t>
  </si>
  <si>
    <t xml:space="preserve">Lunch: 2 Viands with Rice, Dessert and </t>
  </si>
  <si>
    <t>Sandwich / Various Delicacies</t>
  </si>
  <si>
    <t>Bread / Sandwiches</t>
  </si>
  <si>
    <t>Drinks / Bottled Water</t>
  </si>
  <si>
    <t>OSCAR M. GOZOS II</t>
  </si>
  <si>
    <t xml:space="preserve">2 Viands </t>
  </si>
  <si>
    <t>5,009 pax/pack</t>
  </si>
  <si>
    <t>5,350 pax / pack</t>
  </si>
  <si>
    <t>5,009 pax / pack</t>
  </si>
  <si>
    <t>Lunch: 2 Viands with Rice, Dessert and</t>
  </si>
  <si>
    <t>and Drinks</t>
  </si>
  <si>
    <t>Unit</t>
  </si>
  <si>
    <t>Product Description</t>
  </si>
  <si>
    <t>Estimated Price</t>
  </si>
  <si>
    <t>0.9% Sodium Chloride (PNSS) for IV Infusion, 1L (brand: None)</t>
  </si>
  <si>
    <t>0.9% Sodium Chloride (PNSS), 500 mL (brand: None)</t>
  </si>
  <si>
    <t xml:space="preserve">0.9% Sodium Chloride Solution (PNSS) for IV Infusion , 50mL </t>
  </si>
  <si>
    <t>10% Dextrose in Water (D10W), 500 mL  (brand: None)</t>
  </si>
  <si>
    <t>5% Dextrose in 0.3% Sodium Chloride (D5 0.3 NaCl), 1 L  (brand: None)</t>
  </si>
  <si>
    <t xml:space="preserve">5% Dextrose in 0.3% Sodium Chloride (D5 0.3 NaCl), 500 mL </t>
  </si>
  <si>
    <t xml:space="preserve">5% Dextrose in 0.9% Sodium Chloride (D5 0.9 NaCl), 1 L </t>
  </si>
  <si>
    <t>5% Dextrose in Lactated Ringer’s (D5LR), 1 L  (brand: None)</t>
  </si>
  <si>
    <t>5% Dextrose in Lactated Ringer’s (D5LR), 500 mL  (brand: None)</t>
  </si>
  <si>
    <t>5% Dextrose in Water (D5W), 1 L  (brand: None)</t>
  </si>
  <si>
    <t>5% Dextrose in Water (D5W), 250 mL (brand: None)</t>
  </si>
  <si>
    <t>5% Dextrose in Water (D5W), 500 mL  (brand: None)</t>
  </si>
  <si>
    <t>6% Dextran 70 in 5% Dextrose, 500 mL (brand: None)</t>
  </si>
  <si>
    <t>ampule</t>
  </si>
  <si>
    <t>Tetanus Antitoxin 1500 IU</t>
  </si>
  <si>
    <t>Tetanus Antitoxin 3000 IU</t>
  </si>
  <si>
    <t>Tetanus Toxoid 0.5ml</t>
  </si>
  <si>
    <t>Acetylcysteine 100mg/ml Solution for Injection 3ml</t>
  </si>
  <si>
    <t>Acetylcysteine 200 mg</t>
  </si>
  <si>
    <t>Acetylcysteine 600 mg</t>
  </si>
  <si>
    <t>Acyclovir 200mg</t>
  </si>
  <si>
    <t xml:space="preserve">Acyclovir 800 mg </t>
  </si>
  <si>
    <t>vial</t>
  </si>
  <si>
    <t xml:space="preserve">Adenosine 3 mg/mL, 2 mL </t>
  </si>
  <si>
    <t>Adsorbed Tetanus Toxoid</t>
  </si>
  <si>
    <t>Albuterol 300 mcg</t>
  </si>
  <si>
    <t xml:space="preserve">Allopurinol 100 mg </t>
  </si>
  <si>
    <t xml:space="preserve">Allopurinol 300 mg </t>
  </si>
  <si>
    <t>Aluminum + Magnesium Hydroxide</t>
  </si>
  <si>
    <t xml:space="preserve">Aluminum Hydroxide + Magnesium Hydroxide 200 mg/100 mg </t>
  </si>
  <si>
    <t xml:space="preserve">Aluminum Hydroxide + Magnesium Hydroxide suspension, 120 ml </t>
  </si>
  <si>
    <t xml:space="preserve">Ambroxol 30 mg </t>
  </si>
  <si>
    <t xml:space="preserve">Amikacin 125 mg/2 mL </t>
  </si>
  <si>
    <t>Amikacin 250mg/ml, 2ml</t>
  </si>
  <si>
    <t xml:space="preserve">Amikacin 50 mg/mL, 2 mL </t>
  </si>
  <si>
    <t>Amino Acid + Ketoanalogues 600 mg</t>
  </si>
  <si>
    <t>Amino Acids Solution for Injection, 20 mL vial</t>
  </si>
  <si>
    <t>Aminophylline 25mg/mg, 10ml or 250mg/10ml</t>
  </si>
  <si>
    <t>Amiodarone 150mg</t>
  </si>
  <si>
    <t>Amiodarone 50 mg/mL, 3 mL ampule</t>
  </si>
  <si>
    <t xml:space="preserve">Amlodipine + Losartan 5 mg/50 mg </t>
  </si>
  <si>
    <t xml:space="preserve">Amlodipine 10 mg </t>
  </si>
  <si>
    <t xml:space="preserve">Amlodipine 5 mg </t>
  </si>
  <si>
    <t>Amoxicillin 100mg/ml, 10ml drop</t>
  </si>
  <si>
    <t>Amoxicillin 100mg/ml, 15ml drop</t>
  </si>
  <si>
    <t>Amoxicillin 125 mg / 5 ml, 60 ml</t>
  </si>
  <si>
    <t>Amoxicillin 250 mg / 5 ml, 60 ml</t>
  </si>
  <si>
    <t xml:space="preserve">Amoxicillin 250 mg </t>
  </si>
  <si>
    <t xml:space="preserve">Amoxicillin 500 mg </t>
  </si>
  <si>
    <t>Ampicillin + Sulbactam 1 g + 500 mg vial</t>
  </si>
  <si>
    <t>Ampicillin + Sulbactam 500 mg + 250 mg vial</t>
  </si>
  <si>
    <t>Ampicillin 1 g vial</t>
  </si>
  <si>
    <t>Ampicillin 250 mg vial</t>
  </si>
  <si>
    <t>Ampicillin 500 mg vial</t>
  </si>
  <si>
    <t>Anti Rabies Vaccine</t>
  </si>
  <si>
    <t xml:space="preserve">Ascorbic Acid + Zinc 112.5 mg/10 mg syrup 120 mL </t>
  </si>
  <si>
    <t xml:space="preserve">Ascorbic Acid 100 mg/5 mL syrup, 120 mL </t>
  </si>
  <si>
    <t xml:space="preserve">Ascorbic Acid 100 mg/5 mL syrup, 60 mL </t>
  </si>
  <si>
    <t xml:space="preserve">Ascorbic Acid 100 mg/mL drops, 15 mL </t>
  </si>
  <si>
    <t>Ascorbic Acid 250 mg/2 mL</t>
  </si>
  <si>
    <t>Ascorbic Acid 500 mg tablet</t>
  </si>
  <si>
    <t>Aspirin 100mg</t>
  </si>
  <si>
    <t>Aspirin 300mg</t>
  </si>
  <si>
    <t>Aspirin 325mg</t>
  </si>
  <si>
    <t xml:space="preserve">Aspirin 80 mg </t>
  </si>
  <si>
    <t>Atorvastatin 20 mg</t>
  </si>
  <si>
    <t>Atorvastatin 40 mg</t>
  </si>
  <si>
    <t>Atorvastatin 80 mg</t>
  </si>
  <si>
    <t>Atracurium Besilate 10 mg/mL Solution for IV Injection ampule, 2.5 mL</t>
  </si>
  <si>
    <t xml:space="preserve">Atropine 1 mg/mL, 1 mL </t>
  </si>
  <si>
    <t xml:space="preserve">Azithromycin 200 mg/mL suspension, 60 mL </t>
  </si>
  <si>
    <t xml:space="preserve">Azithromycin 500 mg </t>
  </si>
  <si>
    <t xml:space="preserve">Azithromycin 500 mg Powder for Injection </t>
  </si>
  <si>
    <t xml:space="preserve">Azithromycin dihydrate 200 mg/5 mL suspension, 15 mL </t>
  </si>
  <si>
    <t>Bacillus Calmette-Guerin(BCG) Vaccine+Sterile Water For Injection250mcg / 0.5ml (Sterile Water For Injection) Multiple Dose Vial</t>
  </si>
  <si>
    <t>UDV</t>
  </si>
  <si>
    <t>Bacillus clausii 2 billion/5 mL unit dose vial for oral use</t>
  </si>
  <si>
    <t xml:space="preserve">Balanced Multiple Maintenance Solution (D5NM), 1 L </t>
  </si>
  <si>
    <t>Balanced Multiple Maintenance Solution pedia (D5IMB), 500 mL</t>
  </si>
  <si>
    <t>Balanced Multiple Replacement Solution</t>
  </si>
  <si>
    <t xml:space="preserve">Benzylpenicillin 1,000,000 units Powder for Injection </t>
  </si>
  <si>
    <t xml:space="preserve">Betahistine 24 mg </t>
  </si>
  <si>
    <t>DOH</t>
  </si>
  <si>
    <t xml:space="preserve">Betahistine Dihydrochloride 16 mg </t>
  </si>
  <si>
    <t>Betamethasone valerate 0.1% cream, 5 g tube</t>
  </si>
  <si>
    <t>Biphasic Isophane Insulin 70/30 100 IU/mL Suspension for Injection, 10 mL</t>
  </si>
  <si>
    <t>Biphasic Isophane Insulin 70/30 100 IU/mL, 10 mL</t>
  </si>
  <si>
    <t>Biphasic Isophane Insulin 70/30 100 IU/mL, 3 mL</t>
  </si>
  <si>
    <t>Bisacodyl 10 mg (adult) suppository</t>
  </si>
  <si>
    <t>Bisacodyl 5 mg</t>
  </si>
  <si>
    <t>Bisacodyl 5 mg (pedia) suppository</t>
  </si>
  <si>
    <t>Blumea balsamifera (Sambong) 500 mg</t>
  </si>
  <si>
    <t>Budesonide + Formoterol 160 mcg/4.5 mcg Dry Powder for Inhalation, 60 doses</t>
  </si>
  <si>
    <t>nebule</t>
  </si>
  <si>
    <t>Budesonide 250 mcg/mL Suspension for Nebulization, 2 mL</t>
  </si>
  <si>
    <t>Bupivacaine 0.5% in 8% Dextrose (Heavy) Solution for Spinal Injection, 4 mL</t>
  </si>
  <si>
    <t>Bupivacaine HCl 5 mg/mL Solution for Injection (Isobaric), 10 mL</t>
  </si>
  <si>
    <t>Butamirate Citrate 50 mg</t>
  </si>
  <si>
    <t>Butamirate Citrate 50 mg MR</t>
  </si>
  <si>
    <t>Butamirate Citrate 7.5 mg/5mL syrup, 120 mL</t>
  </si>
  <si>
    <t>Butorphanol 2 mg/mL, 1 mL (brand: Zinol)</t>
  </si>
  <si>
    <t>Calcium + Vitamin D 500 mg/200 IU</t>
  </si>
  <si>
    <t>Calcium Chloride 10%</t>
  </si>
  <si>
    <t>Calcium Gluconate 10%, 10 mL unit dose</t>
  </si>
  <si>
    <t>Calcium Sennosides 8.77 mg</t>
  </si>
  <si>
    <t>Captopril 25mg</t>
  </si>
  <si>
    <t>Carbocisteine 500 mg</t>
  </si>
  <si>
    <t>Carboprost trometamol 125 mcg/mL, 10 mL</t>
  </si>
  <si>
    <t>Carboprost trometamol 250 mcg/mL, 1 mL</t>
  </si>
  <si>
    <t>Carvedilol 25mg</t>
  </si>
  <si>
    <t>Carvedilol 6.25 mg</t>
  </si>
  <si>
    <t>Castor Oil, 60mL</t>
  </si>
  <si>
    <t>Cefacior 125 mg/5 mL suspension, 60 mL</t>
  </si>
  <si>
    <t>Cefaclor 250 mg/5 mL suspension, 60 mL</t>
  </si>
  <si>
    <t>Cefalexin 100 mg/mL drops, 10 mL</t>
  </si>
  <si>
    <t>Cefalexin 250 mg/5 mL suspension, 60 mL</t>
  </si>
  <si>
    <t>Cefalexin 500 mg</t>
  </si>
  <si>
    <t>Cefazolin 1 g vial + diluent</t>
  </si>
  <si>
    <t>Cefixime 100 mg/5 ml suspension, 60 ml</t>
  </si>
  <si>
    <t>Cefixime 20 mg/ml drops, 10 ml</t>
  </si>
  <si>
    <t>Cefixime 200 mg</t>
  </si>
  <si>
    <t>Cefotaxime 1 g</t>
  </si>
  <si>
    <t>Cefotaxime 500 mg vial + diluent</t>
  </si>
  <si>
    <t>Cefoxitin 1 g</t>
  </si>
  <si>
    <t>Cefoxitin 1 g vial + diluent</t>
  </si>
  <si>
    <t>Ceftazidime 1 g + diluent</t>
  </si>
  <si>
    <t>Ceftriaxone 1 g + diluent</t>
  </si>
  <si>
    <t>Cefuroxime 250 mg/5 ml suspension, 60 ml</t>
  </si>
  <si>
    <t>Cefuroxime 500 mg</t>
  </si>
  <si>
    <t>Cefuroxime 750 mg + diluent</t>
  </si>
  <si>
    <t>Celecoxib 200 mg</t>
  </si>
  <si>
    <t>Cetirizine 10 mg</t>
  </si>
  <si>
    <t>Cetirizine 10 mg/10 ml drops, 10 ml</t>
  </si>
  <si>
    <t>Cetirizine 2.5 mg/mL drops, 10 mL</t>
  </si>
  <si>
    <t>Cetirizine 5 mg/5 mL syrup, 60 mL</t>
  </si>
  <si>
    <t>Chlorhexidine as (Gluconate) 0.12% 120ml gargle</t>
  </si>
  <si>
    <t>Chlorpheniramine Maleate 2.5mg/5ml Syrup  60ml</t>
  </si>
  <si>
    <t>Chlorpheniramine Maleate 4mg</t>
  </si>
  <si>
    <t>Cilostazol 100 mg</t>
  </si>
  <si>
    <t>Cinnarizine 25 mg</t>
  </si>
  <si>
    <t>Ciprofloxacin 2 mg/mL, 100 mL</t>
  </si>
  <si>
    <t>Ciprofloxacin 250 mg</t>
  </si>
  <si>
    <t>Ciprofloxacin 500 mg</t>
  </si>
  <si>
    <t>Citicoline 1 g</t>
  </si>
  <si>
    <t>Citicoline 1 gm</t>
  </si>
  <si>
    <t xml:space="preserve">Citicoline 250 mg/ml, 4ml </t>
  </si>
  <si>
    <t>Citicoline 500 mg</t>
  </si>
  <si>
    <t>Citicoline drops 100 mg/mL, 15 mL</t>
  </si>
  <si>
    <t>Clarithromycin 125 mg/5 mL suspension, 50 mL</t>
  </si>
  <si>
    <t>Clarithromycin 250 mg</t>
  </si>
  <si>
    <t>Clarithromycin 250 mg/5 mL suspension, 50 mL</t>
  </si>
  <si>
    <t>Clarithromycin 500 mg</t>
  </si>
  <si>
    <t>Clindamycin 150 mg/mL, 2 mL</t>
  </si>
  <si>
    <t>Clindamycin 300 mg</t>
  </si>
  <si>
    <t>Clobetasol propionate 0.05% ointment 5g</t>
  </si>
  <si>
    <t>Clonidine 75 mcg</t>
  </si>
  <si>
    <t>Clonidine 75 mcg (brand: Catapres)</t>
  </si>
  <si>
    <t>Clopidogrel 75 mg</t>
  </si>
  <si>
    <t>Cloxacillin 250 mg/5 mL suspension, 60 mL</t>
  </si>
  <si>
    <t>Cloxacillin 500 mg</t>
  </si>
  <si>
    <t>Co-Amoxiclav (200mg + 28.5mg / 5ml Susp 60ml</t>
  </si>
  <si>
    <t>tablett</t>
  </si>
  <si>
    <t>Co-Amoxiclav (250mg + 125mg)</t>
  </si>
  <si>
    <t>Co-Amoxiclav (250mg + 62.5mg / 5ml Susp 60ml</t>
  </si>
  <si>
    <t>Co-Amoxiclav (400mg + 57mg / 5ml Susp 70ml</t>
  </si>
  <si>
    <t>Co-Amoxiclav (500mg + 125mg)</t>
  </si>
  <si>
    <t>Co-Amoxiclav (875mg + 125mg)</t>
  </si>
  <si>
    <t>Co-Amoxiclav 125mg + 31mg Suspension 60ml</t>
  </si>
  <si>
    <t>Co-Amoxiclav 125mg + 31mg/5ml Suspension, 30ml</t>
  </si>
  <si>
    <t>Co-Amoxiclav 125mg + 31mg/5ml Suspension, 60ml</t>
  </si>
  <si>
    <t>Co-Amoxiclav 1g</t>
  </si>
  <si>
    <t>Co-Amoxiclav 200mg + 28.5 mg/5ml Suspension, 70ml</t>
  </si>
  <si>
    <t>Co-Amoxiclav 228.5mg/5ml Suspension, 60ml</t>
  </si>
  <si>
    <t>Co-Amoxiclav 228.5mg/5ml Suspension, 70ml</t>
  </si>
  <si>
    <t>Co-Amoxiclav 250mg + 62.5 mg/5ml Suspension, 100ml</t>
  </si>
  <si>
    <t>Co-Amoxiclav 312.5mg/5ml Suspension, 60ml</t>
  </si>
  <si>
    <t>Co-Amoxiclav 457mg/5ml 70ml Suspension</t>
  </si>
  <si>
    <t>Co-Amoxiclav 500mg/100mg</t>
  </si>
  <si>
    <t>Co-Amoxiclav 600mg/42.9mg/5ml, 100ml</t>
  </si>
  <si>
    <t>Colchicine 500 mcg</t>
  </si>
  <si>
    <t>Cotrimoxazole 200mg/40mg suspension, 60 ml</t>
  </si>
  <si>
    <t>Cotrimoxazole 400 mg/80 mg 5 mL suspension, 60 mL</t>
  </si>
  <si>
    <t>Cotrimoxazole 400 mg/80mg</t>
  </si>
  <si>
    <t>Cotrimoxazole 800 mg/160 mg</t>
  </si>
  <si>
    <t>D50-50</t>
  </si>
  <si>
    <r>
      <t xml:space="preserve">Dexamethasone 4 mg/mL, </t>
    </r>
    <r>
      <rPr>
        <sz val="10"/>
        <rFont val="Arial"/>
        <family val="2"/>
      </rPr>
      <t>1</t>
    </r>
    <r>
      <rPr>
        <sz val="10"/>
        <color indexed="8"/>
        <rFont val="Arial"/>
        <family val="2"/>
      </rPr>
      <t xml:space="preserve"> mL</t>
    </r>
  </si>
  <si>
    <r>
      <t xml:space="preserve">Dexamethasone 4 mg/mL, </t>
    </r>
    <r>
      <rPr>
        <sz val="10"/>
        <rFont val="Arial"/>
        <family val="2"/>
      </rPr>
      <t>2</t>
    </r>
    <r>
      <rPr>
        <sz val="10"/>
        <color indexed="8"/>
        <rFont val="Arial"/>
        <family val="2"/>
      </rPr>
      <t xml:space="preserve"> mL</t>
    </r>
  </si>
  <si>
    <t>Dexamethasone Ampule 5 mg/mL, 1 mL</t>
  </si>
  <si>
    <t>Dextran 9% 500 mL</t>
  </si>
  <si>
    <t>Dextrose 50% Solution for IV Injection (D50 50), 50 mL</t>
  </si>
  <si>
    <t>Diclofenac 50 mg</t>
  </si>
  <si>
    <t>Dicycloverine 10 mg</t>
  </si>
  <si>
    <t>Dicycloverine 10 mg/5 mL syrup, 60 mL</t>
  </si>
  <si>
    <t>Dicycloverine drops</t>
  </si>
  <si>
    <t>Digoxin 250 mcg</t>
  </si>
  <si>
    <t>Digoxin 250 mcg/mL, 2 mL</t>
  </si>
  <si>
    <t>Diphenhydramine 12.5 mg/5 mL syrup, 60 mL</t>
  </si>
  <si>
    <t>Diphenhydramine 50 mg</t>
  </si>
  <si>
    <t>Diphenhydramine 50 mg/mL, 1 mL</t>
  </si>
  <si>
    <t>Dobutamine 12.5mg/ml, 20ml</t>
  </si>
  <si>
    <t>Dobutamine 250mg</t>
  </si>
  <si>
    <r>
      <t xml:space="preserve">Dobutamine 50 mg/mL, 5 mL </t>
    </r>
    <r>
      <rPr>
        <sz val="10"/>
        <color indexed="10"/>
        <rFont val="Arial"/>
        <family val="2"/>
      </rPr>
      <t>(ampule)</t>
    </r>
  </si>
  <si>
    <t>Domperidone 10 mg Film coated</t>
  </si>
  <si>
    <t>Domperidone 1mg/ml Suspension 60ml</t>
  </si>
  <si>
    <t>Dopamine 200mg/250 mL</t>
  </si>
  <si>
    <t>Dopamine 40 mg/mL, 5 mL</t>
  </si>
  <si>
    <t>Doxofylline 400 mg</t>
  </si>
  <si>
    <t>Doxycycline 100 mg</t>
  </si>
  <si>
    <t>Enalapril + Hydrochlorothiazide 20mg + 12.5mg</t>
  </si>
  <si>
    <t>Enalapril 10 mg</t>
  </si>
  <si>
    <t>Enalapril 20 mg</t>
  </si>
  <si>
    <t>Enalapril 5 mg</t>
  </si>
  <si>
    <t>Eperisone 50mg</t>
  </si>
  <si>
    <t>Epinephrine 1 mg/mL, 1 mL</t>
  </si>
  <si>
    <t>Erythromycin 0.5% ophthalmic ointment, 3.5 g</t>
  </si>
  <si>
    <t>Erythromycin 200 mg/5 mL suspension, 60 mL</t>
  </si>
  <si>
    <t>Erythromycin 250 mg/5 mL suspension, 60 mL</t>
  </si>
  <si>
    <t>Erythromycin 500mg</t>
  </si>
  <si>
    <t>Esomeprazole 40 mg</t>
  </si>
  <si>
    <t>Esomeprazole 40 mg vial + diluent</t>
  </si>
  <si>
    <t xml:space="preserve">Etoricoxib 120 mg </t>
  </si>
  <si>
    <t xml:space="preserve">Etoricoxib 90 mg </t>
  </si>
  <si>
    <t xml:space="preserve">Evening Primrose Oil, 1,000 mg </t>
  </si>
  <si>
    <t xml:space="preserve">Febuxostat 40 mg film coated </t>
  </si>
  <si>
    <t xml:space="preserve">Fenofibrate 160 mg </t>
  </si>
  <si>
    <t>Fenofibrate 200 mg</t>
  </si>
  <si>
    <t>Ferrous Sulfate + Folic Acid</t>
  </si>
  <si>
    <t xml:space="preserve">Ferrous Sulfate 325 mg </t>
  </si>
  <si>
    <t>Fluconazole 150mg</t>
  </si>
  <si>
    <t xml:space="preserve">Flunarizine 5 mg </t>
  </si>
  <si>
    <t>inhaler</t>
  </si>
  <si>
    <t>Fluticasone + Salmeterol 100 mcg + 50 mcg x 28 doses, DPI</t>
  </si>
  <si>
    <t>Fluticasone + Salmeterol 100 mcg + 50 mcg x 60 doses, DPI</t>
  </si>
  <si>
    <t>Fluticasone + Salmeterol 125 mcg + 25 mcg x 120 actuations metered dose inhaler</t>
  </si>
  <si>
    <t>Fluticasone + Salmeterol 250 mcg + 25 mcg x 120 actuations inhaler</t>
  </si>
  <si>
    <t>Fluticasone + Salmeterol 250 mcg + 50 mcg x 28 doses, DPI</t>
  </si>
  <si>
    <t>Fluticasone + Salmeterol 250 mcg + 50 mcg x 60 doses, DPI</t>
  </si>
  <si>
    <t>Fluticasone + Salmeterol 500 mcg + 50 mcg x 28 doses, DPI</t>
  </si>
  <si>
    <t>Fluticasone + Salmeterol 500 mcg + 50 mcg x 60 doses, DPI</t>
  </si>
  <si>
    <t>Fluticasone + Salmeterol inhalation DPI 50mcg + 25 mcg x 28 doses</t>
  </si>
  <si>
    <t xml:space="preserve">Folic Acid 5 mg </t>
  </si>
  <si>
    <t xml:space="preserve">Furosemide 10 mg/mL, 2 mL </t>
  </si>
  <si>
    <t xml:space="preserve">Furosemide 20 mg </t>
  </si>
  <si>
    <t xml:space="preserve">Furosemide 40 mg </t>
  </si>
  <si>
    <t xml:space="preserve">Fusidic Acid 1% eye drops, 5 g </t>
  </si>
  <si>
    <t xml:space="preserve">Fusidic Acid 2% ointment 15g </t>
  </si>
  <si>
    <t xml:space="preserve">Fusidic Acid 2% ointment 5 g </t>
  </si>
  <si>
    <t xml:space="preserve">Gabapentin 100 mg </t>
  </si>
  <si>
    <t>Gabapentin 300 mg</t>
  </si>
  <si>
    <t>Gentamicin 40 mg/mL, 2 mL</t>
  </si>
  <si>
    <t xml:space="preserve">Gentamicin 40 mg/mL, 2 mL </t>
  </si>
  <si>
    <t xml:space="preserve">Glibenclamide 5 mg </t>
  </si>
  <si>
    <t>Gliclazide 30 mg MR</t>
  </si>
  <si>
    <t xml:space="preserve">Gliclazide 60 mg MR </t>
  </si>
  <si>
    <t xml:space="preserve">Gliclazide 80 mg </t>
  </si>
  <si>
    <t xml:space="preserve">Glimepiride 2 mg </t>
  </si>
  <si>
    <t>Haloperidol 50mg / ml, 1ml</t>
  </si>
  <si>
    <t xml:space="preserve">Haloperidol 5mg </t>
  </si>
  <si>
    <t>Haloperidol Decanoate 50mg / ml, 1ml</t>
  </si>
  <si>
    <t xml:space="preserve">Heparin 1000 iu </t>
  </si>
  <si>
    <t xml:space="preserve">Heparin 5,000 IU/mL, 5 mL </t>
  </si>
  <si>
    <t>Hepatitis B Immune Globulin, Human 100 IU/0.5ml</t>
  </si>
  <si>
    <t>Hepatitis B Vaccine rDNA 10mcg/ 0.5ml, 5ml multiple dose</t>
  </si>
  <si>
    <t xml:space="preserve">Hexetidine 0.1% Solution, 120 mL </t>
  </si>
  <si>
    <t xml:space="preserve">Hydralazine 20 mg/mL, 1 mL </t>
  </si>
  <si>
    <t>Hydrochlorothiazide 12.5mg</t>
  </si>
  <si>
    <t>Hydrochlorothiazide 25mg</t>
  </si>
  <si>
    <t>Hydrochlorothiazide 50mg</t>
  </si>
  <si>
    <t xml:space="preserve">Hydrocortisone 1% cream, 5 g </t>
  </si>
  <si>
    <t xml:space="preserve">Hydrocortisone 1% ointment, 10 g </t>
  </si>
  <si>
    <t xml:space="preserve">Hydrocortisone 100 mg </t>
  </si>
  <si>
    <t xml:space="preserve">Hydrocortisone 250 mg </t>
  </si>
  <si>
    <t xml:space="preserve">Hydrocortisone 250 mg + diluent </t>
  </si>
  <si>
    <t>Hydrocortisone Na Succinate 100mg vial + diluent</t>
  </si>
  <si>
    <t>Hydrogen Peroxide 3% Solution (10 volumes), 120 mL</t>
  </si>
  <si>
    <t>Hydroxyethyl Starch 6% w/v, 500 mL</t>
  </si>
  <si>
    <t>Hydroxyzine DiHCl 25 mg</t>
  </si>
  <si>
    <t>Hyoscine N-Butylbromide 10 mg</t>
  </si>
  <si>
    <t>Hyoscine-N-Butylbromide 20 mg/mL, 1 mL</t>
  </si>
  <si>
    <t>Ibuprofen + Paracetamol 200 mg / 325 mg</t>
  </si>
  <si>
    <t>Ibuprofen 100 mg/ 5ml Suspension, 60ml</t>
  </si>
  <si>
    <t>Ibuprofen 200 mg</t>
  </si>
  <si>
    <t>Ibuprofen 200 mg/5 mL suspension, 60 mL</t>
  </si>
  <si>
    <t>Ibuprofen 400 mg</t>
  </si>
  <si>
    <t>Inactivated purified rabies vaccine</t>
  </si>
  <si>
    <t>Insulin Biphasic Isophane Human 70/30, 10ml</t>
  </si>
  <si>
    <t>flexpen</t>
  </si>
  <si>
    <t>Insulin Glargine 100 units/mL Solution for Injection, 3 mL pre-filled pen</t>
  </si>
  <si>
    <t>Insulin N 100"u"/ml</t>
  </si>
  <si>
    <t>Insulin Regular 100 iu/mL, 10 mL</t>
  </si>
  <si>
    <t>MDI</t>
  </si>
  <si>
    <t>Ipratropium + Salbutamol 120 mcg + 21 mcg for 200 doses, 10ml</t>
  </si>
  <si>
    <t>Ipratropium + Salbutamol 500 mcg / 2.5 mg, 2.5 mL</t>
  </si>
  <si>
    <t>Ipratropium + Salbutamol MDI 20 mcg + 100 mcg x 200 doses x 10ml</t>
  </si>
  <si>
    <t>Iron Sucrose 20 mg/mL, 5 mL</t>
  </si>
  <si>
    <t>Isophane Insulin Human 100 IU/mL for IM/SC Injection, 10 mL</t>
  </si>
  <si>
    <t>Isosorbide Dinitrate 1 mg/mL, 10 mL</t>
  </si>
  <si>
    <t>Isosorbide Dinitrate 5 mg sublingual</t>
  </si>
  <si>
    <t>Isosorbide Mononitrate 30 mg</t>
  </si>
  <si>
    <t>Isosorbide Mononitrate 60 mg</t>
  </si>
  <si>
    <t>Isoxsuprine 10 mg</t>
  </si>
  <si>
    <t>Isoxsuprine 5 mg/mL, 2 mL</t>
  </si>
  <si>
    <t>Ketoconazole 2%, 15g</t>
  </si>
  <si>
    <t>Ketoconazole cream 2% 15g</t>
  </si>
  <si>
    <t>Ketorolac 10 mg</t>
  </si>
  <si>
    <t>Ketorolac 30mg/ml, 1ml</t>
  </si>
  <si>
    <t>Lactated Ringer’s Solution (PLR), 1 L</t>
  </si>
  <si>
    <t>Lactated Ringer’s Solution (PLR), 50 mL</t>
  </si>
  <si>
    <t>Lactated Ringer’s Solution (PLR), 500 mL</t>
  </si>
  <si>
    <t>Lactated Ringer's Solution (PLR), 1 L</t>
  </si>
  <si>
    <t>Lactulose 3.35 g/5 mL syrup, 120 mL</t>
  </si>
  <si>
    <t>Lagundi 300 mg/5 mL syrup, 60 mL</t>
  </si>
  <si>
    <t>Lagundi 600 mg</t>
  </si>
  <si>
    <t xml:space="preserve">Levocetirizine 5 mg </t>
  </si>
  <si>
    <r>
      <t xml:space="preserve">Levofloxacin 5 mg/mL Solution, 100 mL </t>
    </r>
    <r>
      <rPr>
        <sz val="10"/>
        <color indexed="10"/>
        <rFont val="Arial"/>
        <family val="2"/>
      </rPr>
      <t>(bottle)</t>
    </r>
  </si>
  <si>
    <t>Levofloxacin 500 mg</t>
  </si>
  <si>
    <t>Levothyroxine 100mg</t>
  </si>
  <si>
    <t>Levothyroxine 150mg</t>
  </si>
  <si>
    <t>Levothyroxine 50mcg</t>
  </si>
  <si>
    <t>carpule</t>
  </si>
  <si>
    <t xml:space="preserve">Lidocaine + Epinephrine 2%, 1.8 mL </t>
  </si>
  <si>
    <t xml:space="preserve">Lidocaine 10 mg/dose (10%) pump spray, 50 mL </t>
  </si>
  <si>
    <t>Lidocaine 10% 50ml</t>
  </si>
  <si>
    <t xml:space="preserve">Lidocaine 2% Solution for Injection, 5 mL </t>
  </si>
  <si>
    <t xml:space="preserve">Lidocaine 2%, 50 mL </t>
  </si>
  <si>
    <t>Loperamide 2 mg</t>
  </si>
  <si>
    <t>Loratadine 10 mg</t>
  </si>
  <si>
    <t>Losartan + Hydrochlorothiazide 100 mg/25 mg</t>
  </si>
  <si>
    <t>Losartan + Hydrochlorothiazide 50 mg/12.5 mg</t>
  </si>
  <si>
    <t>Losartan 100 mg</t>
  </si>
  <si>
    <t>Losartan 50 mg</t>
  </si>
  <si>
    <t>Magnesium Sulfate 250 mg/mL, 20 mL</t>
  </si>
  <si>
    <t>Mannitol 20%, 500 mL</t>
  </si>
  <si>
    <t>Mebendazole 100 mg/5 mL suspension, 60 mL</t>
  </si>
  <si>
    <t>Mebendazole 500mg</t>
  </si>
  <si>
    <t>Mefenamic Acid 250 mg</t>
  </si>
  <si>
    <t>Mefenamic Acid 50 mg/5 mL suspension, 60 mL</t>
  </si>
  <si>
    <t>Mefenamic Acid 500 mg</t>
  </si>
  <si>
    <t>Melatonin 3 mg</t>
  </si>
  <si>
    <t>Meropenem 1 g</t>
  </si>
  <si>
    <t>Meropenem 1 g vial + diluent</t>
  </si>
  <si>
    <t xml:space="preserve">Meropenem 500 mg </t>
  </si>
  <si>
    <t>Meropenem 500 mg vial + diluent</t>
  </si>
  <si>
    <t>Metformin 500 mg</t>
  </si>
  <si>
    <t>Metformin 500 mg film coated</t>
  </si>
  <si>
    <t>Metformin 850 mg</t>
  </si>
  <si>
    <t>Methyldopa 250 mg</t>
  </si>
  <si>
    <t>Methylergometrine 125 mcg</t>
  </si>
  <si>
    <t>Methylergometrine 200 mcg/mL, 1 mL</t>
  </si>
  <si>
    <t>Methylprednisolone 16 mg</t>
  </si>
  <si>
    <t>Methylprednisolone 4 mg</t>
  </si>
  <si>
    <t>Methylprednisolone 40 mg</t>
  </si>
  <si>
    <t>Metoclopramide 10 mg tablet</t>
  </si>
  <si>
    <t xml:space="preserve">Metoclopramide 5 mg/5 mL syrup, 60 mL   </t>
  </si>
  <si>
    <t>Metoclopramide 5mg/ml, 2mL</t>
  </si>
  <si>
    <t xml:space="preserve">Metoprolol 100 mg </t>
  </si>
  <si>
    <t xml:space="preserve">Metoprolol 50 mg </t>
  </si>
  <si>
    <t>Metronidazole 125 mg/5 mL suspension, 60 mL</t>
  </si>
  <si>
    <t>Metronidazole 500 mg</t>
  </si>
  <si>
    <t>Metronidazole 5mg/ml IV Solution 100ml</t>
  </si>
  <si>
    <t xml:space="preserve">Monobasic / Dibasic Na phosphate 19 g/7 g enema, 133 mL </t>
  </si>
  <si>
    <t xml:space="preserve">Montelukast + Levoceterizine 10 mg/5 mg </t>
  </si>
  <si>
    <t xml:space="preserve">Montelukast 10 mg </t>
  </si>
  <si>
    <t>Montelukast 5 mg</t>
  </si>
  <si>
    <t xml:space="preserve">Moringa oleifera (Malunggay) 500 mg </t>
  </si>
  <si>
    <t xml:space="preserve">Multivitamins </t>
  </si>
  <si>
    <t xml:space="preserve">Multivitamins + Bucilzine </t>
  </si>
  <si>
    <t xml:space="preserve">Multivitamins + dextrose, 500 mL </t>
  </si>
  <si>
    <t xml:space="preserve">Multivitamins + Iron </t>
  </si>
  <si>
    <t>Multivitamins drops, 15 mL</t>
  </si>
  <si>
    <t>Multivitamins syrup, 120 mL</t>
  </si>
  <si>
    <t>Multivitamins syrup, 60 mL</t>
  </si>
  <si>
    <t>Mupirocin 2% ointment, 5 g</t>
  </si>
  <si>
    <t>Naproxen Sodium 550 mg</t>
  </si>
  <si>
    <t>Nicardipine Hydrochloride 1 mg/mL, 10 mL</t>
  </si>
  <si>
    <t>Nicardipine Hydrochloride 1 mg/mL, 2 mL</t>
  </si>
  <si>
    <t>Nifedipine 10 mg</t>
  </si>
  <si>
    <t>Nifedipine 30 mg</t>
  </si>
  <si>
    <t>Nifedipine 30 mg MR</t>
  </si>
  <si>
    <t>Nifedipine 5 mg</t>
  </si>
  <si>
    <t>Nitrofurantoin 100 mg</t>
  </si>
  <si>
    <t>Nitrofurantoin 50mg</t>
  </si>
  <si>
    <t>Nitrofuratoin 100mg capsule</t>
  </si>
  <si>
    <t>patch</t>
  </si>
  <si>
    <t>Nitroglycerin 5 mg transdermal</t>
  </si>
  <si>
    <t>NorEpinephrine 1 mg/mL, 2 mL</t>
  </si>
  <si>
    <t>NorEpinephrine 1 mg/mL, 4 mL</t>
  </si>
  <si>
    <t>Nystatin 100,000 IU/mL suspension, 30 mL</t>
  </si>
  <si>
    <t>Omeprazole 20 mg</t>
  </si>
  <si>
    <t>Omeprazole 40 mg</t>
  </si>
  <si>
    <t>Omeprazole 40 mg + diluent</t>
  </si>
  <si>
    <t>Ondansetron HCI 2mg/ml, 4ml</t>
  </si>
  <si>
    <t>Oral Rehydration Salts Replacement 20.5 g</t>
  </si>
  <si>
    <t>Oral Rehydration Salts Replacement 5.125 g</t>
  </si>
  <si>
    <t>Oral Rehydration Salts Replacement 5.575 g</t>
  </si>
  <si>
    <t>Oxacillin 500 mg</t>
  </si>
  <si>
    <t>Oxantel pamoate + Pyrantel embonate</t>
  </si>
  <si>
    <t>Oxymetazoline + Polymyxin Eye Ointment, 3.5 g</t>
  </si>
  <si>
    <t xml:space="preserve">Oxytetracycline HCl + Polymyxin B sulfate, 5 mg/10,000 u eye ointment, 3.5 g </t>
  </si>
  <si>
    <t>Oxytocin 10 IU/mL, 1 mL</t>
  </si>
  <si>
    <t>Pantoprazole 40 mg</t>
  </si>
  <si>
    <t>Paracetamol + Phenylpropanolamine + Chlorphenamine</t>
  </si>
  <si>
    <t>Paracetamol 100 mg/mL drops, 15 mL</t>
  </si>
  <si>
    <t>Paracetamol 10mg/ml, Solution for IV Infusion 100ml</t>
  </si>
  <si>
    <t>suppositor</t>
  </si>
  <si>
    <t>Paracetamol 125 mg</t>
  </si>
  <si>
    <t>Paracetamol 125 mg/5 mL suspension, 30 mL</t>
  </si>
  <si>
    <t>Paracetamol 125 mg/5 mL suspension, 60 mL</t>
  </si>
  <si>
    <t>Paracetamol 150 mg/mL, 2 mL</t>
  </si>
  <si>
    <t>Paracetamol 250 mg</t>
  </si>
  <si>
    <t>Paracetamol 250 mg/5 mL suspension, 120 mL</t>
  </si>
  <si>
    <t>Paracetamol 250 mg/5 mL suspension, 30 mL</t>
  </si>
  <si>
    <t>Paracetamol 250 mg/5 mL suspension, 60 mL</t>
  </si>
  <si>
    <t>Paracetamol 300 mg</t>
  </si>
  <si>
    <t>Paracetamol 500 mg</t>
  </si>
  <si>
    <t>Penicillin G Benzathine 1,200,000 units</t>
  </si>
  <si>
    <t>Phenylephrine HCL + Chlorphenamine maleate + Paracetamol</t>
  </si>
  <si>
    <t>Phenylpropanolamine HCL+ Chlorphenamine maleate + Paracetamol 60ml syrup</t>
  </si>
  <si>
    <t>Phenytoin 100 mg</t>
  </si>
  <si>
    <t>Phenytoin Sodium 50 mg/mL, 2 mL</t>
  </si>
  <si>
    <t>Phytomenadione 10 mg/mL, 1 mL</t>
  </si>
  <si>
    <t>Piperacillin + Tazobactam 2 g/250 mg</t>
  </si>
  <si>
    <t>Piperacillin + Tazobactam 2.25g + diluent</t>
  </si>
  <si>
    <t>Piperacillin + Tazobactam 4 g/500 mg</t>
  </si>
  <si>
    <t>Piperacillin + Tazobactam 4 g/500 mg + diluent</t>
  </si>
  <si>
    <t>Plain LR 1 Liter</t>
  </si>
  <si>
    <t>Plain NSS Irrigation</t>
  </si>
  <si>
    <t>Plain NSS, 1000 mL</t>
  </si>
  <si>
    <t>Potassium Chloride 2 mEq/ml (20ml)</t>
  </si>
  <si>
    <t>Potassium Chloride 40 mEq, 20 mL</t>
  </si>
  <si>
    <t>Potassium Chloride 600 mg</t>
  </si>
  <si>
    <t>Potassium Chloride 750 mg</t>
  </si>
  <si>
    <t>Potassium Citrate 1,080 mg</t>
  </si>
  <si>
    <t>Povidone-Iodine 1% (Oral antiseptic), 120 mL</t>
  </si>
  <si>
    <t>Povidone-Iodine 1% (Oral antiseptic), 250 mL</t>
  </si>
  <si>
    <t>Povidone-Iodine 10% Wound Solution, 60 mL</t>
  </si>
  <si>
    <t>Povidone-Iodine 10%, 1 gallon</t>
  </si>
  <si>
    <t>Povidone-Iodine 7.5% Skin Cleanser, 120ml</t>
  </si>
  <si>
    <t>Prednisone 10 mg</t>
  </si>
  <si>
    <t>Prednisone 10 mg/5ml, 60ml Suspension</t>
  </si>
  <si>
    <t>Prednisone 20 mg</t>
  </si>
  <si>
    <t>Prednisone 5 mg</t>
  </si>
  <si>
    <t>Prednisolone 10mg/5ml, 60ml</t>
  </si>
  <si>
    <t>Pregabalin 75 mg</t>
  </si>
  <si>
    <t>Promethazine 25 mg/mL, 2 mL</t>
  </si>
  <si>
    <t>Propranolol Hydrochloride 40mg</t>
  </si>
  <si>
    <t>Propranolol Hydrochloride 10mg</t>
  </si>
  <si>
    <t>Propylthiouracil 50mg</t>
  </si>
  <si>
    <t>Pyridoxine 1 gm</t>
  </si>
  <si>
    <t>Ranitidine 150 mg</t>
  </si>
  <si>
    <t>Ranitidine 25 mg/mL, 2 mL</t>
  </si>
  <si>
    <t>Regular Insulin 100 IU/mL for IM/IV/SC Injection, 10 mL (brand: Insugen-R)</t>
  </si>
  <si>
    <t>Rocuronium 10mg/ml Solution for IV Injection, 5ml</t>
  </si>
  <si>
    <t>Rosuvastatin 10 mg</t>
  </si>
  <si>
    <t>Rosuvastatin 20 mg</t>
  </si>
  <si>
    <t>Salbutamol 2mg</t>
  </si>
  <si>
    <t>Salbutamol 4mg MR</t>
  </si>
  <si>
    <t>Salbutamol 8mg MR</t>
  </si>
  <si>
    <t>Salbutamol Respiratory Solution Nebules 2mg/ml, 2.5ml unit dose</t>
  </si>
  <si>
    <t>Salbutamol Sulfate 200mcg/dose MDI x 200 actuations</t>
  </si>
  <si>
    <t>respiratory solution</t>
  </si>
  <si>
    <t>Salbutamol 5mg/ml, 10ml</t>
  </si>
  <si>
    <t>Salbutamol 5mg/ml, 20ml</t>
  </si>
  <si>
    <t>Salbutamol Breath Actuated MDI 100mcg/dose x 200 actuations</t>
  </si>
  <si>
    <t>Salbutamol Dry Powder Inhaler 200mcg</t>
  </si>
  <si>
    <t>Salbutamol + Ipratropium 2.5mg + 500mcg, 2.5ml respiratory solution</t>
  </si>
  <si>
    <t>Salbutamol + Ipratropium 120mcg + 21mcg, 200 doses meter dose inhaler</t>
  </si>
  <si>
    <t>Salbutamol + Guaifenesin 2 mg/100 mg</t>
  </si>
  <si>
    <t>Salbutamol 100 mcg/dose, 200 doses metered dose inhaler</t>
  </si>
  <si>
    <t>Salbutamol 100 mcg/dose, 400 doses metered dose inhaler</t>
  </si>
  <si>
    <t>Salbutamol 2 mg/5 mL syrup, 60 mL</t>
  </si>
  <si>
    <t>Salbutamol Sulfate 1 mg/mL, 2.5 mL</t>
  </si>
  <si>
    <t>Salmeterol + Fluticasibe 25mcg/250 mcg/dose, 120 actuations metered dose inhaler</t>
  </si>
  <si>
    <t>DPI</t>
  </si>
  <si>
    <t>Salmeterol + Fluticasone 50mcg/500 mcg/dose dry powder for inhalation, 60 doses inhaler</t>
  </si>
  <si>
    <t>Sambong 500 mg</t>
  </si>
  <si>
    <t>Sevoflurane 100% liquid for inhalation 250ml</t>
  </si>
  <si>
    <t xml:space="preserve">Silver Sulfadiazine cream 1% 15g </t>
  </si>
  <si>
    <t xml:space="preserve">Silver Sulfadiazine cream 1% 25g </t>
  </si>
  <si>
    <t>jar</t>
  </si>
  <si>
    <t>Silver Sulfadiazine cream 1%, 500 g</t>
  </si>
  <si>
    <t>Simvastatin 10 mg</t>
  </si>
  <si>
    <t>Simvastatin 20 mg</t>
  </si>
  <si>
    <t>Simvastatin 40 mg</t>
  </si>
  <si>
    <t>Simvastatin 80 mg</t>
  </si>
  <si>
    <t>Sitagliptin + Metformin 50 mg/500 mg FC</t>
  </si>
  <si>
    <t>Sodium Ascorbate + Zinc Sulfate 500 mg/27.5 mg</t>
  </si>
  <si>
    <t>Sodium Bicarbonate 650 mg</t>
  </si>
  <si>
    <t>Sodium Bicarbonate 1 mEq/ml, 50ml</t>
  </si>
  <si>
    <t>Sodium Bicarbonate 8.4%, 50 mL</t>
  </si>
  <si>
    <t>Sodium Bicarbonate ampule 50 ml</t>
  </si>
  <si>
    <t>Sodium Chloride 1 g</t>
  </si>
  <si>
    <t>Sodium Chloride 2.5 mEq/mL, 20 mL</t>
  </si>
  <si>
    <t xml:space="preserve">Spironolactone 25mg </t>
  </si>
  <si>
    <t xml:space="preserve">Spironolactone 100mg </t>
  </si>
  <si>
    <t>Sterile Water for Injection, 100 mL</t>
  </si>
  <si>
    <t>Sterile Water for Injection, 50 mL</t>
  </si>
  <si>
    <t>Succinylcholine chloride 20 mg/mL, 10 mL</t>
  </si>
  <si>
    <t>Sulodexide 250 LSU</t>
  </si>
  <si>
    <t>Sultamicillin tosylate 750 mg</t>
  </si>
  <si>
    <t>Tamsulosin 200 mcg enteric coated</t>
  </si>
  <si>
    <t>Tamsulosin 400 mcg enteric coated</t>
  </si>
  <si>
    <t>Telmisartan 40 mg</t>
  </si>
  <si>
    <t>Telmisartan 80 mg</t>
  </si>
  <si>
    <t>Terbutaline 500 mcg/mL, 1 mL</t>
  </si>
  <si>
    <t>Tobramycin + Dexamethasone 3 mg/1 mg/mL ophthalmic solution, 10 mL</t>
  </si>
  <si>
    <t>Tobramycin + Dexamethasone 5 mL</t>
  </si>
  <si>
    <t>Tobramycin 0.3% eye drops, 5 mL</t>
  </si>
  <si>
    <t>Tramadol + Paracetamol 37.5 mg/325 mg</t>
  </si>
  <si>
    <t>Tramadol 50 mg</t>
  </si>
  <si>
    <t>Tramadol 50 mg/mL, 2 mL</t>
  </si>
  <si>
    <t>Tranexamic Acid 100mg/ml, 5ml</t>
  </si>
  <si>
    <t>Tranexamic Acid 500 mg</t>
  </si>
  <si>
    <t>Trimetazidine 35 mg</t>
  </si>
  <si>
    <t>Valsartan 80mg</t>
  </si>
  <si>
    <t>Vancomycin 1gm/vial + dilluent</t>
  </si>
  <si>
    <t>Vancomycin 500 mg</t>
  </si>
  <si>
    <t>Verapamil 5 mg/2 ml</t>
  </si>
  <si>
    <t>Vitamin B Complex 100 mg/5 mg/50 mcg</t>
  </si>
  <si>
    <t>Vitamin B Complex 500 mg/250 mg/1 mg</t>
  </si>
  <si>
    <t>Vitamin B Complex, 3 mL</t>
  </si>
  <si>
    <t>Vitamin D3 (Cholecalciferol) 800 IU softgel</t>
  </si>
  <si>
    <t>Vitamin E 400 IU</t>
  </si>
  <si>
    <t>Zinc Sulfate 27.5 mg/mL drops, 15 mL</t>
  </si>
  <si>
    <t>Zinc Sulfate 55 mg/5 mL syrup, 60 mL</t>
  </si>
  <si>
    <t>Day 1</t>
  </si>
  <si>
    <t>Lunch: 3 Viands with Rice, Dessert and Bottled Water</t>
  </si>
  <si>
    <t>Day 2</t>
  </si>
  <si>
    <t>Day 3</t>
  </si>
  <si>
    <r>
      <t xml:space="preserve">Purpose/Remarks : </t>
    </r>
    <r>
      <rPr>
        <u/>
        <sz val="10"/>
        <rFont val="Arial"/>
        <family val="2"/>
      </rPr>
      <t>For use of Lobo Municipal Hospital.</t>
    </r>
  </si>
  <si>
    <t>ROMELITO R. MARASIGAN, DVM</t>
  </si>
  <si>
    <t>PGDH</t>
  </si>
  <si>
    <t>HAMILTON G. BLANCO</t>
  </si>
  <si>
    <t>Drinks/Bottled Water</t>
  </si>
  <si>
    <t>DR. RODRIGO M. BAUTISTA JR., DVM</t>
  </si>
  <si>
    <t>and Bottled Water</t>
  </si>
  <si>
    <t>packs</t>
  </si>
  <si>
    <t xml:space="preserve">  PACPEYSDO</t>
  </si>
  <si>
    <t>ETHELDRIDA D. LUISTRO, RSW</t>
  </si>
  <si>
    <t>PGDH - PSWDO</t>
  </si>
  <si>
    <t>PBGEN . ARCADIO L. RONQUILLO JR. PNP (RET)</t>
  </si>
  <si>
    <t>PGDH - PPOSD</t>
  </si>
  <si>
    <t xml:space="preserve">Date:_______  </t>
  </si>
  <si>
    <t xml:space="preserve">    </t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</si>
  <si>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South District in the City of</t>
    </r>
  </si>
  <si>
    <t>ANNA CORETTA R. SANTOS</t>
  </si>
  <si>
    <t>ALEXANDER T. LUNAR</t>
  </si>
  <si>
    <t>Librarian IV</t>
  </si>
  <si>
    <r>
      <t xml:space="preserve">Purpose/Remarks : </t>
    </r>
    <r>
      <rPr>
        <u/>
        <sz val="10"/>
        <rFont val="Arial"/>
        <family val="2"/>
      </rPr>
      <t>For office use.</t>
    </r>
  </si>
  <si>
    <t>Office Room Signage</t>
  </si>
  <si>
    <t>Table Signage</t>
  </si>
  <si>
    <t>Hand Towel</t>
  </si>
  <si>
    <r>
      <t xml:space="preserve">Purpose/Remarks : </t>
    </r>
    <r>
      <rPr>
        <u/>
        <sz val="10"/>
        <rFont val="Arial"/>
        <family val="2"/>
      </rPr>
      <t>To be served in Legislation with Barangay Officials and Volunteers in Municipality of Mabini</t>
    </r>
  </si>
  <si>
    <t>MARIA REINA D. ABU-REYES, MD</t>
  </si>
  <si>
    <t>PGDH-PACPEYSDO</t>
  </si>
  <si>
    <t>JAIDA M. CASTILLO</t>
  </si>
  <si>
    <t>OIC - PTCAO</t>
  </si>
  <si>
    <t>room</t>
  </si>
  <si>
    <t>Provincial Tourism and Cultural Affairs Office</t>
  </si>
  <si>
    <t>dozen</t>
  </si>
  <si>
    <t>VINCENT I. ALTAR</t>
  </si>
  <si>
    <t>LOUIE MARK M. DALAWAMPU</t>
  </si>
  <si>
    <t>Provincial Legal Officer</t>
  </si>
  <si>
    <t>MARCUS DOMINIC S. MENDOZA</t>
  </si>
  <si>
    <t>MARIO CARMELO A. PESA</t>
  </si>
  <si>
    <t>PGDH - PTO</t>
  </si>
  <si>
    <t>Provincial Engineer's Office</t>
  </si>
  <si>
    <t>NERIO L. RONQUILLO, JR.</t>
  </si>
  <si>
    <t>PGDH - PEO</t>
  </si>
  <si>
    <t>PM Snacks: Baked Macaroni with Garlic</t>
  </si>
  <si>
    <t>Disinfecant Multi - Action Cleaner 800ml</t>
  </si>
  <si>
    <t>Padlock (big)</t>
  </si>
  <si>
    <t>Padlock (small)</t>
  </si>
  <si>
    <t>Laundry Basket with Rolling Wheel</t>
  </si>
  <si>
    <t>Microwave Oven 20L</t>
  </si>
  <si>
    <t>Refrigerator Inverter</t>
  </si>
  <si>
    <t>Reflectorized Vest - (green)</t>
  </si>
  <si>
    <t>LOBO</t>
  </si>
  <si>
    <t>BM ABU - REYES</t>
  </si>
  <si>
    <t>BM VIDAL</t>
  </si>
  <si>
    <t>Visitors Chair</t>
  </si>
  <si>
    <t>-mesh airflow backseat</t>
  </si>
  <si>
    <t>-lumbar support</t>
  </si>
  <si>
    <t>-fabric upholstered seat</t>
  </si>
  <si>
    <t>-Dimension: L57cm x W 49cm</t>
  </si>
  <si>
    <t>x H100cm</t>
  </si>
  <si>
    <t>3 Seater Couch - Leather Black</t>
  </si>
  <si>
    <t>- Personal ref</t>
  </si>
  <si>
    <t>-3.5 cu. ft</t>
  </si>
  <si>
    <t>-capacity freezer: 28L</t>
  </si>
  <si>
    <t>-Defrost system: Manual</t>
  </si>
  <si>
    <t>-Net weight 23.4kg</t>
  </si>
  <si>
    <t>-Power requirements:</t>
  </si>
  <si>
    <t>Multi - Purpose Shredder</t>
  </si>
  <si>
    <t>Shreds wet organic solid waste up to 1 hour</t>
  </si>
  <si>
    <t>Air Diffuser/Purifier with flavoured perfume</t>
  </si>
  <si>
    <t xml:space="preserve">Air freshener , scented gel </t>
  </si>
  <si>
    <t>Bowl - Medium  , porcelain</t>
  </si>
  <si>
    <t>Casserole Stainless , medium</t>
  </si>
  <si>
    <t>Certificate Holder, Long</t>
  </si>
  <si>
    <t>Certificate Holder, A4</t>
  </si>
  <si>
    <t>Chaffing Dish</t>
  </si>
  <si>
    <t xml:space="preserve">Chopping Board </t>
  </si>
  <si>
    <t>Cups &amp; saucer 1 dozen</t>
  </si>
  <si>
    <t>Diffuser/Purifier Oil</t>
  </si>
  <si>
    <t>Electric Stand Fan,  16 inch blade , 3-wing control sytem,3-wing aluminum blade, Oscillation control,  Adjustable fan head,Adjustable stand height,Thermal fuse protected motor</t>
  </si>
  <si>
    <t xml:space="preserve">Electric Insect  Killer, </t>
  </si>
  <si>
    <t>Extension Cord (Universal Extension Cord 10-Gang )</t>
  </si>
  <si>
    <t xml:space="preserve">Fabric Conditioner, 900ml </t>
  </si>
  <si>
    <t>Frying Pan , non-stick,  stainless</t>
  </si>
  <si>
    <t>Frying Spatula, Stainless</t>
  </si>
  <si>
    <t xml:space="preserve">Furniture Cleaner 330ml                   </t>
  </si>
  <si>
    <t xml:space="preserve">Glass Cleaner 500 ml </t>
  </si>
  <si>
    <t>Glass Window Cleaner  Squeegee with Foam , Adjustable handle</t>
  </si>
  <si>
    <t>HDMI 2.0 Cable,  5 m</t>
  </si>
  <si>
    <t xml:space="preserve">Insecticide 600ml </t>
  </si>
  <si>
    <t>Kitchen Knife , stainless steel</t>
  </si>
  <si>
    <t>pcs</t>
  </si>
  <si>
    <t>units</t>
  </si>
  <si>
    <t>Units</t>
  </si>
  <si>
    <t>bottles</t>
  </si>
  <si>
    <t>pc</t>
  </si>
  <si>
    <t>Napthalene Balls 175 grams</t>
  </si>
  <si>
    <t>Panel light , 40W, daylight</t>
  </si>
  <si>
    <t>Handheld Radio, Terminal Type: 4G POC Radio,Product Size: 130*55*25MM(Including Antenna),Product Weight: 150G,Operating System: Linux,Main Screen Size: 1.4inch SPI,Resolution: 128x128,Sim Card Type: Dual Sim Card, Nano Sim Card,4G Antenna: Built-in FPC Antenna,Communication Interface: TYPE-C,Audio Port: TYPE-C</t>
  </si>
  <si>
    <t>and Bottled Juice</t>
  </si>
  <si>
    <t xml:space="preserve">      </t>
  </si>
  <si>
    <t>Lunch Buffet: 3 Viands with Rice, Dessert</t>
  </si>
  <si>
    <t>Softdrinks</t>
  </si>
  <si>
    <t>Lunch Buffet: 3 Viands with Rice, Dessert and Drinks/Bottled Water</t>
  </si>
  <si>
    <t>15 pax</t>
  </si>
  <si>
    <t>Representation Expenses - 5-02-99-030</t>
  </si>
  <si>
    <r>
      <t xml:space="preserve">Purpose/Remarks: </t>
    </r>
    <r>
      <rPr>
        <u/>
        <sz val="10"/>
        <rFont val="Arial"/>
        <family val="2"/>
      </rPr>
      <t xml:space="preserve">To be served during the Benchmarking Activity of Lucban, Quezon Municipal Cooperative </t>
    </r>
  </si>
  <si>
    <t xml:space="preserve">                                and The Lanao del Sur Economic Sector (SMEs) on November 22, 2024.</t>
  </si>
  <si>
    <t xml:space="preserve">      Development Council (MCDC) on November 15, 2024.</t>
  </si>
  <si>
    <r>
      <t>T</t>
    </r>
    <r>
      <rPr>
        <u/>
        <sz val="10"/>
        <rFont val="Arial"/>
        <family val="2"/>
      </rPr>
      <t xml:space="preserve">o be served during the Benchmarking Activity of PGSO Lanao Del Sur on October 23, 2025. </t>
    </r>
  </si>
  <si>
    <t>4th</t>
  </si>
  <si>
    <t>quarter/month of   October</t>
  </si>
  <si>
    <t xml:space="preserve">Accommodation </t>
  </si>
  <si>
    <t>EMILIO FRANCISCO A. BERBERABE, JR.</t>
  </si>
  <si>
    <t>LLSO II</t>
  </si>
  <si>
    <t>HAYDEE P. HERRELLA</t>
  </si>
  <si>
    <t>MARIA VANESSA C. BRIONES - VEGAS</t>
  </si>
  <si>
    <t>OIC - Supervising Auditor</t>
  </si>
  <si>
    <t>AM Snacks: Pancit and Drinks</t>
  </si>
  <si>
    <r>
      <t xml:space="preserve">Purpose/Remarks : </t>
    </r>
    <r>
      <rPr>
        <u/>
        <sz val="10"/>
        <rFont val="Arial"/>
        <family val="2"/>
      </rPr>
      <t>To be served on the Training on Real Property Tax Compliance and Impact Study and Updates on</t>
    </r>
  </si>
  <si>
    <t>the Status of Implementation of the Real Property Valuation and Assessment Reform Act (RPVARA)</t>
  </si>
  <si>
    <t>on December 1-3, 2025.</t>
  </si>
  <si>
    <t>Heavy PM Snacks: Pasta with Bread and Drinks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</si>
  <si>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</si>
  <si>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Purpose/Remarks : </t>
    </r>
    <r>
      <rPr>
        <u/>
        <sz val="10"/>
        <rFont val="Arial"/>
        <family val="2"/>
      </rPr>
      <t xml:space="preserve"> </t>
    </r>
  </si>
  <si>
    <r>
      <t xml:space="preserve">Date: </t>
    </r>
    <r>
      <rPr>
        <u/>
        <sz val="10"/>
        <rFont val="Arial"/>
        <family val="2"/>
      </rPr>
      <t>01/13/2026</t>
    </r>
  </si>
  <si>
    <r>
      <t xml:space="preserve">Purpose/Remarks: </t>
    </r>
    <r>
      <rPr>
        <u/>
        <sz val="10"/>
        <rFont val="Arial"/>
        <family val="2"/>
      </rPr>
      <t>To be served in the meeting Re: Local Planning and Development Coordinator's General</t>
    </r>
  </si>
  <si>
    <t xml:space="preserve">                                Assembly on February 20, 2026.</t>
  </si>
  <si>
    <r>
      <t xml:space="preserve">Purpose/Remarks: </t>
    </r>
    <r>
      <rPr>
        <u/>
        <sz val="10"/>
        <rFont val="Arial"/>
        <family val="2"/>
      </rPr>
      <t>To be served in the conduct of a meeting with the Provincial Administrator, LTFRB, Provincial</t>
    </r>
  </si>
  <si>
    <t xml:space="preserve">              Legal Officer and Provincial Director of DILG re: Local Public Transport Route Plan on January 15, 2026.</t>
  </si>
  <si>
    <t>PM Snacks: Jumbo Burger and Canned Juice</t>
  </si>
  <si>
    <r>
      <t xml:space="preserve">PR No. </t>
    </r>
    <r>
      <rPr>
        <u/>
        <sz val="10"/>
        <rFont val="Arial"/>
        <family val="2"/>
      </rPr>
      <t>0126-0022</t>
    </r>
  </si>
  <si>
    <r>
      <t xml:space="preserve">PR No. </t>
    </r>
    <r>
      <rPr>
        <u/>
        <sz val="10"/>
        <rFont val="Arial"/>
        <family val="2"/>
      </rPr>
      <t>0126-0023</t>
    </r>
  </si>
  <si>
    <r>
      <t xml:space="preserve">Purpose/Remarks : </t>
    </r>
    <r>
      <rPr>
        <u/>
        <sz val="10"/>
        <rFont val="Arial"/>
        <family val="2"/>
      </rPr>
      <t xml:space="preserve">To be served during the Budget Hearing on Committee on Appropriation on  </t>
    </r>
  </si>
  <si>
    <t xml:space="preserve">       re: feeding program on  </t>
  </si>
  <si>
    <r>
      <t xml:space="preserve">PR No. </t>
    </r>
    <r>
      <rPr>
        <u/>
        <sz val="10"/>
        <rFont val="Arial"/>
        <family val="2"/>
      </rPr>
      <t xml:space="preserve">0126-0024 </t>
    </r>
  </si>
  <si>
    <t>EnP MARISA M. MENDOZA</t>
  </si>
  <si>
    <t>PM Snacks: Baked Mac and Canned Juice</t>
  </si>
  <si>
    <r>
      <t xml:space="preserve">PR No. </t>
    </r>
    <r>
      <rPr>
        <u/>
        <sz val="10"/>
        <rFont val="Arial"/>
        <family val="2"/>
      </rPr>
      <t>0126-0001</t>
    </r>
  </si>
  <si>
    <r>
      <t xml:space="preserve">Date: </t>
    </r>
    <r>
      <rPr>
        <u/>
        <sz val="10"/>
        <rFont val="Arial"/>
        <family val="2"/>
      </rPr>
      <t>01/05/2026</t>
    </r>
  </si>
  <si>
    <t>AM Snacks: Carbonara and Canned Juice</t>
  </si>
  <si>
    <t>PM Snacks: Mamon and Drinks</t>
  </si>
  <si>
    <r>
      <t xml:space="preserve">Purpose/Remarks: </t>
    </r>
    <r>
      <rPr>
        <u/>
        <sz val="10"/>
        <rFont val="Arial"/>
        <family val="2"/>
      </rPr>
      <t>To be served in the Technical Working Group meeting Re: Forthcoming Local Government</t>
    </r>
  </si>
  <si>
    <t>Unit Validation for the Matatag na Batangas Award: Visionary Leadership Towards Sustainable &amp; Resilient Local</t>
  </si>
  <si>
    <t>Government Units on January 9, 2026.</t>
  </si>
  <si>
    <t>PGDH - PHRMO</t>
  </si>
  <si>
    <r>
      <t xml:space="preserve">Purpose/Remarks: </t>
    </r>
    <r>
      <rPr>
        <u/>
        <sz val="10"/>
        <rFont val="Arial"/>
        <family val="2"/>
      </rPr>
      <t>To be served in the Joint meeting of PRA and PRA-TWG re: NBEX Project on January 15, 2026.</t>
    </r>
  </si>
  <si>
    <t>Heavy PM Snacks: Baked Macaroni, Garlic</t>
  </si>
  <si>
    <t>Bread, Ginataang Halo-halo and Bottled Water</t>
  </si>
  <si>
    <t>Breakfast: 2 Viands with Rice, Dessert and</t>
  </si>
  <si>
    <r>
      <t xml:space="preserve">PR No. </t>
    </r>
    <r>
      <rPr>
        <u/>
        <sz val="10"/>
        <rFont val="Arial"/>
        <family val="2"/>
      </rPr>
      <t>0126-0002</t>
    </r>
  </si>
  <si>
    <r>
      <t>Date:</t>
    </r>
    <r>
      <rPr>
        <u/>
        <sz val="10"/>
        <rFont val="Arial"/>
        <family val="2"/>
      </rPr>
      <t>01/05/2026</t>
    </r>
  </si>
  <si>
    <r>
      <t xml:space="preserve">PR No. </t>
    </r>
    <r>
      <rPr>
        <u/>
        <sz val="10"/>
        <rFont val="Arial"/>
        <family val="2"/>
      </rPr>
      <t>0126-0003</t>
    </r>
  </si>
  <si>
    <r>
      <t>Date:</t>
    </r>
    <r>
      <rPr>
        <u/>
        <sz val="10"/>
        <rFont val="Arial"/>
        <family val="2"/>
      </rPr>
      <t>01/09/2026</t>
    </r>
  </si>
  <si>
    <r>
      <t xml:space="preserve">PR No. </t>
    </r>
    <r>
      <rPr>
        <u/>
        <sz val="10"/>
        <rFont val="Arial"/>
        <family val="2"/>
      </rPr>
      <t>0126-0012</t>
    </r>
  </si>
  <si>
    <r>
      <t>Date:</t>
    </r>
    <r>
      <rPr>
        <u/>
        <sz val="10"/>
        <rFont val="Arial"/>
        <family val="2"/>
      </rPr>
      <t>01/13/2026</t>
    </r>
  </si>
  <si>
    <t>Heavy AM Snacks: Baked Mac, Chicken</t>
  </si>
  <si>
    <t>Sandwich and Assorted Drinks</t>
  </si>
  <si>
    <t xml:space="preserve">        President in the Province of Batangas on January 30, 2026.</t>
  </si>
  <si>
    <t>PGADH</t>
  </si>
  <si>
    <t>AM Snacks: Batangas Delicacies and Drinks</t>
  </si>
  <si>
    <r>
      <t xml:space="preserve">Purpose/Remarks : </t>
    </r>
    <r>
      <rPr>
        <u/>
        <sz val="10"/>
        <rFont val="Arial"/>
        <family val="2"/>
      </rPr>
      <t xml:space="preserve">To be served to the monthly meeting of the City/Municipal Budget Officers of Batangas on   </t>
    </r>
  </si>
  <si>
    <t xml:space="preserve">       January 30, 2026.</t>
  </si>
  <si>
    <r>
      <t xml:space="preserve">Date: </t>
    </r>
    <r>
      <rPr>
        <u/>
        <sz val="10"/>
        <color theme="1"/>
        <rFont val="Arial"/>
        <family val="2"/>
      </rPr>
      <t>01/21/2026</t>
    </r>
    <r>
      <rPr>
        <u/>
        <sz val="10"/>
        <color indexed="8"/>
        <rFont val="Arial"/>
        <family val="2"/>
      </rPr>
      <t xml:space="preserve"> </t>
    </r>
  </si>
  <si>
    <r>
      <t xml:space="preserve">PR No. </t>
    </r>
    <r>
      <rPr>
        <u/>
        <sz val="10"/>
        <rFont val="Arial"/>
        <family val="2"/>
      </rPr>
      <t>0126-</t>
    </r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</si>
  <si>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West District in the City of</t>
    </r>
  </si>
  <si>
    <t xml:space="preserve">        Lipa on January 30, 2026.  </t>
  </si>
  <si>
    <t>and Drinks/Bottled Water</t>
  </si>
  <si>
    <r>
      <t>Date:</t>
    </r>
    <r>
      <rPr>
        <u/>
        <sz val="10"/>
        <rFont val="Arial"/>
        <family val="2"/>
      </rPr>
      <t>01/19/2026</t>
    </r>
  </si>
  <si>
    <r>
      <t xml:space="preserve">PR No. </t>
    </r>
    <r>
      <rPr>
        <u/>
        <sz val="10"/>
        <rFont val="Arial"/>
        <family val="2"/>
      </rPr>
      <t>0126-0039</t>
    </r>
  </si>
  <si>
    <r>
      <t xml:space="preserve">PR No. </t>
    </r>
    <r>
      <rPr>
        <u/>
        <sz val="10"/>
        <rFont val="Arial"/>
        <family val="2"/>
      </rPr>
      <t>0126-0055</t>
    </r>
  </si>
  <si>
    <r>
      <t xml:space="preserve">Date: </t>
    </r>
    <r>
      <rPr>
        <u/>
        <sz val="10"/>
        <rFont val="Arial"/>
        <family val="2"/>
      </rPr>
      <t>01-21-2026</t>
    </r>
  </si>
  <si>
    <r>
      <t xml:space="preserve">Date: </t>
    </r>
    <r>
      <rPr>
        <u/>
        <sz val="10"/>
        <rFont val="Arial"/>
        <family val="2"/>
      </rPr>
      <t>01/21/2026</t>
    </r>
  </si>
  <si>
    <r>
      <t xml:space="preserve">PR No. </t>
    </r>
    <r>
      <rPr>
        <u/>
        <sz val="10"/>
        <rFont val="Arial"/>
        <family val="2"/>
      </rPr>
      <t>0126-0056</t>
    </r>
  </si>
  <si>
    <r>
      <t xml:space="preserve">PR No. </t>
    </r>
    <r>
      <rPr>
        <u/>
        <sz val="10"/>
        <color theme="1"/>
        <rFont val="Arial"/>
        <family val="2"/>
      </rPr>
      <t>0126-0057</t>
    </r>
    <r>
      <rPr>
        <u/>
        <sz val="10"/>
        <color indexed="8"/>
        <rFont val="Arial"/>
        <family val="2"/>
      </rPr>
      <t xml:space="preserve"> </t>
    </r>
  </si>
  <si>
    <t>AM Snacks: Jumbo Burger and Softdrinks</t>
  </si>
  <si>
    <t>PM Snacks: Pad Thai and Canned Juice</t>
  </si>
  <si>
    <t>Brewed Coffee</t>
  </si>
  <si>
    <r>
      <t>Purpose/Remarks:</t>
    </r>
    <r>
      <rPr>
        <u/>
        <sz val="10"/>
        <rFont val="Arial"/>
        <family val="2"/>
      </rPr>
      <t xml:space="preserve"> To be served during the League of Cooperative Development Officers ng Pilipinas (LCDOP)</t>
    </r>
  </si>
  <si>
    <t>(Charlie Chan), Chicken Sandwich and</t>
  </si>
  <si>
    <r>
      <t>Purpose/Remarks:</t>
    </r>
    <r>
      <rPr>
        <u/>
        <sz val="10"/>
        <rFont val="Arial"/>
        <family val="2"/>
      </rPr>
      <t xml:space="preserve"> To be served during the Southern Tagalog Regional Cooperative Development Council</t>
    </r>
  </si>
  <si>
    <t xml:space="preserve">        (STARCDC) Quarterly Meeting on February 27, 2026.</t>
  </si>
  <si>
    <t xml:space="preserve">Lunch: 3 viands with rice, dessert and </t>
  </si>
  <si>
    <t>drinks/bottled water</t>
  </si>
  <si>
    <r>
      <t xml:space="preserve">Purpose/Remarks : </t>
    </r>
    <r>
      <rPr>
        <u/>
        <sz val="10"/>
        <rFont val="Arial"/>
        <family val="2"/>
      </rPr>
      <t xml:space="preserve">To be served during the Regular Session of the Vice Governor and SP Board Members on </t>
    </r>
  </si>
  <si>
    <t xml:space="preserve">        Lipa on February 9, 2026.  </t>
  </si>
  <si>
    <t xml:space="preserve">        Lipa on February 23, 2026.  </t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</si>
  <si>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East District in the City of</t>
    </r>
  </si>
  <si>
    <t>Bread and Canned Juice</t>
  </si>
  <si>
    <r>
      <t xml:space="preserve">Purpose/Remarks: </t>
    </r>
    <r>
      <rPr>
        <u/>
        <sz val="10"/>
        <rFont val="Arial"/>
        <family val="2"/>
      </rPr>
      <t>To be served during the Civil Society Organization Planning Session on January 26, 2026.</t>
    </r>
  </si>
  <si>
    <r>
      <t xml:space="preserve">PR No. </t>
    </r>
    <r>
      <rPr>
        <u/>
        <sz val="10"/>
        <rFont val="Arial"/>
        <family val="2"/>
      </rPr>
      <t xml:space="preserve">0126-0058 </t>
    </r>
  </si>
  <si>
    <t xml:space="preserve">        February 23, 2026.</t>
  </si>
  <si>
    <t xml:space="preserve">        February 16, 2026.</t>
  </si>
  <si>
    <t xml:space="preserve">        February 9, 2026.</t>
  </si>
  <si>
    <t xml:space="preserve">        February 2, 2026.</t>
  </si>
  <si>
    <r>
      <t xml:space="preserve">PR No. </t>
    </r>
    <r>
      <rPr>
        <u/>
        <sz val="10"/>
        <rFont val="Arial"/>
        <family val="2"/>
      </rPr>
      <t>0126-0059</t>
    </r>
  </si>
  <si>
    <r>
      <t xml:space="preserve">Purpose/Remarks : </t>
    </r>
    <r>
      <rPr>
        <u/>
        <sz val="10"/>
        <rFont val="Arial"/>
        <family val="2"/>
      </rPr>
      <t>To be served during the Annual Celebration of Bahay Pag-Asa (10th Year Founding Anniversary)</t>
    </r>
  </si>
  <si>
    <t xml:space="preserve">         on March 18, 2026.</t>
  </si>
  <si>
    <t>MBJ CANTEEN &amp; CATERING SERVICES</t>
  </si>
  <si>
    <t>TANVILLE</t>
  </si>
  <si>
    <t>924 FOOD SERVICES</t>
  </si>
  <si>
    <t>THREE J'S CRAVING'S LUTONG BAHAY</t>
  </si>
  <si>
    <t>PARES DE FESING CATERING SERVICES</t>
  </si>
  <si>
    <t>MARY LAURYNE CATERING SERVICES</t>
  </si>
  <si>
    <t>NORMA CLEOFE'S CANTEEN</t>
  </si>
  <si>
    <t>RIESAN FOOD CORNER</t>
  </si>
  <si>
    <t xml:space="preserve">ISLAND OF CORALS BEACH RESORT AND CATERING SERVICES </t>
  </si>
  <si>
    <t>JHULIAN'S CATERING SERVICES</t>
  </si>
  <si>
    <t>BLUE SAPPHIRE SOCIAL EVENTS CORP.</t>
  </si>
  <si>
    <t>AM/PM SNACKS - 200.00</t>
  </si>
  <si>
    <t>HEAVY AM/PM SNACKS - 250.00</t>
  </si>
  <si>
    <t>BUFFET: (3 VIANDS) - 500.00 / 600.00 / 750.00</t>
  </si>
  <si>
    <t>LUNCH (PACK) : 2 VIANDS - 350.00</t>
  </si>
  <si>
    <t xml:space="preserve">                        : 3 VIANDS - 450.00</t>
  </si>
  <si>
    <r>
      <t>Date:</t>
    </r>
    <r>
      <rPr>
        <u/>
        <sz val="10"/>
        <rFont val="Arial"/>
        <family val="2"/>
      </rPr>
      <t xml:space="preserve">01/22/2026 </t>
    </r>
  </si>
  <si>
    <t>Meals: Chicken with Rice</t>
  </si>
  <si>
    <t xml:space="preserve">        January 19, 2026.</t>
  </si>
  <si>
    <t>Chowking</t>
  </si>
  <si>
    <t>Office of the Vice Governor</t>
  </si>
  <si>
    <t>MARIA ISABEL B. BEJASA</t>
  </si>
  <si>
    <t>Local Legislative Staff Officer III</t>
  </si>
  <si>
    <r>
      <t xml:space="preserve">Date: </t>
    </r>
    <r>
      <rPr>
        <u/>
        <sz val="10"/>
        <rFont val="Arial"/>
        <family val="2"/>
      </rPr>
      <t>01/22/2026</t>
    </r>
  </si>
  <si>
    <t>PM Snacks: Cheese Burger and Softdrinks</t>
  </si>
  <si>
    <r>
      <t xml:space="preserve">Purpose/Remarks: </t>
    </r>
    <r>
      <rPr>
        <u/>
        <sz val="10"/>
        <rFont val="Arial"/>
        <family val="2"/>
      </rPr>
      <t>To be served during the Exercise Planning Meeting for NSED 1st Quarter on January 29, 2026.</t>
    </r>
  </si>
  <si>
    <t xml:space="preserve">Heavy AM Snacks: Assorted Kakanin, </t>
  </si>
  <si>
    <t>Pandesal with Butter and Free Flowing Coffee</t>
  </si>
  <si>
    <t xml:space="preserve">PM Snacks: Pancit Canton Sotanghon,  </t>
  </si>
  <si>
    <t>Garlic Bread and Bottled Juice</t>
  </si>
  <si>
    <t>AM Snacks: Clubhouse Sandwich and Drinks</t>
  </si>
  <si>
    <t>PM Snacks: Seafood Marinara and Drinks</t>
  </si>
  <si>
    <r>
      <t xml:space="preserve">Purpose/Remarks: </t>
    </r>
    <r>
      <rPr>
        <u/>
        <sz val="10"/>
        <rFont val="Arial"/>
        <family val="2"/>
      </rPr>
      <t>To be served during the meeting of Local Economic Development and Investment Promotions</t>
    </r>
  </si>
  <si>
    <t>AM Snacks: Pasta and Canned Juice</t>
  </si>
  <si>
    <r>
      <t xml:space="preserve">Purpose/Remarks: </t>
    </r>
    <r>
      <rPr>
        <u/>
        <sz val="10"/>
        <rFont val="Arial"/>
        <family val="2"/>
      </rPr>
      <t>To be served during the MBA VSR Assessment Team meeting on February 18, 2026.</t>
    </r>
  </si>
  <si>
    <t>AM Snacks: Baked Mac with Garlic Bread and Drinks</t>
  </si>
  <si>
    <t>PM Snacks: Burger and Drinks</t>
  </si>
  <si>
    <t>PM Snacks: Clubhouse Sandwich and Canned Juice</t>
  </si>
  <si>
    <t>AM Snacks: Pancit Canton with Puto and Drinks</t>
  </si>
  <si>
    <t>PM Snacks: Pancit with Puto and Canned Juice</t>
  </si>
  <si>
    <r>
      <t xml:space="preserve">Purpose/Remarks: </t>
    </r>
    <r>
      <rPr>
        <u/>
        <sz val="10"/>
        <rFont val="Arial"/>
        <family val="2"/>
      </rPr>
      <t>To be served during the 1Q meeting Provincial Project Monitoring Committee (PPMC)</t>
    </r>
  </si>
  <si>
    <t xml:space="preserve">                                Quarterly Field Monitoring Activity.</t>
  </si>
  <si>
    <t>Day 1 - February 26, 2026</t>
  </si>
  <si>
    <t>Day 2 - February 27, 2026</t>
  </si>
  <si>
    <t>Dinner: 3 Viands with Rice, Dessert and</t>
  </si>
  <si>
    <t>AM Snacks: Clubhouse Sandwich and Brewed Coffee</t>
  </si>
  <si>
    <t xml:space="preserve">PM Snacks: Palabok with Garlic Bread and </t>
  </si>
  <si>
    <t xml:space="preserve">        National Quarterly Meeting.</t>
  </si>
  <si>
    <t>Day 1 - February 19, 2026</t>
  </si>
  <si>
    <t>Day 2 - February 20, 2026</t>
  </si>
  <si>
    <t>Dinner: 2 Viands with Rice, Dessert and</t>
  </si>
  <si>
    <t xml:space="preserve">                                Officer (LEDIPO) on February 27, 2026.</t>
  </si>
  <si>
    <r>
      <t>Date:</t>
    </r>
    <r>
      <rPr>
        <u/>
        <sz val="10"/>
        <rFont val="Arial"/>
        <family val="2"/>
      </rPr>
      <t xml:space="preserve">01/09/2026 </t>
    </r>
  </si>
  <si>
    <r>
      <t>PR No.</t>
    </r>
    <r>
      <rPr>
        <u/>
        <sz val="10"/>
        <rFont val="Arial"/>
        <family val="2"/>
      </rPr>
      <t xml:space="preserve"> 0126-0013 </t>
    </r>
  </si>
  <si>
    <r>
      <t xml:space="preserve">PR No. </t>
    </r>
    <r>
      <rPr>
        <u/>
        <sz val="10"/>
        <rFont val="Arial"/>
        <family val="2"/>
      </rPr>
      <t>0126-0078</t>
    </r>
  </si>
  <si>
    <r>
      <t xml:space="preserve">PR No. </t>
    </r>
    <r>
      <rPr>
        <u/>
        <sz val="10"/>
        <rFont val="Arial"/>
        <family val="2"/>
      </rPr>
      <t>0126-0079</t>
    </r>
  </si>
  <si>
    <r>
      <t xml:space="preserve">PR No. </t>
    </r>
    <r>
      <rPr>
        <u/>
        <sz val="10"/>
        <rFont val="Arial"/>
        <family val="2"/>
      </rPr>
      <t>0126-0080</t>
    </r>
  </si>
  <si>
    <r>
      <t>PR No.</t>
    </r>
    <r>
      <rPr>
        <u/>
        <sz val="10"/>
        <rFont val="Arial"/>
        <family val="2"/>
      </rPr>
      <t xml:space="preserve"> 0126-0084 </t>
    </r>
  </si>
  <si>
    <r>
      <t xml:space="preserve">PR No. </t>
    </r>
    <r>
      <rPr>
        <u/>
        <sz val="10"/>
        <rFont val="Arial"/>
        <family val="2"/>
      </rPr>
      <t>0126-0085</t>
    </r>
  </si>
  <si>
    <r>
      <t xml:space="preserve">PR No. </t>
    </r>
    <r>
      <rPr>
        <u/>
        <sz val="10"/>
        <rFont val="Arial"/>
        <family val="2"/>
      </rPr>
      <t xml:space="preserve">0126-0086 </t>
    </r>
  </si>
  <si>
    <r>
      <t xml:space="preserve">PR No. </t>
    </r>
    <r>
      <rPr>
        <u/>
        <sz val="10"/>
        <rFont val="Arial"/>
        <family val="2"/>
      </rPr>
      <t xml:space="preserve">0126-0087 </t>
    </r>
  </si>
  <si>
    <r>
      <t xml:space="preserve">Date: </t>
    </r>
    <r>
      <rPr>
        <u/>
        <sz val="10"/>
        <rFont val="Arial"/>
        <family val="2"/>
      </rPr>
      <t>01-22-2026</t>
    </r>
  </si>
  <si>
    <r>
      <t xml:space="preserve">PR No. </t>
    </r>
    <r>
      <rPr>
        <u/>
        <sz val="10"/>
        <rFont val="Arial"/>
        <family val="2"/>
      </rPr>
      <t xml:space="preserve">0126-0088 </t>
    </r>
  </si>
  <si>
    <r>
      <t xml:space="preserve">PR No. </t>
    </r>
    <r>
      <rPr>
        <u/>
        <sz val="10"/>
        <rFont val="Arial"/>
        <family val="2"/>
      </rPr>
      <t xml:space="preserve">0126-0089 </t>
    </r>
  </si>
  <si>
    <r>
      <t xml:space="preserve">PR No. </t>
    </r>
    <r>
      <rPr>
        <u/>
        <sz val="10"/>
        <rFont val="Arial"/>
        <family val="2"/>
      </rPr>
      <t xml:space="preserve">0126-0090 </t>
    </r>
  </si>
  <si>
    <r>
      <t xml:space="preserve">PR No. </t>
    </r>
    <r>
      <rPr>
        <u/>
        <sz val="10"/>
        <rFont val="Arial"/>
        <family val="2"/>
      </rPr>
      <t xml:space="preserve">0126-0091 </t>
    </r>
  </si>
  <si>
    <r>
      <t xml:space="preserve">PR No. </t>
    </r>
    <r>
      <rPr>
        <u/>
        <sz val="10"/>
        <rFont val="Arial"/>
        <family val="2"/>
      </rPr>
      <t xml:space="preserve">0126-0092 </t>
    </r>
  </si>
  <si>
    <t xml:space="preserve">Lunch: 2 Viands with Rice, Dessert and  </t>
  </si>
  <si>
    <t xml:space="preserve"> -  with free flowing coffee</t>
  </si>
  <si>
    <t>Heavy AM Snacks: Stir Fried Pasta</t>
  </si>
  <si>
    <r>
      <t>Date:</t>
    </r>
    <r>
      <rPr>
        <u/>
        <sz val="10"/>
        <rFont val="Arial"/>
        <family val="2"/>
      </rPr>
      <t>01/22/2026</t>
    </r>
  </si>
  <si>
    <r>
      <t xml:space="preserve">Purpose/Remarks : </t>
    </r>
    <r>
      <rPr>
        <u/>
        <sz val="10"/>
        <rFont val="Arial"/>
        <family val="2"/>
      </rPr>
      <t>Foods served during the meeting with the Provincial Legal Officer and PG-ENRO OIC on</t>
    </r>
  </si>
  <si>
    <r>
      <t xml:space="preserve">Purpose/Remarks : </t>
    </r>
    <r>
      <rPr>
        <u/>
        <sz val="10"/>
        <rFont val="Arial"/>
        <family val="2"/>
      </rPr>
      <t xml:space="preserve">Foods served during Departmental meeting on January 6, 2026.  </t>
    </r>
  </si>
  <si>
    <t>Meals : Chicken with Rice</t>
  </si>
  <si>
    <t xml:space="preserve">       February 27, 2026.</t>
  </si>
  <si>
    <t>AM Snacks: Lasagna with Garlic Bread and</t>
  </si>
  <si>
    <t>Participants:</t>
  </si>
  <si>
    <t>Guests:</t>
  </si>
  <si>
    <r>
      <t xml:space="preserve">Purpose/Remarks : </t>
    </r>
    <r>
      <rPr>
        <u/>
        <sz val="10"/>
        <rFont val="Arial"/>
        <family val="2"/>
      </rPr>
      <t>To be served during the Provincial Women's Month Celebration 2026 on March 11, 2026.</t>
    </r>
  </si>
  <si>
    <r>
      <t>Date:</t>
    </r>
    <r>
      <rPr>
        <u/>
        <sz val="10"/>
        <rFont val="Arial"/>
        <family val="2"/>
      </rPr>
      <t>01-22-2026</t>
    </r>
  </si>
  <si>
    <t xml:space="preserve">Lunch Buffet: 3 Viands with Rice, Dessert and  </t>
  </si>
  <si>
    <r>
      <t xml:space="preserve">PR No. </t>
    </r>
    <r>
      <rPr>
        <u/>
        <sz val="10"/>
        <rFont val="Arial"/>
        <family val="2"/>
      </rPr>
      <t xml:space="preserve">0126-0093 </t>
    </r>
  </si>
  <si>
    <t xml:space="preserve">Office of the Provincial Administrator  </t>
  </si>
  <si>
    <r>
      <t xml:space="preserve">Purpose/Remarks: </t>
    </r>
    <r>
      <rPr>
        <u/>
        <sz val="10"/>
        <rFont val="Arial"/>
        <family val="2"/>
      </rPr>
      <t>To be served during the Committee Hearing on Education with ADMIN Office, Budget and Other</t>
    </r>
  </si>
  <si>
    <t xml:space="preserve">       Board Members on January 26, 2026.</t>
  </si>
  <si>
    <r>
      <t xml:space="preserve">Date: </t>
    </r>
    <r>
      <rPr>
        <u/>
        <sz val="10"/>
        <rFont val="Arial"/>
        <family val="2"/>
      </rPr>
      <t>01/23/2026</t>
    </r>
  </si>
  <si>
    <t>AM Snacks: Cheese Pineapple Sandwich and</t>
  </si>
  <si>
    <t>PM Snacks: Chicken Sandwich and Pineapple Juice</t>
  </si>
  <si>
    <r>
      <t xml:space="preserve">Purpose/Remarks: </t>
    </r>
    <r>
      <rPr>
        <u/>
        <sz val="10"/>
        <rFont val="Arial"/>
        <family val="2"/>
      </rPr>
      <t>To be served during the Pre-Validation Meeting on MBA Assessment in District 1 LGUs on</t>
    </r>
  </si>
  <si>
    <t>Heavy PM Snacks: Sinukmani, Puto bao,</t>
  </si>
  <si>
    <t>Kutsinta, Puto pao, Peanut tikoy, Buchi,</t>
  </si>
  <si>
    <r>
      <t xml:space="preserve">Purpose/Remarks: </t>
    </r>
    <r>
      <rPr>
        <u/>
        <sz val="10"/>
        <rFont val="Arial"/>
        <family val="2"/>
      </rPr>
      <t>To be served during the Technical Assistance Meeting for LGU Local DRRM Councils Planning</t>
    </r>
  </si>
  <si>
    <t xml:space="preserve">        and Implementation for CY 2026 on January 28, 2026.</t>
  </si>
  <si>
    <r>
      <t xml:space="preserve">Purpose/Remarks : </t>
    </r>
    <r>
      <rPr>
        <u/>
        <sz val="10"/>
        <rFont val="Arial"/>
        <family val="2"/>
      </rPr>
      <t>To be served during the Coordination Meeting for the Magiting na Batangas Award VSR on</t>
    </r>
  </si>
  <si>
    <t xml:space="preserve">      February 6, 2026.</t>
  </si>
  <si>
    <t>Espasol, Kareoka, Cassava cake, Free</t>
  </si>
  <si>
    <t>Flowing Coffee (Grazing Type)</t>
  </si>
  <si>
    <r>
      <t xml:space="preserve">PR No. </t>
    </r>
    <r>
      <rPr>
        <u/>
        <sz val="10"/>
        <rFont val="Arial"/>
        <family val="2"/>
      </rPr>
      <t xml:space="preserve">0126-0132 </t>
    </r>
  </si>
  <si>
    <r>
      <t xml:space="preserve">PR No. </t>
    </r>
    <r>
      <rPr>
        <u/>
        <sz val="10"/>
        <rFont val="Arial"/>
        <family val="2"/>
      </rPr>
      <t xml:space="preserve">0126-0133 </t>
    </r>
  </si>
  <si>
    <r>
      <t>PR No.</t>
    </r>
    <r>
      <rPr>
        <u/>
        <sz val="10"/>
        <rFont val="Arial"/>
        <family val="2"/>
      </rPr>
      <t xml:space="preserve"> 0126-0134</t>
    </r>
  </si>
  <si>
    <t>Heavy AM Snacks: Japchae with garlic</t>
  </si>
  <si>
    <t>bread and juice</t>
  </si>
  <si>
    <t>Lunch: 4 Viands with Rice, Dessert  and</t>
  </si>
  <si>
    <t xml:space="preserve">Bottled Water  </t>
  </si>
  <si>
    <t xml:space="preserve"> - Served in Managed Buffet</t>
  </si>
  <si>
    <t xml:space="preserve"> - With Free Flowing Coffee</t>
  </si>
  <si>
    <t xml:space="preserve"> - Pica - Pica</t>
  </si>
  <si>
    <t xml:space="preserve"> - with Free Flowing Coffee</t>
  </si>
  <si>
    <r>
      <t xml:space="preserve">Purpose/Remarks: </t>
    </r>
    <r>
      <rPr>
        <u/>
        <sz val="10"/>
        <rFont val="Arial"/>
        <family val="2"/>
      </rPr>
      <t>To be served during the 1st Quarter PDRRM Council Meeting on February 19, 2026.</t>
    </r>
  </si>
  <si>
    <r>
      <t xml:space="preserve">PR No. </t>
    </r>
    <r>
      <rPr>
        <u/>
        <sz val="10"/>
        <rFont val="Arial"/>
        <family val="2"/>
      </rPr>
      <t>0126-0135</t>
    </r>
  </si>
  <si>
    <t xml:space="preserve">Bread and Softdrinks </t>
  </si>
  <si>
    <t xml:space="preserve"> - with free flowing coffee</t>
  </si>
  <si>
    <t>Heavy AM Snacks: Baked Macaroni with Garlic</t>
  </si>
  <si>
    <t>Lunch Buffet: 3 Viands with Rice, Dessert and</t>
  </si>
  <si>
    <t>Assorted Drinks</t>
  </si>
  <si>
    <r>
      <t xml:space="preserve">Purpose/Remarks : </t>
    </r>
    <r>
      <rPr>
        <u/>
        <sz val="10"/>
        <rFont val="Arial"/>
        <family val="2"/>
      </rPr>
      <t>To be served during regular monthly meeting of Panlalawigang Liga ng mga Barangay on</t>
    </r>
  </si>
  <si>
    <t xml:space="preserve">         February 06, 2026.</t>
  </si>
  <si>
    <r>
      <t>Date:</t>
    </r>
    <r>
      <rPr>
        <u/>
        <sz val="10"/>
        <rFont val="Arial"/>
        <family val="2"/>
      </rPr>
      <t>01/26/2026</t>
    </r>
  </si>
  <si>
    <t>Lunch: 2 Viands with Rice, Dessert, Soda</t>
  </si>
  <si>
    <t>and Free Flowing Water</t>
  </si>
  <si>
    <r>
      <t xml:space="preserve">Purpose/Remarks : </t>
    </r>
    <r>
      <rPr>
        <u/>
        <sz val="10"/>
        <rFont val="Arial"/>
        <family val="2"/>
      </rPr>
      <t xml:space="preserve"> To be served during the conduct of Mangrove Tree Growing and Clean-Up activities in the</t>
    </r>
  </si>
  <si>
    <t>AM Snacks: Native Kakanin (Puto, Kutsinta,</t>
  </si>
  <si>
    <t>Tamalis, Suman), Free Flowing Coffee and Water</t>
  </si>
  <si>
    <t>PM Snacks: Carbonara with Toasted Bread,</t>
  </si>
  <si>
    <t>Free Flowing Coffee and Water</t>
  </si>
  <si>
    <r>
      <t xml:space="preserve">Date: </t>
    </r>
    <r>
      <rPr>
        <u/>
        <sz val="10"/>
        <rFont val="Arial"/>
        <family val="2"/>
      </rPr>
      <t>01/26/2026</t>
    </r>
  </si>
  <si>
    <t>Heavy PM Snacks: Clubhouse Sandwich,</t>
  </si>
  <si>
    <t>Spaghetti and Canned Juice</t>
  </si>
  <si>
    <r>
      <t xml:space="preserve">Purpose/Remarks: </t>
    </r>
    <r>
      <rPr>
        <u/>
        <sz val="10"/>
        <rFont val="Arial"/>
        <family val="2"/>
      </rPr>
      <t>To be served during the 1st Quarter Preparedness Committee Meeting on February 20, 2026.</t>
    </r>
  </si>
  <si>
    <t>AM Snacks: Spaghetti and Drinks</t>
  </si>
  <si>
    <r>
      <t xml:space="preserve">Purpose/Remarks : </t>
    </r>
    <r>
      <rPr>
        <u/>
        <sz val="10"/>
        <rFont val="Arial"/>
        <family val="2"/>
      </rPr>
      <t>To be served during the Special Session of Panlalawigang Liga ng mga Barangay on</t>
    </r>
  </si>
  <si>
    <t xml:space="preserve">         February 20, 2026.</t>
  </si>
  <si>
    <t>Heavy AM Snacks: Baked Macaroni, Ham</t>
  </si>
  <si>
    <t>and Cheese Sandwich and Bottled Water</t>
  </si>
  <si>
    <r>
      <t xml:space="preserve">Purpose/Remarks : </t>
    </r>
    <r>
      <rPr>
        <u/>
        <sz val="10"/>
        <rFont val="Arial"/>
        <family val="2"/>
      </rPr>
      <t xml:space="preserve">To be served during the meeting of the recipients of Calatagan Stingless Bee Production </t>
    </r>
  </si>
  <si>
    <t xml:space="preserve">       Project, Farmers, Stakeholders, AEWs, BAHWs and General Clients on February 26, 2026.</t>
  </si>
  <si>
    <t>Cheese Burger</t>
  </si>
  <si>
    <t>Double Cheese Burger</t>
  </si>
  <si>
    <t>3 in 1 Coffee (36's)</t>
  </si>
  <si>
    <t>Heavy AM Snacks: Toasted Siopao, Canton</t>
  </si>
  <si>
    <t>with Sotanghon and Softdrinks</t>
  </si>
  <si>
    <r>
      <t xml:space="preserve">Purpose/Remarks : </t>
    </r>
    <r>
      <rPr>
        <u/>
        <sz val="10"/>
        <rFont val="Arial"/>
        <family val="2"/>
      </rPr>
      <t>To be served during the LAMB Meeting on February 11, 2026.</t>
    </r>
  </si>
  <si>
    <r>
      <t xml:space="preserve">Date: </t>
    </r>
    <r>
      <rPr>
        <u/>
        <sz val="10"/>
        <color theme="1"/>
        <rFont val="Arial"/>
        <family val="2"/>
      </rPr>
      <t>01/26/2026</t>
    </r>
    <r>
      <rPr>
        <u/>
        <sz val="10"/>
        <color indexed="8"/>
        <rFont val="Arial"/>
        <family val="2"/>
      </rPr>
      <t xml:space="preserve"> </t>
    </r>
  </si>
  <si>
    <r>
      <t>PR No.</t>
    </r>
    <r>
      <rPr>
        <u/>
        <sz val="10"/>
        <rFont val="Arial"/>
        <family val="2"/>
      </rPr>
      <t xml:space="preserve"> 0126-0115 </t>
    </r>
  </si>
  <si>
    <r>
      <t xml:space="preserve">PR No. </t>
    </r>
    <r>
      <rPr>
        <u/>
        <sz val="10"/>
        <rFont val="Arial"/>
        <family val="2"/>
      </rPr>
      <t>0126-0140</t>
    </r>
  </si>
  <si>
    <r>
      <t xml:space="preserve">PR No. </t>
    </r>
    <r>
      <rPr>
        <u/>
        <sz val="10"/>
        <rFont val="Arial"/>
        <family val="2"/>
      </rPr>
      <t>0126-0141</t>
    </r>
  </si>
  <si>
    <r>
      <t xml:space="preserve">PR No. </t>
    </r>
    <r>
      <rPr>
        <u/>
        <sz val="10"/>
        <rFont val="Arial"/>
        <family val="2"/>
      </rPr>
      <t>0126-0143</t>
    </r>
  </si>
  <si>
    <r>
      <t xml:space="preserve">PR No. </t>
    </r>
    <r>
      <rPr>
        <u/>
        <sz val="10"/>
        <rFont val="Arial"/>
        <family val="2"/>
      </rPr>
      <t xml:space="preserve">0126-0144 </t>
    </r>
  </si>
  <si>
    <r>
      <t xml:space="preserve">PR No. </t>
    </r>
    <r>
      <rPr>
        <u/>
        <sz val="10"/>
        <rFont val="Arial"/>
        <family val="2"/>
      </rPr>
      <t xml:space="preserve">0126-0145 </t>
    </r>
  </si>
  <si>
    <r>
      <t xml:space="preserve">PR No. </t>
    </r>
    <r>
      <rPr>
        <u/>
        <sz val="10"/>
        <rFont val="Arial"/>
        <family val="2"/>
      </rPr>
      <t xml:space="preserve">0126-0146 </t>
    </r>
  </si>
  <si>
    <r>
      <t>PR No.</t>
    </r>
    <r>
      <rPr>
        <u/>
        <sz val="10"/>
        <rFont val="Arial"/>
        <family val="2"/>
      </rPr>
      <t xml:space="preserve"> 0126-0147 </t>
    </r>
  </si>
  <si>
    <r>
      <t xml:space="preserve">PR No. </t>
    </r>
    <r>
      <rPr>
        <u/>
        <sz val="10"/>
        <color theme="1"/>
        <rFont val="Arial"/>
        <family val="2"/>
      </rPr>
      <t xml:space="preserve">0126-0148 </t>
    </r>
  </si>
  <si>
    <r>
      <t xml:space="preserve">PR No. </t>
    </r>
    <r>
      <rPr>
        <u/>
        <sz val="10"/>
        <rFont val="Arial"/>
        <family val="2"/>
      </rPr>
      <t>0126-0154</t>
    </r>
  </si>
  <si>
    <r>
      <t>Date:</t>
    </r>
    <r>
      <rPr>
        <u/>
        <sz val="10"/>
        <rFont val="Arial"/>
        <family val="2"/>
      </rPr>
      <t xml:space="preserve">01/26/2026 </t>
    </r>
  </si>
  <si>
    <t>One Bedroom Loft</t>
  </si>
  <si>
    <t>Two Bedroom Loft</t>
  </si>
  <si>
    <t>Extra Bed</t>
  </si>
  <si>
    <t>bed</t>
  </si>
  <si>
    <r>
      <t xml:space="preserve">Purpose/Remarks: </t>
    </r>
    <r>
      <rPr>
        <u/>
        <sz val="10"/>
        <rFont val="Arial"/>
        <family val="2"/>
      </rPr>
      <t xml:space="preserve">To be used during video shoot for Batangas Summer Campaign AVP 2026 on  </t>
    </r>
  </si>
  <si>
    <t>Deluxe Room</t>
  </si>
  <si>
    <t>Premium Room</t>
  </si>
  <si>
    <t xml:space="preserve">        February 4-5, 2026 in the Province.</t>
  </si>
  <si>
    <t>Standard Room Double</t>
  </si>
  <si>
    <r>
      <t xml:space="preserve">PR No.  </t>
    </r>
    <r>
      <rPr>
        <u/>
        <sz val="10"/>
        <rFont val="Arial"/>
        <family val="2"/>
      </rPr>
      <t>0126-0164</t>
    </r>
  </si>
  <si>
    <r>
      <t xml:space="preserve">PR No.  </t>
    </r>
    <r>
      <rPr>
        <u/>
        <sz val="10"/>
        <rFont val="Arial"/>
        <family val="2"/>
      </rPr>
      <t>0126-0165</t>
    </r>
  </si>
  <si>
    <r>
      <t xml:space="preserve">PR No.  </t>
    </r>
    <r>
      <rPr>
        <u/>
        <sz val="10"/>
        <rFont val="Arial"/>
        <family val="2"/>
      </rPr>
      <t>0126-0166</t>
    </r>
  </si>
  <si>
    <r>
      <t xml:space="preserve">Purpose/Remarks : </t>
    </r>
    <r>
      <rPr>
        <u/>
        <sz val="10"/>
        <rFont val="Arial"/>
        <family val="2"/>
      </rPr>
      <t>To be served during the Opening of Dialysis Center in Laurel Memorial District Hospital in</t>
    </r>
  </si>
  <si>
    <t xml:space="preserve">        Tanauan City, Batangas on February 18, 2026.</t>
  </si>
  <si>
    <r>
      <t xml:space="preserve">PR No. </t>
    </r>
    <r>
      <rPr>
        <u/>
        <sz val="10"/>
        <rFont val="Arial"/>
        <family val="2"/>
      </rPr>
      <t xml:space="preserve">0126-0169 </t>
    </r>
  </si>
  <si>
    <r>
      <t xml:space="preserve">PR No. </t>
    </r>
    <r>
      <rPr>
        <u/>
        <sz val="10"/>
        <rFont val="Arial"/>
        <family val="2"/>
      </rPr>
      <t xml:space="preserve">0126-0170 </t>
    </r>
  </si>
  <si>
    <t>(9,000.00 per night x 2 nights)</t>
  </si>
  <si>
    <t>(2 Days and 1 Night)</t>
  </si>
  <si>
    <t>Ring Binder Machine</t>
  </si>
  <si>
    <t>Specifications:</t>
  </si>
  <si>
    <t xml:space="preserve"> - Binding Capacity: 450 Sheets</t>
  </si>
  <si>
    <t xml:space="preserve"> - Punching Capacity (max): 25 Sheets</t>
  </si>
  <si>
    <t xml:space="preserve"> - Paper Width: A4, FC, Letter, Legal</t>
  </si>
  <si>
    <t xml:space="preserve"> - Punching Margin Control: 2mm - 5mm</t>
  </si>
  <si>
    <t xml:space="preserve"> - Adjustable Punching Pins and Edge Guide</t>
  </si>
  <si>
    <t xml:space="preserve"> - Dimensions: 490 x 415 x 165mm</t>
  </si>
  <si>
    <t>Bond Paper, Long, 70gsm-copy paper Premium</t>
  </si>
  <si>
    <t>Press Board, Long</t>
  </si>
  <si>
    <t>Expanding Envelope Long with Handle</t>
  </si>
  <si>
    <t>Board Paper 10's/pack, Short, 180gsm (White)</t>
  </si>
  <si>
    <r>
      <t xml:space="preserve">PR No.  </t>
    </r>
    <r>
      <rPr>
        <u/>
        <sz val="10"/>
        <rFont val="Arial"/>
        <family val="2"/>
      </rPr>
      <t xml:space="preserve">0126- </t>
    </r>
  </si>
  <si>
    <t>Heavy AM Snacks: Big Sandwich and Drinks</t>
  </si>
  <si>
    <t>Day 1 - March 2, 2026</t>
  </si>
  <si>
    <t>Day 2 - March 3, 2026</t>
  </si>
  <si>
    <t>Day 3 - March 4, 2026</t>
  </si>
  <si>
    <t>Day 4 - March 5, 2026</t>
  </si>
  <si>
    <t>Day 5 - March 6, 2026</t>
  </si>
  <si>
    <t>Day 6 - March 9, 2026</t>
  </si>
  <si>
    <t>Day 7 - March 10, 2026</t>
  </si>
  <si>
    <t>Day 8 - March 11, 2026</t>
  </si>
  <si>
    <t>Day 9 - March 12, 2026</t>
  </si>
  <si>
    <t>Day 10 - March 13, 2026</t>
  </si>
  <si>
    <r>
      <t xml:space="preserve">Purpose/Remarks: </t>
    </r>
    <r>
      <rPr>
        <u/>
        <sz val="10"/>
        <rFont val="Arial"/>
        <family val="2"/>
      </rPr>
      <t>To be served during the 10-Day Culture and Heritage Video Shoot within Batangas Province.</t>
    </r>
  </si>
  <si>
    <t>March 3, 2026</t>
  </si>
  <si>
    <t>AM Snacks: Mac and Cheese with Toasted</t>
  </si>
  <si>
    <t>Bread and Brewed Coffee</t>
  </si>
  <si>
    <t>PM Snacks: Clubhouse Sandwich and Four</t>
  </si>
  <si>
    <t>Season Canned Juice</t>
  </si>
  <si>
    <t>March 10, 2026</t>
  </si>
  <si>
    <r>
      <t>Purpose/Remarks:</t>
    </r>
    <r>
      <rPr>
        <u/>
        <sz val="10"/>
        <rFont val="Arial"/>
        <family val="2"/>
      </rPr>
      <t xml:space="preserve"> To be served during the Training on How to Conduct Effective General Assembly Meeting.</t>
    </r>
  </si>
  <si>
    <t>Sandwich and Canned Juice</t>
  </si>
  <si>
    <t xml:space="preserve">Heavy PM Snacks: Lasagna Roll ups, Clubhouse </t>
  </si>
  <si>
    <r>
      <t>Purpose/Remarks:</t>
    </r>
    <r>
      <rPr>
        <u/>
        <sz val="10"/>
        <rFont val="Arial"/>
        <family val="2"/>
      </rPr>
      <t xml:space="preserve"> To be served during the Small and Medium Enterprise Development (SMED) Council</t>
    </r>
  </si>
  <si>
    <t xml:space="preserve">       Quarterly Meeting on March 4, 2026.</t>
  </si>
  <si>
    <t>Lunch: 2 Viands with Rice, Dessert and Soda</t>
  </si>
  <si>
    <r>
      <t xml:space="preserve">Purpose/Remarks : </t>
    </r>
    <r>
      <rPr>
        <u/>
        <sz val="10"/>
        <rFont val="Arial"/>
        <family val="2"/>
      </rPr>
      <t>To be served during the 1st Quarter Meeting of PADAC and its TWG and C/MADACs Focal</t>
    </r>
  </si>
  <si>
    <t xml:space="preserve">        Persons on March 5, 2026.</t>
  </si>
  <si>
    <t>Lunch: 3 Viands with Rice, Dessert and</t>
  </si>
  <si>
    <t xml:space="preserve">         and Fishery Extension System (PAFES) Meeting on March 6,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</si>
  <si>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Province-Led Agriculture</t>
    </r>
  </si>
  <si>
    <t>Heavy AM Snacks: Pancit Canton, Cheeseburger,</t>
  </si>
  <si>
    <t>AM Snacks: Baked Penne and Canned Juice</t>
  </si>
  <si>
    <r>
      <t xml:space="preserve">Purpose/Remarks: </t>
    </r>
    <r>
      <rPr>
        <u/>
        <sz val="10"/>
        <rFont val="Arial"/>
        <family val="2"/>
      </rPr>
      <t>To be served during the 1st Quarter Sisterhood Meeting on March 6, 2026.</t>
    </r>
  </si>
  <si>
    <t>Heavy AM Snacks: Pasta with Bread and Drinks</t>
  </si>
  <si>
    <r>
      <t xml:space="preserve">Purpose/Remarks: </t>
    </r>
    <r>
      <rPr>
        <u/>
        <sz val="10"/>
        <rFont val="Arial"/>
        <family val="2"/>
      </rPr>
      <t>To be served during the 1st Batch of the Organizational Meeting of Various Art and Cultural</t>
    </r>
  </si>
  <si>
    <t xml:space="preserve">       Sector Groups on March 6, 2026.</t>
  </si>
  <si>
    <r>
      <t>Purpose/Remarks:</t>
    </r>
    <r>
      <rPr>
        <u/>
        <sz val="10"/>
        <rFont val="Arial"/>
        <family val="2"/>
      </rPr>
      <t>To be served during the 1st Quarter Prevention and Mitigation Committee Meeting on March 10,2026.</t>
    </r>
  </si>
  <si>
    <t>Heavy PM Snacks: Big Sandwich and Drinks</t>
  </si>
  <si>
    <r>
      <t xml:space="preserve">Purpose/Remarks: </t>
    </r>
    <r>
      <rPr>
        <u/>
        <sz val="10"/>
        <rFont val="Arial"/>
        <family val="2"/>
      </rPr>
      <t>To be served during the Basic Fire Safety Seminar for Tourism Workers on March 10, 2026.</t>
    </r>
  </si>
  <si>
    <t>Heavy AM Snacks: Macaroni Soup,</t>
  </si>
  <si>
    <t>Clubhouse Sandwich and Free Flowing</t>
  </si>
  <si>
    <t>Coffee and Water</t>
  </si>
  <si>
    <t>Soda and Free Flowing Water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</si>
  <si>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Vegetable Stakeholders</t>
    </r>
  </si>
  <si>
    <t xml:space="preserve">          Meeting on March 11, 2026.</t>
  </si>
  <si>
    <r>
      <t xml:space="preserve">Purpose/Remarks: </t>
    </r>
    <r>
      <rPr>
        <u/>
        <sz val="10"/>
        <rFont val="Arial"/>
        <family val="2"/>
      </rPr>
      <t>To be served during the 1st Quarterly Meeting of the Batangas History Society (BHS) on</t>
    </r>
  </si>
  <si>
    <t xml:space="preserve">        March 11, 2026.</t>
  </si>
  <si>
    <t>Heavy AM Snacks: Ham &amp; Cheese Sandwich,</t>
  </si>
  <si>
    <t>Baked Macaroni and Softdrinks</t>
  </si>
  <si>
    <t>Lunch Buffet : 3 Viands with Rice, Dessert and Drinks</t>
  </si>
  <si>
    <t>Breakfast: 2 Viands with Rice, Dessert and Drinks</t>
  </si>
  <si>
    <t>Dinner: 2 Viands with Rice, Dessert and Drinks</t>
  </si>
  <si>
    <t>Day 4</t>
  </si>
  <si>
    <t>Day 5</t>
  </si>
  <si>
    <t>Day 6</t>
  </si>
  <si>
    <t>Heavy PM Snacks: Noodles with Bread and Drinks</t>
  </si>
  <si>
    <r>
      <t xml:space="preserve">Purpose/Remarks: </t>
    </r>
    <r>
      <rPr>
        <u/>
        <sz val="10"/>
        <rFont val="Arial"/>
        <family val="2"/>
      </rPr>
      <t>To be served to the performers, technical working group (TWG), men in uniform, and partner</t>
    </r>
  </si>
  <si>
    <t xml:space="preserve">        agencies in BARAKO Fest 2026 on March 24 to 29, 2026.</t>
  </si>
  <si>
    <t xml:space="preserve">Day 1  </t>
  </si>
  <si>
    <t xml:space="preserve">Day 2  </t>
  </si>
  <si>
    <t xml:space="preserve">Day 3  </t>
  </si>
  <si>
    <t xml:space="preserve">Day 4  </t>
  </si>
  <si>
    <t xml:space="preserve">Day 5  </t>
  </si>
  <si>
    <t xml:space="preserve">Day 6  </t>
  </si>
  <si>
    <t>Batch 1 - March 20, 2026</t>
  </si>
  <si>
    <t>Batch 2 - April 24, 2026</t>
  </si>
  <si>
    <t>Batch 3 - May 22, 2026</t>
  </si>
  <si>
    <r>
      <t xml:space="preserve">Purpose/Remarks: </t>
    </r>
    <r>
      <rPr>
        <u/>
        <sz val="10"/>
        <rFont val="Arial"/>
        <family val="2"/>
      </rPr>
      <t>To be served in the district eliminations of VSR 2026: Voices, Songs, and Rhythms / Awit</t>
    </r>
  </si>
  <si>
    <r>
      <t>Date:</t>
    </r>
    <r>
      <rPr>
        <u/>
        <sz val="10"/>
        <rFont val="Arial"/>
        <family val="2"/>
      </rPr>
      <t xml:space="preserve">01/27/2026 </t>
    </r>
  </si>
  <si>
    <r>
      <t xml:space="preserve">PR No.  </t>
    </r>
    <r>
      <rPr>
        <u/>
        <sz val="10"/>
        <rFont val="Arial"/>
        <family val="2"/>
      </rPr>
      <t xml:space="preserve">0126-0206 </t>
    </r>
  </si>
  <si>
    <r>
      <t xml:space="preserve">PR No.  </t>
    </r>
    <r>
      <rPr>
        <u/>
        <sz val="10"/>
        <rFont val="Arial"/>
        <family val="2"/>
      </rPr>
      <t>0126-0207</t>
    </r>
  </si>
  <si>
    <r>
      <t xml:space="preserve">Purpose/Remarks : </t>
    </r>
    <r>
      <rPr>
        <u/>
        <sz val="10"/>
        <rFont val="Arial"/>
        <family val="2"/>
      </rPr>
      <t xml:space="preserve">Foods served during the Pre-Construction Meeting with DILG Personnel for the Green Green </t>
    </r>
  </si>
  <si>
    <t xml:space="preserve">        Green Project on January 26, 2026.</t>
  </si>
  <si>
    <t xml:space="preserve">Day 2 </t>
  </si>
  <si>
    <t>Heavy AM Snacks: Noodles with Bread and Drinks</t>
  </si>
  <si>
    <t>Day 7</t>
  </si>
  <si>
    <t>Day 8</t>
  </si>
  <si>
    <t>Day 9</t>
  </si>
  <si>
    <t>Day 10</t>
  </si>
  <si>
    <t xml:space="preserve">       March 9-13, 2026 within Batangas Province.</t>
  </si>
  <si>
    <r>
      <t xml:space="preserve">Purpose/Remarks: </t>
    </r>
    <r>
      <rPr>
        <u/>
        <sz val="10"/>
        <rFont val="Arial"/>
        <family val="2"/>
      </rPr>
      <t xml:space="preserve">To be served during the 10-Day Culture and Heritage Video Shoot on March 2-6 and  </t>
    </r>
  </si>
  <si>
    <t>Green Tea Apple Drink 6's</t>
  </si>
  <si>
    <r>
      <t>Date:</t>
    </r>
    <r>
      <rPr>
        <u/>
        <sz val="10"/>
        <rFont val="Arial"/>
        <family val="2"/>
      </rPr>
      <t>01/28/2026</t>
    </r>
  </si>
  <si>
    <t>AM Snacks: Charlie Chan with Garlic Bread</t>
  </si>
  <si>
    <t>PM Snacks: Pancit with Puto and Bottled Water</t>
  </si>
  <si>
    <r>
      <t xml:space="preserve">Purpose/Remarks : </t>
    </r>
    <r>
      <rPr>
        <u/>
        <sz val="10"/>
        <rFont val="Arial"/>
        <family val="2"/>
      </rPr>
      <t>To be served during Courtesy Visit and Coordination meeting with Korean Partner Implementors</t>
    </r>
  </si>
  <si>
    <t xml:space="preserve">         and Seasonal Farm Workers Program on January 29, 2026.</t>
  </si>
  <si>
    <r>
      <t xml:space="preserve">PR No. </t>
    </r>
    <r>
      <rPr>
        <u/>
        <sz val="10"/>
        <rFont val="Arial"/>
        <family val="2"/>
      </rPr>
      <t>0126-0263</t>
    </r>
  </si>
  <si>
    <r>
      <t xml:space="preserve">Date: </t>
    </r>
    <r>
      <rPr>
        <u/>
        <sz val="10"/>
        <rFont val="Arial"/>
        <family val="2"/>
      </rPr>
      <t>01/28/2026</t>
    </r>
  </si>
  <si>
    <r>
      <t xml:space="preserve">PR No. </t>
    </r>
    <r>
      <rPr>
        <u/>
        <sz val="10"/>
        <rFont val="Arial"/>
        <family val="2"/>
      </rPr>
      <t xml:space="preserve">0126-0264 </t>
    </r>
  </si>
  <si>
    <t>Snacks: Chicken, Spaghetti and Softdrinks</t>
  </si>
  <si>
    <r>
      <t>Date:</t>
    </r>
    <r>
      <rPr>
        <u/>
        <sz val="10"/>
        <rFont val="Arial"/>
        <family val="2"/>
      </rPr>
      <t xml:space="preserve">01/28/2026 </t>
    </r>
  </si>
  <si>
    <r>
      <t xml:space="preserve">PR No.  </t>
    </r>
    <r>
      <rPr>
        <u/>
        <sz val="10"/>
        <rFont val="Arial"/>
        <family val="2"/>
      </rPr>
      <t xml:space="preserve">0126-0265 </t>
    </r>
  </si>
  <si>
    <r>
      <t xml:space="preserve">PR No. </t>
    </r>
    <r>
      <rPr>
        <u/>
        <sz val="10"/>
        <rFont val="Arial"/>
        <family val="2"/>
      </rPr>
      <t xml:space="preserve">0126-0266 </t>
    </r>
  </si>
  <si>
    <r>
      <t xml:space="preserve">PR No. </t>
    </r>
    <r>
      <rPr>
        <u/>
        <sz val="10"/>
        <rFont val="Arial"/>
        <family val="2"/>
      </rPr>
      <t>0126-0267</t>
    </r>
  </si>
  <si>
    <r>
      <t xml:space="preserve">PR No. </t>
    </r>
    <r>
      <rPr>
        <u/>
        <sz val="10"/>
        <rFont val="Arial"/>
        <family val="2"/>
      </rPr>
      <t>0126-0268</t>
    </r>
  </si>
  <si>
    <r>
      <t xml:space="preserve">PR No. </t>
    </r>
    <r>
      <rPr>
        <u/>
        <sz val="10"/>
        <rFont val="Arial"/>
        <family val="2"/>
      </rPr>
      <t xml:space="preserve">0126-0269 </t>
    </r>
  </si>
  <si>
    <t>Soda Free Flowing and Water</t>
  </si>
  <si>
    <r>
      <t xml:space="preserve">Purpose/Remarks : </t>
    </r>
    <r>
      <rPr>
        <u/>
        <sz val="10"/>
        <rFont val="Arial"/>
        <family val="2"/>
      </rPr>
      <t xml:space="preserve"> To be served during the special meeting of Batangas Marine Protected Area and Bantay</t>
    </r>
  </si>
  <si>
    <t xml:space="preserve">          Dagat on February 9, 2026.</t>
  </si>
  <si>
    <r>
      <t xml:space="preserve">PR No. </t>
    </r>
    <r>
      <rPr>
        <u/>
        <sz val="10"/>
        <rFont val="Arial"/>
        <family val="2"/>
      </rPr>
      <t xml:space="preserve">0126-0290 </t>
    </r>
  </si>
  <si>
    <r>
      <t xml:space="preserve">PR No. </t>
    </r>
    <r>
      <rPr>
        <u/>
        <sz val="10"/>
        <rFont val="Arial"/>
        <family val="2"/>
      </rPr>
      <t>0126-0292</t>
    </r>
  </si>
  <si>
    <t xml:space="preserve">AM Snacks: Spaghetti with Toasted Bread </t>
  </si>
  <si>
    <r>
      <t xml:space="preserve">Purpose/Remarks: </t>
    </r>
    <r>
      <rPr>
        <u/>
        <sz val="10"/>
        <rFont val="Arial"/>
        <family val="2"/>
      </rPr>
      <t>To be served during the 1st Quarterly Provincial Advisory Council (PAC) Meeting on March 10, 2026.</t>
    </r>
  </si>
  <si>
    <r>
      <t xml:space="preserve">PR No. </t>
    </r>
    <r>
      <rPr>
        <u/>
        <sz val="10"/>
        <rFont val="Arial"/>
        <family val="2"/>
      </rPr>
      <t xml:space="preserve">0126-0293 </t>
    </r>
  </si>
  <si>
    <r>
      <t xml:space="preserve">PR No. </t>
    </r>
    <r>
      <rPr>
        <u/>
        <sz val="10"/>
        <rFont val="Arial"/>
        <family val="2"/>
      </rPr>
      <t>0126-0294</t>
    </r>
  </si>
  <si>
    <r>
      <t>Purpose/Remarks:</t>
    </r>
    <r>
      <rPr>
        <u/>
        <sz val="10"/>
        <rFont val="Arial"/>
        <family val="2"/>
      </rPr>
      <t xml:space="preserve"> To be served during the 1st Quarterly Meeting of Provincial Federation of Solo Parent on</t>
    </r>
  </si>
  <si>
    <t xml:space="preserve">        March 5, 2026.</t>
  </si>
  <si>
    <r>
      <t xml:space="preserve">PR No. </t>
    </r>
    <r>
      <rPr>
        <u/>
        <sz val="10"/>
        <rFont val="Arial"/>
        <family val="2"/>
      </rPr>
      <t>0126-0295</t>
    </r>
  </si>
  <si>
    <r>
      <t xml:space="preserve">Purpose/Remarks : </t>
    </r>
    <r>
      <rPr>
        <u/>
        <sz val="10"/>
        <rFont val="Arial"/>
        <family val="2"/>
      </rPr>
      <t>To be served during the Training on Handicraft Using Corn Husk on March 5, 2026.</t>
    </r>
  </si>
  <si>
    <r>
      <t xml:space="preserve">PR No.  </t>
    </r>
    <r>
      <rPr>
        <u/>
        <sz val="10"/>
        <rFont val="Arial"/>
        <family val="2"/>
      </rPr>
      <t xml:space="preserve">0126-0296 </t>
    </r>
  </si>
  <si>
    <r>
      <t xml:space="preserve">PR No. </t>
    </r>
    <r>
      <rPr>
        <u/>
        <sz val="10"/>
        <rFont val="Arial"/>
        <family val="2"/>
      </rPr>
      <t>0126-0297</t>
    </r>
  </si>
  <si>
    <t xml:space="preserve">AM Snacks: Clubhouse Sandwich and </t>
  </si>
  <si>
    <t xml:space="preserve">        March 6, 2026.</t>
  </si>
  <si>
    <r>
      <t xml:space="preserve">Purpose/Remarks: </t>
    </r>
    <r>
      <rPr>
        <u/>
        <sz val="10"/>
        <rFont val="Arial"/>
        <family val="2"/>
      </rPr>
      <t xml:space="preserve">To be served during the 1st Quarterly Provincial Management Team (PMT) Meeting on  </t>
    </r>
  </si>
  <si>
    <r>
      <t xml:space="preserve">PR No. </t>
    </r>
    <r>
      <rPr>
        <u/>
        <sz val="10"/>
        <rFont val="Arial"/>
        <family val="2"/>
      </rPr>
      <t xml:space="preserve">0126-0298 </t>
    </r>
  </si>
  <si>
    <r>
      <t xml:space="preserve">PR No.  </t>
    </r>
    <r>
      <rPr>
        <u/>
        <sz val="10"/>
        <rFont val="Arial"/>
        <family val="2"/>
      </rPr>
      <t xml:space="preserve">0126-0299 </t>
    </r>
  </si>
  <si>
    <t>Heavy PM Snacks: Cheeseburger, Pancit Bihon</t>
  </si>
  <si>
    <t>and Canned Juice</t>
  </si>
  <si>
    <t>AM Snacks: Spaghetti with Garlic Toasted Bread</t>
  </si>
  <si>
    <t>Lunch Buffet: 2 Viands with Rice, Dessert, Soda</t>
  </si>
  <si>
    <t>camera adaptor</t>
  </si>
  <si>
    <t xml:space="preserve"> - with option to install video camera on the</t>
  </si>
  <si>
    <t xml:space="preserve"> - with 2 eyepiece, help to reduce eye strain</t>
  </si>
  <si>
    <r>
      <t xml:space="preserve">Purpose/Remarks : </t>
    </r>
    <r>
      <rPr>
        <u/>
        <sz val="10"/>
        <rFont val="Arial"/>
        <family val="2"/>
      </rPr>
      <t>For use in evaluating semen motility prior to the conduct of artificial insemination services.</t>
    </r>
  </si>
  <si>
    <t xml:space="preserve"> - 220 volts, 20 watts</t>
  </si>
  <si>
    <t>Trinocular Microscope 1600x max</t>
  </si>
  <si>
    <t>magnification with microscope  video</t>
  </si>
  <si>
    <t xml:space="preserve">   third eyepiece</t>
  </si>
  <si>
    <r>
      <t>Date:</t>
    </r>
    <r>
      <rPr>
        <u/>
        <sz val="10"/>
        <rFont val="Arial"/>
        <family val="2"/>
      </rPr>
      <t>01-29-2026</t>
    </r>
  </si>
  <si>
    <r>
      <t xml:space="preserve">Date: </t>
    </r>
    <r>
      <rPr>
        <u/>
        <sz val="10"/>
        <rFont val="Arial"/>
        <family val="2"/>
      </rPr>
      <t>01/29/2026</t>
    </r>
  </si>
  <si>
    <t>AM Snacks: Carbonara with Toasted Bread</t>
  </si>
  <si>
    <t>and Brewed Coffee</t>
  </si>
  <si>
    <t>PM Snacks: Beef Burger and Bottled Iced Tea</t>
  </si>
  <si>
    <t>AM Snacks: Baked Mac with Toasted Bread</t>
  </si>
  <si>
    <t xml:space="preserve">PM Snacks: Chicken Sandwich and </t>
  </si>
  <si>
    <t>Bottled Iced Tea</t>
  </si>
  <si>
    <t xml:space="preserve">AM Snacks: Creamy Pesto with Grilled </t>
  </si>
  <si>
    <t>Chicken and Brewed Coffee</t>
  </si>
  <si>
    <t>PM Snacks: Clubhouse Sandwich and</t>
  </si>
  <si>
    <t>Assorted Carbonated Flavored Drinks</t>
  </si>
  <si>
    <r>
      <t>Purpose/Remarks:</t>
    </r>
    <r>
      <rPr>
        <u/>
        <sz val="10"/>
        <rFont val="Arial"/>
        <family val="2"/>
      </rPr>
      <t xml:space="preserve"> To be served during the Training on Accounting for Non-Accountants on March 18-20,2026.</t>
    </r>
  </si>
  <si>
    <t>PM Snacks: Tuna Sandwich and Assorted</t>
  </si>
  <si>
    <t>Carbonated Flavored Drinks</t>
  </si>
  <si>
    <t>AM Snacks: Spaghetti with Garlic Bread</t>
  </si>
  <si>
    <t>PM Snacks: Cheese Pimiento Sandwich and</t>
  </si>
  <si>
    <t>PM Snacks: Grilled Cheese Sandwich and</t>
  </si>
  <si>
    <t>March 18, 2026</t>
  </si>
  <si>
    <t>AM Snacks: Ham and Cheese Sandwich</t>
  </si>
  <si>
    <t>Bottled Softdrinks</t>
  </si>
  <si>
    <t>March 20, 2026</t>
  </si>
  <si>
    <t>AM Snacks: Cheese Pimiento Sandwich</t>
  </si>
  <si>
    <t>March 24, 2026</t>
  </si>
  <si>
    <t>AM Snacks: Pesto Pasta with Garlic Bread</t>
  </si>
  <si>
    <t>March 27, 2026</t>
  </si>
  <si>
    <t>AM Snacks: Carbonara with Garlic Bread</t>
  </si>
  <si>
    <r>
      <t xml:space="preserve">Purpose/Remarks : </t>
    </r>
    <r>
      <rPr>
        <u/>
        <sz val="10"/>
        <rFont val="Arial"/>
        <family val="2"/>
      </rPr>
      <t>To be served during the Re/Organization of Youth Groups and Orientation on Youth Leadership</t>
    </r>
  </si>
  <si>
    <t xml:space="preserve">         and Volunteerism.</t>
  </si>
  <si>
    <t xml:space="preserve">PM Snacks: Tuna Pasta with Toasted </t>
  </si>
  <si>
    <t>Bread and Bottled Water</t>
  </si>
  <si>
    <t xml:space="preserve">AM Snacks: 2 pieces Fresh Lumpia and </t>
  </si>
  <si>
    <t>PM Snacks: Lasagna with Garlic Toasted</t>
  </si>
  <si>
    <t>Bread and Bottled Juice</t>
  </si>
  <si>
    <t>AM Snacks: Pancit Palabok with Toasted</t>
  </si>
  <si>
    <t xml:space="preserve">AM Snacks: Mac and Cheese Chicken </t>
  </si>
  <si>
    <t>Sandwich and Bottled Juice</t>
  </si>
  <si>
    <t>PM Snacks: Burger and Bottled Juice</t>
  </si>
  <si>
    <t>AM Snacks: Spaghetti with Toasted Bread</t>
  </si>
  <si>
    <t xml:space="preserve">PM Snacks: 2 pieces Empanada and </t>
  </si>
  <si>
    <t>Day 1 - March 16, 2026</t>
  </si>
  <si>
    <t>Day 2 - March 17, 2026</t>
  </si>
  <si>
    <t>Day 3 - March 18, 2026</t>
  </si>
  <si>
    <t>Day 4 - March 19, 2026</t>
  </si>
  <si>
    <t>Day 5 - March 20, 2026</t>
  </si>
  <si>
    <r>
      <t>Purpose/Remarks:</t>
    </r>
    <r>
      <rPr>
        <u/>
        <sz val="10"/>
        <rFont val="Arial"/>
        <family val="2"/>
      </rPr>
      <t xml:space="preserve"> To be served during the Solo Parent Week Celebration - Search for NayTay 2026 (Validation).</t>
    </r>
  </si>
  <si>
    <t>February 2, 2026</t>
  </si>
  <si>
    <t>AM Snacks: Sandwich and Bottled Softdrinks</t>
  </si>
  <si>
    <t xml:space="preserve">Lunch: 3 Viands with Rice, Dessert and  </t>
  </si>
  <si>
    <t>February 13, 2026</t>
  </si>
  <si>
    <r>
      <t xml:space="preserve">Purpose/Remarks : </t>
    </r>
    <r>
      <rPr>
        <u/>
        <sz val="10"/>
        <rFont val="Arial"/>
        <family val="2"/>
      </rPr>
      <t>To be served during the Training Workshop on Cinematography and Video Editing.</t>
    </r>
  </si>
  <si>
    <r>
      <t xml:space="preserve">Purpose/Remarks: </t>
    </r>
    <r>
      <rPr>
        <u/>
        <sz val="10"/>
        <rFont val="Arial"/>
        <family val="2"/>
      </rPr>
      <t xml:space="preserve"> To be served during the meeting of BMPAN and BBDN Secretariat Services on February 19, 2026.</t>
    </r>
  </si>
  <si>
    <r>
      <t xml:space="preserve">PR No. </t>
    </r>
    <r>
      <rPr>
        <u/>
        <sz val="10"/>
        <rFont val="Arial"/>
        <family val="2"/>
      </rPr>
      <t>0126-0350</t>
    </r>
  </si>
  <si>
    <r>
      <t xml:space="preserve">PR No. </t>
    </r>
    <r>
      <rPr>
        <u/>
        <sz val="10"/>
        <rFont val="Arial"/>
        <family val="2"/>
      </rPr>
      <t xml:space="preserve">0126-0352 </t>
    </r>
  </si>
  <si>
    <r>
      <t xml:space="preserve">PR No. </t>
    </r>
    <r>
      <rPr>
        <u/>
        <sz val="10"/>
        <rFont val="Arial"/>
        <family val="2"/>
      </rPr>
      <t xml:space="preserve">0126-0353 </t>
    </r>
  </si>
  <si>
    <r>
      <t xml:space="preserve">PR No. </t>
    </r>
    <r>
      <rPr>
        <u/>
        <sz val="10"/>
        <rFont val="Arial"/>
        <family val="2"/>
      </rPr>
      <t xml:space="preserve">0126-0354 </t>
    </r>
  </si>
  <si>
    <r>
      <t>Date:</t>
    </r>
    <r>
      <rPr>
        <u/>
        <sz val="10"/>
        <rFont val="Arial"/>
        <family val="2"/>
      </rPr>
      <t>01/29/2026</t>
    </r>
  </si>
  <si>
    <r>
      <t xml:space="preserve">PR No. </t>
    </r>
    <r>
      <rPr>
        <u/>
        <sz val="10"/>
        <rFont val="Arial"/>
        <family val="2"/>
      </rPr>
      <t xml:space="preserve">0126-0355 </t>
    </r>
  </si>
  <si>
    <r>
      <t xml:space="preserve">PR No. </t>
    </r>
    <r>
      <rPr>
        <u/>
        <sz val="10"/>
        <rFont val="Arial"/>
        <family val="2"/>
      </rPr>
      <t xml:space="preserve">0126-0356 </t>
    </r>
  </si>
  <si>
    <r>
      <t>Purpose/Remarks:</t>
    </r>
    <r>
      <rPr>
        <u/>
        <sz val="10"/>
        <rFont val="Arial"/>
        <family val="2"/>
      </rPr>
      <t xml:space="preserve"> To be served during the Training on Financial Statement Interpretations, Financial Ratios and</t>
    </r>
  </si>
  <si>
    <t xml:space="preserve">        Analysis on March 25 - 27, 2026.</t>
  </si>
  <si>
    <t xml:space="preserve">AM Snacks: Pancit Canton Bihon with Puto and </t>
  </si>
  <si>
    <t>PM Snacks: Tuna Clubhouse Sandwich</t>
  </si>
  <si>
    <t xml:space="preserve">AM Snacks: Creamy Tuna Pesto with Garlic </t>
  </si>
  <si>
    <t>change date</t>
  </si>
  <si>
    <t>feb 17 - 24</t>
  </si>
  <si>
    <t>01/29</t>
  </si>
  <si>
    <t xml:space="preserve">          celebration of the World Wetlands Day on February 24, 2026 at San Luis, Batangas.</t>
  </si>
  <si>
    <r>
      <t>Date:</t>
    </r>
    <r>
      <rPr>
        <u/>
        <sz val="10"/>
        <rFont val="Arial"/>
        <family val="2"/>
      </rPr>
      <t>01/30/2026</t>
    </r>
  </si>
  <si>
    <t>Liquid Seasoning 1L</t>
  </si>
  <si>
    <t>Cooking Oil 2L</t>
  </si>
  <si>
    <t>Umami Seasoning 500g</t>
  </si>
  <si>
    <t>Crackers Plain 32gx10</t>
  </si>
  <si>
    <t>Chicken Cube</t>
  </si>
  <si>
    <t>Oyster Sauce 65g</t>
  </si>
  <si>
    <t>Crackers 25gx24</t>
  </si>
  <si>
    <t>Crackers 30gx10s</t>
  </si>
  <si>
    <t>Sugar 1kg</t>
  </si>
  <si>
    <t>Coffee Original  TP 40gx10</t>
  </si>
  <si>
    <t>Coffee Creamy White TP 40gx10</t>
  </si>
  <si>
    <t>Tamarind Candy 4g</t>
  </si>
  <si>
    <t>Sweet Melon Candy 30s</t>
  </si>
  <si>
    <t>Sweet Strawberry Candy 30s</t>
  </si>
  <si>
    <t>ButterToffee Candy 100s</t>
  </si>
  <si>
    <t>Cappuccino Candy3gx50</t>
  </si>
  <si>
    <t>Coffee Candy 3gx50</t>
  </si>
  <si>
    <t>Soda Mix Chewy Dragees Candy 50s</t>
  </si>
  <si>
    <t>Extreme Spearmint Candy 50s</t>
  </si>
  <si>
    <t>Fruit Mix Chewy Dragees Candy 50s</t>
  </si>
  <si>
    <t>Honey Mansi Menthol Candy 50s</t>
  </si>
  <si>
    <t>Coffee 3 in 1 Sugar Free</t>
  </si>
  <si>
    <t>Coffee White Sugar Free 10gx20</t>
  </si>
  <si>
    <t>Coffee Creamer 400g</t>
  </si>
  <si>
    <t>Coffee Classic 105g-170g</t>
  </si>
  <si>
    <t>Mocha Sandwich Cream-Filled Biscuits 32gx10</t>
  </si>
  <si>
    <t>Crackers 25gx24s</t>
  </si>
  <si>
    <t>Grape Mint Candy 50s</t>
  </si>
  <si>
    <t>Barley Mint Candy 50s</t>
  </si>
  <si>
    <t>Cherry Mint Candy 50s</t>
  </si>
  <si>
    <t>Chewy Sampalok Candy 50s</t>
  </si>
  <si>
    <t>Choco-Filled Mint Flavored Candy 420s</t>
  </si>
  <si>
    <t>Kopiko</t>
  </si>
  <si>
    <t>Fres</t>
  </si>
  <si>
    <t>Frutos</t>
  </si>
  <si>
    <t>Sky Flakes</t>
  </si>
  <si>
    <t>Hansel</t>
  </si>
  <si>
    <t>ButterCream</t>
  </si>
  <si>
    <t>Fita</t>
  </si>
  <si>
    <t>Knorr</t>
  </si>
  <si>
    <t>Ajinomoto</t>
  </si>
  <si>
    <t>Mama Sita</t>
  </si>
  <si>
    <t>Equal</t>
  </si>
  <si>
    <t>Nescafe</t>
  </si>
  <si>
    <t>Mentos</t>
  </si>
  <si>
    <t>Whiterabbit</t>
  </si>
  <si>
    <t>Maxx</t>
  </si>
  <si>
    <t>Coffeemate</t>
  </si>
  <si>
    <t>San Mig</t>
  </si>
  <si>
    <t>Choco-Filled Mint Flavored Candy</t>
  </si>
  <si>
    <t>Butter Cream Crackers 30gx10s</t>
  </si>
  <si>
    <t>Butter Cream Crackers 25gx10s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</si>
  <si>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7, 2026.</t>
    </r>
  </si>
  <si>
    <t>Date:01/30/2026</t>
  </si>
  <si>
    <r>
      <t xml:space="preserve">PR No. </t>
    </r>
    <r>
      <rPr>
        <u/>
        <sz val="10"/>
        <rFont val="Arial"/>
        <family val="2"/>
      </rPr>
      <t>0126-0364</t>
    </r>
  </si>
  <si>
    <r>
      <t xml:space="preserve">PR No. </t>
    </r>
    <r>
      <rPr>
        <u/>
        <sz val="10"/>
        <rFont val="Arial"/>
        <family val="2"/>
      </rPr>
      <t xml:space="preserve">0126-0365 </t>
    </r>
  </si>
  <si>
    <t>Crackers Plain &amp; Cheese Flavor with Orange Juice</t>
  </si>
  <si>
    <r>
      <t xml:space="preserve">Date: </t>
    </r>
    <r>
      <rPr>
        <u/>
        <sz val="10"/>
        <rFont val="Arial"/>
        <family val="2"/>
      </rPr>
      <t>01/30/2026</t>
    </r>
  </si>
  <si>
    <t>AM Snacks: Jumbo Burger and Canned Juice</t>
  </si>
  <si>
    <t>01/26 - NA draft</t>
  </si>
  <si>
    <r>
      <t xml:space="preserve">PR No. </t>
    </r>
    <r>
      <rPr>
        <u/>
        <sz val="10"/>
        <rFont val="Arial"/>
        <family val="2"/>
      </rPr>
      <t>0126-0366</t>
    </r>
  </si>
  <si>
    <r>
      <t>PR No.</t>
    </r>
    <r>
      <rPr>
        <u/>
        <sz val="10"/>
        <rFont val="Arial"/>
        <family val="2"/>
      </rPr>
      <t xml:space="preserve"> 0126-0367 </t>
    </r>
  </si>
  <si>
    <r>
      <t>Date:</t>
    </r>
    <r>
      <rPr>
        <u/>
        <sz val="10"/>
        <rFont val="Arial"/>
        <family val="2"/>
      </rPr>
      <t>02/02/2026</t>
    </r>
  </si>
  <si>
    <t>Meals: Quarter Chicken with Rice, Veggies</t>
  </si>
  <si>
    <t>and Muffin</t>
  </si>
  <si>
    <r>
      <t xml:space="preserve">Purpose/Remarks : </t>
    </r>
    <r>
      <rPr>
        <u/>
        <sz val="10"/>
        <rFont val="Arial"/>
        <family val="2"/>
      </rPr>
      <t>Foods served during District Engineer's Meeting (DPWH) on January 27, 2026.</t>
    </r>
  </si>
  <si>
    <r>
      <t xml:space="preserve">Purpose/Remarks : </t>
    </r>
    <r>
      <rPr>
        <u/>
        <sz val="10"/>
        <rFont val="Arial"/>
        <family val="2"/>
      </rPr>
      <t>Foods served during Departmental Meeting on January 27, 2026.</t>
    </r>
  </si>
  <si>
    <r>
      <t xml:space="preserve">PR No. </t>
    </r>
    <r>
      <rPr>
        <u/>
        <sz val="10"/>
        <rFont val="Arial"/>
        <family val="2"/>
      </rPr>
      <t>0226-</t>
    </r>
  </si>
  <si>
    <r>
      <t xml:space="preserve">Date: </t>
    </r>
    <r>
      <rPr>
        <u/>
        <sz val="10"/>
        <rFont val="Arial"/>
        <family val="2"/>
      </rPr>
      <t>02/02/2026</t>
    </r>
  </si>
  <si>
    <t xml:space="preserve">AM Snacks: Mac and Cheese with </t>
  </si>
  <si>
    <t>Toasted Bread and Bottled Juice</t>
  </si>
  <si>
    <r>
      <t>Purpose/Remarks:</t>
    </r>
    <r>
      <rPr>
        <u/>
        <sz val="10"/>
        <rFont val="Arial"/>
        <family val="2"/>
      </rPr>
      <t xml:space="preserve"> To be served during the 1st Semestral - Social Protection and Development Report (SPDR)</t>
    </r>
  </si>
  <si>
    <t xml:space="preserve">       Committee Meeting on March 3, 2026.</t>
  </si>
  <si>
    <t>AM Snacks: Pancit with Puto and Bottled Juice</t>
  </si>
  <si>
    <r>
      <t>Purpose/Remarks:</t>
    </r>
    <r>
      <rPr>
        <u/>
        <sz val="10"/>
        <rFont val="Arial"/>
        <family val="2"/>
      </rPr>
      <t xml:space="preserve"> To be served during the 1st Quarterly Pamilyang Huwaran sa Lalawigan ng Batangas Inc.</t>
    </r>
  </si>
  <si>
    <t xml:space="preserve">        (PHLBI) Meeting on March 4, 2026.</t>
  </si>
  <si>
    <t>AM Snacks: Baked Macaroni with Toasted</t>
  </si>
  <si>
    <t>Bread, Free Flowing Coffee and Water</t>
  </si>
  <si>
    <t xml:space="preserve">         Meeting on March 11, 2026.</t>
  </si>
  <si>
    <r>
      <t xml:space="preserve">Purpose/Remarks: </t>
    </r>
    <r>
      <rPr>
        <u/>
        <sz val="10"/>
        <rFont val="Arial"/>
        <family val="2"/>
      </rPr>
      <t xml:space="preserve">To be served during the 1st Quarterly Meeting of the Batangas History Society (BHS) on </t>
    </r>
  </si>
  <si>
    <t>AM Snacks: Pancit with Toasted Bread and</t>
  </si>
  <si>
    <r>
      <t>Purpose/Remarks:</t>
    </r>
    <r>
      <rPr>
        <u/>
        <sz val="10"/>
        <rFont val="Arial"/>
        <family val="2"/>
      </rPr>
      <t xml:space="preserve"> To be served during the 1st Quarterly Meeting of Federation of Senior Citizens and OSCA</t>
    </r>
  </si>
  <si>
    <t xml:space="preserve">        Heads on March 12, 2026.</t>
  </si>
  <si>
    <r>
      <t>Purpose/Remarks:</t>
    </r>
    <r>
      <rPr>
        <u/>
        <sz val="10"/>
        <rFont val="Arial"/>
        <family val="2"/>
      </rPr>
      <t>To be served during the 1st Quarter Response and Early Recovery Committee Meeting on</t>
    </r>
  </si>
  <si>
    <t xml:space="preserve">       March 12,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</si>
  <si>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Farmer's Federation</t>
    </r>
  </si>
  <si>
    <t xml:space="preserve">         Meeting on March 12, 2026.</t>
  </si>
  <si>
    <t>AM Snacks: Pasta with Garlic Bread and</t>
  </si>
  <si>
    <r>
      <t>Purpose/Remarks:</t>
    </r>
    <r>
      <rPr>
        <u/>
        <sz val="10"/>
        <rFont val="Arial"/>
        <family val="2"/>
      </rPr>
      <t xml:space="preserve"> To be served during the Provincial Cooperative Development Council (PCDC) Quarterly </t>
    </r>
  </si>
  <si>
    <t xml:space="preserve">        Meeting on March 13, 2026.</t>
  </si>
  <si>
    <t>Mike Bihon and Canned Juice</t>
  </si>
  <si>
    <t xml:space="preserve">        March 13, 2026.</t>
  </si>
  <si>
    <t xml:space="preserve">          Mitigation) Orientation and Consultation Meeting on March 11, 2026.</t>
  </si>
  <si>
    <r>
      <t xml:space="preserve">Purpose/Remarks : </t>
    </r>
    <r>
      <rPr>
        <u/>
        <sz val="10"/>
        <rFont val="Arial"/>
        <family val="2"/>
      </rPr>
      <t xml:space="preserve"> To be served during the RRP - CCAM  (Risk Resiliency Program - Climate Change Adaptation  </t>
    </r>
  </si>
  <si>
    <t xml:space="preserve">                                Club/VLAP (Volunteer Leaders Association of the Philippines) Meeting on March 13, 2026.</t>
  </si>
  <si>
    <t>AM Snacks: Lasagna with Garlic Bread and Drinks</t>
  </si>
  <si>
    <t xml:space="preserve">                                March 13, 2026.</t>
  </si>
  <si>
    <t>Heavy AM Snacks: Noodles, Sandwich and</t>
  </si>
  <si>
    <t xml:space="preserve">        Region IV-A Quarterly Meeting on March 16,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</si>
  <si>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Integrated Fisheries</t>
    </r>
  </si>
  <si>
    <t xml:space="preserve">                                 and Aquatic Resources Management Council Meeting on March 17, 2026.</t>
  </si>
  <si>
    <r>
      <t>Purpose/Remarks:</t>
    </r>
    <r>
      <rPr>
        <u/>
        <sz val="10"/>
        <rFont val="Arial"/>
        <family val="2"/>
      </rPr>
      <t xml:space="preserve"> To be served during the Batangas Credit Surety Fund (CSF) Quarterly Meeting on March 17, 2026.</t>
    </r>
  </si>
  <si>
    <t>AM Snacks: Cheese Pimiento Sandiwch</t>
  </si>
  <si>
    <r>
      <t xml:space="preserve">Purpose/Remarks : </t>
    </r>
    <r>
      <rPr>
        <u/>
        <sz val="10"/>
        <rFont val="Arial"/>
        <family val="2"/>
      </rPr>
      <t>To be served during the conduct of Meeting with Youth Organizations on March 17,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</si>
  <si>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Provincial Agricultural</t>
    </r>
  </si>
  <si>
    <t xml:space="preserve">                                 and Fishery Council Meeting on March 17, 2026.</t>
  </si>
  <si>
    <t>Date:________</t>
  </si>
  <si>
    <r>
      <t xml:space="preserve">Purpose/Remarks: </t>
    </r>
    <r>
      <rPr>
        <u/>
        <sz val="10"/>
        <rFont val="Arial"/>
        <family val="2"/>
      </rPr>
      <t xml:space="preserve">To be served during the 1st Quarterly Meeting of the Batangas Tourism Officers Association </t>
    </r>
  </si>
  <si>
    <t xml:space="preserve">        (BaTOA) on March 17,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</si>
  <si>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Rice Stakeholders </t>
    </r>
  </si>
  <si>
    <t xml:space="preserve">                                 Meeting on March 18, 2026.</t>
  </si>
  <si>
    <r>
      <t xml:space="preserve">Purpose/Remarks: </t>
    </r>
    <r>
      <rPr>
        <u/>
        <sz val="10"/>
        <rFont val="Arial"/>
        <family val="2"/>
      </rPr>
      <t>To be served during the MBA VSR Assessment Team Meeting on February 04, 2026.</t>
    </r>
  </si>
  <si>
    <t>AM Snacks: Carbonara with Garlic Bread and Drinks</t>
  </si>
  <si>
    <r>
      <t xml:space="preserve">Purpose/Remarks: </t>
    </r>
    <r>
      <rPr>
        <u/>
        <sz val="10"/>
        <rFont val="Arial"/>
        <family val="2"/>
      </rPr>
      <t>To be served during the 1Q Provincial Project Monitoring Committee (PPMC) Quarterly</t>
    </r>
  </si>
  <si>
    <t xml:space="preserve">                                Meeting on March 18, 2026.</t>
  </si>
  <si>
    <t>AM Snacks: Burger with Fries and Bottled Juice</t>
  </si>
  <si>
    <r>
      <t>Purpose/Remarks:</t>
    </r>
    <r>
      <rPr>
        <u/>
        <sz val="10"/>
        <rFont val="Arial"/>
        <family val="2"/>
      </rPr>
      <t xml:space="preserve"> To be served during the 1st Quarterly Meeting of the Committee on Disaster Response &amp;</t>
    </r>
  </si>
  <si>
    <t xml:space="preserve">        Early Recovery on March 18, 2026.</t>
  </si>
  <si>
    <r>
      <t>Purpose/Remarks:</t>
    </r>
    <r>
      <rPr>
        <u/>
        <sz val="10"/>
        <rFont val="Arial"/>
        <family val="2"/>
      </rPr>
      <t xml:space="preserve"> To be served during the 1st Quarterly Meeting of Enhanced Comprehensive Local Integration</t>
    </r>
  </si>
  <si>
    <t xml:space="preserve">        Program (ECLIP) on March 19, 2026.</t>
  </si>
  <si>
    <t>AM Snacks: Pancit Palabok with Home made</t>
  </si>
  <si>
    <t>Garlic Bread and Softdrinks</t>
  </si>
  <si>
    <r>
      <t xml:space="preserve">Purpose/Remarks : </t>
    </r>
    <r>
      <rPr>
        <u/>
        <sz val="10"/>
        <rFont val="Arial"/>
        <family val="2"/>
      </rPr>
      <t>To be served during the Quarterly Meeting of the Meat Inspector and Market Administrator</t>
    </r>
  </si>
  <si>
    <t xml:space="preserve">       on March 19,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</si>
  <si>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Corn Farmers Federation</t>
    </r>
  </si>
  <si>
    <t xml:space="preserve">                                 Meeting on March 19, 2026.</t>
  </si>
  <si>
    <r>
      <t>Purpose/Remarks:</t>
    </r>
    <r>
      <rPr>
        <u/>
        <sz val="10"/>
        <rFont val="Arial"/>
        <family val="2"/>
      </rPr>
      <t xml:space="preserve"> To be served during the 1st Semestral Yakap Bayan Program Meeting on March 20, 2026.</t>
    </r>
  </si>
  <si>
    <r>
      <t xml:space="preserve">Purpose/Remarks : </t>
    </r>
    <r>
      <rPr>
        <u/>
        <sz val="10"/>
        <rFont val="Arial"/>
        <family val="2"/>
      </rPr>
      <t>To be served during the Training on Coco Sap Production and Processing on March 20, 2026.</t>
    </r>
  </si>
  <si>
    <t>Computer Ink 003 - Black</t>
  </si>
  <si>
    <t>Computer Ink 664 - Black</t>
  </si>
  <si>
    <t>Computer Ink 664 - Cyan</t>
  </si>
  <si>
    <t>Computer Ink 664 - Yellow</t>
  </si>
  <si>
    <t>Computer Ink 664 - Magenta</t>
  </si>
  <si>
    <t>Expanded folder long - green</t>
  </si>
  <si>
    <t>Expanded folder long - yellow</t>
  </si>
  <si>
    <t>Expanded folder long - pink</t>
  </si>
  <si>
    <t>Expanded folder long - orange</t>
  </si>
  <si>
    <t>Folder long white</t>
  </si>
  <si>
    <t>Folder short white</t>
  </si>
  <si>
    <t>Bond paper long sub 20/70gsm</t>
  </si>
  <si>
    <t>Bond paper short sub 20/70gsm</t>
  </si>
  <si>
    <t>Brown envelope long</t>
  </si>
  <si>
    <t>Brown envelope short</t>
  </si>
  <si>
    <t>Pencil (#2, 12s/box)</t>
  </si>
  <si>
    <t>Sign pen 0.5mm (black &amp; blue)</t>
  </si>
  <si>
    <t>Master F11 Type 70</t>
  </si>
  <si>
    <t>Riso ink F11 Type, 1000ml</t>
  </si>
  <si>
    <t>USB 64gB</t>
  </si>
  <si>
    <t>Sticker paper</t>
  </si>
  <si>
    <t>Masking tape 2"</t>
  </si>
  <si>
    <t>01/26</t>
  </si>
  <si>
    <r>
      <t xml:space="preserve">PR No. </t>
    </r>
    <r>
      <rPr>
        <u/>
        <sz val="10"/>
        <rFont val="Arial"/>
        <family val="2"/>
      </rPr>
      <t>0226-0392</t>
    </r>
  </si>
  <si>
    <r>
      <t>PR No.</t>
    </r>
    <r>
      <rPr>
        <u/>
        <sz val="10"/>
        <rFont val="Arial"/>
        <family val="2"/>
      </rPr>
      <t xml:space="preserve"> 0226-0393</t>
    </r>
  </si>
  <si>
    <r>
      <t>PR No.</t>
    </r>
    <r>
      <rPr>
        <u/>
        <sz val="10"/>
        <rFont val="Arial"/>
        <family val="2"/>
      </rPr>
      <t xml:space="preserve"> 0226-0394</t>
    </r>
  </si>
  <si>
    <r>
      <t xml:space="preserve">PR No. </t>
    </r>
    <r>
      <rPr>
        <u/>
        <sz val="10"/>
        <rFont val="Arial"/>
        <family val="2"/>
      </rPr>
      <t>0226-0395</t>
    </r>
  </si>
  <si>
    <r>
      <t xml:space="preserve">PR No. </t>
    </r>
    <r>
      <rPr>
        <u/>
        <sz val="10"/>
        <rFont val="Arial"/>
        <family val="2"/>
      </rPr>
      <t>0226-0396</t>
    </r>
  </si>
  <si>
    <r>
      <t xml:space="preserve">PR No.  </t>
    </r>
    <r>
      <rPr>
        <u/>
        <sz val="10"/>
        <rFont val="Arial"/>
        <family val="2"/>
      </rPr>
      <t>0226-0398</t>
    </r>
  </si>
  <si>
    <r>
      <t xml:space="preserve">PR No. </t>
    </r>
    <r>
      <rPr>
        <u/>
        <sz val="10"/>
        <rFont val="Arial"/>
        <family val="2"/>
      </rPr>
      <t>0226-0400</t>
    </r>
  </si>
  <si>
    <r>
      <t xml:space="preserve">PR No. </t>
    </r>
    <r>
      <rPr>
        <u/>
        <sz val="10"/>
        <rFont val="Arial"/>
        <family val="2"/>
      </rPr>
      <t>0226-0401</t>
    </r>
  </si>
  <si>
    <r>
      <t xml:space="preserve">PR No. </t>
    </r>
    <r>
      <rPr>
        <u/>
        <sz val="10"/>
        <rFont val="Arial"/>
        <family val="2"/>
      </rPr>
      <t>0226-0402</t>
    </r>
  </si>
  <si>
    <r>
      <t xml:space="preserve">PR No. </t>
    </r>
    <r>
      <rPr>
        <u/>
        <sz val="10"/>
        <rFont val="Arial"/>
        <family val="2"/>
      </rPr>
      <t>0226-0403</t>
    </r>
  </si>
  <si>
    <r>
      <t xml:space="preserve">PR No. </t>
    </r>
    <r>
      <rPr>
        <u/>
        <sz val="10"/>
        <rFont val="Arial"/>
        <family val="2"/>
      </rPr>
      <t>0226-0404</t>
    </r>
  </si>
  <si>
    <t>Heavy PM Snacks: Hotdog Sandwich,</t>
  </si>
  <si>
    <r>
      <t xml:space="preserve">Purpose/Remarks: </t>
    </r>
    <r>
      <rPr>
        <u/>
        <sz val="10"/>
        <rFont val="Arial"/>
        <family val="2"/>
      </rPr>
      <t xml:space="preserve">To be served during the 1st Quarter Rehabilitation and Recovery Committee Meeting on </t>
    </r>
  </si>
  <si>
    <r>
      <t xml:space="preserve">PR No. </t>
    </r>
    <r>
      <rPr>
        <u/>
        <sz val="10"/>
        <rFont val="Arial"/>
        <family val="2"/>
      </rPr>
      <t>0226-0405</t>
    </r>
  </si>
  <si>
    <r>
      <t xml:space="preserve">PR No. </t>
    </r>
    <r>
      <rPr>
        <u/>
        <sz val="10"/>
        <rFont val="Arial"/>
        <family val="2"/>
      </rPr>
      <t>0226-0406</t>
    </r>
  </si>
  <si>
    <r>
      <t xml:space="preserve">PR No. </t>
    </r>
    <r>
      <rPr>
        <u/>
        <sz val="10"/>
        <rFont val="Arial"/>
        <family val="2"/>
      </rPr>
      <t>0226-0407</t>
    </r>
  </si>
  <si>
    <r>
      <t xml:space="preserve">PR No. </t>
    </r>
    <r>
      <rPr>
        <u/>
        <sz val="10"/>
        <rFont val="Arial"/>
        <family val="2"/>
      </rPr>
      <t>0226-0408</t>
    </r>
  </si>
  <si>
    <r>
      <t xml:space="preserve">PR No. </t>
    </r>
    <r>
      <rPr>
        <u/>
        <sz val="10"/>
        <rFont val="Arial"/>
        <family val="2"/>
      </rPr>
      <t>0226-0409</t>
    </r>
  </si>
  <si>
    <r>
      <t xml:space="preserve">PR No. </t>
    </r>
    <r>
      <rPr>
        <u/>
        <sz val="10"/>
        <rFont val="Arial"/>
        <family val="2"/>
      </rPr>
      <t>0226-0410</t>
    </r>
  </si>
  <si>
    <r>
      <t xml:space="preserve">PR No. </t>
    </r>
    <r>
      <rPr>
        <u/>
        <sz val="10"/>
        <rFont val="Arial"/>
        <family val="2"/>
      </rPr>
      <t>0226-0411</t>
    </r>
  </si>
  <si>
    <r>
      <t xml:space="preserve">PR No. </t>
    </r>
    <r>
      <rPr>
        <u/>
        <sz val="10"/>
        <rFont val="Arial"/>
        <family val="2"/>
      </rPr>
      <t>0226-0412</t>
    </r>
  </si>
  <si>
    <r>
      <t xml:space="preserve">PR No.  </t>
    </r>
    <r>
      <rPr>
        <u/>
        <sz val="10"/>
        <rFont val="Arial"/>
        <family val="2"/>
      </rPr>
      <t>0226-0413</t>
    </r>
  </si>
  <si>
    <r>
      <t xml:space="preserve">PR No. </t>
    </r>
    <r>
      <rPr>
        <u/>
        <sz val="10"/>
        <rFont val="Arial"/>
        <family val="2"/>
      </rPr>
      <t>0226-0414</t>
    </r>
  </si>
  <si>
    <t xml:space="preserve">          (RRP - CCAM) Orientation and Consultation Meeting on March 11, 2026.</t>
  </si>
  <si>
    <t>Heavy PM Snacks: Tuna Sandwich, Carbonara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</si>
  <si>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4H (Head, Heart, Hand, Health)</t>
    </r>
  </si>
  <si>
    <t>Pig Catcher, Metal</t>
  </si>
  <si>
    <r>
      <t xml:space="preserve">PR No. </t>
    </r>
    <r>
      <rPr>
        <u/>
        <sz val="10"/>
        <rFont val="Arial"/>
        <family val="2"/>
      </rPr>
      <t xml:space="preserve">0226- </t>
    </r>
  </si>
  <si>
    <r>
      <t xml:space="preserve">Date: </t>
    </r>
    <r>
      <rPr>
        <u/>
        <sz val="10"/>
        <rFont val="Arial"/>
        <family val="2"/>
      </rPr>
      <t>02/03/2026</t>
    </r>
  </si>
  <si>
    <t>Printer - Continous Inkjet 3 in 1</t>
  </si>
  <si>
    <r>
      <t>Purpose/Remarks:</t>
    </r>
    <r>
      <rPr>
        <u/>
        <sz val="10"/>
        <rFont val="Arial"/>
        <family val="2"/>
      </rPr>
      <t xml:space="preserve"> For office use.</t>
    </r>
  </si>
  <si>
    <t>Ballpen (black, 25's/box)</t>
  </si>
  <si>
    <r>
      <t>Date:</t>
    </r>
    <r>
      <rPr>
        <u/>
        <sz val="10"/>
        <rFont val="Arial"/>
        <family val="2"/>
      </rPr>
      <t>02/03/2026</t>
    </r>
  </si>
  <si>
    <r>
      <t>PR No.</t>
    </r>
    <r>
      <rPr>
        <u/>
        <sz val="10"/>
        <rFont val="Arial"/>
        <family val="2"/>
      </rPr>
      <t xml:space="preserve"> 0226-0431</t>
    </r>
  </si>
  <si>
    <r>
      <t xml:space="preserve">PR No. </t>
    </r>
    <r>
      <rPr>
        <u/>
        <sz val="10"/>
        <rFont val="Arial"/>
        <family val="2"/>
      </rPr>
      <t>0226-0432</t>
    </r>
  </si>
  <si>
    <r>
      <t xml:space="preserve">PR No. </t>
    </r>
    <r>
      <rPr>
        <u/>
        <sz val="10"/>
        <rFont val="Arial"/>
        <family val="2"/>
      </rPr>
      <t>0226-0433</t>
    </r>
  </si>
  <si>
    <t>PM Snacks: Pancit Bihon with Puto and Softdrinks</t>
  </si>
  <si>
    <r>
      <t xml:space="preserve">Purpose/Remarks: </t>
    </r>
    <r>
      <rPr>
        <u/>
        <sz val="10"/>
        <rFont val="Arial"/>
        <family val="2"/>
      </rPr>
      <t>To be served during the Exercise Coordination Meeting for NSED 1st Quarter on February 13, 2026.</t>
    </r>
  </si>
  <si>
    <r>
      <t xml:space="preserve">Purpose/Remarks: </t>
    </r>
    <r>
      <rPr>
        <u/>
        <sz val="10"/>
        <rFont val="Arial"/>
        <family val="2"/>
      </rPr>
      <t>To be served during the Exercise Technical Meeting for NSED 1st Quarter on February 27, 2026.</t>
    </r>
  </si>
  <si>
    <t>PM Snacks: Burger and Softdrinks</t>
  </si>
  <si>
    <r>
      <t xml:space="preserve">Purpose/Remarks: </t>
    </r>
    <r>
      <rPr>
        <u/>
        <sz val="10"/>
        <rFont val="Arial"/>
        <family val="2"/>
      </rPr>
      <t>To be served during the meeting of Exercise Key Players for NSED 1st Quarter on March 5, 2026.</t>
    </r>
  </si>
  <si>
    <r>
      <t xml:space="preserve">Purpose/Remarks: </t>
    </r>
    <r>
      <rPr>
        <u/>
        <sz val="10"/>
        <rFont val="Arial"/>
        <family val="2"/>
      </rPr>
      <t>To be served during the Earthquake Drill Exercise - Final Preparatory Meeting for Earthquake</t>
    </r>
  </si>
  <si>
    <t xml:space="preserve">        Drill Implementation for NSED 1st Quarter on March 11, 2026.</t>
  </si>
  <si>
    <r>
      <t xml:space="preserve">Purpose/Remarks: </t>
    </r>
    <r>
      <rPr>
        <u/>
        <sz val="10"/>
        <rFont val="Arial"/>
        <family val="2"/>
      </rPr>
      <t xml:space="preserve">To be served during the 1st Quarter Actual Earthquake Drill Exercises - Simulation and </t>
    </r>
  </si>
  <si>
    <t xml:space="preserve">        Assessment Session / Meeting for NSED 1st Quarter on March 12, 2026.</t>
  </si>
  <si>
    <t xml:space="preserve">                                 Meeting on March 11,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</si>
  <si>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Rice Stakeholders</t>
    </r>
  </si>
  <si>
    <t>PM Snacks: Baked Mac with Garllic Bread</t>
  </si>
  <si>
    <t>and Pineapple Juice</t>
  </si>
  <si>
    <r>
      <t xml:space="preserve">Purpose/Remarks: </t>
    </r>
    <r>
      <rPr>
        <u/>
        <sz val="10"/>
        <rFont val="Arial"/>
        <family val="2"/>
      </rPr>
      <t>To be served during the Provincial Performance Management Team (PPMT) Quarterly</t>
    </r>
  </si>
  <si>
    <t xml:space="preserve">                                Meeting on March 20, 2026.</t>
  </si>
  <si>
    <r>
      <t>Purpose/Remarks:</t>
    </r>
    <r>
      <rPr>
        <u/>
        <sz val="10"/>
        <rFont val="Arial"/>
        <family val="2"/>
      </rPr>
      <t xml:space="preserve"> To be served during the 1st Quarterly Child Representatives Meeting on March 21, 2026.</t>
    </r>
  </si>
  <si>
    <t>AM Snacks: Chorizo Pasta with Toasted</t>
  </si>
  <si>
    <r>
      <t>Purpose/Remarks:</t>
    </r>
    <r>
      <rPr>
        <u/>
        <sz val="10"/>
        <rFont val="Arial"/>
        <family val="2"/>
      </rPr>
      <t xml:space="preserve"> To be served during the Meeting for Out-of-School Youth on March 23,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</si>
  <si>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Fisherfolk Organizations</t>
    </r>
  </si>
  <si>
    <t xml:space="preserve">                                and Cooperatives Meeting on March 24, 2026.</t>
  </si>
  <si>
    <r>
      <t xml:space="preserve">Purpose/Remarks : </t>
    </r>
    <r>
      <rPr>
        <u/>
        <sz val="10"/>
        <rFont val="Arial"/>
        <family val="2"/>
      </rPr>
      <t>To be served during the Vegetable Production Project Meeting on March 24,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</si>
  <si>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Rural Improvement Club</t>
    </r>
  </si>
  <si>
    <t xml:space="preserve">                                 (RIC) Meeting on March 24, 2026.</t>
  </si>
  <si>
    <t>AM Snacks: Noodles with Puto Pao and</t>
  </si>
  <si>
    <r>
      <t>Purpose/Remarks:</t>
    </r>
    <r>
      <rPr>
        <u/>
        <sz val="10"/>
        <rFont val="Arial"/>
        <family val="2"/>
      </rPr>
      <t xml:space="preserve"> To be served during the Local Cooperative Development Officers (LCDO) Batangas Quarterly</t>
    </r>
  </si>
  <si>
    <t xml:space="preserve">        Meeting on March 24, 2026.</t>
  </si>
  <si>
    <t>AM Snacks: Tuna Pasta with Toasted Bread</t>
  </si>
  <si>
    <t>PM Snacks: Burger, Fries and Bottled Juice</t>
  </si>
  <si>
    <t xml:space="preserve">        on March 25, 2026.</t>
  </si>
  <si>
    <r>
      <t>Purpose/Remarks:</t>
    </r>
    <r>
      <rPr>
        <u/>
        <sz val="10"/>
        <rFont val="Arial"/>
        <family val="2"/>
      </rPr>
      <t>To be served during the Solo Parent Week Celebration - Search for NayTay 2026 (Final Deliberation)</t>
    </r>
  </si>
  <si>
    <t>Heavy AM Snacks: Sotanghon Guisado,</t>
  </si>
  <si>
    <t>Clubhouse Sandwich and Bottled Juice</t>
  </si>
  <si>
    <r>
      <t xml:space="preserve">Purpose/Remarks : </t>
    </r>
    <r>
      <rPr>
        <u/>
        <sz val="10"/>
        <rFont val="Arial"/>
        <family val="2"/>
      </rPr>
      <t>To be served during the MAO's Meeting on March 25, 2026.</t>
    </r>
  </si>
  <si>
    <r>
      <t xml:space="preserve">Purpose/Remarks : </t>
    </r>
    <r>
      <rPr>
        <u/>
        <sz val="10"/>
        <rFont val="Arial"/>
        <family val="2"/>
      </rPr>
      <t>To be served during the Orientation / Briefing on Rice Production Enhancement Project</t>
    </r>
  </si>
  <si>
    <t xml:space="preserve">                                Beneficiaries on March 25,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</si>
  <si>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Provincial - Batangas </t>
    </r>
  </si>
  <si>
    <t xml:space="preserve">                                 Coffee Farmers Federation (BaCoFFed) Meeting on March 25, 2026.</t>
  </si>
  <si>
    <t>AM Snacks: Creamy Tuna Pasta with Garlic</t>
  </si>
  <si>
    <r>
      <t>Purpose/Remarks:</t>
    </r>
    <r>
      <rPr>
        <u/>
        <sz val="10"/>
        <rFont val="Arial"/>
        <family val="2"/>
      </rPr>
      <t>To be served during the 1st Quarterly Provincial Council for the Protection of Children (PCPC)</t>
    </r>
  </si>
  <si>
    <t xml:space="preserve">       Full Council Meeting on March 25, 2026.</t>
  </si>
  <si>
    <r>
      <t xml:space="preserve">Purpose/Remarks : </t>
    </r>
    <r>
      <rPr>
        <u/>
        <sz val="10"/>
        <rFont val="Arial"/>
        <family val="2"/>
      </rPr>
      <t>To be served during the Training on Project and Business Management on March 26, 2026.</t>
    </r>
  </si>
  <si>
    <r>
      <t xml:space="preserve">Purpose/Remarks : </t>
    </r>
    <r>
      <rPr>
        <u/>
        <sz val="10"/>
        <rFont val="Arial"/>
        <family val="2"/>
      </rPr>
      <t>To be served during the Vegetable Production Project Meeting on March 27, 2026.</t>
    </r>
  </si>
  <si>
    <t>AM Snacks: Creamy Tuna Pasta, Crispy</t>
  </si>
  <si>
    <t>Potato Wedges and Bottled Juice</t>
  </si>
  <si>
    <r>
      <t>Purpose/Remarks:</t>
    </r>
    <r>
      <rPr>
        <u/>
        <sz val="10"/>
        <rFont val="Arial"/>
        <family val="2"/>
      </rPr>
      <t>To be served during the 1st Semestral - Special Drug Education Center (SDEC) Committee</t>
    </r>
  </si>
  <si>
    <t xml:space="preserve">       Meeting on March 27, 2026.</t>
  </si>
  <si>
    <r>
      <t xml:space="preserve">Purpose/Remarks: </t>
    </r>
    <r>
      <rPr>
        <u/>
        <sz val="10"/>
        <rFont val="Arial"/>
        <family val="2"/>
      </rPr>
      <t>To be served during the Consultation Meeting with Local Government Units (LGUs) and</t>
    </r>
  </si>
  <si>
    <t xml:space="preserve">                                Presentation of Draft Batangas Province LPTRP 2025 - 2029 on February 20, 2026.</t>
  </si>
  <si>
    <t>KATHLEEN BRIONES - QUEYQUEP</t>
  </si>
  <si>
    <t>PM Snacks: Pancit and Drinks</t>
  </si>
  <si>
    <r>
      <t xml:space="preserve">Purpose/Remarks : </t>
    </r>
    <r>
      <rPr>
        <u/>
        <sz val="10"/>
        <rFont val="Arial"/>
        <family val="2"/>
      </rPr>
      <t>For use in disease investigation, surveillance and animal movement control monitoring.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</si>
  <si>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 </t>
    </r>
  </si>
  <si>
    <t xml:space="preserve">          Mangrove Protected Areas on March 12, 2026.</t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</si>
  <si>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  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</si>
  <si>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</si>
  <si>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Batangas Cacao Growers</t>
    </r>
  </si>
  <si>
    <t xml:space="preserve">                                 Association Meeting on March 27, 2026.</t>
  </si>
  <si>
    <r>
      <t xml:space="preserve">Purpose/Remarks : </t>
    </r>
    <r>
      <rPr>
        <u/>
        <sz val="10"/>
        <rFont val="Arial"/>
        <family val="2"/>
      </rPr>
      <t>To be served during the Orientation / Briefing on Corn Production Enhancement Project</t>
    </r>
  </si>
  <si>
    <t xml:space="preserve">                                 Beneficiaries on March 27,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</si>
  <si>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Municipal / City Agriculturist</t>
    </r>
  </si>
  <si>
    <t xml:space="preserve">                                 Meeting on March 27, 2026.</t>
  </si>
  <si>
    <t xml:space="preserve">       March 27, 2026.</t>
  </si>
  <si>
    <t>Heavy AM Snacks: Chicken Sandwich,</t>
  </si>
  <si>
    <r>
      <t xml:space="preserve">Purpose/Remarks : </t>
    </r>
    <r>
      <rPr>
        <u/>
        <sz val="10"/>
        <rFont val="Arial"/>
        <family val="2"/>
      </rPr>
      <t>To be served during the Rabies TWG Meeting on March 31, 2026.</t>
    </r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</si>
  <si>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Corn Stakeholders </t>
    </r>
  </si>
  <si>
    <t xml:space="preserve">                                 Meeting on March 31, 2026.</t>
  </si>
  <si>
    <t xml:space="preserve">AM Snacks: Creamy Mushroom Pasta and </t>
  </si>
  <si>
    <r>
      <t>Purpose/Remarks:</t>
    </r>
    <r>
      <rPr>
        <u/>
        <sz val="10"/>
        <rFont val="Arial"/>
        <family val="2"/>
      </rPr>
      <t>To be served during the 1st Quarterly Provincial Federation of Pantawid Leaders Meeting on</t>
    </r>
  </si>
  <si>
    <t xml:space="preserve">        March 31, 2026.</t>
  </si>
  <si>
    <t>PM Snacks: Tuna Sandwich with Potato</t>
  </si>
  <si>
    <t>Chips and Canned Juice</t>
  </si>
  <si>
    <r>
      <t xml:space="preserve">Purpose/Remarks: </t>
    </r>
    <r>
      <rPr>
        <u/>
        <sz val="10"/>
        <rFont val="Arial"/>
        <family val="2"/>
      </rPr>
      <t>To be served during the meeting regarding presentation of final draft Batangas Province LPTRP</t>
    </r>
  </si>
  <si>
    <t xml:space="preserve">         2025-2029 to the Local Government Units, Transport Service Entities and LPTRP Team on March 31, 2026.</t>
  </si>
  <si>
    <t xml:space="preserve">           </t>
  </si>
  <si>
    <r>
      <t xml:space="preserve">Purpose/Remarks : </t>
    </r>
    <r>
      <rPr>
        <u/>
        <sz val="10"/>
        <rFont val="Arial"/>
        <family val="2"/>
      </rPr>
      <t>To be served during the meeting with various Barangay Officials of different cities and municipalities</t>
    </r>
  </si>
  <si>
    <t xml:space="preserve">        in the Province of Batangas and various organization on January 8, 2026.</t>
  </si>
  <si>
    <r>
      <t xml:space="preserve">Purpose/Remarks : </t>
    </r>
    <r>
      <rPr>
        <u/>
        <sz val="10"/>
        <rFont val="Arial"/>
        <family val="2"/>
      </rPr>
      <t>To be served during the meeting of Local Chief Executives with Board Members and staff</t>
    </r>
  </si>
  <si>
    <t xml:space="preserve">       and other stakeholders on January 7, 2026.</t>
  </si>
  <si>
    <r>
      <t xml:space="preserve">Purpose/Remarks : </t>
    </r>
    <r>
      <rPr>
        <u/>
        <sz val="10"/>
        <rFont val="Arial"/>
        <family val="2"/>
      </rPr>
      <t>To be served to the guests/visitors of the Governor and various organizations on January 20, 2026.</t>
    </r>
  </si>
  <si>
    <r>
      <t xml:space="preserve">Purpose/Remarks : </t>
    </r>
    <r>
      <rPr>
        <u/>
        <sz val="10"/>
        <rFont val="Arial"/>
        <family val="2"/>
      </rPr>
      <t>To be served during the distribution of Laptop/Smart Tools for Public School Teachers and</t>
    </r>
  </si>
  <si>
    <t xml:space="preserve">       guests/visitors of the Governor on January 12, 2026.</t>
  </si>
  <si>
    <r>
      <t xml:space="preserve">Purpose/Remarks : </t>
    </r>
    <r>
      <rPr>
        <u/>
        <sz val="10"/>
        <rFont val="Arial"/>
        <family val="2"/>
      </rPr>
      <t>To be served to the guests/visitors of the Governor and various organizations on January 14, 2026.</t>
    </r>
  </si>
  <si>
    <r>
      <t xml:space="preserve">Purpose/Remarks : </t>
    </r>
    <r>
      <rPr>
        <u/>
        <sz val="10"/>
        <rFont val="Arial"/>
        <family val="2"/>
      </rPr>
      <t>To be served during the luncheon meeting of Local Chief Executives, Department Heads,</t>
    </r>
  </si>
  <si>
    <t>Officials and Other Officers of the Provincial Government of Batangas and the Local Government of San Juan</t>
  </si>
  <si>
    <t>Batangas on February 11, 2026.</t>
  </si>
  <si>
    <r>
      <t xml:space="preserve">Date: </t>
    </r>
    <r>
      <rPr>
        <u/>
        <sz val="10"/>
        <rFont val="Arial"/>
        <family val="2"/>
      </rPr>
      <t xml:space="preserve">02/04/2026 </t>
    </r>
  </si>
  <si>
    <t xml:space="preserve"> and Drinks</t>
  </si>
  <si>
    <t>Heavy AM Snacks: Pancit, Assorted Sandwich</t>
  </si>
  <si>
    <r>
      <t xml:space="preserve">PR No. </t>
    </r>
    <r>
      <rPr>
        <u/>
        <sz val="10"/>
        <rFont val="Arial"/>
        <family val="2"/>
      </rPr>
      <t>0226-0540</t>
    </r>
  </si>
  <si>
    <r>
      <t xml:space="preserve">Purpose/Remarks : </t>
    </r>
    <r>
      <rPr>
        <u/>
        <sz val="10"/>
        <rFont val="Arial"/>
        <family val="2"/>
      </rPr>
      <t xml:space="preserve">To be served during the Committee Hearing on Ways and Means in aid of legislation on  </t>
    </r>
  </si>
  <si>
    <t>Lunch Buffet: 5 Viands with Rice, Street</t>
  </si>
  <si>
    <t>Food Platter, Salad, Soup, Dessert and Drinks</t>
  </si>
  <si>
    <r>
      <t xml:space="preserve">PR No.  </t>
    </r>
    <r>
      <rPr>
        <u/>
        <sz val="10"/>
        <rFont val="Arial"/>
        <family val="2"/>
      </rPr>
      <t>0226-0541</t>
    </r>
  </si>
  <si>
    <r>
      <t>Date:</t>
    </r>
    <r>
      <rPr>
        <u/>
        <sz val="10"/>
        <rFont val="Arial"/>
        <family val="2"/>
      </rPr>
      <t>02/04/2026</t>
    </r>
  </si>
  <si>
    <r>
      <t xml:space="preserve">Purpose/Remarks: </t>
    </r>
    <r>
      <rPr>
        <u/>
        <sz val="10"/>
        <color theme="1"/>
        <rFont val="Arial"/>
        <family val="2"/>
      </rPr>
      <t>To be served during Lakbay Batangas Free Shuttle Tours on March 21 and April 18, 2026</t>
    </r>
  </si>
  <si>
    <t xml:space="preserve">        within Batangas Province.</t>
  </si>
  <si>
    <t>Heavy PM Snacks: Baked Macaroni with</t>
  </si>
  <si>
    <r>
      <t xml:space="preserve">Purpose/Remarks : </t>
    </r>
    <r>
      <rPr>
        <u/>
        <sz val="10"/>
        <rFont val="Arial"/>
        <family val="2"/>
      </rPr>
      <t>To be served during the meeting of the Governor with different barangay officials of Nasugbu,</t>
    </r>
  </si>
  <si>
    <t xml:space="preserve">       Batangas and visitors from various organization on January 29, 2026.</t>
  </si>
  <si>
    <r>
      <t xml:space="preserve">PR No. </t>
    </r>
    <r>
      <rPr>
        <u/>
        <sz val="10"/>
        <rFont val="Arial"/>
        <family val="2"/>
      </rPr>
      <t>0126-0062</t>
    </r>
  </si>
  <si>
    <r>
      <t>Date:</t>
    </r>
    <r>
      <rPr>
        <u/>
        <sz val="10"/>
        <rFont val="Arial"/>
        <family val="2"/>
      </rPr>
      <t>01/21/2026</t>
    </r>
  </si>
  <si>
    <r>
      <t xml:space="preserve">PR No. </t>
    </r>
    <r>
      <rPr>
        <u/>
        <sz val="10"/>
        <rFont val="Arial"/>
        <family val="2"/>
      </rPr>
      <t>0126-0014</t>
    </r>
  </si>
  <si>
    <r>
      <t xml:space="preserve">Purpose/Remarks : </t>
    </r>
    <r>
      <rPr>
        <u/>
        <sz val="10"/>
        <rFont val="Arial"/>
        <family val="2"/>
      </rPr>
      <t>To be served during various meeting of Local Chief Executives and oathtaking of Atty. Wilfredo</t>
    </r>
  </si>
  <si>
    <t xml:space="preserve">       S. Rivera, Jr. Deputy Register of Deeds Batangas Province on January 12, 2026.</t>
  </si>
  <si>
    <r>
      <t xml:space="preserve">PR No. </t>
    </r>
    <r>
      <rPr>
        <u/>
        <sz val="10"/>
        <rFont val="Arial"/>
        <family val="2"/>
      </rPr>
      <t>0126-0026</t>
    </r>
  </si>
  <si>
    <r>
      <t xml:space="preserve">Purpose/Remarks : </t>
    </r>
    <r>
      <rPr>
        <u/>
        <sz val="10"/>
        <rFont val="Arial"/>
        <family val="2"/>
      </rPr>
      <t>To be served during the meeting of Governor with the Municipal Mayor and various Barangay</t>
    </r>
  </si>
  <si>
    <t xml:space="preserve">        Officials and various organizations in the Province of Batangas on January 20, 2026.</t>
  </si>
  <si>
    <r>
      <t xml:space="preserve">PR No. </t>
    </r>
    <r>
      <rPr>
        <u/>
        <sz val="10"/>
        <rFont val="Arial"/>
        <family val="2"/>
      </rPr>
      <t>0126-0191</t>
    </r>
  </si>
  <si>
    <t>Heavy AM Snacks: Pancit Sotanghon Canton,</t>
  </si>
  <si>
    <t>Ham and Cheese Sandwich and Assorted Drinks</t>
  </si>
  <si>
    <t xml:space="preserve">  pack</t>
  </si>
  <si>
    <r>
      <t xml:space="preserve">Purpose/Remarks : </t>
    </r>
    <r>
      <rPr>
        <u/>
        <sz val="10"/>
        <rFont val="Arial"/>
        <family val="2"/>
      </rPr>
      <t>To be served during the launching  of the flagship program of NAPOLCOM CALABARZON,</t>
    </r>
  </si>
  <si>
    <t xml:space="preserve">        SALUDO HOTLINE: PULIS CALABARZON on February 3, 2026.</t>
  </si>
  <si>
    <r>
      <t xml:space="preserve">Purpose/Remarks : </t>
    </r>
    <r>
      <rPr>
        <u/>
        <sz val="10"/>
        <rFont val="Arial"/>
        <family val="2"/>
      </rPr>
      <t>To be served during the Governor's coordination meeting with Officers from Bureau of Fire</t>
    </r>
  </si>
  <si>
    <t xml:space="preserve">                                 Office and different barangay officials in the Province of Batangas on February 2, 2026.</t>
  </si>
  <si>
    <r>
      <t xml:space="preserve">                                 </t>
    </r>
    <r>
      <rPr>
        <u/>
        <sz val="10"/>
        <rFont val="Arial"/>
        <family val="2"/>
      </rPr>
      <t>Protection Batangas Provincial Office, Head and Officers from Batangas Provincial Police</t>
    </r>
  </si>
  <si>
    <r>
      <t>Date:</t>
    </r>
    <r>
      <rPr>
        <u/>
        <sz val="10"/>
        <rFont val="Arial"/>
        <family val="2"/>
      </rPr>
      <t>01/23/2026</t>
    </r>
  </si>
  <si>
    <r>
      <t xml:space="preserve">PR No. </t>
    </r>
    <r>
      <rPr>
        <u/>
        <sz val="10"/>
        <rFont val="Arial"/>
        <family val="2"/>
      </rPr>
      <t xml:space="preserve">0126-0139 </t>
    </r>
  </si>
  <si>
    <r>
      <t xml:space="preserve">PR No. </t>
    </r>
    <r>
      <rPr>
        <u/>
        <sz val="10"/>
        <rFont val="Arial"/>
        <family val="2"/>
      </rPr>
      <t>0126-0138</t>
    </r>
  </si>
  <si>
    <r>
      <t xml:space="preserve">Purpose/Remarks : </t>
    </r>
    <r>
      <rPr>
        <u/>
        <sz val="10"/>
        <rFont val="Arial"/>
        <family val="2"/>
      </rPr>
      <t>To be served during the courtesy call meeting of the Governor with Phryze gas staff, Board</t>
    </r>
  </si>
  <si>
    <t xml:space="preserve">                                 exam passers on January 29, 2026. </t>
  </si>
  <si>
    <r>
      <t xml:space="preserve">PR No. </t>
    </r>
    <r>
      <rPr>
        <u/>
        <sz val="10"/>
        <rFont val="Arial"/>
        <family val="2"/>
      </rPr>
      <t>0126-0192</t>
    </r>
  </si>
  <si>
    <t>Room Accommodation</t>
  </si>
  <si>
    <t xml:space="preserve"> - La Prima Room (1 King Bed, 2 Single Bed)</t>
  </si>
  <si>
    <t xml:space="preserve">                                 on February 11, 2026.</t>
  </si>
  <si>
    <r>
      <t xml:space="preserve">Purpose/Remarks : </t>
    </r>
    <r>
      <rPr>
        <u/>
        <sz val="10"/>
        <rFont val="Arial"/>
        <family val="2"/>
      </rPr>
      <t>For one (1) night accommodation for Capitol on Wheels event to be held at San Juan, Batangas</t>
    </r>
  </si>
  <si>
    <r>
      <t xml:space="preserve">Purpose/Remarks : </t>
    </r>
    <r>
      <rPr>
        <u/>
        <sz val="10"/>
        <rFont val="Arial"/>
        <family val="2"/>
      </rPr>
      <t>To be served during the meeting of Governor with the Municipal Mayor and different Barangay</t>
    </r>
  </si>
  <si>
    <r>
      <t xml:space="preserve">                                 </t>
    </r>
    <r>
      <rPr>
        <u/>
        <sz val="10"/>
        <rFont val="Arial"/>
        <family val="2"/>
      </rPr>
      <t>Members and other stakeholders as well as the recognition of occupational therapist licensure</t>
    </r>
  </si>
  <si>
    <t>Bread and Drinks</t>
  </si>
  <si>
    <r>
      <t xml:space="preserve">Purpose/Remarks : </t>
    </r>
    <r>
      <rPr>
        <u/>
        <sz val="10"/>
        <rFont val="Arial"/>
        <family val="2"/>
      </rPr>
      <t xml:space="preserve"> To be served during Committee Hearing on Natural Resources and Environmental Protection on</t>
    </r>
  </si>
  <si>
    <t xml:space="preserve">        February 12, 2026.</t>
  </si>
  <si>
    <t>Batch 1 - March 21, 2026</t>
  </si>
  <si>
    <t>Batch 2 - April 18, 2026</t>
  </si>
  <si>
    <t>Timpalak sa Matatag na Batangas  on March 20, April 24 and May 22, 2026 within Batangas Province.</t>
  </si>
  <si>
    <r>
      <t xml:space="preserve">PR No. </t>
    </r>
    <r>
      <rPr>
        <u/>
        <sz val="10"/>
        <rFont val="Arial"/>
        <family val="2"/>
      </rPr>
      <t xml:space="preserve">0226-0552 </t>
    </r>
  </si>
  <si>
    <r>
      <t xml:space="preserve">Date: </t>
    </r>
    <r>
      <rPr>
        <u/>
        <sz val="10"/>
        <rFont val="Arial"/>
        <family val="2"/>
      </rPr>
      <t>02/04/2026</t>
    </r>
  </si>
  <si>
    <r>
      <t xml:space="preserve">PR No. </t>
    </r>
    <r>
      <rPr>
        <u/>
        <sz val="10"/>
        <rFont val="Arial"/>
        <family val="2"/>
      </rPr>
      <t xml:space="preserve">0226-0553 </t>
    </r>
  </si>
  <si>
    <r>
      <t xml:space="preserve">PR No. </t>
    </r>
    <r>
      <rPr>
        <u/>
        <sz val="10"/>
        <rFont val="Arial"/>
        <family val="2"/>
      </rPr>
      <t xml:space="preserve">0226-0554 </t>
    </r>
  </si>
  <si>
    <r>
      <t xml:space="preserve">PR No. </t>
    </r>
    <r>
      <rPr>
        <u/>
        <sz val="10"/>
        <rFont val="Arial"/>
        <family val="2"/>
      </rPr>
      <t>0226-0555</t>
    </r>
  </si>
  <si>
    <r>
      <t xml:space="preserve">PR No. </t>
    </r>
    <r>
      <rPr>
        <u/>
        <sz val="10"/>
        <rFont val="Arial"/>
        <family val="2"/>
      </rPr>
      <t xml:space="preserve">0226-0556 </t>
    </r>
  </si>
  <si>
    <t>AM Snacks: Lasagna with Toasted Bread,</t>
  </si>
  <si>
    <t>Lunch Buffet: 2 Viands with Rice, Dessert,</t>
  </si>
  <si>
    <t>PM Snacks: Pancit Palabok with Toasted Bread,</t>
  </si>
  <si>
    <t>Juice and Free Flowing Water</t>
  </si>
  <si>
    <r>
      <t xml:space="preserve">Purpose/Remarks : </t>
    </r>
    <r>
      <rPr>
        <u/>
        <sz val="10"/>
        <rFont val="Arial"/>
        <family val="2"/>
      </rPr>
      <t xml:space="preserve"> To be served during the World Seagrass Day (Educational Symposium and Poster Making</t>
    </r>
  </si>
  <si>
    <t xml:space="preserve">          Contest) on March 13, 2026.</t>
  </si>
  <si>
    <r>
      <t xml:space="preserve">PR No. </t>
    </r>
    <r>
      <rPr>
        <u/>
        <sz val="10"/>
        <rFont val="Arial"/>
        <family val="2"/>
      </rPr>
      <t>0226-0557</t>
    </r>
  </si>
  <si>
    <r>
      <t xml:space="preserve">PR No. </t>
    </r>
    <r>
      <rPr>
        <u/>
        <sz val="10"/>
        <rFont val="Arial"/>
        <family val="2"/>
      </rPr>
      <t>0226-0558</t>
    </r>
  </si>
  <si>
    <r>
      <t>PR No.</t>
    </r>
    <r>
      <rPr>
        <u/>
        <sz val="10"/>
        <rFont val="Arial"/>
        <family val="2"/>
      </rPr>
      <t xml:space="preserve"> 0226-0559</t>
    </r>
  </si>
  <si>
    <r>
      <t xml:space="preserve">PR No. </t>
    </r>
    <r>
      <rPr>
        <u/>
        <sz val="10"/>
        <rFont val="Arial"/>
        <family val="2"/>
      </rPr>
      <t>0226-0560</t>
    </r>
  </si>
  <si>
    <r>
      <t xml:space="preserve">PR No. </t>
    </r>
    <r>
      <rPr>
        <u/>
        <sz val="10"/>
        <rFont val="Arial"/>
        <family val="2"/>
      </rPr>
      <t>0226-0561</t>
    </r>
  </si>
  <si>
    <r>
      <t xml:space="preserve">PR No. </t>
    </r>
    <r>
      <rPr>
        <u/>
        <sz val="10"/>
        <rFont val="Arial"/>
        <family val="2"/>
      </rPr>
      <t>0226-0562</t>
    </r>
  </si>
  <si>
    <r>
      <t xml:space="preserve">PR No. </t>
    </r>
    <r>
      <rPr>
        <u/>
        <sz val="10"/>
        <rFont val="Arial"/>
        <family val="2"/>
      </rPr>
      <t>0226-0563</t>
    </r>
  </si>
  <si>
    <r>
      <t xml:space="preserve">PR No. </t>
    </r>
    <r>
      <rPr>
        <u/>
        <sz val="10"/>
        <rFont val="Arial"/>
        <family val="2"/>
      </rPr>
      <t>0226-0564</t>
    </r>
  </si>
  <si>
    <r>
      <t xml:space="preserve">PR No. </t>
    </r>
    <r>
      <rPr>
        <u/>
        <sz val="10"/>
        <rFont val="Arial"/>
        <family val="2"/>
      </rPr>
      <t xml:space="preserve">0226-0565 </t>
    </r>
  </si>
  <si>
    <r>
      <t xml:space="preserve">PR No. </t>
    </r>
    <r>
      <rPr>
        <u/>
        <sz val="10"/>
        <rFont val="Arial"/>
        <family val="2"/>
      </rPr>
      <t xml:space="preserve">0226-0566 </t>
    </r>
  </si>
  <si>
    <r>
      <t xml:space="preserve">PR No. </t>
    </r>
    <r>
      <rPr>
        <u/>
        <sz val="10"/>
        <rFont val="Arial"/>
        <family val="2"/>
      </rPr>
      <t>0226-0567</t>
    </r>
  </si>
  <si>
    <r>
      <t xml:space="preserve">PR No. </t>
    </r>
    <r>
      <rPr>
        <u/>
        <sz val="10"/>
        <rFont val="Arial"/>
        <family val="2"/>
      </rPr>
      <t>0226-0568</t>
    </r>
  </si>
  <si>
    <r>
      <t xml:space="preserve">PR No. </t>
    </r>
    <r>
      <rPr>
        <u/>
        <sz val="10"/>
        <rFont val="Arial"/>
        <family val="2"/>
      </rPr>
      <t>0226-0569</t>
    </r>
  </si>
  <si>
    <r>
      <t xml:space="preserve">PR No. </t>
    </r>
    <r>
      <rPr>
        <u/>
        <sz val="10"/>
        <rFont val="Arial"/>
        <family val="2"/>
      </rPr>
      <t>0226-0570</t>
    </r>
  </si>
  <si>
    <r>
      <t xml:space="preserve">PR No. </t>
    </r>
    <r>
      <rPr>
        <u/>
        <sz val="10"/>
        <rFont val="Arial"/>
        <family val="2"/>
      </rPr>
      <t>0226-0571</t>
    </r>
  </si>
  <si>
    <r>
      <t xml:space="preserve">PR No. </t>
    </r>
    <r>
      <rPr>
        <u/>
        <sz val="10"/>
        <rFont val="Arial"/>
        <family val="2"/>
      </rPr>
      <t xml:space="preserve">0226-0572 </t>
    </r>
  </si>
  <si>
    <r>
      <t xml:space="preserve">PR No. </t>
    </r>
    <r>
      <rPr>
        <u/>
        <sz val="10"/>
        <rFont val="Arial"/>
        <family val="2"/>
      </rPr>
      <t>0226-0573</t>
    </r>
  </si>
  <si>
    <r>
      <t>PR No.</t>
    </r>
    <r>
      <rPr>
        <u/>
        <sz val="10"/>
        <rFont val="Arial"/>
        <family val="2"/>
      </rPr>
      <t xml:space="preserve"> 0226-0574 </t>
    </r>
  </si>
  <si>
    <r>
      <t xml:space="preserve">PR No. </t>
    </r>
    <r>
      <rPr>
        <u/>
        <sz val="10"/>
        <rFont val="Arial"/>
        <family val="2"/>
      </rPr>
      <t>0226-0575</t>
    </r>
  </si>
  <si>
    <r>
      <t xml:space="preserve">PR No. </t>
    </r>
    <r>
      <rPr>
        <u/>
        <sz val="10"/>
        <rFont val="Arial"/>
        <family val="2"/>
      </rPr>
      <t>0226-0576</t>
    </r>
  </si>
  <si>
    <r>
      <t xml:space="preserve">PR No. </t>
    </r>
    <r>
      <rPr>
        <u/>
        <sz val="10"/>
        <rFont val="Arial"/>
        <family val="2"/>
      </rPr>
      <t>0226-0577</t>
    </r>
  </si>
  <si>
    <t>AM Snacks: Pasta with Garlic Bread and Drinks</t>
  </si>
  <si>
    <r>
      <t xml:space="preserve">Purpose/Remarks : </t>
    </r>
    <r>
      <rPr>
        <u/>
        <sz val="10"/>
        <rFont val="Arial"/>
        <family val="2"/>
      </rPr>
      <t>To be served during the First Quarter Meeting of Municipal Federation of Barangay Tanod</t>
    </r>
  </si>
  <si>
    <r>
      <t xml:space="preserve">PR No. </t>
    </r>
    <r>
      <rPr>
        <u/>
        <sz val="10"/>
        <rFont val="Arial"/>
        <family val="2"/>
      </rPr>
      <t>0226-0578</t>
    </r>
  </si>
  <si>
    <r>
      <t xml:space="preserve">PR No. </t>
    </r>
    <r>
      <rPr>
        <u/>
        <sz val="10"/>
        <rFont val="Arial"/>
        <family val="2"/>
      </rPr>
      <t>0226-0579</t>
    </r>
  </si>
  <si>
    <r>
      <t xml:space="preserve">PR No. </t>
    </r>
    <r>
      <rPr>
        <u/>
        <sz val="10"/>
        <rFont val="Arial"/>
        <family val="2"/>
      </rPr>
      <t>0226-0580</t>
    </r>
  </si>
  <si>
    <r>
      <t xml:space="preserve">PR No. </t>
    </r>
    <r>
      <rPr>
        <u/>
        <sz val="10"/>
        <rFont val="Arial"/>
        <family val="2"/>
      </rPr>
      <t>0226-0581</t>
    </r>
  </si>
  <si>
    <r>
      <t xml:space="preserve">PR No. </t>
    </r>
    <r>
      <rPr>
        <u/>
        <sz val="10"/>
        <rFont val="Arial"/>
        <family val="2"/>
      </rPr>
      <t>0226-0582</t>
    </r>
  </si>
  <si>
    <r>
      <t xml:space="preserve">PR No. </t>
    </r>
    <r>
      <rPr>
        <u/>
        <sz val="10"/>
        <rFont val="Arial"/>
        <family val="2"/>
      </rPr>
      <t>0226-0583</t>
    </r>
  </si>
  <si>
    <t>change PR - PM Snacks na lang daw. 2/5</t>
  </si>
  <si>
    <t>PM Snacks: Baked Penne and Canned Juice</t>
  </si>
  <si>
    <t>AM Snacks na lang daw - 02/05</t>
  </si>
  <si>
    <t xml:space="preserve">         that will be held on February 24, 2026.</t>
  </si>
  <si>
    <r>
      <t xml:space="preserve">Purpose/Remarks : </t>
    </r>
    <r>
      <rPr>
        <u/>
        <sz val="10"/>
        <rFont val="Arial"/>
        <family val="2"/>
      </rPr>
      <t xml:space="preserve"> To be served during the River clean-up activity for the River Rehabilitation Program in celebration</t>
    </r>
  </si>
  <si>
    <t xml:space="preserve">          of World Rivers Day on March 20, 2026.</t>
  </si>
  <si>
    <t>Free Flowing Water</t>
  </si>
  <si>
    <t>Lunch: 2 Viands with Rice, Dessert, Soda,</t>
  </si>
  <si>
    <r>
      <t>Date:</t>
    </r>
    <r>
      <rPr>
        <u/>
        <sz val="10"/>
        <rFont val="Arial"/>
        <family val="2"/>
      </rPr>
      <t>02/05/2026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</si>
  <si>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of Forest and Fruit Bearing Tree Growing in celebration of </t>
    </r>
  </si>
  <si>
    <r>
      <t xml:space="preserve">PR No. </t>
    </r>
    <r>
      <rPr>
        <u/>
        <sz val="10"/>
        <color rgb="FFFF0000"/>
        <rFont val="Arial"/>
        <family val="2"/>
      </rPr>
      <t>0126-0038</t>
    </r>
  </si>
  <si>
    <r>
      <t>Date:</t>
    </r>
    <r>
      <rPr>
        <u/>
        <sz val="10"/>
        <color rgb="FFFF0000"/>
        <rFont val="Arial"/>
        <family val="2"/>
      </rPr>
      <t xml:space="preserve"> 01/19/2026</t>
    </r>
  </si>
  <si>
    <t>cancelled 2/5</t>
  </si>
  <si>
    <r>
      <t xml:space="preserve">Purpose/Remarks : </t>
    </r>
    <r>
      <rPr>
        <u/>
        <sz val="10"/>
        <color rgb="FFFF0000"/>
        <rFont val="Arial"/>
        <family val="2"/>
      </rPr>
      <t>To be served during the regular monthly meeting of Sangguniang Kabataan Provincial Federation</t>
    </r>
  </si>
  <si>
    <t xml:space="preserve">          the International Day of Forest on March 27,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</si>
  <si>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Municipal / City Agriculturists  </t>
    </r>
  </si>
  <si>
    <t xml:space="preserve">                                  Meeting on March 31, 2026.</t>
  </si>
  <si>
    <r>
      <t xml:space="preserve">PR No. </t>
    </r>
    <r>
      <rPr>
        <u/>
        <sz val="10"/>
        <rFont val="Arial"/>
        <family val="2"/>
      </rPr>
      <t xml:space="preserve">0226-0599 </t>
    </r>
  </si>
  <si>
    <r>
      <t xml:space="preserve">PR No. </t>
    </r>
    <r>
      <rPr>
        <u/>
        <sz val="10"/>
        <rFont val="Arial"/>
        <family val="2"/>
      </rPr>
      <t>0226-0600</t>
    </r>
  </si>
  <si>
    <r>
      <t xml:space="preserve">Date: </t>
    </r>
    <r>
      <rPr>
        <u/>
        <sz val="10"/>
        <color theme="1"/>
        <rFont val="Arial"/>
        <family val="2"/>
      </rPr>
      <t>02/05/2026</t>
    </r>
  </si>
  <si>
    <r>
      <t xml:space="preserve">PR No. </t>
    </r>
    <r>
      <rPr>
        <u/>
        <sz val="10"/>
        <color theme="1"/>
        <rFont val="Arial"/>
        <family val="2"/>
      </rPr>
      <t>0226-0601</t>
    </r>
  </si>
  <si>
    <r>
      <t>PR No.</t>
    </r>
    <r>
      <rPr>
        <u/>
        <sz val="10"/>
        <rFont val="Arial"/>
        <family val="2"/>
      </rPr>
      <t xml:space="preserve"> 0226-0602 </t>
    </r>
  </si>
  <si>
    <r>
      <t xml:space="preserve">PR No. </t>
    </r>
    <r>
      <rPr>
        <u/>
        <sz val="10"/>
        <rFont val="Arial"/>
        <family val="2"/>
      </rPr>
      <t>0226-0603</t>
    </r>
  </si>
  <si>
    <r>
      <t xml:space="preserve">Date: </t>
    </r>
    <r>
      <rPr>
        <u/>
        <sz val="10"/>
        <rFont val="Arial"/>
        <family val="2"/>
      </rPr>
      <t>02/05/2026</t>
    </r>
  </si>
  <si>
    <r>
      <t xml:space="preserve">PR No. </t>
    </r>
    <r>
      <rPr>
        <u/>
        <sz val="10"/>
        <rFont val="Arial"/>
        <family val="2"/>
      </rPr>
      <t>0226-0604</t>
    </r>
  </si>
  <si>
    <r>
      <t xml:space="preserve">PR No. </t>
    </r>
    <r>
      <rPr>
        <u/>
        <sz val="10"/>
        <rFont val="Arial"/>
        <family val="2"/>
      </rPr>
      <t xml:space="preserve">0226-0605 </t>
    </r>
  </si>
  <si>
    <t xml:space="preserve">AM Snacks: Chicken Sandwich and </t>
  </si>
  <si>
    <r>
      <t xml:space="preserve">Purpose/Remarks: </t>
    </r>
    <r>
      <rPr>
        <u/>
        <sz val="10"/>
        <rFont val="Arial"/>
        <family val="2"/>
      </rPr>
      <t>To be served during the Provincial Competitiveness Committee (PCC) 1st Semestral Meeting on</t>
    </r>
  </si>
  <si>
    <r>
      <t xml:space="preserve">Date: </t>
    </r>
    <r>
      <rPr>
        <u/>
        <sz val="10"/>
        <rFont val="Arial"/>
        <family val="2"/>
      </rPr>
      <t>02/06/2026</t>
    </r>
  </si>
  <si>
    <t>AM Snacks: Pancit Canton Sotanghon with</t>
  </si>
  <si>
    <t>Puto and Bottled Water</t>
  </si>
  <si>
    <r>
      <t>Purpose/Remarks:</t>
    </r>
    <r>
      <rPr>
        <u/>
        <sz val="10"/>
        <rFont val="Arial"/>
        <family val="2"/>
      </rPr>
      <t>To be served during the Solo Parent Week Celebration on April 22, 2026.</t>
    </r>
  </si>
  <si>
    <r>
      <t xml:space="preserve">Purpose/Remarks : </t>
    </r>
    <r>
      <rPr>
        <u/>
        <sz val="10"/>
        <rFont val="Arial"/>
        <family val="2"/>
      </rPr>
      <t>To be served during the training on Meat Processing on March 19, 2026.</t>
    </r>
  </si>
  <si>
    <r>
      <t>PR No.</t>
    </r>
    <r>
      <rPr>
        <u/>
        <sz val="10"/>
        <rFont val="Arial"/>
        <family val="2"/>
      </rPr>
      <t xml:space="preserve"> 0226-0606 </t>
    </r>
  </si>
  <si>
    <t>Meals: Chicken with Rice, Pancit and Siomai</t>
  </si>
  <si>
    <r>
      <t xml:space="preserve">PR No. </t>
    </r>
    <r>
      <rPr>
        <u/>
        <sz val="10"/>
        <rFont val="Arial"/>
        <family val="2"/>
      </rPr>
      <t xml:space="preserve">0126-0008 </t>
    </r>
  </si>
  <si>
    <r>
      <t>Date:</t>
    </r>
    <r>
      <rPr>
        <u/>
        <sz val="10"/>
        <rFont val="Arial"/>
        <family val="2"/>
      </rPr>
      <t>01/08/2026</t>
    </r>
  </si>
  <si>
    <r>
      <t xml:space="preserve">Purpose/Remarks : </t>
    </r>
    <r>
      <rPr>
        <u/>
        <sz val="10"/>
        <rFont val="Arial"/>
        <family val="2"/>
      </rPr>
      <t>For use of Laurel Memorial District Hospital.</t>
    </r>
  </si>
  <si>
    <t xml:space="preserve">          Mangrove Protected Areas on March 6, 2026 at Lian, Batangas.</t>
  </si>
  <si>
    <t xml:space="preserve">         Mangrove Protected Areas on March 25, 2026 at San Juan, Batangas.</t>
  </si>
  <si>
    <t xml:space="preserve">         Mangrove Protected Areas on March 31, 2026 at Nasugbu, Batangas.</t>
  </si>
  <si>
    <r>
      <t xml:space="preserve">Purpose/Remarks : </t>
    </r>
    <r>
      <rPr>
        <u/>
        <sz val="10"/>
        <rFont val="Arial"/>
        <family val="2"/>
      </rPr>
      <t>To be served during the Rehabilitation/Rejuvenation of High Value and Industrial Crops Meeting</t>
    </r>
  </si>
  <si>
    <t xml:space="preserve">                                 on March 31, 2026.</t>
  </si>
  <si>
    <r>
      <t>Date:</t>
    </r>
    <r>
      <rPr>
        <u/>
        <sz val="10"/>
        <rFont val="Arial"/>
        <family val="2"/>
      </rPr>
      <t>02/09/2026</t>
    </r>
  </si>
  <si>
    <t>Albendazole 15%, 1L bottle</t>
  </si>
  <si>
    <t>Febantel, Pyrantel, Praziquantel 50 tabs / box</t>
  </si>
  <si>
    <t>chloride, zinc cholride, 100ml</t>
  </si>
  <si>
    <t xml:space="preserve">Iron dextran, Cyanocobalamin, cobalt  </t>
  </si>
  <si>
    <t>Levamisole Hydrochloride / Triclabendazole, 1L bottle</t>
  </si>
  <si>
    <t xml:space="preserve">Levamisole Hydrochloride powder sachet </t>
  </si>
  <si>
    <t>(5g x 48 per box)</t>
  </si>
  <si>
    <t>Benzalkonium Chloride (10 ml x 24 sachet per box)</t>
  </si>
  <si>
    <t xml:space="preserve">Liquid Disinfectant Glutaraldehyde +  </t>
  </si>
  <si>
    <t>Pyrantel Embonate 60ml</t>
  </si>
  <si>
    <t xml:space="preserve">5mg per ml suspension for dogs,60ml / bottle </t>
  </si>
  <si>
    <t xml:space="preserve">Pyrantel Pamoate + Praziquantel 14.4mg /  </t>
  </si>
  <si>
    <t>Hemosep inactivated vaccine 50 ml</t>
  </si>
  <si>
    <t>Hog Cholera Vaccine (HCV),10 doses/bottle</t>
  </si>
  <si>
    <t>1000 doses/bottle</t>
  </si>
  <si>
    <t xml:space="preserve">Newcastle disease (ND) B1B1 + La Sota, </t>
  </si>
  <si>
    <r>
      <t xml:space="preserve">Purpose/Remarks : </t>
    </r>
    <r>
      <rPr>
        <u/>
        <sz val="10"/>
        <rFont val="Arial"/>
        <family val="2"/>
      </rPr>
      <t>For the prevention and control of emerging and re emerging disease of different animals in</t>
    </r>
  </si>
  <si>
    <t xml:space="preserve">       the Province of Batangas.</t>
  </si>
  <si>
    <r>
      <t>Date:</t>
    </r>
    <r>
      <rPr>
        <u/>
        <sz val="10"/>
        <rFont val="Arial"/>
        <family val="2"/>
      </rPr>
      <t xml:space="preserve">02/09/2026 </t>
    </r>
  </si>
  <si>
    <t>February 19, 2026</t>
  </si>
  <si>
    <t>Heavy AM Snacks: Carbonara, Clubhouse</t>
  </si>
  <si>
    <t>Sandwich and Drinks</t>
  </si>
  <si>
    <t>February 20, 2026</t>
  </si>
  <si>
    <t>Heavy AM Snacks: Spaghetti, Burger and</t>
  </si>
  <si>
    <t>Drinks</t>
  </si>
  <si>
    <t xml:space="preserve">         </t>
  </si>
  <si>
    <t>LIEZL A. ROSUELO</t>
  </si>
  <si>
    <r>
      <t xml:space="preserve">Purpose/Remarks : </t>
    </r>
    <r>
      <rPr>
        <u/>
        <sz val="10"/>
        <rFont val="Arial"/>
        <family val="2"/>
      </rPr>
      <t>To be served during the conduct of Driving Smart: Safety, Discipline, and Responsibility on</t>
    </r>
  </si>
  <si>
    <t>February 24, 2026</t>
  </si>
  <si>
    <t>PM Snacks: Pasta with Bread and Drinks</t>
  </si>
  <si>
    <t>February 25, 2026</t>
  </si>
  <si>
    <t xml:space="preserve">Heavy AM Snacks: Spaghetti, Chicken </t>
  </si>
  <si>
    <t>PM Snacks: Sandwich with Chips and Drinks</t>
  </si>
  <si>
    <t>February 26, 2026</t>
  </si>
  <si>
    <t>Heavy AM Snacks: Baked Macaroni,</t>
  </si>
  <si>
    <t>Clubhouse Sandwich and Drinks</t>
  </si>
  <si>
    <t>March 03, 2026</t>
  </si>
  <si>
    <t>March 04, 2026</t>
  </si>
  <si>
    <t>March 05, 2026</t>
  </si>
  <si>
    <t>March 06, 2026</t>
  </si>
  <si>
    <t>march</t>
  </si>
  <si>
    <t>Batch 1</t>
  </si>
  <si>
    <t>Batch 2</t>
  </si>
  <si>
    <t>Heavy PM Snacks: Spaghetti, Chicken</t>
  </si>
  <si>
    <r>
      <t xml:space="preserve">Purpose/Remarks : </t>
    </r>
    <r>
      <rPr>
        <u/>
        <sz val="10"/>
        <rFont val="Arial"/>
        <family val="2"/>
      </rPr>
      <t>To be served during the conduct of Seminar on Work Life Integration for Women Professionals:</t>
    </r>
  </si>
  <si>
    <t xml:space="preserve">        Career, Family &amp; Self on March 25, 2026.</t>
  </si>
  <si>
    <r>
      <t xml:space="preserve">PR No. </t>
    </r>
    <r>
      <rPr>
        <u/>
        <sz val="10"/>
        <rFont val="Arial"/>
        <family val="2"/>
      </rPr>
      <t xml:space="preserve">0226-0686  </t>
    </r>
  </si>
  <si>
    <t xml:space="preserve">         February 19 - 20, 2026.</t>
  </si>
  <si>
    <r>
      <t xml:space="preserve">PR No. </t>
    </r>
    <r>
      <rPr>
        <u/>
        <sz val="10"/>
        <rFont val="Arial"/>
        <family val="2"/>
      </rPr>
      <t xml:space="preserve">0226-0687  </t>
    </r>
  </si>
  <si>
    <r>
      <t xml:space="preserve">Purpose/Remarks : </t>
    </r>
    <r>
      <rPr>
        <u/>
        <sz val="10"/>
        <rFont val="Arial"/>
        <family val="2"/>
      </rPr>
      <t>To be served during the conduct of Seminar on Basic Customer Service Skills for Frontliners</t>
    </r>
  </si>
  <si>
    <t xml:space="preserve">        on February 24 - 26, 2026.</t>
  </si>
  <si>
    <r>
      <t xml:space="preserve">PR No. </t>
    </r>
    <r>
      <rPr>
        <u/>
        <sz val="10"/>
        <rFont val="Arial"/>
        <family val="2"/>
      </rPr>
      <t xml:space="preserve">0226-0688  </t>
    </r>
  </si>
  <si>
    <r>
      <t xml:space="preserve">Purpose/Remarks : </t>
    </r>
    <r>
      <rPr>
        <u/>
        <sz val="10"/>
        <rFont val="Arial"/>
        <family val="2"/>
      </rPr>
      <t xml:space="preserve">To be served during the conduct of Civil Service Exam Review Class on March 3 - 6, 2026. </t>
    </r>
  </si>
  <si>
    <r>
      <t xml:space="preserve">PR No. </t>
    </r>
    <r>
      <rPr>
        <u/>
        <sz val="10"/>
        <rFont val="Arial"/>
        <family val="2"/>
      </rPr>
      <t xml:space="preserve">0226-0689  </t>
    </r>
  </si>
  <si>
    <r>
      <t>PR No.</t>
    </r>
    <r>
      <rPr>
        <u/>
        <sz val="10"/>
        <rFont val="Arial"/>
        <family val="2"/>
      </rPr>
      <t xml:space="preserve"> 0226-0693 </t>
    </r>
  </si>
  <si>
    <r>
      <t>Purpose/Remarks:</t>
    </r>
    <r>
      <rPr>
        <u/>
        <sz val="10"/>
        <rFont val="Arial"/>
        <family val="2"/>
      </rPr>
      <t xml:space="preserve"> To be served during the meeting with Persons with Disability on February 24, 2026.</t>
    </r>
  </si>
  <si>
    <r>
      <t xml:space="preserve">PR No. </t>
    </r>
    <r>
      <rPr>
        <u/>
        <sz val="10"/>
        <rFont val="Arial"/>
        <family val="2"/>
      </rPr>
      <t>0226-0704</t>
    </r>
  </si>
  <si>
    <r>
      <t xml:space="preserve">PR No. </t>
    </r>
    <r>
      <rPr>
        <u/>
        <sz val="10"/>
        <rFont val="Arial"/>
        <family val="2"/>
      </rPr>
      <t>0226-0631</t>
    </r>
  </si>
  <si>
    <t>kg</t>
  </si>
  <si>
    <t>Ground Pork</t>
  </si>
  <si>
    <t>Chicken Liver</t>
  </si>
  <si>
    <t>Chicken Gizzard</t>
  </si>
  <si>
    <t>Chicken Thigh</t>
  </si>
  <si>
    <t>Cracker Sandwich Condensada Flavor 30gx10</t>
  </si>
  <si>
    <t>Crackers 30gx15s</t>
  </si>
  <si>
    <t>can</t>
  </si>
  <si>
    <t>bundle</t>
  </si>
  <si>
    <t>Mantika sa Bote Palm/12</t>
  </si>
  <si>
    <t>Gata 400ml</t>
  </si>
  <si>
    <t>Elbow Macaroni 1kg</t>
  </si>
  <si>
    <t>Iodized Salt Coarse 1kg</t>
  </si>
  <si>
    <t>Cheese 200g</t>
  </si>
  <si>
    <t>Paminta Pino 500g</t>
  </si>
  <si>
    <t>tray</t>
  </si>
  <si>
    <t>Ampalaya</t>
  </si>
  <si>
    <t>Kamatis</t>
  </si>
  <si>
    <t>Monggo</t>
  </si>
  <si>
    <t>Kalabasa</t>
  </si>
  <si>
    <t>Carrots</t>
  </si>
  <si>
    <t>Luya</t>
  </si>
  <si>
    <t>Sayote</t>
  </si>
  <si>
    <r>
      <t xml:space="preserve">Date: </t>
    </r>
    <r>
      <rPr>
        <u/>
        <sz val="10"/>
        <rFont val="Arial"/>
        <family val="2"/>
      </rPr>
      <t>02/10/2026</t>
    </r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</si>
  <si>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06-12, 2026</t>
    </r>
  </si>
  <si>
    <t>Pork Cubes</t>
  </si>
  <si>
    <t>Drumstick</t>
  </si>
  <si>
    <t>Sukang Puti</t>
  </si>
  <si>
    <t>Soy Sauce 3785ml</t>
  </si>
  <si>
    <t>Patis</t>
  </si>
  <si>
    <t>Chocolate Sandwich Cream-Filled Sandwich 32gx10</t>
  </si>
  <si>
    <t>Mocha Sandwich Cream-Filled Sandwich 32gx10</t>
  </si>
  <si>
    <t>Sweetened Condensed Creamer 390g</t>
  </si>
  <si>
    <t>12+2 Pork Cubes Single 10g</t>
  </si>
  <si>
    <t>12+2 Chicken Cubes Single 10g</t>
  </si>
  <si>
    <t>Corned Beef 150g/48</t>
  </si>
  <si>
    <t>Tuna Caldereta 155g/50</t>
  </si>
  <si>
    <t>Chinese Style Luncheon Meat 350g/24</t>
  </si>
  <si>
    <t>Sinigang Sampalok 22gx6 / TP Creamy Coffee Mix</t>
  </si>
  <si>
    <t>Spaghetti Noodles 900g</t>
  </si>
  <si>
    <t>Spaghetti Sauce Filipino Style 900gx2</t>
  </si>
  <si>
    <t>Malagkit Rice 1kg</t>
  </si>
  <si>
    <t>Sugar Value Washed 1kg</t>
  </si>
  <si>
    <t>Tomato Sauce Filipino Style 200g</t>
  </si>
  <si>
    <t>Chicken Breading 100g</t>
  </si>
  <si>
    <t>Liver Spread 85g</t>
  </si>
  <si>
    <t>Tuyo-Tonsoy 150g</t>
  </si>
  <si>
    <t>Egg Large 30's with tray</t>
  </si>
  <si>
    <t>Salted Egg 4's</t>
  </si>
  <si>
    <t>Sweet Longganisa</t>
  </si>
  <si>
    <t>Hotdog Regular 1kl</t>
  </si>
  <si>
    <t>Sibuyas</t>
  </si>
  <si>
    <t>Lumpia Wrapper</t>
  </si>
  <si>
    <t>Beans</t>
  </si>
  <si>
    <t>Patatas</t>
  </si>
  <si>
    <t xml:space="preserve">Sweet Potato </t>
  </si>
  <si>
    <t>Banana Catsup 4kg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</si>
  <si>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06-12, 2026.</t>
    </r>
  </si>
  <si>
    <r>
      <t>Date:</t>
    </r>
    <r>
      <rPr>
        <u/>
        <sz val="10"/>
        <rFont val="Arial"/>
        <family val="2"/>
      </rPr>
      <t>02/10/2026</t>
    </r>
  </si>
  <si>
    <t>Fried Chicken with Rice</t>
  </si>
  <si>
    <t>Purified Water 500ml</t>
  </si>
  <si>
    <r>
      <t xml:space="preserve">Purpose/Remarks : </t>
    </r>
    <r>
      <rPr>
        <u/>
        <sz val="10"/>
        <rFont val="Arial"/>
        <family val="2"/>
      </rPr>
      <t xml:space="preserve">Foods served during the Seasonal Farm Workers Meeting / Dialogue last January 13, 2026. </t>
    </r>
  </si>
  <si>
    <t>Meals:</t>
  </si>
  <si>
    <r>
      <t xml:space="preserve">PR No. </t>
    </r>
    <r>
      <rPr>
        <u/>
        <sz val="10"/>
        <rFont val="Arial"/>
        <family val="2"/>
      </rPr>
      <t>0226-0768</t>
    </r>
  </si>
  <si>
    <r>
      <t xml:space="preserve">PR No. </t>
    </r>
    <r>
      <rPr>
        <u/>
        <sz val="10"/>
        <rFont val="Arial"/>
        <family val="2"/>
      </rPr>
      <t xml:space="preserve">0226-0769 </t>
    </r>
  </si>
  <si>
    <r>
      <t>PR No.</t>
    </r>
    <r>
      <rPr>
        <u/>
        <sz val="10"/>
        <rFont val="Arial"/>
        <family val="2"/>
      </rPr>
      <t xml:space="preserve"> 0226-0770</t>
    </r>
  </si>
  <si>
    <r>
      <t xml:space="preserve">Purpose/Remarks : </t>
    </r>
    <r>
      <rPr>
        <u/>
        <sz val="10"/>
        <rFont val="Arial"/>
        <family val="2"/>
      </rPr>
      <t>Foods served during the meeting regarding Interior of Diokno Building on February 02, 2026.</t>
    </r>
  </si>
  <si>
    <r>
      <t xml:space="preserve">PR No. </t>
    </r>
    <r>
      <rPr>
        <u/>
        <sz val="10"/>
        <rFont val="Arial"/>
        <family val="2"/>
      </rPr>
      <t xml:space="preserve">0226-0771 </t>
    </r>
  </si>
  <si>
    <r>
      <t xml:space="preserve">PR No. </t>
    </r>
    <r>
      <rPr>
        <u/>
        <sz val="10"/>
        <rFont val="Arial"/>
        <family val="2"/>
      </rPr>
      <t xml:space="preserve">0226-0772 </t>
    </r>
  </si>
  <si>
    <r>
      <t xml:space="preserve">PR No. </t>
    </r>
    <r>
      <rPr>
        <u/>
        <sz val="10"/>
        <rFont val="Arial"/>
        <family val="2"/>
      </rPr>
      <t>0226-0773</t>
    </r>
  </si>
  <si>
    <t>Bahay Malunggay</t>
  </si>
  <si>
    <t>Bahay Singkamas</t>
  </si>
  <si>
    <t xml:space="preserve">        February 27 - 28, 2026 in the Province.</t>
  </si>
  <si>
    <t>February 24 - 26, 2026 (2 Nights)</t>
  </si>
  <si>
    <t>February 25 - 26, 2026 (1 Night)</t>
  </si>
  <si>
    <t>(15,000.00 per night)</t>
  </si>
  <si>
    <t xml:space="preserve">        February 24 - 26, 2026 in the Province.</t>
  </si>
  <si>
    <t>ppmp</t>
  </si>
  <si>
    <t>qty</t>
  </si>
  <si>
    <t>unit price</t>
  </si>
  <si>
    <t>pr total</t>
  </si>
  <si>
    <t xml:space="preserve"> bvb   </t>
  </si>
  <si>
    <r>
      <t>Date:</t>
    </r>
    <r>
      <rPr>
        <u/>
        <sz val="10"/>
        <rFont val="Arial"/>
        <family val="2"/>
      </rPr>
      <t>02//2026</t>
    </r>
  </si>
  <si>
    <t>Rice 25kls.</t>
  </si>
  <si>
    <t>Sugar 1kl.</t>
  </si>
  <si>
    <t>sack</t>
  </si>
  <si>
    <t>kilo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</si>
  <si>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9,17,19,27,</t>
    </r>
  </si>
  <si>
    <t xml:space="preserve">      28, 2026.</t>
  </si>
  <si>
    <t>All Purpose Cream</t>
  </si>
  <si>
    <t>Banana Catsup</t>
  </si>
  <si>
    <t>Liverspread</t>
  </si>
  <si>
    <t>Beef Broth Cubes</t>
  </si>
  <si>
    <t>Chicken</t>
  </si>
  <si>
    <t>Vinegar 1L</t>
  </si>
  <si>
    <t>Soy Sauce 1L</t>
  </si>
  <si>
    <t>Kasim</t>
  </si>
  <si>
    <t>Pakbet</t>
  </si>
  <si>
    <t>Cooking Oil 1.5</t>
  </si>
  <si>
    <t>Siling Labuyo</t>
  </si>
  <si>
    <t xml:space="preserve">Paminta </t>
  </si>
  <si>
    <t>Washed Sugar</t>
  </si>
  <si>
    <t>Gata</t>
  </si>
  <si>
    <t>Rice 25kgs.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</si>
  <si>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3, 4 &amp; 5, 2026.</t>
    </r>
  </si>
  <si>
    <t>kg.</t>
  </si>
  <si>
    <t xml:space="preserve">can </t>
  </si>
  <si>
    <t>All In One Seasoning Granules</t>
  </si>
  <si>
    <t>Corned beef</t>
  </si>
  <si>
    <t>liter</t>
  </si>
  <si>
    <t xml:space="preserve">Sibuyas </t>
  </si>
  <si>
    <t>kl.</t>
  </si>
  <si>
    <t>Fish Sauce 1L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</si>
  <si>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4, 2026.</t>
    </r>
  </si>
  <si>
    <t>Oyster Sauce</t>
  </si>
  <si>
    <t>Vinegar 2gal</t>
  </si>
  <si>
    <t>Wash Sugar 1kg</t>
  </si>
  <si>
    <t>Iodized Salt 500g</t>
  </si>
  <si>
    <t>Coffee Original 20gx20s</t>
  </si>
  <si>
    <t xml:space="preserve">Sweet Ponkan Jelly </t>
  </si>
  <si>
    <t>Buttertoffee Candy 100s</t>
  </si>
  <si>
    <t>Cherry Menthol Candy 50s</t>
  </si>
  <si>
    <t xml:space="preserve">Spearmint Candy 50s </t>
  </si>
  <si>
    <t>Menthol Candy 50s</t>
  </si>
  <si>
    <t>Eucalyptus Menthol Chewy Dragees Candy  50s</t>
  </si>
  <si>
    <t>mentos air</t>
  </si>
  <si>
    <t>mentos spearmint</t>
  </si>
  <si>
    <t>maxx fresh</t>
  </si>
  <si>
    <t>maxx cherry</t>
  </si>
  <si>
    <t>white rabbit</t>
  </si>
  <si>
    <t>maxx h-lmn</t>
  </si>
  <si>
    <t>Honey Lemon Fruity Menthol Candy 50s</t>
  </si>
  <si>
    <t>Instant Oatmeal Original with Milk Flavor 500g</t>
  </si>
  <si>
    <t>Black Pepper 100g</t>
  </si>
  <si>
    <t>Crackers 30g x 10s</t>
  </si>
  <si>
    <t>Tropical Mix Chewy Dragees Candy 50s</t>
  </si>
  <si>
    <t xml:space="preserve">Soy Sauce </t>
  </si>
  <si>
    <r>
      <t>Date:</t>
    </r>
    <r>
      <rPr>
        <u/>
        <sz val="10"/>
        <rFont val="Arial"/>
        <family val="2"/>
      </rPr>
      <t>02/12/2026</t>
    </r>
  </si>
  <si>
    <t>AM Snacks: Lasagna with Garlic Bread,</t>
  </si>
  <si>
    <t xml:space="preserve">Lunch Buffet: 3 Viands with Rice, Dessert, </t>
  </si>
  <si>
    <t>Free Flowing Juice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</si>
  <si>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Provincial Solid Waste Management Board Meeting on March 6, 2026.</t>
    </r>
  </si>
  <si>
    <t>Heavy PM Snacks: Pancit Canton, Cheeseburger,</t>
  </si>
  <si>
    <t>Heavy PM Snacks: Pancit Canton, Clubhouse</t>
  </si>
  <si>
    <t>Sandwich, Soda Free Flowing and Water</t>
  </si>
  <si>
    <r>
      <t xml:space="preserve">Purpose/Remarks : </t>
    </r>
    <r>
      <rPr>
        <u/>
        <sz val="10"/>
        <rFont val="Arial"/>
        <family val="2"/>
      </rPr>
      <t xml:space="preserve"> To be served during the Surveillance Audit on March 18 - 19, 2026.</t>
    </r>
  </si>
  <si>
    <t>Lunch Buffet: 2 Viands with Rice, Dessert, Juice</t>
  </si>
  <si>
    <t>Accommodation</t>
  </si>
  <si>
    <t>(Php 5,000.00 per night x 2 nights)</t>
  </si>
  <si>
    <r>
      <t>Purpose/Remarks:</t>
    </r>
    <r>
      <rPr>
        <u/>
        <sz val="10"/>
        <rFont val="Arial"/>
        <family val="2"/>
      </rPr>
      <t xml:space="preserve"> Accommodation for the speaker and facilitator during the "Orientation on Planning for Local</t>
    </r>
  </si>
  <si>
    <t xml:space="preserve">       Tourism Guidebook" on November 13, 2025.</t>
  </si>
  <si>
    <r>
      <t xml:space="preserve">PR No. </t>
    </r>
    <r>
      <rPr>
        <u/>
        <sz val="10"/>
        <rFont val="Arial"/>
        <family val="2"/>
      </rPr>
      <t>0226-0420</t>
    </r>
  </si>
  <si>
    <r>
      <t xml:space="preserve">PR No. </t>
    </r>
    <r>
      <rPr>
        <u/>
        <sz val="10"/>
        <rFont val="Arial"/>
        <family val="2"/>
      </rPr>
      <t>0226-0849</t>
    </r>
  </si>
  <si>
    <r>
      <t xml:space="preserve">PR No. </t>
    </r>
    <r>
      <rPr>
        <u/>
        <sz val="10"/>
        <rFont val="Arial"/>
        <family val="2"/>
      </rPr>
      <t>0226-0850</t>
    </r>
  </si>
  <si>
    <t>AM Snacks: Pancit, Kutsinta and Bottled Water</t>
  </si>
  <si>
    <t>PM Snacks: Sandwich and Drinks</t>
  </si>
  <si>
    <r>
      <t xml:space="preserve">Purpose/Remarks : </t>
    </r>
    <r>
      <rPr>
        <u/>
        <sz val="10"/>
        <rFont val="Arial"/>
        <family val="2"/>
      </rPr>
      <t>To be served to those who will set up the sound system, haul and arrange monoblock chairs</t>
    </r>
  </si>
  <si>
    <t xml:space="preserve">         for the upcoming Capitol on Wheels on February 10, 2026 in San Juan, Batangas.</t>
  </si>
  <si>
    <r>
      <t xml:space="preserve">PR No. </t>
    </r>
    <r>
      <rPr>
        <u/>
        <sz val="10"/>
        <rFont val="Arial"/>
        <family val="2"/>
      </rPr>
      <t>0226-0658</t>
    </r>
  </si>
  <si>
    <t xml:space="preserve">Sandwich / Bread / Burger / Pasta / </t>
  </si>
  <si>
    <t>Noodles / Various Delicacies</t>
  </si>
  <si>
    <t>Lunch - Served in Managed Buffet</t>
  </si>
  <si>
    <t xml:space="preserve">Rice </t>
  </si>
  <si>
    <t>2 Viands</t>
  </si>
  <si>
    <r>
      <t>Date:</t>
    </r>
    <r>
      <rPr>
        <u/>
        <sz val="10"/>
        <color indexed="8"/>
        <rFont val="Arial"/>
        <family val="2"/>
      </rPr>
      <t>02/13/2026</t>
    </r>
  </si>
  <si>
    <t>Lunch - Served in Managed Buffet (VIP)</t>
  </si>
  <si>
    <t>Lunch -  Served in Managed Buffet</t>
  </si>
  <si>
    <r>
      <t xml:space="preserve">Purpose/Remarks : </t>
    </r>
    <r>
      <rPr>
        <u/>
        <sz val="10"/>
        <rFont val="Arial"/>
        <family val="2"/>
      </rPr>
      <t>To be served at various events and meetings of the Governor</t>
    </r>
  </si>
  <si>
    <r>
      <t xml:space="preserve">Purpose/Remarks : </t>
    </r>
    <r>
      <rPr>
        <u/>
        <sz val="10"/>
        <rFont val="Arial"/>
        <family val="2"/>
      </rPr>
      <t>To be served during the Opening of Dialysis Center of Batangas Provincial Medical Center</t>
    </r>
  </si>
  <si>
    <t xml:space="preserve">       in Tuy, Batangas on February 27, 2026.</t>
  </si>
  <si>
    <r>
      <t xml:space="preserve">Date: </t>
    </r>
    <r>
      <rPr>
        <u/>
        <sz val="10"/>
        <rFont val="Arial"/>
        <family val="2"/>
      </rPr>
      <t>02/13/2026</t>
    </r>
  </si>
  <si>
    <t>Assorted Canned Juice</t>
  </si>
  <si>
    <t>PM Snacks: Sandwich and Assorted Soda</t>
  </si>
  <si>
    <r>
      <t xml:space="preserve">Purpose/Remarks: </t>
    </r>
    <r>
      <rPr>
        <u/>
        <sz val="10"/>
        <rFont val="Arial"/>
        <family val="2"/>
      </rPr>
      <t>To be served during the Enhanced Community Assembly and Matatag na Batangas Award -</t>
    </r>
  </si>
  <si>
    <t>Visionary Leadership Towards Sustainable &amp; Resilient Local Government Units on February 26, 2026.</t>
  </si>
  <si>
    <r>
      <t xml:space="preserve">PR No. </t>
    </r>
    <r>
      <rPr>
        <u/>
        <sz val="10"/>
        <color indexed="8"/>
        <rFont val="Arial"/>
        <family val="2"/>
      </rPr>
      <t>0226-0924</t>
    </r>
  </si>
  <si>
    <r>
      <t xml:space="preserve">PR No. </t>
    </r>
    <r>
      <rPr>
        <u/>
        <sz val="10"/>
        <color indexed="8"/>
        <rFont val="Arial"/>
        <family val="2"/>
      </rPr>
      <t>0226-0925</t>
    </r>
  </si>
  <si>
    <r>
      <t xml:space="preserve">PR No. </t>
    </r>
    <r>
      <rPr>
        <u/>
        <sz val="10"/>
        <rFont val="Arial"/>
        <family val="2"/>
      </rPr>
      <t xml:space="preserve">0226-0926 </t>
    </r>
  </si>
  <si>
    <r>
      <t>Date:</t>
    </r>
    <r>
      <rPr>
        <u/>
        <sz val="10"/>
        <rFont val="Arial"/>
        <family val="2"/>
      </rPr>
      <t>02/06/2026</t>
    </r>
  </si>
  <si>
    <r>
      <t xml:space="preserve">        </t>
    </r>
    <r>
      <rPr>
        <u/>
        <sz val="10"/>
        <rFont val="Arial"/>
        <family val="2"/>
      </rPr>
      <t>and air coolers, put up tents, install the booth signages and fix electrical lines in preparation</t>
    </r>
  </si>
  <si>
    <r>
      <t xml:space="preserve">Date: </t>
    </r>
    <r>
      <rPr>
        <u/>
        <sz val="10"/>
        <rFont val="Arial"/>
        <family val="2"/>
      </rPr>
      <t>02/16/2026</t>
    </r>
  </si>
  <si>
    <r>
      <t xml:space="preserve">Purpose/Remarks : </t>
    </r>
    <r>
      <rPr>
        <u/>
        <sz val="10"/>
        <rFont val="Arial"/>
        <family val="2"/>
      </rPr>
      <t>To be served during the capacity development intervention of municipalities of Balayan, Lian,</t>
    </r>
  </si>
  <si>
    <t xml:space="preserve">           Nasugbu, Lobo, San Juan, Taysan, Tingloy, Balete, Laurel and San Nicolas, Batangas on March 19, 2026.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</si>
  <si>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13-19, 2026</t>
    </r>
  </si>
  <si>
    <t>Chicken Wings</t>
  </si>
  <si>
    <t>Chicken Drumstick</t>
  </si>
  <si>
    <t>Washed Sugar 1kg</t>
  </si>
  <si>
    <t>Refined Sugar 1kl</t>
  </si>
  <si>
    <t>Chicken Cube Single 10g</t>
  </si>
  <si>
    <t>Pork Cube Single 10g</t>
  </si>
  <si>
    <t>Sinigang with Gabi 22gx6 / TP Creamy Coffee Mix</t>
  </si>
  <si>
    <t>Chicken Breading 75g</t>
  </si>
  <si>
    <t>Egg Large 30's w/tray</t>
  </si>
  <si>
    <t>Patis 1gal</t>
  </si>
  <si>
    <t>Vinegar 1gal</t>
  </si>
  <si>
    <t>White Bread 400g</t>
  </si>
  <si>
    <t>Strawberry Cream-Filled Cracker Sandwich 34g</t>
  </si>
  <si>
    <t>Chocolate Sandwich Cream-Filled Biscuit 32gx10</t>
  </si>
  <si>
    <t xml:space="preserve">Milk Sandwich Cream-Filled Biscuit 32g </t>
  </si>
  <si>
    <t>Sardines in Tomato Sauce 155g</t>
  </si>
  <si>
    <t>Calamansi</t>
  </si>
  <si>
    <t>Labanos</t>
  </si>
  <si>
    <t>Sitaw</t>
  </si>
  <si>
    <t>Sweet Potato</t>
  </si>
  <si>
    <t>Filipino Spaghetti Sauce 900gx2s</t>
  </si>
  <si>
    <t xml:space="preserve">Hotdog regular  </t>
  </si>
  <si>
    <t>AM Snacks: Pasta and Bottled Water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</si>
  <si>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March 06, 2026.</t>
    </r>
  </si>
  <si>
    <t>Kalamansi</t>
  </si>
  <si>
    <t>Repolyo</t>
  </si>
  <si>
    <t>Togue</t>
  </si>
  <si>
    <t>Canola Oil</t>
  </si>
  <si>
    <t>Soy Sauce</t>
  </si>
  <si>
    <t xml:space="preserve">Vinegar </t>
  </si>
  <si>
    <t>Cooking Oil 1.5L</t>
  </si>
  <si>
    <t>Chicken Breast</t>
  </si>
  <si>
    <t>Banana</t>
  </si>
  <si>
    <t>Purified Water 350ml</t>
  </si>
  <si>
    <t>Mayonnaise 470ml</t>
  </si>
  <si>
    <t>Sweet Ham 250g</t>
  </si>
  <si>
    <t>Ribs</t>
  </si>
  <si>
    <t>Liempo</t>
  </si>
  <si>
    <t>Cheese Single 200g</t>
  </si>
  <si>
    <t>bunch</t>
  </si>
  <si>
    <t xml:space="preserve">Porkchop 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</si>
  <si>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09, 2026.</t>
    </r>
  </si>
  <si>
    <r>
      <t xml:space="preserve">PR No. </t>
    </r>
    <r>
      <rPr>
        <u/>
        <sz val="10"/>
        <rFont val="Arial"/>
        <family val="2"/>
      </rPr>
      <t xml:space="preserve">0226-0959 </t>
    </r>
  </si>
  <si>
    <r>
      <t xml:space="preserve">PR No. </t>
    </r>
    <r>
      <rPr>
        <u/>
        <sz val="10"/>
        <rFont val="Arial"/>
        <family val="2"/>
      </rPr>
      <t xml:space="preserve">0226-0960 </t>
    </r>
  </si>
  <si>
    <r>
      <t>Date:</t>
    </r>
    <r>
      <rPr>
        <u/>
        <sz val="10"/>
        <rFont val="Arial"/>
        <family val="2"/>
      </rPr>
      <t>02/16/2026</t>
    </r>
  </si>
  <si>
    <r>
      <t>PR No.</t>
    </r>
    <r>
      <rPr>
        <u/>
        <sz val="10"/>
        <rFont val="Arial"/>
        <family val="2"/>
      </rPr>
      <t xml:space="preserve"> 0226-0961 </t>
    </r>
  </si>
  <si>
    <r>
      <t>Date:</t>
    </r>
    <r>
      <rPr>
        <u/>
        <sz val="10"/>
        <color indexed="8"/>
        <rFont val="Arial"/>
        <family val="2"/>
      </rPr>
      <t>02/16/2026</t>
    </r>
  </si>
  <si>
    <r>
      <t xml:space="preserve">PR No. </t>
    </r>
    <r>
      <rPr>
        <u/>
        <sz val="10"/>
        <color indexed="8"/>
        <rFont val="Arial"/>
        <family val="2"/>
      </rPr>
      <t xml:space="preserve">0226-0962 </t>
    </r>
  </si>
  <si>
    <r>
      <t xml:space="preserve">PR No. </t>
    </r>
    <r>
      <rPr>
        <u/>
        <sz val="10"/>
        <rFont val="Arial"/>
        <family val="2"/>
      </rPr>
      <t xml:space="preserve">0226-0963 </t>
    </r>
  </si>
  <si>
    <t xml:space="preserve">         March 17-18,2026.</t>
  </si>
  <si>
    <t xml:space="preserve"> - inclusive of dinner and breakfast</t>
  </si>
  <si>
    <r>
      <t xml:space="preserve">Purpose/Remarks : </t>
    </r>
    <r>
      <rPr>
        <u/>
        <sz val="10"/>
        <rFont val="Arial"/>
        <family val="2"/>
      </rPr>
      <t xml:space="preserve"> Accommodation for the Auditor conducting the ISO Surveillance Audit of PGENRO on  </t>
    </r>
  </si>
  <si>
    <r>
      <t xml:space="preserve">PR No. </t>
    </r>
    <r>
      <rPr>
        <u/>
        <sz val="10"/>
        <rFont val="Arial"/>
        <family val="2"/>
      </rPr>
      <t xml:space="preserve">0226-0964 </t>
    </r>
  </si>
  <si>
    <t>AM Snacks: Baked Macaroni with Toasted Bread,</t>
  </si>
  <si>
    <r>
      <t xml:space="preserve">PR No. </t>
    </r>
    <r>
      <rPr>
        <u/>
        <sz val="10"/>
        <rFont val="Arial"/>
        <family val="2"/>
      </rPr>
      <t xml:space="preserve">0226-0965 </t>
    </r>
  </si>
  <si>
    <r>
      <t xml:space="preserve">Date: </t>
    </r>
    <r>
      <rPr>
        <u/>
        <sz val="10"/>
        <rFont val="Arial"/>
        <family val="2"/>
      </rPr>
      <t>02/18/2026</t>
    </r>
  </si>
  <si>
    <r>
      <t>Date:</t>
    </r>
    <r>
      <rPr>
        <u/>
        <sz val="10"/>
        <rFont val="Arial"/>
        <family val="2"/>
      </rPr>
      <t>02/18/2026</t>
    </r>
  </si>
  <si>
    <r>
      <t>Purpose/Remarks:</t>
    </r>
    <r>
      <rPr>
        <u/>
        <sz val="10"/>
        <rFont val="Arial"/>
        <family val="2"/>
      </rPr>
      <t>To be served during the Annual Celebrations of Persons with Disability - Women with Disability</t>
    </r>
  </si>
  <si>
    <t xml:space="preserve">       Month Celebration (Parent Advisory Board) on March 05, 2026.</t>
  </si>
  <si>
    <r>
      <t>Purpose/Remarks:</t>
    </r>
    <r>
      <rPr>
        <u/>
        <sz val="10"/>
        <rFont val="Arial"/>
        <family val="2"/>
      </rPr>
      <t>To be served during the Persons with Disability - Sectoral Meeting with PDAO Federation on</t>
    </r>
  </si>
  <si>
    <r>
      <t>Purpose/Remarks:</t>
    </r>
    <r>
      <rPr>
        <u/>
        <sz val="10"/>
        <rFont val="Arial"/>
        <family val="2"/>
      </rPr>
      <t>To be served during the Persons with Disability - Sectoral Meeting with Women with Disability</t>
    </r>
  </si>
  <si>
    <t xml:space="preserve">       Federation Presidents on March 17, 2026.</t>
  </si>
  <si>
    <t>Ugnayan ng Kababaihang may kapansanan</t>
  </si>
  <si>
    <t>kay Gov. Vi</t>
  </si>
  <si>
    <t>Medical Mission and Forum on Women's Right</t>
  </si>
  <si>
    <t>AM Snacks: Tuna Sandwich and Bottled Juice</t>
  </si>
  <si>
    <t>PM Snacks: Creamy Tuna Pasta with</t>
  </si>
  <si>
    <t xml:space="preserve">       Month Celebration on March 30, 2026.</t>
  </si>
  <si>
    <t>AM Snacks: Mac and Cheese with Garlic</t>
  </si>
  <si>
    <t xml:space="preserve">       Federation Officers Meeting on March 10, 2026.</t>
  </si>
  <si>
    <r>
      <t xml:space="preserve">Purpose/Remarks: </t>
    </r>
    <r>
      <rPr>
        <u/>
        <sz val="10"/>
        <rFont val="Arial"/>
        <family val="2"/>
      </rPr>
      <t>To be served during the Empowerment and Reaffirmation of Paternal Abilities (ERPAT)</t>
    </r>
  </si>
  <si>
    <t>AM Snacks: Creamy Tuna Pasta with</t>
  </si>
  <si>
    <r>
      <t>Purpose/Remarks:</t>
    </r>
    <r>
      <rPr>
        <u/>
        <sz val="10"/>
        <rFont val="Arial"/>
        <family val="2"/>
      </rPr>
      <t xml:space="preserve"> To be served during the Provincial Committee on Gender and Development (PCGAD) Full</t>
    </r>
  </si>
  <si>
    <t xml:space="preserve">        Council Meeting on March 13, 2026.</t>
  </si>
  <si>
    <r>
      <t xml:space="preserve">Purpose/Remarks : </t>
    </r>
    <r>
      <rPr>
        <u/>
        <sz val="10"/>
        <rFont val="Arial"/>
        <family val="2"/>
      </rPr>
      <t>Foods served during the Capitol on Wheels Ocular Inspection in San Juan, Batangas on</t>
    </r>
  </si>
  <si>
    <t xml:space="preserve">        February 10, 2026.</t>
  </si>
  <si>
    <t>CHRISTINA MARIE G. CATALAN</t>
  </si>
  <si>
    <t xml:space="preserve">          Mangrove Protected Areas on March 26, 2026 at Mabini, Batangas.</t>
  </si>
  <si>
    <t>AM Snacks: Creamy Pesto with Grilled Chicken</t>
  </si>
  <si>
    <t>Garlic Parmesan Bread and Bottled Juice</t>
  </si>
  <si>
    <t>Lunch: 2 Viands with Rice, Dessert and Softdrinks</t>
  </si>
  <si>
    <t xml:space="preserve">        Meeting on March 17, 2026.</t>
  </si>
  <si>
    <t>AM Snacks: Seafood Aglio Olio with Garlic</t>
  </si>
  <si>
    <r>
      <t>Purpose/Remarks:</t>
    </r>
    <r>
      <rPr>
        <u/>
        <sz val="10"/>
        <rFont val="Arial"/>
        <family val="2"/>
      </rPr>
      <t xml:space="preserve"> To be served during the Promoting Advocacy Rendering in Neutral Equality (PARINE) Inc.</t>
    </r>
  </si>
  <si>
    <r>
      <t>Purpose/Remarks:</t>
    </r>
    <r>
      <rPr>
        <u/>
        <sz val="10"/>
        <rFont val="Arial"/>
        <family val="2"/>
      </rPr>
      <t xml:space="preserve"> To be served during the Provincial Committee on Anti-Trafficking and Violence Against Women</t>
    </r>
  </si>
  <si>
    <t xml:space="preserve">      and Children (PCAT VAWC) on March 19, 2026.</t>
  </si>
  <si>
    <t>AM Snacks: Pancit Sotanghon, Puto with</t>
  </si>
  <si>
    <t>Cheese and Bottled Juice</t>
  </si>
  <si>
    <r>
      <t>Purpose/Remarks:</t>
    </r>
    <r>
      <rPr>
        <u/>
        <sz val="10"/>
        <rFont val="Arial"/>
        <family val="2"/>
      </rPr>
      <t xml:space="preserve"> To be served during the Men Opposed to Violence Everywhere (MOVE-ALAV) Move Capitol</t>
    </r>
  </si>
  <si>
    <t xml:space="preserve">       Chapter Meetings on March 19, 2026.</t>
  </si>
  <si>
    <t>AM Snacks: Suman with Sauce, Puto and</t>
  </si>
  <si>
    <t>Coffee</t>
  </si>
  <si>
    <r>
      <t>Purpose/Remarks:</t>
    </r>
    <r>
      <rPr>
        <u/>
        <sz val="10"/>
        <rFont val="Arial"/>
        <family val="2"/>
      </rPr>
      <t xml:space="preserve"> To be served during the Samahan ng mga Makabagong Bayani ng Batangas Inc. (OFW) 1st</t>
    </r>
  </si>
  <si>
    <t xml:space="preserve">        Quarterly Meeting on March 24, 2026.</t>
  </si>
  <si>
    <t>and Iced Tea</t>
  </si>
  <si>
    <r>
      <t>Purpose/Remarks:</t>
    </r>
    <r>
      <rPr>
        <u/>
        <sz val="10"/>
        <rFont val="Arial"/>
        <family val="2"/>
      </rPr>
      <t xml:space="preserve"> To be served during the 1st Quarter Katipunan ng Liping Pilipina (KALIPI) Meeting on </t>
    </r>
  </si>
  <si>
    <t xml:space="preserve">        March 26, 2026.</t>
  </si>
  <si>
    <t xml:space="preserve">AM Snacks: Lasagna with Garlic Bread </t>
  </si>
  <si>
    <r>
      <t>Purpose/Remarks:</t>
    </r>
    <r>
      <rPr>
        <u/>
        <sz val="10"/>
        <rFont val="Arial"/>
        <family val="2"/>
      </rPr>
      <t xml:space="preserve"> To be served during the 1st Quarter Provincial Women Coordinating Council Batangas Inc.</t>
    </r>
  </si>
  <si>
    <t xml:space="preserve">        Meeting on March 27, 2026.</t>
  </si>
  <si>
    <t>AM Snacks: Tuna Carbonara with Garlic</t>
  </si>
  <si>
    <r>
      <t>Purpose/Remarks:</t>
    </r>
    <r>
      <rPr>
        <u/>
        <sz val="10"/>
        <rFont val="Arial"/>
        <family val="2"/>
      </rPr>
      <t xml:space="preserve"> To be served during the Batangas Province Migration Coordinating Council (BPMCC) Full</t>
    </r>
  </si>
  <si>
    <t xml:space="preserve">      Council Meeting on March 30, 2026.</t>
  </si>
  <si>
    <r>
      <t xml:space="preserve">PR No. </t>
    </r>
    <r>
      <rPr>
        <u/>
        <sz val="10"/>
        <rFont val="Arial"/>
        <family val="2"/>
      </rPr>
      <t xml:space="preserve">0226-0973 </t>
    </r>
  </si>
  <si>
    <r>
      <t xml:space="preserve">PR No. </t>
    </r>
    <r>
      <rPr>
        <u/>
        <sz val="10"/>
        <rFont val="Arial"/>
        <family val="2"/>
      </rPr>
      <t>0226-0974</t>
    </r>
  </si>
  <si>
    <r>
      <t xml:space="preserve">PR No. </t>
    </r>
    <r>
      <rPr>
        <u/>
        <sz val="10"/>
        <rFont val="Arial"/>
        <family val="2"/>
      </rPr>
      <t xml:space="preserve">0226-0975 </t>
    </r>
  </si>
  <si>
    <r>
      <t xml:space="preserve">PR No. </t>
    </r>
    <r>
      <rPr>
        <u/>
        <sz val="10"/>
        <rFont val="Arial"/>
        <family val="2"/>
      </rPr>
      <t xml:space="preserve">0226-0976 </t>
    </r>
  </si>
  <si>
    <r>
      <t xml:space="preserve">PR No. </t>
    </r>
    <r>
      <rPr>
        <u/>
        <sz val="10"/>
        <rFont val="Arial"/>
        <family val="2"/>
      </rPr>
      <t xml:space="preserve">0226-0977 </t>
    </r>
  </si>
  <si>
    <r>
      <t xml:space="preserve">PR No. </t>
    </r>
    <r>
      <rPr>
        <u/>
        <sz val="10"/>
        <rFont val="Arial"/>
        <family val="2"/>
      </rPr>
      <t xml:space="preserve">0226-0978 </t>
    </r>
  </si>
  <si>
    <r>
      <t xml:space="preserve">PR No. </t>
    </r>
    <r>
      <rPr>
        <u/>
        <sz val="10"/>
        <rFont val="Arial"/>
        <family val="2"/>
      </rPr>
      <t xml:space="preserve">0226-0980 </t>
    </r>
  </si>
  <si>
    <r>
      <t xml:space="preserve">PR No. </t>
    </r>
    <r>
      <rPr>
        <u/>
        <sz val="10"/>
        <rFont val="Arial"/>
        <family val="2"/>
      </rPr>
      <t xml:space="preserve">0226-0981 </t>
    </r>
  </si>
  <si>
    <r>
      <t xml:space="preserve">PR No. </t>
    </r>
    <r>
      <rPr>
        <u/>
        <sz val="10"/>
        <rFont val="Arial"/>
        <family val="2"/>
      </rPr>
      <t xml:space="preserve">0226-0982 </t>
    </r>
  </si>
  <si>
    <t>AM Snacks: Clubhouse Sandwich and</t>
  </si>
  <si>
    <r>
      <t>Purpose/Remarks:</t>
    </r>
    <r>
      <rPr>
        <u/>
        <sz val="10"/>
        <rFont val="Arial"/>
        <family val="2"/>
      </rPr>
      <t xml:space="preserve"> To be served during the Persons with Disability - Sectoral Meeting with Person with Disability</t>
    </r>
  </si>
  <si>
    <t xml:space="preserve">        Stakeholders/NGO/GO on March 11, 2026.</t>
  </si>
  <si>
    <t>AM Snacks: Tuna Clubhouse Sandwich</t>
  </si>
  <si>
    <r>
      <t xml:space="preserve">Purpose/Remarks : </t>
    </r>
    <r>
      <rPr>
        <u/>
        <sz val="10"/>
        <rFont val="Arial"/>
        <family val="2"/>
      </rPr>
      <t>To be served during the briefing on the opening of Dialysis Center on February 16, 2026</t>
    </r>
    <r>
      <rPr>
        <sz val="10"/>
        <rFont val="Arial"/>
        <family val="2"/>
      </rPr>
      <t>.</t>
    </r>
  </si>
  <si>
    <r>
      <t xml:space="preserve">Purpose/Remarks : </t>
    </r>
    <r>
      <rPr>
        <u/>
        <sz val="10"/>
        <rFont val="Arial"/>
        <family val="2"/>
      </rPr>
      <t>To be served to visitors from Local Government Unit of San Juan, Batangas on February 16, 2026.</t>
    </r>
  </si>
  <si>
    <t>AM Snacks: Empanada and Assorted Drinks</t>
  </si>
  <si>
    <t>PM Snacks: Pasta and Assorted Drinks</t>
  </si>
  <si>
    <r>
      <t xml:space="preserve">Purpose/Remarks : </t>
    </r>
    <r>
      <rPr>
        <u/>
        <sz val="10"/>
        <rFont val="Arial"/>
        <family val="2"/>
      </rPr>
      <t>To be served during the Re-Orientation of Task Force Kalikasan of the Province of Batangas</t>
    </r>
  </si>
  <si>
    <t xml:space="preserve">       on February 16, 2026.</t>
  </si>
  <si>
    <t>magic flakes</t>
  </si>
  <si>
    <t>cheese</t>
  </si>
  <si>
    <t>Coffee 3 in 1 White Sugar Free 10gx20</t>
  </si>
  <si>
    <t>san mig</t>
  </si>
  <si>
    <t>white</t>
  </si>
  <si>
    <t>original</t>
  </si>
  <si>
    <t>Coffee 3 in 1 Original Sugar Free</t>
  </si>
  <si>
    <t xml:space="preserve">nescafe </t>
  </si>
  <si>
    <t>Coffee Original Twin Pack 40gx10</t>
  </si>
  <si>
    <t>coffeemate</t>
  </si>
  <si>
    <t>Coffee Creamer 450-400g</t>
  </si>
  <si>
    <t>classic</t>
  </si>
  <si>
    <t>Coffee Classic 185g-170g</t>
  </si>
  <si>
    <t>creamy white</t>
  </si>
  <si>
    <t>Coffee Creamy White Twin Pack 51-40gx10</t>
  </si>
  <si>
    <t>frutos</t>
  </si>
  <si>
    <t>sampalok</t>
  </si>
  <si>
    <t>equal</t>
  </si>
  <si>
    <t>sugar</t>
  </si>
  <si>
    <t>Coffee Candy 50x3g</t>
  </si>
  <si>
    <t>kopiko</t>
  </si>
  <si>
    <t>coffee</t>
  </si>
  <si>
    <t>fres</t>
  </si>
  <si>
    <t>cherry</t>
  </si>
  <si>
    <t>apple peach</t>
  </si>
  <si>
    <t>Mint Candy Cherry Flavor 50s</t>
  </si>
  <si>
    <t>Mint Candy Apple Peach Flavor 50s</t>
  </si>
  <si>
    <t>Mint Candy Grape Flavor 50s</t>
  </si>
  <si>
    <t>kendi</t>
  </si>
  <si>
    <t>mint</t>
  </si>
  <si>
    <t>grape</t>
  </si>
  <si>
    <t>Mint Candy 100s</t>
  </si>
  <si>
    <t>Buttertoffee Candy 50s</t>
  </si>
  <si>
    <t>buttertoffee</t>
  </si>
  <si>
    <t>Cheese Flavored  Cracker 28gx10s</t>
  </si>
  <si>
    <t>hansel</t>
  </si>
  <si>
    <t>mocha</t>
  </si>
  <si>
    <t>sky flakes</t>
  </si>
  <si>
    <t>butter cream</t>
  </si>
  <si>
    <t>fita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</si>
  <si>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28, 2026.</t>
    </r>
  </si>
  <si>
    <r>
      <t xml:space="preserve">PR No. </t>
    </r>
    <r>
      <rPr>
        <u/>
        <sz val="10"/>
        <rFont val="Arial"/>
        <family val="2"/>
      </rPr>
      <t>0226-0979</t>
    </r>
  </si>
  <si>
    <t>Meals: Chicken Barbecue with Rice</t>
  </si>
  <si>
    <r>
      <t xml:space="preserve">PR No. </t>
    </r>
    <r>
      <rPr>
        <u/>
        <sz val="10"/>
        <rFont val="Arial"/>
        <family val="2"/>
      </rPr>
      <t xml:space="preserve">0226-1018 </t>
    </r>
  </si>
  <si>
    <r>
      <t xml:space="preserve">PR No. </t>
    </r>
    <r>
      <rPr>
        <u/>
        <sz val="10"/>
        <rFont val="Arial"/>
        <family val="2"/>
      </rPr>
      <t>0226-0875</t>
    </r>
  </si>
  <si>
    <r>
      <t xml:space="preserve">PR No. </t>
    </r>
    <r>
      <rPr>
        <u/>
        <sz val="10"/>
        <rFont val="Arial"/>
        <family val="2"/>
      </rPr>
      <t>0226-0833</t>
    </r>
  </si>
  <si>
    <r>
      <t>Date:</t>
    </r>
    <r>
      <rPr>
        <u/>
        <sz val="10"/>
        <rFont val="Arial"/>
        <family val="2"/>
      </rPr>
      <t>02/11/2026</t>
    </r>
  </si>
  <si>
    <r>
      <t xml:space="preserve">PR No. </t>
    </r>
    <r>
      <rPr>
        <u/>
        <sz val="10"/>
        <rFont val="Arial"/>
        <family val="2"/>
      </rPr>
      <t>0226-0723</t>
    </r>
  </si>
  <si>
    <r>
      <t xml:space="preserve">PR No. </t>
    </r>
    <r>
      <rPr>
        <u/>
        <sz val="10"/>
        <rFont val="Arial"/>
        <family val="2"/>
      </rPr>
      <t>0226-1019</t>
    </r>
  </si>
  <si>
    <t>PM Snacks: Pasta with Garlic Bread and Drinks</t>
  </si>
  <si>
    <r>
      <t xml:space="preserve">Purpose/Remarks : </t>
    </r>
    <r>
      <rPr>
        <u/>
        <sz val="10"/>
        <rFont val="Arial"/>
        <family val="2"/>
      </rPr>
      <t>To be served during the Culminating Activity for Work Immersionists Senior High School</t>
    </r>
  </si>
  <si>
    <r>
      <t xml:space="preserve">Purpose/Remarks : </t>
    </r>
    <r>
      <rPr>
        <u/>
        <sz val="10"/>
        <rFont val="Arial"/>
        <family val="2"/>
      </rPr>
      <t xml:space="preserve">To be served to newly hired and promoted employees of the Provincial Government of </t>
    </r>
  </si>
  <si>
    <t xml:space="preserve">         Batangas during the Orientation to be held on February 04, 2026.</t>
  </si>
  <si>
    <r>
      <t xml:space="preserve">Purpose/Remarks : </t>
    </r>
    <r>
      <rPr>
        <u/>
        <sz val="10"/>
        <rFont val="Arial"/>
        <family val="2"/>
      </rPr>
      <t>To be served to Job Order personnel of the Provincial Government of Batangas during the</t>
    </r>
  </si>
  <si>
    <t xml:space="preserve">         Orientation to be held on February 05, 2026.</t>
  </si>
  <si>
    <r>
      <t>Date:</t>
    </r>
    <r>
      <rPr>
        <u/>
        <sz val="10"/>
        <rFont val="Arial"/>
        <family val="2"/>
      </rPr>
      <t xml:space="preserve">02/02/2026 </t>
    </r>
  </si>
  <si>
    <t>Heavy AM Snacks: Noodles and Drinks</t>
  </si>
  <si>
    <r>
      <t>Date:</t>
    </r>
    <r>
      <rPr>
        <u/>
        <sz val="10"/>
        <rFont val="Arial"/>
        <family val="2"/>
      </rPr>
      <t>02/19/2026</t>
    </r>
  </si>
  <si>
    <r>
      <t xml:space="preserve">PR No.  </t>
    </r>
    <r>
      <rPr>
        <u/>
        <sz val="10"/>
        <rFont val="Arial"/>
        <family val="2"/>
      </rPr>
      <t xml:space="preserve">0226-1030 </t>
    </r>
  </si>
  <si>
    <r>
      <t xml:space="preserve">PR No. </t>
    </r>
    <r>
      <rPr>
        <u/>
        <sz val="10"/>
        <rFont val="Arial"/>
        <family val="2"/>
      </rPr>
      <t>0126-0336</t>
    </r>
  </si>
  <si>
    <r>
      <t xml:space="preserve">PR No. </t>
    </r>
    <r>
      <rPr>
        <u/>
        <sz val="10"/>
        <rFont val="Arial"/>
        <family val="2"/>
      </rPr>
      <t>0126-0369</t>
    </r>
  </si>
  <si>
    <r>
      <t xml:space="preserve">PR No. </t>
    </r>
    <r>
      <rPr>
        <u/>
        <sz val="10"/>
        <rFont val="Arial"/>
        <family val="2"/>
      </rPr>
      <t xml:space="preserve">0226-0421 </t>
    </r>
  </si>
  <si>
    <t xml:space="preserve">bn 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</si>
  <si>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20-26, 2026</t>
    </r>
  </si>
  <si>
    <t>Rice 25kg</t>
  </si>
  <si>
    <t>Evaporated Milk 360mlx3s</t>
  </si>
  <si>
    <t>Breading Mix 65g</t>
  </si>
  <si>
    <t>Tomato Sauce 200g</t>
  </si>
  <si>
    <t>Pork Cubes Single 10g</t>
  </si>
  <si>
    <t>Chicken Cubes Single 10g</t>
  </si>
  <si>
    <t>Milky Strawberry Sandwich Cream-Filled Biscuit 10s</t>
  </si>
  <si>
    <t>Choco Vanilla Sandwich Cookies 30gx10</t>
  </si>
  <si>
    <t xml:space="preserve">Pastillas Cracker Sandwich </t>
  </si>
  <si>
    <t>Vermicelli 1kg</t>
  </si>
  <si>
    <t>Marinated Daing na Bangus</t>
  </si>
  <si>
    <t>Hotdog regular 1kl</t>
  </si>
  <si>
    <t>Tinapa</t>
  </si>
  <si>
    <t xml:space="preserve">Sukang Puti </t>
  </si>
  <si>
    <t>Egg Large 30's with Tray</t>
  </si>
  <si>
    <t>Pancit Miki</t>
  </si>
  <si>
    <t>Saging na Saba</t>
  </si>
  <si>
    <t>Sinigang with gabi 22gx6 / TP Creamy Coffee Mix</t>
  </si>
  <si>
    <t>AM Snacks: Pancit Canton with Toasted</t>
  </si>
  <si>
    <t>Bread and Free Flowing Soda</t>
  </si>
  <si>
    <r>
      <t xml:space="preserve">Purpose/Remarks : </t>
    </r>
    <r>
      <rPr>
        <u/>
        <sz val="10"/>
        <rFont val="Arial"/>
        <family val="2"/>
      </rPr>
      <t>To be served during the Committee Hearing on Public Works and General Services on</t>
    </r>
  </si>
  <si>
    <t xml:space="preserve">         February 18, 2026.</t>
  </si>
  <si>
    <r>
      <t xml:space="preserve">PR No. </t>
    </r>
    <r>
      <rPr>
        <u/>
        <sz val="10"/>
        <rFont val="Arial"/>
        <family val="2"/>
      </rPr>
      <t>0226-0971</t>
    </r>
  </si>
  <si>
    <t>Heavy PM Snacks: Baked Macaroni, Sandwich</t>
  </si>
  <si>
    <t>Heavy PM Snacks: Pasta and Drinks</t>
  </si>
  <si>
    <t>sd</t>
  </si>
  <si>
    <t>Heavy AM Snacks: Pancit Canton with Toasted</t>
  </si>
  <si>
    <t xml:space="preserve">        February 24 - 27, 2026.</t>
  </si>
  <si>
    <r>
      <t xml:space="preserve">Purpose/Remarks: </t>
    </r>
    <r>
      <rPr>
        <u/>
        <sz val="10"/>
        <rFont val="Arial"/>
        <family val="2"/>
      </rPr>
      <t xml:space="preserve">To be served during the video shoot of the Batangas Summer Campaign AVP 2026 on  </t>
    </r>
  </si>
  <si>
    <r>
      <t xml:space="preserve">Date: </t>
    </r>
    <r>
      <rPr>
        <u/>
        <sz val="10"/>
        <rFont val="Arial"/>
        <family val="2"/>
      </rPr>
      <t>02/20/2026</t>
    </r>
  </si>
  <si>
    <t xml:space="preserve">        March 02, 2026.</t>
  </si>
  <si>
    <t xml:space="preserve">        March 09, 2026.</t>
  </si>
  <si>
    <t xml:space="preserve">        March 23, 2026.</t>
  </si>
  <si>
    <t xml:space="preserve">        March 16, 2026.</t>
  </si>
  <si>
    <t xml:space="preserve">        March 30, 2026.</t>
  </si>
  <si>
    <r>
      <t>Date:</t>
    </r>
    <r>
      <rPr>
        <u/>
        <sz val="10"/>
        <rFont val="Arial"/>
        <family val="2"/>
      </rPr>
      <t>02/20/2026</t>
    </r>
  </si>
  <si>
    <t>Queen Standard Room at Twin Sharing</t>
  </si>
  <si>
    <t>Queen Bed Suite Room at Twin Sharing</t>
  </si>
  <si>
    <t>(4 Rooms per Night x Php 7,500.00 per Night)</t>
  </si>
  <si>
    <r>
      <t>Purpose/Remarks:</t>
    </r>
    <r>
      <rPr>
        <u/>
        <sz val="10"/>
        <rFont val="Arial"/>
        <family val="2"/>
      </rPr>
      <t xml:space="preserve"> Accommodation for the guest performers, production team, and / or influencers in Barako Fest 2026.</t>
    </r>
  </si>
  <si>
    <t>March 26 - 29, 2026 - (3 Nights)</t>
  </si>
  <si>
    <t>March 28 - 29, 2026 - (1 Night)</t>
  </si>
  <si>
    <r>
      <t xml:space="preserve">PR No. </t>
    </r>
    <r>
      <rPr>
        <u/>
        <sz val="10"/>
        <rFont val="Arial"/>
        <family val="2"/>
      </rPr>
      <t>0226-1066</t>
    </r>
  </si>
  <si>
    <r>
      <t xml:space="preserve">PR No. </t>
    </r>
    <r>
      <rPr>
        <u/>
        <sz val="10"/>
        <rFont val="Arial"/>
        <family val="2"/>
      </rPr>
      <t>0226-1067</t>
    </r>
  </si>
  <si>
    <r>
      <t xml:space="preserve">PR No. </t>
    </r>
    <r>
      <rPr>
        <u/>
        <sz val="10"/>
        <rFont val="Arial"/>
        <family val="2"/>
      </rPr>
      <t>0226-1068</t>
    </r>
  </si>
  <si>
    <r>
      <t xml:space="preserve">PR No. </t>
    </r>
    <r>
      <rPr>
        <u/>
        <sz val="10"/>
        <rFont val="Arial"/>
        <family val="2"/>
      </rPr>
      <t>0226-1069</t>
    </r>
  </si>
  <si>
    <r>
      <t xml:space="preserve">PR No. </t>
    </r>
    <r>
      <rPr>
        <u/>
        <sz val="10"/>
        <rFont val="Arial"/>
        <family val="2"/>
      </rPr>
      <t>0226-1070</t>
    </r>
  </si>
  <si>
    <r>
      <t xml:space="preserve">PR No. </t>
    </r>
    <r>
      <rPr>
        <u/>
        <sz val="10"/>
        <rFont val="Arial"/>
        <family val="2"/>
      </rPr>
      <t>0226-1071</t>
    </r>
  </si>
  <si>
    <r>
      <t xml:space="preserve">PR No.  </t>
    </r>
    <r>
      <rPr>
        <u/>
        <sz val="10"/>
        <rFont val="Arial"/>
        <family val="2"/>
      </rPr>
      <t>0226-1072</t>
    </r>
  </si>
  <si>
    <t>Rice 25kg.</t>
  </si>
  <si>
    <t>Petsay</t>
  </si>
  <si>
    <t>Sitaw short</t>
  </si>
  <si>
    <t>Sitaw long</t>
  </si>
  <si>
    <t>Galunggong</t>
  </si>
  <si>
    <t>Alamang</t>
  </si>
  <si>
    <t>Luya 0.190g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</si>
  <si>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12, 2026.</t>
    </r>
  </si>
  <si>
    <r>
      <t>Date</t>
    </r>
    <r>
      <rPr>
        <u/>
        <sz val="10"/>
        <rFont val="Arial"/>
        <family val="2"/>
      </rPr>
      <t xml:space="preserve">:02/23/2026 </t>
    </r>
  </si>
  <si>
    <t>AM Snacks: Beef Burger and Drinks</t>
  </si>
  <si>
    <r>
      <t xml:space="preserve">Purpose/Remarks : </t>
    </r>
    <r>
      <rPr>
        <u/>
        <sz val="10"/>
        <rFont val="Arial"/>
        <family val="2"/>
      </rPr>
      <t>To be served during the meeting with Librarians Association of Batangas (LAB) on March 09, 2026.</t>
    </r>
  </si>
  <si>
    <t>Chiffon Cake Slice</t>
  </si>
  <si>
    <t>Choco Cake Slice</t>
  </si>
  <si>
    <t>Double Dutch Cake Slice</t>
  </si>
  <si>
    <t>Ube Mamon Cake Slice</t>
  </si>
  <si>
    <t>Mocha Marble Cake Slice</t>
  </si>
  <si>
    <t>Red Velvet Cake Slice</t>
  </si>
  <si>
    <t>Choco Peanut Butter Cake Slice</t>
  </si>
  <si>
    <t>Butter Mamon</t>
  </si>
  <si>
    <t xml:space="preserve">Ube Mamon  </t>
  </si>
  <si>
    <t>Mocha Mamon</t>
  </si>
  <si>
    <t>Carrot Cake Medium</t>
  </si>
  <si>
    <r>
      <t xml:space="preserve">Purpose/Remarks : </t>
    </r>
    <r>
      <rPr>
        <u/>
        <sz val="10"/>
        <rFont val="Arial"/>
        <family val="2"/>
      </rPr>
      <t>Foods served during the Deputation and Reorientation Seminar on Mining Laws by the DENR</t>
    </r>
  </si>
  <si>
    <t xml:space="preserve"> Mines and Geosciences Bureau on February 16, 2026.</t>
  </si>
  <si>
    <t xml:space="preserve">       Mines and Geosciences Bureau on February 16, 2026.</t>
  </si>
  <si>
    <r>
      <t>Date:</t>
    </r>
    <r>
      <rPr>
        <u/>
        <sz val="10"/>
        <rFont val="Arial"/>
        <family val="2"/>
      </rPr>
      <t>02/23/2026</t>
    </r>
  </si>
  <si>
    <r>
      <t xml:space="preserve">PR No. </t>
    </r>
    <r>
      <rPr>
        <u/>
        <sz val="10"/>
        <rFont val="Arial"/>
        <family val="2"/>
      </rPr>
      <t>0226-1131</t>
    </r>
  </si>
  <si>
    <r>
      <t xml:space="preserve">PR No. </t>
    </r>
    <r>
      <rPr>
        <u/>
        <sz val="10"/>
        <rFont val="Arial"/>
        <family val="2"/>
      </rPr>
      <t>0226-1132</t>
    </r>
  </si>
  <si>
    <r>
      <t xml:space="preserve">PR No. </t>
    </r>
    <r>
      <rPr>
        <u/>
        <sz val="10"/>
        <rFont val="Arial"/>
        <family val="2"/>
      </rPr>
      <t xml:space="preserve">0226-1135 </t>
    </r>
  </si>
  <si>
    <t>Cheesy Ensaymada</t>
  </si>
  <si>
    <r>
      <t xml:space="preserve">PR No. </t>
    </r>
    <r>
      <rPr>
        <u/>
        <sz val="10"/>
        <rFont val="Arial"/>
        <family val="2"/>
      </rPr>
      <t xml:space="preserve">0226-1136 </t>
    </r>
  </si>
  <si>
    <r>
      <t xml:space="preserve">PR No. </t>
    </r>
    <r>
      <rPr>
        <u/>
        <sz val="10"/>
        <rFont val="Arial"/>
        <family val="2"/>
      </rPr>
      <t xml:space="preserve">0226-1137 </t>
    </r>
  </si>
  <si>
    <r>
      <t xml:space="preserve">PR No. </t>
    </r>
    <r>
      <rPr>
        <u/>
        <sz val="10"/>
        <rFont val="Arial"/>
        <family val="2"/>
      </rPr>
      <t xml:space="preserve">0226-1138 </t>
    </r>
  </si>
  <si>
    <r>
      <t xml:space="preserve">PR No. </t>
    </r>
    <r>
      <rPr>
        <u/>
        <sz val="10"/>
        <rFont val="Arial"/>
        <family val="2"/>
      </rPr>
      <t xml:space="preserve">0226-1139 </t>
    </r>
  </si>
  <si>
    <r>
      <t xml:space="preserve">PR No. </t>
    </r>
    <r>
      <rPr>
        <u/>
        <sz val="10"/>
        <rFont val="Arial"/>
        <family val="2"/>
      </rPr>
      <t xml:space="preserve">0226-1140 </t>
    </r>
  </si>
  <si>
    <t xml:space="preserve">       </t>
  </si>
  <si>
    <r>
      <t>Date:</t>
    </r>
    <r>
      <rPr>
        <u/>
        <sz val="10"/>
        <rFont val="Arial"/>
        <family val="2"/>
      </rPr>
      <t>02/24/2026</t>
    </r>
  </si>
  <si>
    <t>AM Snacks: Pasta with Toasted Bread and</t>
  </si>
  <si>
    <t xml:space="preserve">Soda Free Flowing </t>
  </si>
  <si>
    <r>
      <t xml:space="preserve">Date: </t>
    </r>
    <r>
      <rPr>
        <u/>
        <sz val="10"/>
        <rFont val="Arial"/>
        <family val="2"/>
      </rPr>
      <t>01/24/2026</t>
    </r>
  </si>
  <si>
    <r>
      <t xml:space="preserve">Purpose/Remarks : </t>
    </r>
    <r>
      <rPr>
        <u/>
        <sz val="10"/>
        <rFont val="Arial"/>
        <family val="2"/>
      </rPr>
      <t xml:space="preserve">To be served during the 3rd Regular Monthly Meeting of Panlalawigang Liga ng mga </t>
    </r>
  </si>
  <si>
    <t xml:space="preserve">         Barangay on March 06, 2026.</t>
  </si>
  <si>
    <r>
      <t xml:space="preserve">Purpose/Remarks: </t>
    </r>
    <r>
      <rPr>
        <u/>
        <sz val="10"/>
        <rFont val="Arial"/>
        <family val="2"/>
      </rPr>
      <t xml:space="preserve">To be served during the meeting of 4L Lady Local Legislators League of the Philippines -  </t>
    </r>
  </si>
  <si>
    <t>AM Snacks: Clubhouse Sandwich and Softdrinks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</si>
  <si>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March 18, 2026.</t>
    </r>
  </si>
  <si>
    <t xml:space="preserve">       Batangas Chapter on March 04, 2026.</t>
  </si>
  <si>
    <r>
      <t xml:space="preserve">PR No. </t>
    </r>
    <r>
      <rPr>
        <u/>
        <sz val="10"/>
        <rFont val="Arial"/>
        <family val="2"/>
      </rPr>
      <t xml:space="preserve">0226-1172 </t>
    </r>
  </si>
  <si>
    <r>
      <t>PR No.</t>
    </r>
    <r>
      <rPr>
        <u/>
        <sz val="10"/>
        <rFont val="Arial"/>
        <family val="2"/>
      </rPr>
      <t xml:space="preserve"> 0226-1173 </t>
    </r>
  </si>
  <si>
    <r>
      <t xml:space="preserve">PR No. </t>
    </r>
    <r>
      <rPr>
        <u/>
        <sz val="10"/>
        <rFont val="Arial"/>
        <family val="2"/>
      </rPr>
      <t>0226-1174</t>
    </r>
  </si>
  <si>
    <t xml:space="preserve">         Mangrove Protected Areas on March 05, 2026 at Batangas City.</t>
  </si>
  <si>
    <r>
      <t>Date:</t>
    </r>
    <r>
      <rPr>
        <u/>
        <sz val="10"/>
        <rFont val="Arial"/>
        <family val="2"/>
      </rPr>
      <t>02/25/2026</t>
    </r>
  </si>
  <si>
    <r>
      <t xml:space="preserve">Date: </t>
    </r>
    <r>
      <rPr>
        <u/>
        <sz val="10"/>
        <rFont val="Arial"/>
        <family val="2"/>
      </rPr>
      <t xml:space="preserve">02/25/2026 </t>
    </r>
  </si>
  <si>
    <r>
      <t xml:space="preserve">PR No. </t>
    </r>
    <r>
      <rPr>
        <u/>
        <sz val="10"/>
        <rFont val="Arial"/>
        <family val="2"/>
      </rPr>
      <t xml:space="preserve">0226-1212 </t>
    </r>
  </si>
  <si>
    <r>
      <t xml:space="preserve">PR No. </t>
    </r>
    <r>
      <rPr>
        <u/>
        <sz val="10"/>
        <rFont val="Arial"/>
        <family val="2"/>
      </rPr>
      <t xml:space="preserve">0226-1214 </t>
    </r>
  </si>
  <si>
    <t>Rice, Chicken and Drinks</t>
  </si>
  <si>
    <r>
      <t xml:space="preserve">Purpose/Remarks : </t>
    </r>
    <r>
      <rPr>
        <u/>
        <sz val="10"/>
        <rFont val="Arial"/>
        <family val="2"/>
      </rPr>
      <t xml:space="preserve">Foods served during the meeting with partner LGUs on Capitol on Wheels at San Juan, </t>
    </r>
  </si>
  <si>
    <t xml:space="preserve">       Batangas on February 09, 2026.</t>
  </si>
  <si>
    <r>
      <t xml:space="preserve">PR No. </t>
    </r>
    <r>
      <rPr>
        <u/>
        <sz val="10"/>
        <rFont val="Arial"/>
        <family val="2"/>
      </rPr>
      <t>0226-1215</t>
    </r>
  </si>
  <si>
    <t>White Loaf Bread</t>
  </si>
  <si>
    <t xml:space="preserve"> - served in managed buffet</t>
  </si>
  <si>
    <t>Lunch:3 Viands with Rice, Dessert and</t>
  </si>
  <si>
    <r>
      <t xml:space="preserve">PR No. </t>
    </r>
    <r>
      <rPr>
        <u/>
        <sz val="10"/>
        <color indexed="8"/>
        <rFont val="Arial"/>
        <family val="2"/>
      </rPr>
      <t>0226-1152</t>
    </r>
  </si>
  <si>
    <r>
      <t xml:space="preserve">Purpose/Remarks : </t>
    </r>
    <r>
      <rPr>
        <u/>
        <sz val="10"/>
        <rFont val="Arial"/>
        <family val="2"/>
      </rPr>
      <t>To be served during the Alignment and Coordination Meeting at the Office of the Provincial</t>
    </r>
  </si>
  <si>
    <t xml:space="preserve">        Governor Bulwagang Batangan on February 26, 2026.</t>
  </si>
  <si>
    <r>
      <t>Date:</t>
    </r>
    <r>
      <rPr>
        <u/>
        <sz val="10"/>
        <color indexed="8"/>
        <rFont val="Arial"/>
        <family val="2"/>
      </rPr>
      <t>02/23/2026</t>
    </r>
  </si>
  <si>
    <r>
      <t xml:space="preserve">PR No. </t>
    </r>
    <r>
      <rPr>
        <u/>
        <sz val="10"/>
        <rFont val="Arial"/>
        <family val="2"/>
      </rPr>
      <t>0226-1216</t>
    </r>
  </si>
  <si>
    <t>Rice and Chicken</t>
  </si>
  <si>
    <t>Ion Supply Drink 500ml</t>
  </si>
  <si>
    <r>
      <t xml:space="preserve">Purpose/Remarks : </t>
    </r>
    <r>
      <rPr>
        <u/>
        <sz val="10"/>
        <rFont val="Arial"/>
        <family val="2"/>
      </rPr>
      <t>Foods served to National Government Agency Partners during Capitol on Wheels at San Juan,</t>
    </r>
  </si>
  <si>
    <t xml:space="preserve">       Batangas on February 11, 2026.</t>
  </si>
  <si>
    <t xml:space="preserve">Heavy PM Snacks: Sotanghon Canton, </t>
  </si>
  <si>
    <t xml:space="preserve">         (WISH) from De La Salle Lipa to be held on , 2026.</t>
  </si>
  <si>
    <t>Oven Roasted Sweet Chicken</t>
  </si>
  <si>
    <t>Red Onion</t>
  </si>
  <si>
    <t>Eggplant</t>
  </si>
  <si>
    <t>Fresh Garlic</t>
  </si>
  <si>
    <t>Okra</t>
  </si>
  <si>
    <r>
      <t xml:space="preserve">Purpose/Remarks: </t>
    </r>
    <r>
      <rPr>
        <u/>
        <sz val="10"/>
        <rFont val="Arial"/>
        <family val="2"/>
      </rPr>
      <t>Foods served during the MBA Coordination Meeting on February 02, 2026.</t>
    </r>
  </si>
  <si>
    <r>
      <t>Date:</t>
    </r>
    <r>
      <rPr>
        <u/>
        <sz val="10"/>
        <rFont val="Arial"/>
        <family val="2"/>
      </rPr>
      <t>02/27/2026</t>
    </r>
  </si>
  <si>
    <t>Burger, Spaghetti and Drinks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</si>
  <si>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02, 2026.</t>
    </r>
  </si>
  <si>
    <t>Spaghetti</t>
  </si>
  <si>
    <t>Pork Menudo</t>
  </si>
  <si>
    <t>Ginatang Bangus</t>
  </si>
  <si>
    <t>Softdrinks 1.5L</t>
  </si>
  <si>
    <t>order</t>
  </si>
  <si>
    <t xml:space="preserve">       on Wheels at San Juan Batangas on February 08, 2026.</t>
  </si>
  <si>
    <r>
      <t xml:space="preserve">PR No. </t>
    </r>
    <r>
      <rPr>
        <u/>
        <sz val="10"/>
        <rFont val="Arial"/>
        <family val="2"/>
      </rPr>
      <t>0226-1251</t>
    </r>
  </si>
  <si>
    <r>
      <t xml:space="preserve">PR No. </t>
    </r>
    <r>
      <rPr>
        <u/>
        <sz val="10"/>
        <rFont val="Arial"/>
        <family val="2"/>
      </rPr>
      <t xml:space="preserve">0226-1252 </t>
    </r>
  </si>
  <si>
    <r>
      <t xml:space="preserve">PR No. </t>
    </r>
    <r>
      <rPr>
        <u/>
        <sz val="10"/>
        <rFont val="Arial"/>
        <family val="2"/>
      </rPr>
      <t>0226-1253</t>
    </r>
  </si>
  <si>
    <r>
      <t xml:space="preserve">PR No. </t>
    </r>
    <r>
      <rPr>
        <u/>
        <sz val="10"/>
        <color rgb="FFFF0000"/>
        <rFont val="Arial"/>
        <family val="2"/>
      </rPr>
      <t xml:space="preserve">0226-0966 </t>
    </r>
  </si>
  <si>
    <r>
      <t>Date:</t>
    </r>
    <r>
      <rPr>
        <u/>
        <sz val="10"/>
        <color rgb="FFFF0000"/>
        <rFont val="Arial"/>
        <family val="2"/>
      </rPr>
      <t>02/16/2026</t>
    </r>
  </si>
  <si>
    <r>
      <t xml:space="preserve">Date: </t>
    </r>
    <r>
      <rPr>
        <u/>
        <sz val="10"/>
        <rFont val="Arial"/>
        <family val="2"/>
      </rPr>
      <t>02/27/2026</t>
    </r>
  </si>
  <si>
    <r>
      <t xml:space="preserve">PR No. </t>
    </r>
    <r>
      <rPr>
        <u/>
        <sz val="10"/>
        <rFont val="Arial"/>
        <family val="2"/>
      </rPr>
      <t xml:space="preserve">0226-1254 </t>
    </r>
  </si>
  <si>
    <r>
      <t xml:space="preserve">PR No. </t>
    </r>
    <r>
      <rPr>
        <u/>
        <sz val="10"/>
        <rFont val="Arial"/>
        <family val="2"/>
      </rPr>
      <t>0226-0972</t>
    </r>
  </si>
  <si>
    <r>
      <t xml:space="preserve">Purpose/Remarks : </t>
    </r>
    <r>
      <rPr>
        <u/>
        <sz val="10"/>
        <rFont val="Arial"/>
        <family val="2"/>
      </rPr>
      <t>Foods served during ocular inspection and coordination meeting for the roll out of Capitol</t>
    </r>
  </si>
  <si>
    <r>
      <t xml:space="preserve">Purpose/Remarks : </t>
    </r>
    <r>
      <rPr>
        <u/>
        <sz val="10"/>
        <rFont val="Arial"/>
        <family val="2"/>
      </rPr>
      <t>To be served during the Exit Conference meeting with COA Technical Audit Specialists on</t>
    </r>
  </si>
  <si>
    <r>
      <t xml:space="preserve">Purpose/Remarks : </t>
    </r>
    <r>
      <rPr>
        <u/>
        <sz val="10"/>
        <rFont val="Arial"/>
        <family val="2"/>
      </rPr>
      <t>Foods served during the Task Force meeting with the MGB on February 16, 2026.</t>
    </r>
  </si>
  <si>
    <r>
      <t>Date:</t>
    </r>
    <r>
      <rPr>
        <u/>
        <sz val="10"/>
        <rFont val="Arial"/>
        <family val="2"/>
      </rPr>
      <t>03/02/2026</t>
    </r>
  </si>
  <si>
    <r>
      <t xml:space="preserve">PR No. </t>
    </r>
    <r>
      <rPr>
        <u/>
        <sz val="10"/>
        <rFont val="Arial"/>
        <family val="2"/>
      </rPr>
      <t>0326-</t>
    </r>
  </si>
  <si>
    <t xml:space="preserve">         Mangrove Protected Areas on March 26, 2026 at Mabini, Batangas.</t>
  </si>
  <si>
    <t xml:space="preserve"> - Natural Aromatic Semi-Sticky Rice, Gluten Free</t>
  </si>
  <si>
    <t xml:space="preserve">Rice 5kg (Special Dinorado)  </t>
  </si>
  <si>
    <r>
      <t xml:space="preserve">Purpose/Remarks: </t>
    </r>
    <r>
      <rPr>
        <u/>
        <sz val="10"/>
        <rFont val="Arial"/>
        <family val="2"/>
      </rPr>
      <t>To be served during the Exercise Coordination meeting for Taal Volcano Eruption Simulation</t>
    </r>
  </si>
  <si>
    <t xml:space="preserve">        Exercises on April 1, 2026.</t>
  </si>
  <si>
    <t>PM Snacks: Cheeseburger and Softdrinks</t>
  </si>
  <si>
    <r>
      <t xml:space="preserve">Purpose/Remarks: </t>
    </r>
    <r>
      <rPr>
        <u/>
        <sz val="10"/>
        <rFont val="Arial"/>
        <family val="2"/>
      </rPr>
      <t>To be served during the Exercise Planning meeting for Taal Volcano Eruption Simulation</t>
    </r>
  </si>
  <si>
    <t xml:space="preserve">        Exercises on April 10, 2026.</t>
  </si>
  <si>
    <t>2nd Batch</t>
  </si>
  <si>
    <t>3rd Batch</t>
  </si>
  <si>
    <r>
      <t>Purpose/Remarks:</t>
    </r>
    <r>
      <rPr>
        <u/>
        <sz val="10"/>
        <rFont val="Arial"/>
        <family val="2"/>
      </rPr>
      <t xml:space="preserve"> To be served during the Masining na Pagkukwento Workshop in Celebration of Literature Month </t>
    </r>
  </si>
  <si>
    <t xml:space="preserve">        on April 10, 2026.</t>
  </si>
  <si>
    <t xml:space="preserve">AM Snacks: Grilled Cheese Sandwich and </t>
  </si>
  <si>
    <t>Juice in Can</t>
  </si>
  <si>
    <t>PM Snacks: Pancit with Puto and Softdrinks</t>
  </si>
  <si>
    <r>
      <t xml:space="preserve">Purpose/Remarks : </t>
    </r>
    <r>
      <rPr>
        <u/>
        <sz val="10"/>
        <rFont val="Arial"/>
        <family val="2"/>
      </rPr>
      <t>To be served during the conduct of Mega Job Fair on April 30, 2026.</t>
    </r>
  </si>
  <si>
    <r>
      <t xml:space="preserve">PR No. </t>
    </r>
    <r>
      <rPr>
        <u/>
        <sz val="10"/>
        <rFont val="Arial"/>
        <family val="2"/>
      </rPr>
      <t>0326-1273</t>
    </r>
  </si>
  <si>
    <r>
      <t xml:space="preserve">PR No.  </t>
    </r>
    <r>
      <rPr>
        <u/>
        <sz val="10"/>
        <rFont val="Arial"/>
        <family val="2"/>
      </rPr>
      <t>0326-1274</t>
    </r>
  </si>
  <si>
    <r>
      <t xml:space="preserve">PR No. </t>
    </r>
    <r>
      <rPr>
        <u/>
        <sz val="10"/>
        <rFont val="Arial"/>
        <family val="2"/>
      </rPr>
      <t>0326-1275</t>
    </r>
  </si>
  <si>
    <r>
      <t xml:space="preserve">Purpose/Remarks: </t>
    </r>
    <r>
      <rPr>
        <u/>
        <sz val="10"/>
        <rFont val="Arial"/>
        <family val="2"/>
      </rPr>
      <t>To be served during the 2nd and 3rd Batch of the Organizational Meeting of Various Art and Cultural</t>
    </r>
  </si>
  <si>
    <t xml:space="preserve">       Sector Groups on April 7 - 8, 2026.</t>
  </si>
  <si>
    <r>
      <t xml:space="preserve">PR No.  </t>
    </r>
    <r>
      <rPr>
        <u/>
        <sz val="10"/>
        <rFont val="Arial"/>
        <family val="2"/>
      </rPr>
      <t>0326-1276</t>
    </r>
  </si>
  <si>
    <t>AM Snacks: Cheeseburger and Free Flowing Soda</t>
  </si>
  <si>
    <r>
      <t xml:space="preserve">Date: </t>
    </r>
    <r>
      <rPr>
        <u/>
        <sz val="10"/>
        <rFont val="Arial"/>
        <family val="2"/>
      </rPr>
      <t>03/03/2026</t>
    </r>
  </si>
  <si>
    <r>
      <t>Date:</t>
    </r>
    <r>
      <rPr>
        <u/>
        <sz val="10"/>
        <rFont val="Arial"/>
        <family val="2"/>
      </rPr>
      <t>03/03/2026</t>
    </r>
  </si>
  <si>
    <t>AM Snacks: Cheeseburger and Drinks</t>
  </si>
  <si>
    <t xml:space="preserve">         March 12, 2026.</t>
  </si>
  <si>
    <t>Plain Croissant</t>
  </si>
  <si>
    <t>Cheese Puff</t>
  </si>
  <si>
    <t>Assorted Pastries</t>
  </si>
  <si>
    <t>Margarine 100g</t>
  </si>
  <si>
    <t xml:space="preserve">White Bread </t>
  </si>
  <si>
    <t>Green Peas</t>
  </si>
  <si>
    <t>Vegetable Salad</t>
  </si>
  <si>
    <t>Green Watermelon</t>
  </si>
  <si>
    <t>Tomato Native</t>
  </si>
  <si>
    <t>Cucumber</t>
  </si>
  <si>
    <t>Labuyo</t>
  </si>
  <si>
    <t>Canola Oil 2L</t>
  </si>
  <si>
    <t>Mushroom Shitake</t>
  </si>
  <si>
    <t>Pasta Linguine 500g</t>
  </si>
  <si>
    <t>Enoki Mushroom 200g</t>
  </si>
  <si>
    <t>Tomato Paste 70g</t>
  </si>
  <si>
    <t>Soysauce 1L</t>
  </si>
  <si>
    <t>Evaporated Milk 360ml</t>
  </si>
  <si>
    <t>Pineapple Juice 220ml</t>
  </si>
  <si>
    <t>Liverspread 85g</t>
  </si>
  <si>
    <t>Chicken Cubes 120g</t>
  </si>
  <si>
    <t>Pork Cubes 120g</t>
  </si>
  <si>
    <t>Pickles 135gms</t>
  </si>
  <si>
    <t>Pepper</t>
  </si>
  <si>
    <t>Carrots Jumbo</t>
  </si>
  <si>
    <t>Spices 15g</t>
  </si>
  <si>
    <t>Red Pepper</t>
  </si>
  <si>
    <t>Onion Red</t>
  </si>
  <si>
    <t>Potato Jumbo</t>
  </si>
  <si>
    <t>Garlic</t>
  </si>
  <si>
    <t>Banana Saba</t>
  </si>
  <si>
    <t>Atay Balunan</t>
  </si>
  <si>
    <t>Salted Egg</t>
  </si>
  <si>
    <t>pouch</t>
  </si>
  <si>
    <r>
      <t xml:space="preserve">PR No. </t>
    </r>
    <r>
      <rPr>
        <u/>
        <sz val="10"/>
        <rFont val="Arial"/>
        <family val="2"/>
      </rPr>
      <t>0336-1292</t>
    </r>
  </si>
  <si>
    <r>
      <t xml:space="preserve">Purpose/Remarks: </t>
    </r>
    <r>
      <rPr>
        <u/>
        <sz val="10"/>
        <rFont val="Arial"/>
        <family val="2"/>
      </rPr>
      <t>To be served during the 1st Quarter PDRRM Council Meeting on March 05, 2026.</t>
    </r>
  </si>
  <si>
    <t>waley picture</t>
  </si>
  <si>
    <r>
      <t>Date:</t>
    </r>
    <r>
      <rPr>
        <u/>
        <sz val="10"/>
        <rFont val="Arial"/>
        <family val="2"/>
      </rPr>
      <t>03/05/2026</t>
    </r>
  </si>
  <si>
    <t>Chicken and Rice</t>
  </si>
  <si>
    <t>Extra Rice</t>
  </si>
  <si>
    <t xml:space="preserve">       at San Juan, Batangas on February 7, 2026</t>
  </si>
  <si>
    <r>
      <t xml:space="preserve">Purpose/Remarks : </t>
    </r>
    <r>
      <rPr>
        <u/>
        <sz val="10"/>
        <rFont val="Arial"/>
        <family val="2"/>
      </rPr>
      <t>Foods served during the plannning session for the incoming activity of the Provincial Government</t>
    </r>
  </si>
  <si>
    <t>AM Snacks: Lasagna with Toasted Bread and Juice</t>
  </si>
  <si>
    <t>Lunch Buffet: 2 Viands with Rice, Dessert</t>
  </si>
  <si>
    <t xml:space="preserve">PM Snacks: Cheeseburger, Soda and </t>
  </si>
  <si>
    <r>
      <t xml:space="preserve">Purpose/Remarks : </t>
    </r>
    <r>
      <rPr>
        <u/>
        <sz val="10"/>
        <rFont val="Arial"/>
        <family val="2"/>
      </rPr>
      <t xml:space="preserve"> To be served during the Fire Safety Training of PGENRO Personnel on March 26, 2026.</t>
    </r>
  </si>
  <si>
    <r>
      <t xml:space="preserve">Date: </t>
    </r>
    <r>
      <rPr>
        <u/>
        <sz val="10"/>
        <rFont val="Arial"/>
        <family val="2"/>
      </rPr>
      <t>03/05/2026</t>
    </r>
  </si>
  <si>
    <t>Meals: Egg, Rice, Chicken, Pancit, Buchi,</t>
  </si>
  <si>
    <t>Siomai and Prawn Chips</t>
  </si>
  <si>
    <r>
      <t xml:space="preserve">Purpose/Remarks: </t>
    </r>
    <r>
      <rPr>
        <u/>
        <sz val="10"/>
        <rFont val="Arial"/>
        <family val="2"/>
      </rPr>
      <t>Foods served during the meeting of the Council Secretariat for the finalization of the program</t>
    </r>
  </si>
  <si>
    <t xml:space="preserve">      Council (PDC) and Provincial Peace and Order Council (PPOC) on March 04, 2026.</t>
  </si>
  <si>
    <r>
      <t xml:space="preserve">      </t>
    </r>
    <r>
      <rPr>
        <u/>
        <sz val="10"/>
        <rFont val="Arial"/>
        <family val="2"/>
      </rPr>
      <t>and other concerns of the Full Council Assembly, Provincial Anti-Drug Abuse Council (PADAC),</t>
    </r>
  </si>
  <si>
    <r>
      <t xml:space="preserve">      </t>
    </r>
    <r>
      <rPr>
        <u/>
        <sz val="10"/>
        <rFont val="Arial"/>
        <family val="2"/>
      </rPr>
      <t>Provincial Disaster Risk Reduction and Management Council (PDRRMC), Provincial Development</t>
    </r>
  </si>
  <si>
    <r>
      <t xml:space="preserve">PR No. </t>
    </r>
    <r>
      <rPr>
        <u/>
        <sz val="10"/>
        <rFont val="Arial"/>
        <family val="2"/>
      </rPr>
      <t>0326-1315</t>
    </r>
  </si>
  <si>
    <r>
      <t xml:space="preserve">PR No. </t>
    </r>
    <r>
      <rPr>
        <u/>
        <sz val="10"/>
        <rFont val="Arial"/>
        <family val="2"/>
      </rPr>
      <t xml:space="preserve">0326-1316 </t>
    </r>
  </si>
  <si>
    <r>
      <t xml:space="preserve">PR No. </t>
    </r>
    <r>
      <rPr>
        <u/>
        <sz val="10"/>
        <rFont val="Arial"/>
        <family val="2"/>
      </rPr>
      <t>0326-1297</t>
    </r>
  </si>
  <si>
    <t>Pineapple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</si>
  <si>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20, 2026.</t>
    </r>
  </si>
  <si>
    <r>
      <t>Date:</t>
    </r>
    <r>
      <rPr>
        <u/>
        <sz val="10"/>
        <rFont val="Arial"/>
        <family val="2"/>
      </rPr>
      <t>03/06/2026</t>
    </r>
  </si>
  <si>
    <r>
      <t xml:space="preserve">PR No. </t>
    </r>
    <r>
      <rPr>
        <u/>
        <sz val="10"/>
        <rFont val="Arial"/>
        <family val="2"/>
      </rPr>
      <t>0326-1333</t>
    </r>
  </si>
  <si>
    <r>
      <t xml:space="preserve">Date: </t>
    </r>
    <r>
      <rPr>
        <u/>
        <sz val="10"/>
        <rFont val="Arial"/>
        <family val="2"/>
      </rPr>
      <t>03/06/2026</t>
    </r>
  </si>
  <si>
    <t>Meals (Buffet Dinner)</t>
  </si>
  <si>
    <t>Sweet and Sour Fish</t>
  </si>
  <si>
    <t>Goat Kaldereta</t>
  </si>
  <si>
    <t>Chopsuey</t>
  </si>
  <si>
    <t>German Chicken</t>
  </si>
  <si>
    <t>Lechon</t>
  </si>
  <si>
    <t>Buko Pandan</t>
  </si>
  <si>
    <t>of the League of Vice Governors of the Philippines on March 19, 2026.</t>
  </si>
  <si>
    <r>
      <t xml:space="preserve">PR No. </t>
    </r>
    <r>
      <rPr>
        <u/>
        <sz val="10"/>
        <rFont val="Arial"/>
        <family val="2"/>
      </rPr>
      <t>0326-1338</t>
    </r>
  </si>
  <si>
    <r>
      <t xml:space="preserve">Purpose/Remarks : </t>
    </r>
    <r>
      <rPr>
        <u/>
        <sz val="10"/>
        <rFont val="Arial"/>
        <family val="2"/>
      </rPr>
      <t>To be served to the participants, performers and secretariat guests on the 104th National Assembly</t>
    </r>
  </si>
  <si>
    <r>
      <t xml:space="preserve">PR No. </t>
    </r>
    <r>
      <rPr>
        <u/>
        <sz val="10"/>
        <rFont val="Arial"/>
        <family val="2"/>
      </rPr>
      <t>0326-1339</t>
    </r>
  </si>
  <si>
    <t>Tokens</t>
  </si>
  <si>
    <t>Barong Long Sleeves (Piña Cocoon)</t>
  </si>
  <si>
    <t>500 grams Kapeng Barako</t>
  </si>
  <si>
    <t>500 grams Tablea</t>
  </si>
  <si>
    <t>the Philippines on March 19, 2026.</t>
  </si>
  <si>
    <r>
      <t xml:space="preserve">Purpose/Remarks : </t>
    </r>
    <r>
      <rPr>
        <u/>
        <sz val="10"/>
        <rFont val="Arial"/>
        <family val="2"/>
      </rPr>
      <t>To be given to the participants on the 104th National Assembly of the League of Vice Governors of</t>
    </r>
  </si>
  <si>
    <r>
      <t xml:space="preserve">Date: </t>
    </r>
    <r>
      <rPr>
        <u/>
        <sz val="10"/>
        <rFont val="Arial"/>
        <family val="2"/>
      </rPr>
      <t>03/09/2026</t>
    </r>
  </si>
  <si>
    <r>
      <t xml:space="preserve">PR No. </t>
    </r>
    <r>
      <rPr>
        <u/>
        <sz val="10"/>
        <rFont val="Arial"/>
        <family val="2"/>
      </rPr>
      <t xml:space="preserve">0326-1357 </t>
    </r>
  </si>
  <si>
    <t>Snacks: Spaghetti, garlic bread and</t>
  </si>
  <si>
    <t>bottled juice</t>
  </si>
  <si>
    <t>Infrastructure Project Requirements on March 9, 2026.</t>
  </si>
  <si>
    <t>ALFREDO C. CORONA</t>
  </si>
  <si>
    <r>
      <t xml:space="preserve">PR No. </t>
    </r>
    <r>
      <rPr>
        <u/>
        <sz val="10"/>
        <rFont val="Arial"/>
        <family val="2"/>
      </rPr>
      <t>0326-1358</t>
    </r>
  </si>
  <si>
    <t>AM Snacks: Sandwich and drinks</t>
  </si>
  <si>
    <r>
      <t xml:space="preserve">Purpose/Remarks: </t>
    </r>
    <r>
      <rPr>
        <u/>
        <sz val="10"/>
        <rFont val="Arial"/>
        <family val="2"/>
      </rPr>
      <t>To be served during the Committee Hearing on Oversight and Special Concerns, Committee on</t>
    </r>
  </si>
  <si>
    <t>Accountability, Ethics and Governance and Committee on Public Works and General Services on</t>
  </si>
  <si>
    <t>March 10, 2026.</t>
  </si>
  <si>
    <r>
      <t xml:space="preserve">Purpose/Remarks : </t>
    </r>
    <r>
      <rPr>
        <u/>
        <sz val="10"/>
        <rFont val="Arial"/>
        <family val="2"/>
      </rPr>
      <t>Foods served during the technical review and coordination meeting regarding Implementation and</t>
    </r>
  </si>
  <si>
    <r>
      <t xml:space="preserve">Purpose/Remarks : </t>
    </r>
    <r>
      <rPr>
        <u/>
        <sz val="10"/>
        <rFont val="Arial"/>
        <family val="2"/>
      </rPr>
      <t>To be served during the conduct of Mega Job Fair on April 29, 2026.</t>
    </r>
  </si>
  <si>
    <t>03/10/2026</t>
  </si>
  <si>
    <r>
      <t xml:space="preserve">PR No. </t>
    </r>
    <r>
      <rPr>
        <u/>
        <sz val="10"/>
        <rFont val="Arial"/>
        <family val="2"/>
      </rPr>
      <t xml:space="preserve">0326-1365 </t>
    </r>
  </si>
  <si>
    <r>
      <t xml:space="preserve">Date: </t>
    </r>
    <r>
      <rPr>
        <u/>
        <sz val="10"/>
        <rFont val="Arial"/>
        <family val="2"/>
      </rPr>
      <t>03/10/2026</t>
    </r>
  </si>
  <si>
    <t>Fluffy mamon, 6's/pack</t>
  </si>
  <si>
    <r>
      <t xml:space="preserve">Purpose/Remarks : </t>
    </r>
    <r>
      <rPr>
        <u/>
        <sz val="10"/>
        <rFont val="Arial"/>
        <family val="2"/>
      </rPr>
      <t>Food served during Committee Hearing on Transportation on February 27, 2026.</t>
    </r>
  </si>
  <si>
    <t>Mineral water 350ml, 12's/pack</t>
  </si>
  <si>
    <r>
      <t xml:space="preserve">PR No. </t>
    </r>
    <r>
      <rPr>
        <u/>
        <sz val="10"/>
        <rFont val="Arial"/>
        <family val="2"/>
      </rPr>
      <t>0326-1372</t>
    </r>
  </si>
  <si>
    <t xml:space="preserve">        April 6, 2026.</t>
  </si>
  <si>
    <r>
      <t>Date:</t>
    </r>
    <r>
      <rPr>
        <u/>
        <sz val="10"/>
        <rFont val="Arial"/>
        <family val="2"/>
      </rPr>
      <t>03/10/2026</t>
    </r>
  </si>
  <si>
    <r>
      <t xml:space="preserve">Purpose/Remarks : </t>
    </r>
    <r>
      <rPr>
        <u/>
        <sz val="10"/>
        <rFont val="Arial"/>
        <family val="2"/>
      </rPr>
      <t xml:space="preserve">Foods served during Departmental meeting on March 9, 2026.  </t>
    </r>
  </si>
  <si>
    <t xml:space="preserve">        April 13, 2026.</t>
  </si>
  <si>
    <t xml:space="preserve">        April 20, 2026.</t>
  </si>
  <si>
    <t xml:space="preserve">        April 27, 2026.</t>
  </si>
  <si>
    <r>
      <t xml:space="preserve">PR No. </t>
    </r>
    <r>
      <rPr>
        <u/>
        <sz val="10"/>
        <rFont val="Arial"/>
        <family val="2"/>
      </rPr>
      <t>0326-1378</t>
    </r>
  </si>
  <si>
    <r>
      <t xml:space="preserve">PR No. </t>
    </r>
    <r>
      <rPr>
        <u/>
        <sz val="10"/>
        <rFont val="Arial"/>
        <family val="2"/>
      </rPr>
      <t>0326-1379</t>
    </r>
  </si>
  <si>
    <r>
      <t xml:space="preserve">PR No. </t>
    </r>
    <r>
      <rPr>
        <u/>
        <sz val="10"/>
        <rFont val="Arial"/>
        <family val="2"/>
      </rPr>
      <t>0326-1380</t>
    </r>
  </si>
  <si>
    <r>
      <t>PR No.</t>
    </r>
    <r>
      <rPr>
        <u/>
        <sz val="10"/>
        <rFont val="Arial"/>
        <family val="2"/>
      </rPr>
      <t xml:space="preserve"> 0326-1377</t>
    </r>
  </si>
  <si>
    <t>Meals: Burger</t>
  </si>
  <si>
    <t>Condensed milk 290ml</t>
  </si>
  <si>
    <t>Evaporated milk 360ml</t>
  </si>
  <si>
    <t>Red pimiento 390g</t>
  </si>
  <si>
    <t>Cheese 430g</t>
  </si>
  <si>
    <t>Breast fillet</t>
  </si>
  <si>
    <t>Bangus belly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</si>
  <si>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3, 2026.</t>
    </r>
  </si>
  <si>
    <t>Pineapple Juice</t>
  </si>
  <si>
    <t>AM Snacks: Pasta Chicken Alfredo,</t>
  </si>
  <si>
    <t>Toasted Bread and Drinks</t>
  </si>
  <si>
    <t>AM Snacks: Sumang Malagkit, Puto pao,</t>
  </si>
  <si>
    <t>Biko and Hot chocolate</t>
  </si>
  <si>
    <t>PM Snacks: Pancit canton, Toasted Bread</t>
  </si>
  <si>
    <t>and Gulaman</t>
  </si>
  <si>
    <r>
      <t xml:space="preserve">Purpose/Remarks : </t>
    </r>
    <r>
      <rPr>
        <u/>
        <sz val="10"/>
        <rFont val="Arial"/>
        <family val="2"/>
      </rPr>
      <t>To be served during Writeshop and Workshop on the Formation Federation of Homeowners</t>
    </r>
  </si>
  <si>
    <t xml:space="preserve">        Association of the Province.</t>
  </si>
  <si>
    <t>Day 1 - April 7, 2026</t>
  </si>
  <si>
    <t>Day 2 - April 8, 2026</t>
  </si>
  <si>
    <r>
      <t>PR No.</t>
    </r>
    <r>
      <rPr>
        <u/>
        <sz val="10"/>
        <rFont val="Arial"/>
        <family val="2"/>
      </rPr>
      <t xml:space="preserve"> 0326-1400</t>
    </r>
  </si>
  <si>
    <r>
      <t xml:space="preserve">Date: </t>
    </r>
    <r>
      <rPr>
        <u/>
        <sz val="10"/>
        <rFont val="Arial"/>
        <family val="2"/>
      </rPr>
      <t xml:space="preserve">03/10/2026 </t>
    </r>
  </si>
  <si>
    <r>
      <t xml:space="preserve">PR No. </t>
    </r>
    <r>
      <rPr>
        <u/>
        <sz val="10"/>
        <rFont val="Arial"/>
        <family val="2"/>
      </rPr>
      <t xml:space="preserve">0326-1401 </t>
    </r>
  </si>
  <si>
    <r>
      <t xml:space="preserve">PR No. </t>
    </r>
    <r>
      <rPr>
        <u/>
        <sz val="10"/>
        <rFont val="Arial"/>
        <family val="2"/>
      </rPr>
      <t>0326-1399</t>
    </r>
  </si>
  <si>
    <r>
      <t>Date:</t>
    </r>
    <r>
      <rPr>
        <u/>
        <sz val="10"/>
        <rFont val="Arial"/>
        <family val="2"/>
      </rPr>
      <t>03/11/2026</t>
    </r>
  </si>
  <si>
    <t>Mango ripe</t>
  </si>
  <si>
    <t>White bread</t>
  </si>
  <si>
    <t>Mustasa native</t>
  </si>
  <si>
    <t>Onion spring</t>
  </si>
  <si>
    <t>Tomato tagalog</t>
  </si>
  <si>
    <t>Cucumber green</t>
  </si>
  <si>
    <t>Onion red</t>
  </si>
  <si>
    <t>Corned beef 210g</t>
  </si>
  <si>
    <t>Salmon flops</t>
  </si>
  <si>
    <t>Chilled chicken</t>
  </si>
  <si>
    <t>Ham slice sweet 250g</t>
  </si>
  <si>
    <t>Creamy slices cheese 200g</t>
  </si>
  <si>
    <t>Chicken ham 250g</t>
  </si>
  <si>
    <t>Oil</t>
  </si>
  <si>
    <t>Malagkit</t>
  </si>
  <si>
    <t>Washed sugar 1kg</t>
  </si>
  <si>
    <t>Fresh eggs 12's</t>
  </si>
  <si>
    <t>Loaf bread</t>
  </si>
  <si>
    <t>Purified water 350ml</t>
  </si>
  <si>
    <t>Patis 350ml</t>
  </si>
  <si>
    <t>Sweet sliced ham 250g</t>
  </si>
  <si>
    <t>Sesame white 150g</t>
  </si>
  <si>
    <r>
      <t xml:space="preserve">PR No. </t>
    </r>
    <r>
      <rPr>
        <u/>
        <sz val="10"/>
        <rFont val="Arial"/>
        <family val="2"/>
      </rPr>
      <t>0326-1427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</si>
  <si>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27,</t>
    </r>
  </si>
  <si>
    <t>March 1, 2 and 3, 2026.</t>
  </si>
  <si>
    <r>
      <t>Date:</t>
    </r>
    <r>
      <rPr>
        <u/>
        <sz val="10"/>
        <rFont val="Arial"/>
        <family val="2"/>
      </rPr>
      <t>03/12/2026</t>
    </r>
  </si>
  <si>
    <r>
      <t>PR No.</t>
    </r>
    <r>
      <rPr>
        <u/>
        <sz val="10"/>
        <rFont val="Arial"/>
        <family val="2"/>
      </rPr>
      <t xml:space="preserve"> 0326-1443</t>
    </r>
  </si>
  <si>
    <t>PM Snacks: Burger</t>
  </si>
  <si>
    <r>
      <t>PR No.</t>
    </r>
    <r>
      <rPr>
        <u/>
        <sz val="10"/>
        <rFont val="Arial"/>
        <family val="2"/>
      </rPr>
      <t xml:space="preserve"> 0326-1444</t>
    </r>
  </si>
  <si>
    <t>Food and Accommodation</t>
  </si>
  <si>
    <t xml:space="preserve"> - 1 Superior Room for 4 persons</t>
  </si>
  <si>
    <t xml:space="preserve"> - Including breakfast</t>
  </si>
  <si>
    <t>One (1) Night</t>
  </si>
  <si>
    <r>
      <t xml:space="preserve">Purpose/Remarks : </t>
    </r>
    <r>
      <rPr>
        <u/>
        <sz val="10"/>
        <rFont val="Arial"/>
        <family val="2"/>
      </rPr>
      <t>Food and accommodation for speakers during Writeshop and Workshop on the Formation</t>
    </r>
  </si>
  <si>
    <t>Federation of Homeowners Association of the Province on April 7-8, 2026.</t>
  </si>
  <si>
    <r>
      <t xml:space="preserve">PR No. </t>
    </r>
    <r>
      <rPr>
        <u/>
        <sz val="10"/>
        <rFont val="Arial"/>
        <family val="2"/>
      </rPr>
      <t>0326-1449</t>
    </r>
  </si>
  <si>
    <t>AM Snacks: Pasta, bread and drinks</t>
  </si>
  <si>
    <r>
      <t xml:space="preserve">Purpose/Remarks : </t>
    </r>
    <r>
      <rPr>
        <u/>
        <sz val="10"/>
        <rFont val="Arial"/>
        <family val="2"/>
      </rPr>
      <t>To be served during the Program on Awards and Incentives for Service Excellence (PRAISE)</t>
    </r>
  </si>
  <si>
    <t>committee meeting on March 17, 2026.</t>
  </si>
  <si>
    <r>
      <t xml:space="preserve">Date: </t>
    </r>
    <r>
      <rPr>
        <u/>
        <sz val="10"/>
        <rFont val="Arial"/>
        <family val="2"/>
      </rPr>
      <t>03/16/2026</t>
    </r>
  </si>
  <si>
    <t>AM Snacks: Fresh Lumpia and Drinks</t>
  </si>
  <si>
    <r>
      <t xml:space="preserve">Purpose/Remarks : </t>
    </r>
    <r>
      <rPr>
        <u/>
        <sz val="10"/>
        <rFont val="Arial"/>
        <family val="2"/>
      </rPr>
      <t>To be served during the hearing of BM M. Mendoza on the Committee on Agriculture regarding</t>
    </r>
  </si>
  <si>
    <t xml:space="preserve">         the ordinance pertaining the strict non usage of small ring nets on April 06, 2026.</t>
  </si>
  <si>
    <r>
      <t>Date:</t>
    </r>
    <r>
      <rPr>
        <u/>
        <sz val="10"/>
        <rFont val="Arial"/>
        <family val="2"/>
      </rPr>
      <t>03/16/2026</t>
    </r>
  </si>
  <si>
    <t xml:space="preserve">          </t>
  </si>
  <si>
    <t>White Bread</t>
  </si>
  <si>
    <t>Tomato</t>
  </si>
  <si>
    <t>Fresh Eggs 12's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</si>
  <si>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18, 2026.</t>
    </r>
  </si>
  <si>
    <t>Heavy PM Snacks: Pasta, Sandwich and</t>
  </si>
  <si>
    <t>Gulay Mix Pakbet</t>
  </si>
  <si>
    <r>
      <t>Date:</t>
    </r>
    <r>
      <rPr>
        <u/>
        <sz val="10"/>
        <color indexed="8"/>
        <rFont val="Arial"/>
        <family val="2"/>
      </rPr>
      <t>03/06/2026</t>
    </r>
  </si>
  <si>
    <r>
      <t xml:space="preserve">PR No. </t>
    </r>
    <r>
      <rPr>
        <u/>
        <sz val="10"/>
        <color indexed="8"/>
        <rFont val="Arial"/>
        <family val="2"/>
      </rPr>
      <t>0326-1340</t>
    </r>
  </si>
  <si>
    <r>
      <t xml:space="preserve">PR No. </t>
    </r>
    <r>
      <rPr>
        <u/>
        <sz val="10"/>
        <rFont val="Arial"/>
        <family val="2"/>
      </rPr>
      <t>0326-1470</t>
    </r>
  </si>
  <si>
    <r>
      <t xml:space="preserve">PR No. </t>
    </r>
    <r>
      <rPr>
        <u/>
        <sz val="10"/>
        <rFont val="Arial"/>
        <family val="2"/>
      </rPr>
      <t xml:space="preserve">0326-1472 </t>
    </r>
  </si>
  <si>
    <r>
      <t xml:space="preserve">Purpose/Remarks : </t>
    </r>
    <r>
      <rPr>
        <u/>
        <sz val="10"/>
        <rFont val="Arial"/>
        <family val="2"/>
      </rPr>
      <t>To be served to the Work Immersionist from De La Salle Lipa during the Meet and Greet with</t>
    </r>
  </si>
  <si>
    <t xml:space="preserve">        the Governor on March 11, 2026.</t>
  </si>
  <si>
    <t>March 18, 2026.</t>
  </si>
  <si>
    <r>
      <t xml:space="preserve">Purpose/Remarks: </t>
    </r>
    <r>
      <rPr>
        <u/>
        <sz val="10"/>
        <rFont val="Arial"/>
        <family val="2"/>
      </rPr>
      <t>To be served during the Committee Hearing on Oversight and Special Concerns on March 18,2026.</t>
    </r>
  </si>
  <si>
    <r>
      <t xml:space="preserve">Purpose/Remarks: </t>
    </r>
    <r>
      <rPr>
        <u/>
        <sz val="10"/>
        <rFont val="Arial"/>
        <family val="2"/>
      </rPr>
      <t>To be served during the Joint Committee Hearing on Oversight and Special Concerns, Committee on</t>
    </r>
  </si>
  <si>
    <r>
      <t xml:space="preserve">PR No. </t>
    </r>
    <r>
      <rPr>
        <u/>
        <sz val="10"/>
        <rFont val="Arial"/>
        <family val="2"/>
      </rPr>
      <t xml:space="preserve">0326-1486 </t>
    </r>
  </si>
  <si>
    <r>
      <t xml:space="preserve">PR No. </t>
    </r>
    <r>
      <rPr>
        <u/>
        <sz val="10"/>
        <rFont val="Arial"/>
        <family val="2"/>
      </rPr>
      <t xml:space="preserve">0326-1487 </t>
    </r>
  </si>
  <si>
    <t xml:space="preserve">Accountability, Ethics and Governance and Committee on Public Works and General Services on </t>
  </si>
  <si>
    <t xml:space="preserve">  .</t>
  </si>
  <si>
    <t>Ginger</t>
  </si>
  <si>
    <t>Watermelon</t>
  </si>
  <si>
    <t>Salted Egg 6's</t>
  </si>
  <si>
    <t>Parmesan Cheese</t>
  </si>
  <si>
    <t>Leeks</t>
  </si>
  <si>
    <t>Romain Lettuce</t>
  </si>
  <si>
    <t>Onion White</t>
  </si>
  <si>
    <t>Orange Big</t>
  </si>
  <si>
    <t xml:space="preserve">Chicken </t>
  </si>
  <si>
    <t>Chicken Thigh Part</t>
  </si>
  <si>
    <t>Pancit Bihon</t>
  </si>
  <si>
    <t>Dahon ng Sili</t>
  </si>
  <si>
    <r>
      <t>Date:</t>
    </r>
    <r>
      <rPr>
        <u/>
        <sz val="10"/>
        <rFont val="Arial"/>
        <family val="2"/>
      </rPr>
      <t>03/17/2026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</si>
  <si>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03, 2026.</t>
    </r>
  </si>
  <si>
    <t>Tomato Tagalog</t>
  </si>
  <si>
    <r>
      <t xml:space="preserve">Date: </t>
    </r>
    <r>
      <rPr>
        <u/>
        <sz val="10"/>
        <rFont val="Arial"/>
        <family val="2"/>
      </rPr>
      <t>03/17/2026</t>
    </r>
  </si>
  <si>
    <t>&lt;- - - manual</t>
  </si>
  <si>
    <t>&lt; - - - manual</t>
  </si>
  <si>
    <t>All Purpose Flour 1kg</t>
  </si>
  <si>
    <t>Tuyo-Tonsoy</t>
  </si>
  <si>
    <t>Margarine 200g</t>
  </si>
  <si>
    <t>Chicken Longganisa</t>
  </si>
  <si>
    <t>Glutinous Rice Flour 500g</t>
  </si>
  <si>
    <t xml:space="preserve">Egg Large 30's </t>
  </si>
  <si>
    <t>5+1 Powdered Juice Dalandan Flavor 20g</t>
  </si>
  <si>
    <t>5+1 Powdered Juice Pineapple Flavor 19g</t>
  </si>
  <si>
    <t>Luncheon Meat 350g/24</t>
  </si>
  <si>
    <t>Jelly Powder Buko Pandan Flavor 25g</t>
  </si>
  <si>
    <t>Jelly Powder Coffee Flavor 24g</t>
  </si>
  <si>
    <t>Instant Noodles Beef Flavor 55g</t>
  </si>
  <si>
    <t>Instant Noodles Chicken Flavor 55g</t>
  </si>
  <si>
    <t>Upo</t>
  </si>
  <si>
    <t>Pansit Miki</t>
  </si>
  <si>
    <t>Kamoteng Kahoy</t>
  </si>
  <si>
    <t>Tilapia</t>
  </si>
  <si>
    <t>Bangus (Paksiw)</t>
  </si>
  <si>
    <t>Tulingan</t>
  </si>
  <si>
    <t>Bangus (Daing)</t>
  </si>
  <si>
    <t>Don Pilas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</si>
  <si>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March 12 - 26, 2026.</t>
    </r>
  </si>
  <si>
    <t>bar</t>
  </si>
  <si>
    <r>
      <t xml:space="preserve">Purpose/Remarks : </t>
    </r>
    <r>
      <rPr>
        <u/>
        <sz val="10"/>
        <rFont val="Arial"/>
        <family val="2"/>
      </rPr>
      <t>Foods served during the Execom meeting on March 10, 2026.</t>
    </r>
  </si>
  <si>
    <r>
      <t xml:space="preserve">PR No. </t>
    </r>
    <r>
      <rPr>
        <u/>
        <sz val="10"/>
        <rFont val="Arial"/>
        <family val="2"/>
      </rPr>
      <t>0326-1506</t>
    </r>
  </si>
  <si>
    <r>
      <t xml:space="preserve">PR No. </t>
    </r>
    <r>
      <rPr>
        <u/>
        <sz val="10"/>
        <rFont val="Arial"/>
        <family val="2"/>
      </rPr>
      <t>0326-1508</t>
    </r>
  </si>
  <si>
    <r>
      <t xml:space="preserve">PR No. </t>
    </r>
    <r>
      <rPr>
        <u/>
        <sz val="10"/>
        <rFont val="Arial"/>
        <family val="2"/>
      </rPr>
      <t>0326-1509</t>
    </r>
  </si>
  <si>
    <r>
      <t xml:space="preserve">PR No. </t>
    </r>
    <r>
      <rPr>
        <u/>
        <sz val="10"/>
        <rFont val="Arial"/>
        <family val="2"/>
      </rPr>
      <t>0326-1510</t>
    </r>
  </si>
  <si>
    <r>
      <t xml:space="preserve">Date: </t>
    </r>
    <r>
      <rPr>
        <u/>
        <sz val="10"/>
        <rFont val="Arial"/>
        <family val="2"/>
      </rPr>
      <t>03/18/2026</t>
    </r>
  </si>
  <si>
    <t>Yangchow Rice</t>
  </si>
  <si>
    <t>Shanghai Rolls</t>
  </si>
  <si>
    <t>Broccoli in Oyster Sauce</t>
  </si>
  <si>
    <t>Buttered Chicken</t>
  </si>
  <si>
    <t>Sweet and Sour Pork</t>
  </si>
  <si>
    <r>
      <t xml:space="preserve">Purpose/Remarks : </t>
    </r>
    <r>
      <rPr>
        <u/>
        <sz val="10"/>
        <rFont val="Arial"/>
        <family val="2"/>
      </rPr>
      <t>Foods served during the alignment meeting for communication plan on March 16, 2026.</t>
    </r>
  </si>
  <si>
    <r>
      <t xml:space="preserve">PR No. </t>
    </r>
    <r>
      <rPr>
        <u/>
        <sz val="10"/>
        <rFont val="Arial"/>
        <family val="2"/>
      </rPr>
      <t xml:space="preserve">0326- </t>
    </r>
  </si>
  <si>
    <r>
      <t>Date:</t>
    </r>
    <r>
      <rPr>
        <u/>
        <sz val="10"/>
        <rFont val="Arial"/>
        <family val="2"/>
      </rPr>
      <t>03/18/2026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</si>
  <si>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6 and 9, 2026.</t>
    </r>
  </si>
  <si>
    <t>Crackers Plain 25gx10s</t>
  </si>
  <si>
    <t>skyflakes</t>
  </si>
  <si>
    <t>sunflower</t>
  </si>
  <si>
    <t>PGDH - OPIO</t>
  </si>
  <si>
    <t>Coffee Decaf 160g</t>
  </si>
  <si>
    <t xml:space="preserve">Coffee 3 in 1 Original Sugar Free </t>
  </si>
  <si>
    <t>Coffee Classic 185g -  170g</t>
  </si>
  <si>
    <t>nescafe classic</t>
  </si>
  <si>
    <t>nescafe decaf</t>
  </si>
  <si>
    <t>hansel mocha</t>
  </si>
  <si>
    <t>Refined Sugar</t>
  </si>
  <si>
    <t xml:space="preserve">AM Snacks: Lasagna with Toasted Bread and  </t>
  </si>
  <si>
    <t>Free flowing Coffee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</si>
  <si>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special meeting on Environmental Management re: Quarrying and</t>
    </r>
  </si>
  <si>
    <t xml:space="preserve">        Solid Waste Management on March 26, 2026.</t>
  </si>
  <si>
    <t>Bread and Free Flowing Coffee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</si>
  <si>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consultative meeting among concerned stakeholders re: Small </t>
    </r>
  </si>
  <si>
    <t xml:space="preserve">        Scale Mining as an Environmental Management Concern on March 31, 2026.</t>
  </si>
  <si>
    <t>AM Snacks: Burger and Drinks</t>
  </si>
  <si>
    <t>the declaration of urgent concern over the critically low farmgate price of Live Hogs prejudicial to Local Hog Raisers</t>
  </si>
  <si>
    <t>to determine and adopt a reasonable farmgate price per kilogram on April 08, 2026.</t>
  </si>
  <si>
    <r>
      <t xml:space="preserve">PR No. </t>
    </r>
    <r>
      <rPr>
        <u/>
        <sz val="10"/>
        <rFont val="Arial"/>
        <family val="2"/>
      </rPr>
      <t>0326-1517</t>
    </r>
  </si>
  <si>
    <r>
      <t xml:space="preserve">PR No. </t>
    </r>
    <r>
      <rPr>
        <u/>
        <sz val="10"/>
        <rFont val="Arial"/>
        <family val="2"/>
      </rPr>
      <t>0326-1518</t>
    </r>
  </si>
  <si>
    <r>
      <t xml:space="preserve">PR No. </t>
    </r>
    <r>
      <rPr>
        <u/>
        <sz val="10"/>
        <rFont val="Arial"/>
        <family val="2"/>
      </rPr>
      <t xml:space="preserve">0326-1519 </t>
    </r>
  </si>
  <si>
    <r>
      <t xml:space="preserve">PR No. </t>
    </r>
    <r>
      <rPr>
        <u/>
        <sz val="10"/>
        <rFont val="Arial"/>
        <family val="2"/>
      </rPr>
      <t>0326-1520</t>
    </r>
  </si>
  <si>
    <r>
      <t xml:space="preserve">PR No. </t>
    </r>
    <r>
      <rPr>
        <u/>
        <sz val="10"/>
        <color rgb="FFFF0000"/>
        <rFont val="Arial"/>
        <family val="2"/>
      </rPr>
      <t xml:space="preserve">0126-0300 </t>
    </r>
  </si>
  <si>
    <r>
      <t>Date:</t>
    </r>
    <r>
      <rPr>
        <u/>
        <sz val="10"/>
        <color rgb="FFFF0000"/>
        <rFont val="Arial"/>
        <family val="2"/>
      </rPr>
      <t>01/28/2026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</si>
  <si>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RRP-CCAM TWG Coordination Meeting on March 10, 2026.</t>
    </r>
  </si>
  <si>
    <t xml:space="preserve">cancelled </t>
  </si>
  <si>
    <r>
      <t xml:space="preserve">PR No. </t>
    </r>
    <r>
      <rPr>
        <u/>
        <sz val="10"/>
        <color rgb="FFFF0000"/>
        <rFont val="Arial"/>
        <family val="2"/>
      </rPr>
      <t>0226-0399</t>
    </r>
  </si>
  <si>
    <r>
      <t>Date:</t>
    </r>
    <r>
      <rPr>
        <u/>
        <sz val="10"/>
        <color rgb="FFFF0000"/>
        <rFont val="Arial"/>
        <family val="2"/>
      </rPr>
      <t>02/02/2026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</si>
  <si>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Risk Resiliency Program - Climate Change Adaptation Mitigation</t>
    </r>
  </si>
  <si>
    <t>cancelled</t>
  </si>
  <si>
    <r>
      <t xml:space="preserve">PR No. </t>
    </r>
    <r>
      <rPr>
        <u/>
        <sz val="10"/>
        <color rgb="FFFF0000"/>
        <rFont val="Arial"/>
        <family val="2"/>
      </rPr>
      <t xml:space="preserve">0226-1213 </t>
    </r>
  </si>
  <si>
    <r>
      <t>Date:</t>
    </r>
    <r>
      <rPr>
        <u/>
        <sz val="10"/>
        <color rgb="FFFF0000"/>
        <rFont val="Arial"/>
        <family val="2"/>
      </rPr>
      <t>02/25/2026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</si>
  <si>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conduct meeting of the Socio-Economic Assessment of Marine and  </t>
    </r>
  </si>
  <si>
    <r>
      <t xml:space="preserve">Department     </t>
    </r>
    <r>
      <rPr>
        <u/>
        <sz val="10"/>
        <color rgb="FFFF0000"/>
        <rFont val="Arial"/>
        <family val="2"/>
      </rPr>
      <t xml:space="preserve"> </t>
    </r>
  </si>
  <si>
    <r>
      <t xml:space="preserve">PR No. </t>
    </r>
    <r>
      <rPr>
        <u/>
        <sz val="10"/>
        <color rgb="FFFF0000"/>
        <rFont val="Arial"/>
        <family val="2"/>
      </rPr>
      <t>0226-0397</t>
    </r>
  </si>
  <si>
    <r>
      <t xml:space="preserve">Date: </t>
    </r>
    <r>
      <rPr>
        <u/>
        <sz val="10"/>
        <color rgb="FFFF0000"/>
        <rFont val="Arial"/>
        <family val="2"/>
      </rPr>
      <t>02/02/2026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</si>
  <si>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LAMB Meeting on March 11, 2026.</t>
    </r>
  </si>
  <si>
    <t>Anti Flu Vaccine</t>
  </si>
  <si>
    <t>Anti Pneumonia Vaccine</t>
  </si>
  <si>
    <r>
      <t xml:space="preserve">Purpose/Remarks : </t>
    </r>
    <r>
      <rPr>
        <u/>
        <sz val="10"/>
        <rFont val="Arial"/>
        <family val="2"/>
      </rPr>
      <t>For use of Provincial Health Office -Proper.</t>
    </r>
  </si>
  <si>
    <r>
      <t xml:space="preserve">Date: </t>
    </r>
    <r>
      <rPr>
        <u/>
        <sz val="10"/>
        <rFont val="Arial"/>
        <family val="2"/>
      </rPr>
      <t>03-25-2026</t>
    </r>
  </si>
  <si>
    <r>
      <t xml:space="preserve">PR No. </t>
    </r>
    <r>
      <rPr>
        <u/>
        <sz val="10"/>
        <rFont val="Arial"/>
        <family val="2"/>
      </rPr>
      <t>0326-1650</t>
    </r>
  </si>
  <si>
    <r>
      <t>Date:</t>
    </r>
    <r>
      <rPr>
        <u/>
        <sz val="10"/>
        <rFont val="Arial"/>
        <family val="2"/>
      </rPr>
      <t>03-25-2026</t>
    </r>
  </si>
  <si>
    <t>Troponin I Rapid test kits 10's</t>
  </si>
  <si>
    <r>
      <t xml:space="preserve">Purpose/Remarks : </t>
    </r>
    <r>
      <rPr>
        <u/>
        <sz val="10"/>
        <rFont val="Arial"/>
        <family val="2"/>
      </rPr>
      <t>For use of Calatagan Medicare Hospital.</t>
    </r>
  </si>
  <si>
    <r>
      <t xml:space="preserve">PR No. </t>
    </r>
    <r>
      <rPr>
        <u/>
        <sz val="10"/>
        <rFont val="Arial"/>
        <family val="2"/>
      </rPr>
      <t>0326-1685</t>
    </r>
  </si>
  <si>
    <r>
      <t>Date:</t>
    </r>
    <r>
      <rPr>
        <u/>
        <sz val="10"/>
        <rFont val="Arial"/>
        <family val="2"/>
      </rPr>
      <t>03-31-2026</t>
    </r>
  </si>
  <si>
    <t>cylinder</t>
  </si>
  <si>
    <t xml:space="preserve">Oxygen Gas STD, Approx. 5.66m3/cylinder </t>
  </si>
  <si>
    <t>127kg/cm2 (1800 PSI) at 7 degrees F Min.</t>
  </si>
  <si>
    <t>purity per cylinder 99.5%</t>
  </si>
  <si>
    <t>BD Insulin Syringe with needle-0.05ml,</t>
  </si>
  <si>
    <t>100's/box</t>
  </si>
  <si>
    <t>Sputum cup, with red screw cup cover 60ml</t>
  </si>
  <si>
    <t>Staining Reagent, Ziehl-Neelsen (AFB Staining)</t>
  </si>
  <si>
    <t>kit</t>
  </si>
  <si>
    <r>
      <t xml:space="preserve">Purpose/Remarks : </t>
    </r>
    <r>
      <rPr>
        <u/>
        <sz val="10"/>
        <rFont val="Arial"/>
        <family val="2"/>
      </rPr>
      <t>For use of Provincial Health Office - Proper.</t>
    </r>
  </si>
  <si>
    <t>Wheel Chair for adult, heavy duty</t>
  </si>
  <si>
    <t>Pediatric Wheel Chair, heavy duty</t>
  </si>
  <si>
    <t>Quad Cane, adjustable height, contoured</t>
  </si>
  <si>
    <t>handle, heavy duty</t>
  </si>
  <si>
    <t>height adjustable</t>
  </si>
  <si>
    <t>Wellness Kit for seniors</t>
  </si>
  <si>
    <t xml:space="preserve"> - Storage box</t>
  </si>
  <si>
    <t xml:space="preserve"> - Standard Pulse Oximeter, Large SPO2</t>
  </si>
  <si>
    <t>and PR display with bar graph display,</t>
  </si>
  <si>
    <t>Multiple applications in hospital, home,</t>
  </si>
  <si>
    <t>community medical treatment and sports</t>
  </si>
  <si>
    <t>treatment, Accurate measurement of SPO2</t>
  </si>
  <si>
    <t>and PR with storage and lanyard</t>
  </si>
  <si>
    <t xml:space="preserve"> - 2 boxes of Food and supplement syrup</t>
  </si>
  <si>
    <t>per Senior-12 Sachets of 15ml Syrup</t>
  </si>
  <si>
    <t xml:space="preserve"> - Resistance Band (8-word latex resistance</t>
  </si>
  <si>
    <t>band elastic gym equipment)</t>
  </si>
  <si>
    <t xml:space="preserve"> - Calming oil, oil soothes and relaxes 10 ml</t>
  </si>
  <si>
    <t>roll that stress away, 2 pcs.</t>
  </si>
  <si>
    <t xml:space="preserve"> - Herbal Nasal Inhaler with essential oils</t>
  </si>
  <si>
    <t>(natural remedy for headache, sinus, fever</t>
  </si>
  <si>
    <t>and flu) 10 ml</t>
  </si>
  <si>
    <t xml:space="preserve"> - Turmeric tea powder, 10-in-1 Turmeric Tea</t>
  </si>
  <si>
    <t>is composed of 10 different powerful herbs:</t>
  </si>
  <si>
    <t>Pandan, Sambong, Lagundi, Banaba, Ginger,</t>
  </si>
  <si>
    <t>Malunggay, Gynura Procumbens, Lemongrass,</t>
  </si>
  <si>
    <t>Peppermint and Turmeric, (400g pack)</t>
  </si>
  <si>
    <t xml:space="preserve"> - Stevia, 100% Natural Zero Calorie Sweetener,</t>
  </si>
  <si>
    <t>Stevia Leaf Extract Sweetener, Erythritol Sweetener,</t>
  </si>
  <si>
    <t>Sugar Substitute, Sugar Free, Diabetes Friendly,</t>
  </si>
  <si>
    <t>Sugar Alternative, 100sticks/box</t>
  </si>
  <si>
    <t xml:space="preserve"> - Moringa capsule, 500mg., good for 1month</t>
  </si>
  <si>
    <t xml:space="preserve"> -Milk for Senior Citizen, 150 g</t>
  </si>
  <si>
    <t>Crutch Aid Medical Walker stainless steel,</t>
  </si>
  <si>
    <t>Contents per kit:</t>
  </si>
  <si>
    <r>
      <t xml:space="preserve">PR No. </t>
    </r>
    <r>
      <rPr>
        <u/>
        <sz val="10"/>
        <rFont val="Arial"/>
        <family val="2"/>
      </rPr>
      <t>0326-1773</t>
    </r>
  </si>
  <si>
    <r>
      <t xml:space="preserve">Date: </t>
    </r>
    <r>
      <rPr>
        <u/>
        <sz val="10"/>
        <rFont val="Arial"/>
        <family val="2"/>
      </rPr>
      <t>03-31-2026</t>
    </r>
  </si>
  <si>
    <r>
      <t xml:space="preserve">PR No. </t>
    </r>
    <r>
      <rPr>
        <u/>
        <sz val="10"/>
        <rFont val="Arial"/>
        <family val="2"/>
      </rPr>
      <t>0326-1774</t>
    </r>
  </si>
  <si>
    <r>
      <t xml:space="preserve">PR No. </t>
    </r>
    <r>
      <rPr>
        <u/>
        <sz val="10"/>
        <rFont val="Arial"/>
        <family val="2"/>
      </rPr>
      <t>0326-1775</t>
    </r>
  </si>
  <si>
    <t>Acetylcysteine 200 mg  sachet by 10's</t>
  </si>
  <si>
    <t>Amlodipine Besylate 10 mg tablet by 100's</t>
  </si>
  <si>
    <t>Aspirin 80 mg tablet by 100's</t>
  </si>
  <si>
    <t>Ascorbic Acid 500 mg tablet by 100's</t>
  </si>
  <si>
    <t>Azithromycin 500 mg tablet by 3's</t>
  </si>
  <si>
    <t>Budesonide 250 micrograms/mL, 2mL nebule by 30's</t>
  </si>
  <si>
    <t>Cefixime 200mg tablet by 10's</t>
  </si>
  <si>
    <t>Cefuroxime (as axetil) 500 mg tablet by 10's</t>
  </si>
  <si>
    <t>Celecoxib 200mg capsule by 100's</t>
  </si>
  <si>
    <t>Ciprofloxacin (as hydrochloride) 500mg tablet by 100's</t>
  </si>
  <si>
    <t>Clindamycin (as hydrochloride) 300mg capsule by 100's</t>
  </si>
  <si>
    <t>Clopidogrel 75 mg tablet by 100's</t>
  </si>
  <si>
    <t>Clonidine (as hydrochloride) 75 mcg tablet by 100's</t>
  </si>
  <si>
    <t>Cloxacillin (as sodium salt) 500 mg capsule by 100's</t>
  </si>
  <si>
    <t>Colchicine 500 mcg tablet by 100's</t>
  </si>
  <si>
    <t>Losartan (as potassium salt) 100 mg tablet by 100's</t>
  </si>
  <si>
    <t>Losartan (as potassium salt) 50 mg tablet by 100's</t>
  </si>
  <si>
    <t>Metformin (as hydrochloride) 500 mg tablet by 100's</t>
  </si>
  <si>
    <t>Paracetamol 500 mg tablet by 100's</t>
  </si>
  <si>
    <t>Salbutamol  (as sulfate) 2 mg/mL, 2.5 mL nebule by 30's</t>
  </si>
  <si>
    <t>Telmisartan 40 mg tablet by 30's</t>
  </si>
  <si>
    <t>Tranexamic Acid 500 mg capsule by 100's</t>
  </si>
  <si>
    <t>Trimetazidine (as hydrochloride) 35 mg tablet by 30's</t>
  </si>
  <si>
    <t>Vitamin B1 B6 B12 100 mg /5 mg/50 mcg tablet by 100's</t>
  </si>
  <si>
    <t>Zinc (as sulfate monohydrate) 20 mg/5mL, 60 mL bottle</t>
  </si>
  <si>
    <t>prefilled syringe</t>
  </si>
  <si>
    <t>Furosemide 10 mg/mL, 2 mL ampule by 10's</t>
  </si>
  <si>
    <t>Gentamicin (as sulfate) 40 mg/mL, 2 mL ampule by 10's</t>
  </si>
  <si>
    <t>Omeprazole 40 mg vial + 10 mL diluent vial</t>
  </si>
  <si>
    <t>Paracetamol 150 mg/mL, 2mL ampule by 10's</t>
  </si>
  <si>
    <t>Ranitidine 25 mg/mL, 2 mL ampule by 10's</t>
  </si>
  <si>
    <t>Cetirizine (as dihydrochloride) 5 mg/5mL</t>
  </si>
  <si>
    <t>solution, 60 mL bottle</t>
  </si>
  <si>
    <t>Co-Amoxiclav (amoxicillin + potassium</t>
  </si>
  <si>
    <t>clavulanate) 500 mg/125 mg tablet by 10's</t>
  </si>
  <si>
    <t>Ipratropium + Salbutamol 500 mcg/2.5 mg,</t>
  </si>
  <si>
    <t>2.5 mL by 25's</t>
  </si>
  <si>
    <t>Ceftriaxone (as disodium/sodium salt) 1 g +</t>
  </si>
  <si>
    <t xml:space="preserve">diluent vial by 10's </t>
  </si>
  <si>
    <t>Enoxaparin Sodium 6000IU/0.6ml Solution</t>
  </si>
  <si>
    <t>for injection (SC/IV) prefilled syringe</t>
  </si>
  <si>
    <t>Hydrocortisone (as sodium succinate)</t>
  </si>
  <si>
    <t>100mg vial by 10's</t>
  </si>
  <si>
    <t>250mg vial by 10's</t>
  </si>
  <si>
    <t>Hyoscine (as N-butyl bromide) 20 mg/mL,</t>
  </si>
  <si>
    <t>1 mL ampule by 10's</t>
  </si>
  <si>
    <t>Metoclopramide ( as hydrochloride) 5 mg/mL,</t>
  </si>
  <si>
    <t>2 mL ampule by 10's</t>
  </si>
  <si>
    <t>Potassium Chloride 2mEq/ml, 20ml</t>
  </si>
  <si>
    <t>Solution for injection (IV)</t>
  </si>
  <si>
    <t>Vitamin B Complex 100 mg/100 mg /1 mg,</t>
  </si>
  <si>
    <t>3 mL ampule by 10's</t>
  </si>
  <si>
    <t>Fenofibrate 200 mg capsule by 100's</t>
  </si>
  <si>
    <t>Iron + Folic Acid, 60 mg/400 mcg,</t>
  </si>
  <si>
    <t>film coated, 100's/box</t>
  </si>
  <si>
    <t>Calcium Carbonate, 1.25g tablet with 500 mg.</t>
  </si>
  <si>
    <t>elemental calcium, 100's/box</t>
  </si>
  <si>
    <r>
      <t xml:space="preserve">Date: </t>
    </r>
    <r>
      <rPr>
        <u/>
        <sz val="10"/>
        <rFont val="Arial"/>
        <family val="2"/>
      </rPr>
      <t>04-07-2026</t>
    </r>
  </si>
  <si>
    <r>
      <t xml:space="preserve">PR No. </t>
    </r>
    <r>
      <rPr>
        <u/>
        <sz val="10"/>
        <rFont val="Arial"/>
        <family val="2"/>
      </rPr>
      <t>0426-1853</t>
    </r>
  </si>
  <si>
    <r>
      <t>Date:</t>
    </r>
    <r>
      <rPr>
        <u/>
        <sz val="10"/>
        <rFont val="Arial"/>
        <family val="2"/>
      </rPr>
      <t>04-07-2026</t>
    </r>
  </si>
  <si>
    <r>
      <t xml:space="preserve">PR No. </t>
    </r>
    <r>
      <rPr>
        <u/>
        <sz val="10"/>
        <rFont val="Arial"/>
        <family val="2"/>
      </rPr>
      <t>0426-1854</t>
    </r>
  </si>
  <si>
    <t>Oxygen refill, big</t>
  </si>
  <si>
    <r>
      <t xml:space="preserve">PR No. </t>
    </r>
    <r>
      <rPr>
        <u/>
        <sz val="10"/>
        <rFont val="Arial"/>
        <family val="2"/>
      </rPr>
      <t>0426-1843</t>
    </r>
  </si>
  <si>
    <r>
      <t>Date:</t>
    </r>
    <r>
      <rPr>
        <u/>
        <sz val="10"/>
        <rFont val="Arial"/>
        <family val="2"/>
      </rPr>
      <t>04-08-2026</t>
    </r>
  </si>
  <si>
    <t>Oxygen Regulator</t>
  </si>
  <si>
    <t>Pulse Oximeter, heavy duty</t>
  </si>
  <si>
    <t>Sphygmomanometer Aneroid with Stethoscope</t>
  </si>
  <si>
    <t>Wheelchair, heavy duty</t>
  </si>
  <si>
    <t>IV Stand</t>
  </si>
  <si>
    <t>Allopurinol 300 mg tablet by 100's</t>
  </si>
  <si>
    <t>Amlodipine 5 mg tablet by 100's</t>
  </si>
  <si>
    <t>Amlodipine 10 mg tablet by 100's</t>
  </si>
  <si>
    <t>Amoxicillin 500 mg tablet by 100's</t>
  </si>
  <si>
    <t>Amoxicillin 250 mg/5 ml, 60ml Suspension bottle</t>
  </si>
  <si>
    <t>Betahistine 16mg tablet by 100's</t>
  </si>
  <si>
    <t>Butamirate Citrate 50 mg tablet by 100's</t>
  </si>
  <si>
    <t>Cetirizine 5 mg/5mL solution, 60 mL bottle</t>
  </si>
  <si>
    <t>Clarithromycin 125 mg/5 mL, 50mL bottle</t>
  </si>
  <si>
    <t>Clindamycin 300mg capsule by 100's</t>
  </si>
  <si>
    <t>Clotrimazole 1%, 10g (Aluminum Collapsible tube)</t>
  </si>
  <si>
    <t>Co-Amoxiclav 500 mg/125 mg tablet by 10's</t>
  </si>
  <si>
    <t>Co-Amoxiclav 400 mg/57 mg/5 ml, 70 ml bottle</t>
  </si>
  <si>
    <t>Cotrimoxazole 800mg /160mg tablet by 100's</t>
  </si>
  <si>
    <t>Fenofibrate 160 mg capsule by 100's</t>
  </si>
  <si>
    <t>Levothyroxine (as sodium/anhydrous sodium)</t>
  </si>
  <si>
    <t>Mefenamic Acid 500 mg capsule by 100's</t>
  </si>
  <si>
    <t>Metformin 500 mg tablet by 100's</t>
  </si>
  <si>
    <t>Montelukast 5 mg tablet by 100's</t>
  </si>
  <si>
    <t>Naproxen 500 mg tablet by 100's</t>
  </si>
  <si>
    <t>Omeprazole 40 mg tablet by 100's</t>
  </si>
  <si>
    <t>Rosuvastatin 20 mg tablet by 100's</t>
  </si>
  <si>
    <t>Salbutamol 2 mg/mL, 2.5 mL nebule by 30's</t>
  </si>
  <si>
    <t>Salbutamol 100 mcg/dose, 200 doses MDI</t>
  </si>
  <si>
    <t>Simvastatin 20 mg tablet by 100's</t>
  </si>
  <si>
    <t>Simvastatin 40 mg tablet by 100's</t>
  </si>
  <si>
    <t>Aluminum Hydroxide + Magnesium Hydroxide</t>
  </si>
  <si>
    <t>200 mg/100 mg tablet by 100's</t>
  </si>
  <si>
    <t>Diphenhydramine (as hydrochloride) 50 mg</t>
  </si>
  <si>
    <t>capsule by 100's</t>
  </si>
  <si>
    <t>150 mcg tablet</t>
  </si>
  <si>
    <r>
      <t xml:space="preserve">Purpose/Remarks : </t>
    </r>
    <r>
      <rPr>
        <u/>
        <sz val="10"/>
        <rFont val="Arial"/>
        <family val="2"/>
      </rPr>
      <t>For use of Provincial Healthcare Facility.</t>
    </r>
  </si>
  <si>
    <r>
      <t xml:space="preserve">PR No. </t>
    </r>
    <r>
      <rPr>
        <u/>
        <sz val="10"/>
        <rFont val="Arial"/>
        <family val="2"/>
      </rPr>
      <t>0426-1910</t>
    </r>
  </si>
  <si>
    <r>
      <t xml:space="preserve">PR No. </t>
    </r>
    <r>
      <rPr>
        <u/>
        <sz val="10"/>
        <rFont val="Arial"/>
        <family val="2"/>
      </rPr>
      <t>0426-1911</t>
    </r>
  </si>
  <si>
    <r>
      <t xml:space="preserve">PR No. </t>
    </r>
    <r>
      <rPr>
        <u/>
        <sz val="10"/>
        <rFont val="Arial"/>
        <family val="2"/>
      </rPr>
      <t>0426-</t>
    </r>
  </si>
  <si>
    <r>
      <t xml:space="preserve">Purpose/Remarks : </t>
    </r>
    <r>
      <rPr>
        <u/>
        <sz val="10"/>
        <rFont val="Arial"/>
        <family val="2"/>
      </rPr>
      <t>For use of patients seeking medicine assistance from Provincial Government of Batangas.</t>
    </r>
  </si>
  <si>
    <t>Aciclovir 800 mg tablet x 20's</t>
  </si>
  <si>
    <t>Allopurinol 100 mg tablet 100's tablet by 100's</t>
  </si>
  <si>
    <t>Allopurinol 300mg tablet 100's tablet by 100's</t>
  </si>
  <si>
    <t>Amlodipine Besylate 5 mg tablet by 100's</t>
  </si>
  <si>
    <t>Amoxicillin (as trihydrate) 500 mg tablet by 100's</t>
  </si>
  <si>
    <t>Ascorbic Acid 100 mg/5 ml syrup, 60 ml bottle</t>
  </si>
  <si>
    <t>Ascorbic Acid 100 mg/5 ml syrup, 120 ml bottle</t>
  </si>
  <si>
    <t>Ascorbic Acid 100 mg/ml drops, 15 ml bottle</t>
  </si>
  <si>
    <t>Atorvastatin calcium 20 mg tablet by 100's</t>
  </si>
  <si>
    <t>Atorvastatin calcium 40 mg tablet by 100's</t>
  </si>
  <si>
    <t>Betamethasone (as valerate) 0.1%, 5g tube, cream tube</t>
  </si>
  <si>
    <t>Bisacodyl 5 mg tablet by 100's</t>
  </si>
  <si>
    <t>Butamirate Citrate 50 mg tablet  x 100's</t>
  </si>
  <si>
    <t>Blumea balsamifera (Sambong) 500mg tablet</t>
  </si>
  <si>
    <t>Cefalexin 500 mg capsule by 100's</t>
  </si>
  <si>
    <t>Cetirizine  10mg tablet by 100's</t>
  </si>
  <si>
    <t>Chlorphenamine maleate 4 mg  tablet by by 100's</t>
  </si>
  <si>
    <t>Cinnarizine 25 mg tablet by 100's</t>
  </si>
  <si>
    <t>Clarithromycin 500mg tablet by 10's</t>
  </si>
  <si>
    <t>Co-Amoxiclav 500 mg/125 mg tablet</t>
  </si>
  <si>
    <t>Diclofenac Sodium 50mg tablet by 100's</t>
  </si>
  <si>
    <t>Doxycycline Hyclate  100 mg capsule by 100's</t>
  </si>
  <si>
    <t>Erythromycin (as stearate) 500mg tablet by 100's</t>
  </si>
  <si>
    <t>Fusidic acid 2%, 5 g, ointment piece</t>
  </si>
  <si>
    <t>Gliclazide 60 mg MR tablet by 100's</t>
  </si>
  <si>
    <t>Hydrocortisone 1% ointment 10 g piece</t>
  </si>
  <si>
    <t>Lagundi (Vitex negundo) 600 mg capsule by 100's</t>
  </si>
  <si>
    <t>Levocetirizine 5 mg tablet</t>
  </si>
  <si>
    <t>Loratadine 10mg, film coated tablet by 100's</t>
  </si>
  <si>
    <t>Montelukast + Levocetirizine 10 mg/5 mg tablet</t>
  </si>
  <si>
    <t>Montelukast (as sodium salt) 10 mg tablet by 100's</t>
  </si>
  <si>
    <t>Multivitamin 60 mL bottle</t>
  </si>
  <si>
    <t>Multivitamins  capsule by 100's</t>
  </si>
  <si>
    <t>Multivitamins 15 mL, Drops bottle</t>
  </si>
  <si>
    <t xml:space="preserve">Mupirocin  2%, cream 5 g </t>
  </si>
  <si>
    <t>Omeprazole 20 mg tablet by 100's</t>
  </si>
  <si>
    <t>Pantoprazole 40 mg tablet by 30's</t>
  </si>
  <si>
    <t>Paracetamol 125 mg/5 mL 60 mL bottle</t>
  </si>
  <si>
    <t>Paracetamol 100 mg/mL drops, 15 mL bottle</t>
  </si>
  <si>
    <t>Prednisone 10 mg tablet by 100's</t>
  </si>
  <si>
    <t>Simvastatin  20 mg tablet by 100's</t>
  </si>
  <si>
    <t>Tamsulosin 400mcg capsule by 30's</t>
  </si>
  <si>
    <t>Tetanus Toxoid 0.5 mL ampule by 10's</t>
  </si>
  <si>
    <t>Tobramycin 0.3%, 5 mL, Ophthalmic Drops piece</t>
  </si>
  <si>
    <t>200 mg/100 mg tablet 100's tablet by 100's</t>
  </si>
  <si>
    <t>225 mg/200 mg/5 ml, 120ml bottle</t>
  </si>
  <si>
    <t>Amoxicillin (as trihydrate) 250 mg/5 ml,</t>
  </si>
  <si>
    <t>60ml Suspension bottle</t>
  </si>
  <si>
    <t>Azithromycin 200 mg/5 ml powder for</t>
  </si>
  <si>
    <t>suspension, 15 ml bottle</t>
  </si>
  <si>
    <t>Betahistine (as hydrochloride/ dihydrochloride)</t>
  </si>
  <si>
    <t>16mg tablet by 100's</t>
  </si>
  <si>
    <t>24mg tablet by 100's</t>
  </si>
  <si>
    <t>Biphasic Isophane Human Insulin 70/30</t>
  </si>
  <si>
    <t>(recombinant DNA) (Insulin N) 100 IU/mL, 10ml (SC) vial</t>
  </si>
  <si>
    <t>Budesonide 250 micrograms/mL, 2mL</t>
  </si>
  <si>
    <t>nebule by 30's</t>
  </si>
  <si>
    <t>Butamirate Citrate 7.5 mg/5 mL syrup,</t>
  </si>
  <si>
    <t>120 mL bottle</t>
  </si>
  <si>
    <t>Cetirizine (as dihydrochloride) 2.5 mg/mL</t>
  </si>
  <si>
    <t>syrup (oral drops), 15 mL bottle</t>
  </si>
  <si>
    <t>Ciprofloxacin (as hydrochloride) 500mg</t>
  </si>
  <si>
    <t>tablet by 100's</t>
  </si>
  <si>
    <t>Clindamycin (as hydrochloride) 300mg</t>
  </si>
  <si>
    <t>Cloxacillin (as sodium salt) 500 mg capsule</t>
  </si>
  <si>
    <t>by 100's</t>
  </si>
  <si>
    <t>Co-Amoxiclav 400 mg/57 mg/5 mL</t>
  </si>
  <si>
    <t>suspension, 70 mL bottle</t>
  </si>
  <si>
    <t>Ferrous Sulfate 325mg (Elemental Iron)</t>
  </si>
  <si>
    <t>Ferrous Sulfate + Folic Acid 186 mg/400 mcg</t>
  </si>
  <si>
    <t>2.5 mL, Nebule by 30's</t>
  </si>
  <si>
    <t>Lagundi (Vitex negundo) 300 mg/5 mL syrup,</t>
  </si>
  <si>
    <t>60 mL bottle</t>
  </si>
  <si>
    <t>Metformin (as hydrochloride) 500 mg tablet</t>
  </si>
  <si>
    <t>Lidocaine + Epinephrine 2%, 1.8 mL</t>
  </si>
  <si>
    <t>carpule by 50's</t>
  </si>
  <si>
    <t>Oral Rehydration Salts (ORS 75-replacement)</t>
  </si>
  <si>
    <t>6g sachet by 25's</t>
  </si>
  <si>
    <t>Paracetamol 250 mg/5 mL syrup/suspension,</t>
  </si>
  <si>
    <t>Phenylpropanolamine Hydrochloride +</t>
  </si>
  <si>
    <t>Chlorphenamine maleate + Paracetamol</t>
  </si>
  <si>
    <t>25mg/2mg/325mg tablet by 100's</t>
  </si>
  <si>
    <t>6.25mg/500mcg/125mg per 5ml 60mL</t>
  </si>
  <si>
    <t>Rosuvastatin (as calcium salt) 10 mg tablet</t>
  </si>
  <si>
    <t>Rosuvastatin (as calcium salt) 20 mg tablet</t>
  </si>
  <si>
    <t>Salbutamol  (as sulfate) 2 mg/mL, 2.5 mL</t>
  </si>
  <si>
    <t>Salbutamol 100 mcg/dose, 200 doses</t>
  </si>
  <si>
    <t>metered dose inhaler</t>
  </si>
  <si>
    <t>Tetanus Antitoxin (1500 IU/0.7 mL solution</t>
  </si>
  <si>
    <t>for injection ampule by 10's</t>
  </si>
  <si>
    <t>Vitamin B1 B6 B12 100 mg /5 mg/50 mcg</t>
  </si>
  <si>
    <t>Page 1 of 4</t>
  </si>
  <si>
    <t>Page 2 of 4</t>
  </si>
  <si>
    <t>Page 3 of 4</t>
  </si>
  <si>
    <t>Page 4 of 4</t>
  </si>
  <si>
    <r>
      <t xml:space="preserve">Date: </t>
    </r>
    <r>
      <rPr>
        <u/>
        <sz val="10"/>
        <rFont val="Arial"/>
        <family val="2"/>
      </rPr>
      <t>04-13-2026</t>
    </r>
  </si>
  <si>
    <t>Innovative Drugs</t>
  </si>
  <si>
    <t>Amlodipine + Losartan (5 mg/50 mg)</t>
  </si>
  <si>
    <t>Carvedilol (6.25mg tablet)</t>
  </si>
  <si>
    <t>Clonidine (75 mcg tablet)</t>
  </si>
  <si>
    <r>
      <t xml:space="preserve">PR No. </t>
    </r>
    <r>
      <rPr>
        <u/>
        <sz val="10"/>
        <rFont val="Arial"/>
        <family val="2"/>
      </rPr>
      <t>0426-1964</t>
    </r>
  </si>
  <si>
    <t>Colecalciferol (Vitamin D3) (800IU Soft</t>
  </si>
  <si>
    <t>Gelatin Capsule by 100's)</t>
  </si>
  <si>
    <t>Dapagliflozin (10mg tablet )</t>
  </si>
  <si>
    <t>Febuxostat (40mg tablet)</t>
  </si>
  <si>
    <t>Tramadol + Paracetamol (37.5mg/325mg, tablet )</t>
  </si>
  <si>
    <t>Losartan + Hydrochlorothiazide</t>
  </si>
  <si>
    <t>(100 mg / 25 mg , 100's)</t>
  </si>
  <si>
    <t>Tetanus Immune Globulin, Human</t>
  </si>
  <si>
    <t>(250 IU/mL, 1 mL vial)</t>
  </si>
  <si>
    <r>
      <t xml:space="preserve">Purpose/Remarks : </t>
    </r>
    <r>
      <rPr>
        <u/>
        <sz val="10"/>
        <rFont val="Arial"/>
        <family val="2"/>
      </rPr>
      <t>For use of Batangas Provincial Medical Center.</t>
    </r>
  </si>
  <si>
    <t>Butorphanol Tartrate 2mg/ml sol. for inj.</t>
  </si>
  <si>
    <t>Bupivacaine Hydrochloride 5mg/ml sol for</t>
  </si>
  <si>
    <t>spinal inj. (0.5% Heavy)</t>
  </si>
  <si>
    <t>Propofol , 10 mg/mL Emulsion for Injection</t>
  </si>
  <si>
    <t>vial MCT/LCT</t>
  </si>
  <si>
    <t>Sevoflurane , 100% v/v Liquid for</t>
  </si>
  <si>
    <t>Inhalation, 250 mL</t>
  </si>
  <si>
    <t>Fluticasone + Salmeterol 100mcg</t>
  </si>
  <si>
    <t>(as Propionate) + 50mcg (as xinofoate) x</t>
  </si>
  <si>
    <t>60 doses DPI</t>
  </si>
  <si>
    <t>Fluticasone + Salmeterol 250mcg</t>
  </si>
  <si>
    <t>28 doses DPI</t>
  </si>
  <si>
    <t>BUA Uric Acid 12x20 ml, AUTOMATED</t>
  </si>
  <si>
    <t>BUN Urea 8X20 ml, AUTOMATED</t>
  </si>
  <si>
    <t>Cholesterol 12x20 ml, AUTOMATED</t>
  </si>
  <si>
    <t>Creatinine 8x21 ml, AUTOMATED</t>
  </si>
  <si>
    <t>Elical 2, AUTOMATED</t>
  </si>
  <si>
    <t>Elitrol 1,10x5 mL</t>
  </si>
  <si>
    <t>Elitrol 2,10x5 mL</t>
  </si>
  <si>
    <t>Glucose, 12x20 mL, AUTOMATED</t>
  </si>
  <si>
    <t>HbA1c test kit, 24's</t>
  </si>
  <si>
    <t>HDL Calibrator, 4x1 mL</t>
  </si>
  <si>
    <t>HDL Cholesterol 4x21 mL, AUTOMATED</t>
  </si>
  <si>
    <t>SGOT 8x20 mL, AUTOMATED</t>
  </si>
  <si>
    <t>SGPT 8x20 mL, AUTOMATED</t>
  </si>
  <si>
    <t>System Cleaning Solution</t>
  </si>
  <si>
    <t>System Solution</t>
  </si>
  <si>
    <t>Triglycerides 12x20 mL, AUTOMATED</t>
  </si>
  <si>
    <t>QC Solution</t>
  </si>
  <si>
    <t>Weekly Cleaning Solution</t>
  </si>
  <si>
    <t>04/14/2026</t>
  </si>
  <si>
    <r>
      <t xml:space="preserve">Date: </t>
    </r>
    <r>
      <rPr>
        <u/>
        <sz val="10"/>
        <rFont val="Arial"/>
        <family val="2"/>
      </rPr>
      <t>04-14-2026</t>
    </r>
  </si>
  <si>
    <t>Laboratory Reagents</t>
  </si>
  <si>
    <t>Dymind DIL-C</t>
  </si>
  <si>
    <t>Dymind LYC-1</t>
  </si>
  <si>
    <t>Dymind LYC-2</t>
  </si>
  <si>
    <t>Dymind CLE-P</t>
  </si>
  <si>
    <t>DM-5D</t>
  </si>
  <si>
    <t>DM-CAL-PLUS</t>
  </si>
  <si>
    <t>Thermal Paper for Dymind Hematology Analyzer</t>
  </si>
  <si>
    <r>
      <t>Date:</t>
    </r>
    <r>
      <rPr>
        <u/>
        <sz val="10"/>
        <rFont val="Arial"/>
        <family val="2"/>
      </rPr>
      <t>04-14-2026</t>
    </r>
  </si>
  <si>
    <t>DIL-C</t>
  </si>
  <si>
    <t>LYC-1</t>
  </si>
  <si>
    <t>LYC-2</t>
  </si>
  <si>
    <t>CLE-P</t>
  </si>
  <si>
    <t>Oxygen refill, small</t>
  </si>
  <si>
    <r>
      <t xml:space="preserve">Purpose/Remarks : </t>
    </r>
    <r>
      <rPr>
        <u/>
        <sz val="10"/>
        <rFont val="Arial"/>
        <family val="2"/>
      </rPr>
      <t>For use of Don Manuel Lopez Memorial District Hospital.</t>
    </r>
  </si>
  <si>
    <t>Innovative Drugs and Medicines</t>
  </si>
  <si>
    <r>
      <t xml:space="preserve">PR No. </t>
    </r>
    <r>
      <rPr>
        <u/>
        <sz val="10"/>
        <rFont val="Arial"/>
        <family val="2"/>
      </rPr>
      <t>0426-2039</t>
    </r>
  </si>
  <si>
    <r>
      <t xml:space="preserve">PR No. </t>
    </r>
    <r>
      <rPr>
        <u/>
        <sz val="10"/>
        <rFont val="Arial"/>
        <family val="2"/>
      </rPr>
      <t>0426-2040</t>
    </r>
  </si>
  <si>
    <r>
      <t xml:space="preserve">PR No. </t>
    </r>
    <r>
      <rPr>
        <u/>
        <sz val="10"/>
        <rFont val="Arial"/>
        <family val="2"/>
      </rPr>
      <t>0426-2041</t>
    </r>
  </si>
  <si>
    <r>
      <t xml:space="preserve">PR No. </t>
    </r>
    <r>
      <rPr>
        <u/>
        <sz val="10"/>
        <rFont val="Arial"/>
        <family val="2"/>
      </rPr>
      <t>0426-2042</t>
    </r>
  </si>
  <si>
    <t>Statlyte Reagent (Na, K, Cl, Ca)</t>
  </si>
  <si>
    <r>
      <t xml:space="preserve">PR No. </t>
    </r>
    <r>
      <rPr>
        <u/>
        <sz val="10"/>
        <rFont val="Arial"/>
        <family val="2"/>
      </rPr>
      <t>0426-2043</t>
    </r>
  </si>
  <si>
    <t>BUN Elitech</t>
  </si>
  <si>
    <t xml:space="preserve">Cholesterol </t>
  </si>
  <si>
    <t>Creatinine</t>
  </si>
  <si>
    <t>Glucose</t>
  </si>
  <si>
    <t>HDL Colesterol</t>
  </si>
  <si>
    <t xml:space="preserve">SGOT </t>
  </si>
  <si>
    <t>SGPT</t>
  </si>
  <si>
    <t>Triglycerides</t>
  </si>
  <si>
    <t>Elical 2</t>
  </si>
  <si>
    <t>Elitrol 1</t>
  </si>
  <si>
    <t>Elitrol 2</t>
  </si>
  <si>
    <t>Hdl Calibrator</t>
  </si>
  <si>
    <t>BUA Elitech</t>
  </si>
  <si>
    <t>Elitech BUN - Manual</t>
  </si>
  <si>
    <t>Elitech Cholesterol - Manual</t>
  </si>
  <si>
    <t>Elitech Creatinine - Manual</t>
  </si>
  <si>
    <t xml:space="preserve">HDL Calibrator </t>
  </si>
  <si>
    <t>Swelab Alfa Diluent 20L</t>
  </si>
  <si>
    <t>Swelab Alfa Lyze 200ml</t>
  </si>
  <si>
    <t>Boule Calibrator 3ml</t>
  </si>
  <si>
    <t>Boule Control - Dif Trilevel 3x1x3ml</t>
  </si>
  <si>
    <t>For Chemistry Analyzer (Manual Machine)</t>
  </si>
  <si>
    <t>BUA Uric Acid Manual / Elitech</t>
  </si>
  <si>
    <t>BUN Urea Manual / Elitech</t>
  </si>
  <si>
    <t>Cholesterol Manual / Elitech</t>
  </si>
  <si>
    <t>Creatinine Manual / Elitech</t>
  </si>
  <si>
    <t>Glucose Manual / Elitech</t>
  </si>
  <si>
    <t>HDL Cholesterol Manual / Elitech</t>
  </si>
  <si>
    <t>SGOT Manual / Elitech</t>
  </si>
  <si>
    <t>SGPT Manual / Elitech</t>
  </si>
  <si>
    <t>Triglycerides Manual / Elitech</t>
  </si>
  <si>
    <t>Elitrol 1 M/A / Elitech</t>
  </si>
  <si>
    <t>Elitrol 2 M/A / Elitech</t>
  </si>
  <si>
    <t>HDL Calibrator M/A / Elitech</t>
  </si>
  <si>
    <t>STATLYTE C REAGENT (Na, K, Cl, Ca)</t>
  </si>
  <si>
    <t>STATLYTE C Weekly Cleaning Solution</t>
  </si>
  <si>
    <t>STATLYTE QC Sloution</t>
  </si>
  <si>
    <t>set/pack</t>
  </si>
  <si>
    <t>BUA Uric Acid Automated</t>
  </si>
  <si>
    <t>BUN Urea Automated</t>
  </si>
  <si>
    <t>Cholesterol Automated</t>
  </si>
  <si>
    <t>Creatinine Automated</t>
  </si>
  <si>
    <t>Glucose Automated</t>
  </si>
  <si>
    <t>HDL Cholesterol Automated</t>
  </si>
  <si>
    <t>SGOT Automated</t>
  </si>
  <si>
    <t>SGPT Automated</t>
  </si>
  <si>
    <t>Triglycerides Automated</t>
  </si>
  <si>
    <t>Elical 2 Automated</t>
  </si>
  <si>
    <t>Elitrol 1 Automated</t>
  </si>
  <si>
    <t>Elitrol 2 Automated</t>
  </si>
  <si>
    <t>HDL Calibrator Automated</t>
  </si>
  <si>
    <t>System Cleaning Sloution Automated</t>
  </si>
  <si>
    <t>System Solution Automated</t>
  </si>
  <si>
    <t xml:space="preserve">Butorphanol 2 mg/mL, 1 mL ampule </t>
  </si>
  <si>
    <t>Lidocaine 10mg/dose (10%) Pump Spray 50ml</t>
  </si>
  <si>
    <t>Sevoflurane 250ml bottle</t>
  </si>
  <si>
    <t>Vitamin B1 + B6 + B12 100mg/200mg/200mcg tablet</t>
  </si>
  <si>
    <t>Bupivacaine Hydrochloride 5mg/ml solution</t>
  </si>
  <si>
    <t xml:space="preserve">for Spinal injection </t>
  </si>
  <si>
    <t>Vitamin B1 + B6 + B12</t>
  </si>
  <si>
    <t>100mg/200mg/200mcg tablet</t>
  </si>
  <si>
    <t>Acetylcysteine 600mg effervescent tablet</t>
  </si>
  <si>
    <t>Amlodipine + Losartan 5mg/50mg tablet</t>
  </si>
  <si>
    <t>Anti Rabies Vaccine 2.5IU, 1ml</t>
  </si>
  <si>
    <t xml:space="preserve">Butamirate Citrate 50mg Sustained released tablet </t>
  </si>
  <si>
    <t>Butorphanol 2mg/ml, 1ml ampule</t>
  </si>
  <si>
    <t xml:space="preserve">Carvedilol 6.25mg tablet </t>
  </si>
  <si>
    <t>Citicoline 500mg</t>
  </si>
  <si>
    <t>Clonidine 75mcg tablet</t>
  </si>
  <si>
    <t>Dapagliflozin 10mg tablet</t>
  </si>
  <si>
    <t>Etoricoxib 90mg</t>
  </si>
  <si>
    <t>Febuxostat 40mg tablet</t>
  </si>
  <si>
    <t>Gliclazide 60mg MR tablet</t>
  </si>
  <si>
    <t>Isosorbide Dinitrate 5mg tablet by 100's</t>
  </si>
  <si>
    <t>Pregabalin 75mg capsule</t>
  </si>
  <si>
    <t>Tramadol + Paracetamol 37.5mg/325mg, tablet</t>
  </si>
  <si>
    <t>Ascorbic Acid + Zinc 500mg (equivalent to</t>
  </si>
  <si>
    <t>562.43mg Sodium Ascorbate) / 10mg</t>
  </si>
  <si>
    <t>(equivalent 27.5mg Zinc Sulfate) tablet</t>
  </si>
  <si>
    <t>Bupivacaine Hydrochloride 5mg/ml</t>
  </si>
  <si>
    <t xml:space="preserve">Solution for Spinal Injection </t>
  </si>
  <si>
    <t>Fluticasone + Salmeterol 50mcg (as Propionate) +</t>
  </si>
  <si>
    <t>25mcg (asxinofoate) x 120 actuations MDI</t>
  </si>
  <si>
    <t>Tetanus Immune Globulin, Human 250IU/ml,</t>
  </si>
  <si>
    <t xml:space="preserve">1ml vial </t>
  </si>
  <si>
    <r>
      <t>Date:</t>
    </r>
    <r>
      <rPr>
        <u/>
        <sz val="10"/>
        <rFont val="Arial"/>
        <family val="2"/>
      </rPr>
      <t>04-15-2026</t>
    </r>
  </si>
  <si>
    <r>
      <t xml:space="preserve">PR No. </t>
    </r>
    <r>
      <rPr>
        <u/>
        <sz val="10"/>
        <rFont val="Arial"/>
        <family val="2"/>
      </rPr>
      <t>0426-2079</t>
    </r>
  </si>
  <si>
    <r>
      <t xml:space="preserve">Date: </t>
    </r>
    <r>
      <rPr>
        <u/>
        <sz val="10"/>
        <rFont val="Arial"/>
        <family val="2"/>
      </rPr>
      <t>04-15-2026</t>
    </r>
  </si>
  <si>
    <r>
      <t xml:space="preserve">PR No. </t>
    </r>
    <r>
      <rPr>
        <u/>
        <sz val="10"/>
        <rFont val="Arial"/>
        <family val="2"/>
      </rPr>
      <t>0426-2080</t>
    </r>
  </si>
  <si>
    <t>(Automated)</t>
  </si>
  <si>
    <t>04/15/2026</t>
  </si>
  <si>
    <r>
      <t xml:space="preserve">PR No. </t>
    </r>
    <r>
      <rPr>
        <u/>
        <sz val="10"/>
        <rFont val="Arial"/>
        <family val="2"/>
      </rPr>
      <t>0426-2081</t>
    </r>
  </si>
  <si>
    <t xml:space="preserve">Elitech Blood Uric Acid - Manual </t>
  </si>
  <si>
    <t>Elitech HDL Cholesterol - Manual</t>
  </si>
  <si>
    <t>Elitech Triglycerides - Manual</t>
  </si>
  <si>
    <r>
      <t xml:space="preserve">PR No. </t>
    </r>
    <r>
      <rPr>
        <u/>
        <sz val="10"/>
        <rFont val="Arial"/>
        <family val="2"/>
      </rPr>
      <t>0426-2082</t>
    </r>
  </si>
  <si>
    <t>Elitech Glucose - Manual</t>
  </si>
  <si>
    <t>Elitech SGOT - Manual</t>
  </si>
  <si>
    <t>Elitech SGPT - Manual</t>
  </si>
  <si>
    <r>
      <t xml:space="preserve">PR No. </t>
    </r>
    <r>
      <rPr>
        <u/>
        <sz val="10"/>
        <rFont val="Arial"/>
        <family val="2"/>
      </rPr>
      <t>0426-2083</t>
    </r>
  </si>
  <si>
    <r>
      <t xml:space="preserve">PR No. </t>
    </r>
    <r>
      <rPr>
        <u/>
        <sz val="10"/>
        <rFont val="Arial"/>
        <family val="2"/>
      </rPr>
      <t>0426-2084</t>
    </r>
  </si>
  <si>
    <r>
      <t xml:space="preserve">PR No. </t>
    </r>
    <r>
      <rPr>
        <u/>
        <sz val="10"/>
        <rFont val="Arial"/>
        <family val="2"/>
      </rPr>
      <t>0426-2085</t>
    </r>
  </si>
  <si>
    <t>Hematology Analyzer</t>
  </si>
  <si>
    <t>DIL-C 20L</t>
  </si>
  <si>
    <t>LYC-1 200 ml</t>
  </si>
  <si>
    <t>LYC-2 500 ml</t>
  </si>
  <si>
    <t>CLE-P 50ml</t>
  </si>
  <si>
    <t>DM-CAL-PLUS 1 * 3 ml</t>
  </si>
  <si>
    <t>DM-5 D 3 levels * 3 ml</t>
  </si>
  <si>
    <t>DM - 5D</t>
  </si>
  <si>
    <t>DM - CAL PLUS</t>
  </si>
  <si>
    <t>DIL - C</t>
  </si>
  <si>
    <t>LYC - 1</t>
  </si>
  <si>
    <t>LYC - 2</t>
  </si>
  <si>
    <t>CLE - P</t>
  </si>
  <si>
    <t>Trop I</t>
  </si>
  <si>
    <t>HBsAg</t>
  </si>
  <si>
    <t>Lugol's Iodine</t>
  </si>
  <si>
    <t>Hemoglobin Reagent with Standard 250ml</t>
  </si>
  <si>
    <t>Hemoquick stain medic</t>
  </si>
  <si>
    <t>Exton's Solution 500ml</t>
  </si>
  <si>
    <t>BUA Uric Acid ELITECH MANUAL</t>
  </si>
  <si>
    <t>BUN Urea ELITECH MANUAL</t>
  </si>
  <si>
    <t>Cholesterol ELITECH MANUAL</t>
  </si>
  <si>
    <t>Creatinine ELITECH MANUAL</t>
  </si>
  <si>
    <t>ELITROL 1 ELITECH MANUAL</t>
  </si>
  <si>
    <t>ELITROL 2 ELITECH MANUAL</t>
  </si>
  <si>
    <t>Glucose ELITECH MANUAL</t>
  </si>
  <si>
    <t>HDL Calibrator ELITECH MANUAL</t>
  </si>
  <si>
    <t>HDL Cholesterol ELITECH MANUAL</t>
  </si>
  <si>
    <t>SGOT ELITECH MANUAL</t>
  </si>
  <si>
    <t>SGPT ELITECH MANUAL</t>
  </si>
  <si>
    <t>Triglyceride ELITECH MANUAL</t>
  </si>
  <si>
    <t>Statlyte</t>
  </si>
  <si>
    <t>QC Solution 100ml</t>
  </si>
  <si>
    <t>Weekly Cleaning Solution 100ml</t>
  </si>
  <si>
    <r>
      <t xml:space="preserve">Purpose/Remarks : </t>
    </r>
    <r>
      <rPr>
        <u/>
        <sz val="10"/>
        <rFont val="Arial"/>
        <family val="2"/>
      </rPr>
      <t>For use of San Juan District Hospital.</t>
    </r>
  </si>
  <si>
    <r>
      <t xml:space="preserve">Purpose/Remarks : </t>
    </r>
    <r>
      <rPr>
        <u/>
        <sz val="10"/>
        <rFont val="Arial"/>
        <family val="2"/>
      </rPr>
      <t>For distribution to identified pregnant and lactating women in the different LGUs in the Province</t>
    </r>
  </si>
  <si>
    <t>of Batangas.</t>
  </si>
  <si>
    <t>DIL-C (20L)</t>
  </si>
  <si>
    <t>LYC-1 (200ML)</t>
  </si>
  <si>
    <t>LYC-2 (500ml)</t>
  </si>
  <si>
    <t>CLE-P (50ml)</t>
  </si>
  <si>
    <r>
      <t xml:space="preserve">PR No. </t>
    </r>
    <r>
      <rPr>
        <u/>
        <sz val="10"/>
        <rFont val="Arial"/>
        <family val="2"/>
      </rPr>
      <t>0426-2108</t>
    </r>
  </si>
  <si>
    <r>
      <t xml:space="preserve">PR No. </t>
    </r>
    <r>
      <rPr>
        <u/>
        <sz val="10"/>
        <rFont val="Arial"/>
        <family val="2"/>
      </rPr>
      <t>0426-2107</t>
    </r>
  </si>
  <si>
    <t>Acetylcysteine 200 mg sachet by 10's</t>
  </si>
  <si>
    <t>Acyclovir 800mg tablet 20's tablet by 20's</t>
  </si>
  <si>
    <t>Adenosine 3mg/ml 2ml ampule</t>
  </si>
  <si>
    <t>Aminophylline 25 mg/ml, 10 ml ampule by 10's</t>
  </si>
  <si>
    <t>Amiodarone 50mg/ml 3ml ampule</t>
  </si>
  <si>
    <t>Amoxicillin (as trihydrate) 250 mg tablet by 100's</t>
  </si>
  <si>
    <t>Amoxicillin (as trihydrate) 100 mg/ml, 10 ml Drops bottle</t>
  </si>
  <si>
    <t>Ampicillin (as sodium salt) 1 g vial by 10's</t>
  </si>
  <si>
    <t>Ampicillin (as sodium salt) 250 mg vial by 10's</t>
  </si>
  <si>
    <t>Ampicillin (as sodium salt) 500 mg vial by 10's</t>
  </si>
  <si>
    <t>Ampicillin + Sulbactam 1 g/500 mg vial by 10's</t>
  </si>
  <si>
    <t>Atenolol 50mg tablet</t>
  </si>
  <si>
    <t>Atenolol 100mg tablet</t>
  </si>
  <si>
    <t>Atorvastatin calcium 10 mg tablet by 100's</t>
  </si>
  <si>
    <t>Atorvastatin calcium 80mg tablet by 100's</t>
  </si>
  <si>
    <t>Atropine (as sulfate) 1mg/mL, 1 mL ampule by 10's</t>
  </si>
  <si>
    <t>Bisacodyl 5 mg (pedia) Suppository by 10's</t>
  </si>
  <si>
    <t>Bisacodyl 10 mg (adult) Suppository by 10's</t>
  </si>
  <si>
    <t>Calcium Gluconate 10% 10ml</t>
  </si>
  <si>
    <t>Carvedilol 6.25 mg tablet by 30's</t>
  </si>
  <si>
    <t>Carvedilol 25mg tablet by 30's</t>
  </si>
  <si>
    <t>Cefalexin 100 mg/mL, drops, 10 mL bottle</t>
  </si>
  <si>
    <t>Cefalexin 125 mg/5 mL, suspension 60mL bottle</t>
  </si>
  <si>
    <t>Cefalexin 250 mg/5 mL, suspension 60mL bottle</t>
  </si>
  <si>
    <t>Cefazolin (as sodium salt) 1 g vial + diluent vial</t>
  </si>
  <si>
    <t>Ceftazidime (as pentahydrate) 1 g vial by 10's</t>
  </si>
  <si>
    <t>Cefuroxime (as sodium salt) 750 mg + diluent vial</t>
  </si>
  <si>
    <t>Cetirizine 10mg tablet by 100's</t>
  </si>
  <si>
    <t>Cilostazol 100 mg tablet by 30's</t>
  </si>
  <si>
    <t>Citicoline 250mg/ml 4ml ampule</t>
  </si>
  <si>
    <t>Clarithromycin 250 mg/5 mL, 50mL bottle</t>
  </si>
  <si>
    <t>Cotrimoxazole 400mg/80mg tablet by 100's</t>
  </si>
  <si>
    <t>Cotrimoxazole 200mg/40mg/5mL 60mL bottle</t>
  </si>
  <si>
    <t>Cotrimoxazole 400mg/80mg/5mL 60mL bottle</t>
  </si>
  <si>
    <t>Digoxin 250 mcg/mL, 2 mL ampule by 10's</t>
  </si>
  <si>
    <t>Dopamine 40 mg/mL, 5 mL ampule by 10's</t>
  </si>
  <si>
    <t>Enalapril (as maleate) 5mg tablet by 100's</t>
  </si>
  <si>
    <t>Enalapril (as maleate) 20mg tablet by 100's</t>
  </si>
  <si>
    <t>Folic Acid 5mg capsule by 100's</t>
  </si>
  <si>
    <t>Furosemide 40 mg tablet by 100's</t>
  </si>
  <si>
    <t>Furosemide 20 mg tablet by 100's</t>
  </si>
  <si>
    <t>Gliclazide 30 mg tablet by 100's</t>
  </si>
  <si>
    <t>Gliclazide 80 mg tablet by 100's</t>
  </si>
  <si>
    <t>Isosorbide Dinitrate 10 mg tablet by 100's</t>
  </si>
  <si>
    <t>Isosorbide 5-Mononitrate 30 mg tablet by 100's</t>
  </si>
  <si>
    <t>Isoxsuprine (as hydrochloride) 10 mg tablet by 10's</t>
  </si>
  <si>
    <t>Lactulose 3.3 g/5 mL (3.35 g/5 mL), 120mL bottle</t>
  </si>
  <si>
    <t>tablets</t>
  </si>
  <si>
    <t>Lidocaine + Epinephrine 2%, 1.8 mL carpule by 50's</t>
  </si>
  <si>
    <t>Mefenamic Acid 50mg/ml suspension 60ml</t>
  </si>
  <si>
    <t>Methyldopa 250 mg tablet by 100's</t>
  </si>
  <si>
    <t>Methylprednisolone 4 mg tablet by 30's</t>
  </si>
  <si>
    <t>Metoprolol (as tartrate) 100 mg tablet by 100's</t>
  </si>
  <si>
    <t>Metoprolol (as tartrate) 50 mg tablet by 100's</t>
  </si>
  <si>
    <t>Metronidazole 5 mg/mL, 100 mL bottle by 12's</t>
  </si>
  <si>
    <t>Metronidazole 125 mg/5 mL, 60 mL bottle</t>
  </si>
  <si>
    <t>Metronidazole 500 mg tablet by 100's</t>
  </si>
  <si>
    <t>Multivitamin 120 mL bottle</t>
  </si>
  <si>
    <t>Multivitamins capsule by 100's</t>
  </si>
  <si>
    <t>Mupirocin 2%, ointment 5 g tube</t>
  </si>
  <si>
    <t>Naproxen (as sodium salt) 500 mg tablet by 100's</t>
  </si>
  <si>
    <t>Oxytocin 10 IU/mL, 1 mL ampule by 10's</t>
  </si>
  <si>
    <t>Paracetamol 250 mg suppository piece</t>
  </si>
  <si>
    <t>Paracetamol 125 mg suppository piece</t>
  </si>
  <si>
    <t>Phenytoin Sodium 50mg/ml 2ml ampule</t>
  </si>
  <si>
    <t>Phytomenadione 10 mg/mL, 1 mL ampule by 10's</t>
  </si>
  <si>
    <t>Potassium Chloride 600 mg tablet by 30's</t>
  </si>
  <si>
    <t>Prednisone 10 mg/5 mL suspension, 60 mL bottle</t>
  </si>
  <si>
    <t>Salbutamol (as sulfate) 2 mg/mL, 2.5 mL nebule by 30's</t>
  </si>
  <si>
    <t>Silver Sulfadiazine 1%, 25 g piece</t>
  </si>
  <si>
    <t>Sodium Bicarbonate 650 mg tablet by 60's</t>
  </si>
  <si>
    <t>Tranexamic Acid 100 mg/mL, 5 mL ampule by 10's</t>
  </si>
  <si>
    <t>Amikacin (as sulfate) 250 mg/ml, 2ml vial</t>
  </si>
  <si>
    <t>10's vial by 10's</t>
  </si>
  <si>
    <t>Amikacin (as sulfate) 125 mg/ml, 2 ml vial</t>
  </si>
  <si>
    <t>Amoxicillin (as trihydrate) 125 mg/5 ml,</t>
  </si>
  <si>
    <t>Benyzylpenicillin (as sodium salt)</t>
  </si>
  <si>
    <t>1,000,000 units (IM, IV) vial by 10's</t>
  </si>
  <si>
    <t>diluent vial by 10's</t>
  </si>
  <si>
    <t>Cefuroxime (as axetil) 125 mg/5 mL</t>
  </si>
  <si>
    <t>granules for suspension bottle</t>
  </si>
  <si>
    <t>Cefuroxime (as axetil) 250 mg/5 mL</t>
  </si>
  <si>
    <t>Ciprofloxacin (as lactate) 2 mg/mL,</t>
  </si>
  <si>
    <t>100 mL (IV infusion) vial</t>
  </si>
  <si>
    <t>Clindamycin (as hydrochloride) 150 mg/mL,</t>
  </si>
  <si>
    <t>Clonidine (as hydrochloride) 75 mcg tablet</t>
  </si>
  <si>
    <t>Cloxacillin (as sodium salt) 500 mg</t>
  </si>
  <si>
    <t>Cloxacillin (as sodium salt) 250mg/ 5mL,</t>
  </si>
  <si>
    <t>Co-Amoxiclav 312.5 mg/5 mL suspension,</t>
  </si>
  <si>
    <t>clavulanate) 200 mg/28.5 mg/5 ml, 60ml bottle</t>
  </si>
  <si>
    <t>clavulanate) 400 mg/57 mg/5 ml, 70 ml bottle</t>
  </si>
  <si>
    <t>Dexamethasone (as sodium phosphate)</t>
  </si>
  <si>
    <t>4 mg/mL, 1 mL ampule by 10's</t>
  </si>
  <si>
    <t>Diphenhydramine (as hydrochloride)</t>
  </si>
  <si>
    <t>50 mg/mL, 1 mL ampule by 10's</t>
  </si>
  <si>
    <t>50 mg capsule by 100's</t>
  </si>
  <si>
    <t>12.5 mg/5 mL, 60mL bottle</t>
  </si>
  <si>
    <t>Dobutamine (as hydrochloride) 50 mg/mL,</t>
  </si>
  <si>
    <t>5 mL ampule by 10's</t>
  </si>
  <si>
    <t>Enoxaparin Sodium 4000IU/0.4ml Solution</t>
  </si>
  <si>
    <t>Epinephrine (adrenaline) (as hydrochloride)</t>
  </si>
  <si>
    <t>1 mg/mL, 1 mL ampule by 10's</t>
  </si>
  <si>
    <t>Hydralazine (as hydrochloride) 20 mg/mL,</t>
  </si>
  <si>
    <t>Isoxsuprine (as hydrochloride) 5 mg/mL,</t>
  </si>
  <si>
    <t>Ketorolac (as tromethamol) 30 mg/mL,</t>
  </si>
  <si>
    <t>Lidocaine (as hydrochloride) 2% (20 mg/mL),</t>
  </si>
  <si>
    <t>Losartan + Hydrochlorothiazide 50 mg /</t>
  </si>
  <si>
    <t>12.5 mg tablet by 100's</t>
  </si>
  <si>
    <t>Losartan + Hydrochlorothiazide 100 mg /</t>
  </si>
  <si>
    <t>25 mg tablet by 100's</t>
  </si>
  <si>
    <t>Methylergometrine (as Hydrogen Maleate or</t>
  </si>
  <si>
    <t>Maleate) 200 micrograms/mL, 1 mL ampule by 10's</t>
  </si>
  <si>
    <t>Metoclopramide ( as hydrochloride)</t>
  </si>
  <si>
    <t>5 mg/mL, 2 mL ampule by 10's</t>
  </si>
  <si>
    <t>Nicardipine (as hydrochloride) 1 mg/mL,</t>
  </si>
  <si>
    <t>10 mL ampule by 10's</t>
  </si>
  <si>
    <t>Norepinephrine (as bitartrate) 1 mg/mL,</t>
  </si>
  <si>
    <t>4mL ampule by 10's</t>
  </si>
  <si>
    <t>6.25mg/500mcg/125mg per 5ml</t>
  </si>
  <si>
    <t>Piperacillin + Tazobactam (as sodium salt)</t>
  </si>
  <si>
    <t>4 g/500 mg + Diluent vial</t>
  </si>
  <si>
    <t>Regular Insulin 100 IU/mL for IM/IV/SC</t>
  </si>
  <si>
    <t>Injection, 10 mL vial</t>
  </si>
  <si>
    <t>Sambong (Blumea balsamifera) 500 mg</t>
  </si>
  <si>
    <t>Tobramycin + Dexamethasone 0.3% + 0.1%,</t>
  </si>
  <si>
    <t>5 mL bottle Eye Ointment tube</t>
  </si>
  <si>
    <t>Tramadol (as hydrochloride) 50 mg/mL,</t>
  </si>
  <si>
    <t>Zinc (as sulfate monohydrate) 10 mg/mL,</t>
  </si>
  <si>
    <t>15 mL Drops bottle</t>
  </si>
  <si>
    <t>Zinc (as sulfate monohydrate) 20 mg/5mL,</t>
  </si>
  <si>
    <t>Insulin Glargine 100 IU/mL, 3 mL Pre-filled</t>
  </si>
  <si>
    <t>Pen piece</t>
  </si>
  <si>
    <t>Insulin R (recombinant DNA human)</t>
  </si>
  <si>
    <t>100 IU/mL, 10 mL vial</t>
  </si>
  <si>
    <t>ampule by 10's</t>
  </si>
  <si>
    <t>Gentamicin (as sulfate) 40 mg/mL, 2 mL</t>
  </si>
  <si>
    <t>Isosorbide 5-Mononitrate 60 mg, MR tablet</t>
  </si>
  <si>
    <t>Page 1 of 8</t>
  </si>
  <si>
    <t>Page 2 of 8</t>
  </si>
  <si>
    <t>Page 3 of 8</t>
  </si>
  <si>
    <t>Page 4 of 8</t>
  </si>
  <si>
    <t>Page 5 of 8</t>
  </si>
  <si>
    <t>Page 6 of 8</t>
  </si>
  <si>
    <t>Page 7 of 8</t>
  </si>
  <si>
    <t>Page 8 of 8</t>
  </si>
  <si>
    <t>04/16/2026</t>
  </si>
  <si>
    <t>GENERIC:</t>
  </si>
  <si>
    <t>Allopurinol 300mg tablet by 100's</t>
  </si>
  <si>
    <t>Amikacin (as Sulfate)125 mg/mL, 2 mL vial by 10's</t>
  </si>
  <si>
    <t>Amlodipine Besylate 10mg tablet by 100's</t>
  </si>
  <si>
    <t>Amlodipine Besylate 5mg tablet by 100's</t>
  </si>
  <si>
    <t>Amoxicillin (as trihydrate) 250 mg capsule by 100's</t>
  </si>
  <si>
    <t>Amoxicillin (as trihydrate) 500 mg capsule by  100's</t>
  </si>
  <si>
    <t>Ampicillin (as sodium salt)  250mg vial by 10's</t>
  </si>
  <si>
    <t>Ampicillin (as sodium salt) 1g vial by  10's</t>
  </si>
  <si>
    <t>Ascorbic Acid 500mg tablet by 100's</t>
  </si>
  <si>
    <t>Aspirin 80mg tablet by 100's</t>
  </si>
  <si>
    <t>Atorvastatin Calcium 40mg tablet by 100's</t>
  </si>
  <si>
    <t>Atorvastatin Calcium 20mg tablet by 100's</t>
  </si>
  <si>
    <t xml:space="preserve">Atropine (as sulfate) 1mg/mL, 1ml ampule by 10's </t>
  </si>
  <si>
    <t>Azithromycin 500mg tablet by 3's</t>
  </si>
  <si>
    <t>Bisacodyl 10mg (adult) suppository by 10's</t>
  </si>
  <si>
    <t xml:space="preserve">box </t>
  </si>
  <si>
    <t>Bisacodyl 5mg tablet by 100's</t>
  </si>
  <si>
    <t>Blumea balsamifera (Sambong) 500mg capsule by 100's</t>
  </si>
  <si>
    <t>Budesonide 250 microgram/ml, 2ml nebule by 30's</t>
  </si>
  <si>
    <t>Butamirate Citrate 50mg tablet by 100's</t>
  </si>
  <si>
    <t>Carvedilol 6.25mg tablet by 30's</t>
  </si>
  <si>
    <t>Cefalexin 500mg capsule by 100's</t>
  </si>
  <si>
    <t>Cefuroxime (as axetil) 500mg tablet by 10's</t>
  </si>
  <si>
    <t>Cefuroxime (as sodium salt) 750mg + Diluent vial</t>
  </si>
  <si>
    <t>Cetirizine 10mg tablet  by 100's</t>
  </si>
  <si>
    <t>Chlorphenamine maleate 4mg tablet by 100's</t>
  </si>
  <si>
    <t>Cinnarizine 25mg tablet by 100's</t>
  </si>
  <si>
    <t>Citicoline 250 mg/ml, 4 ml ampule</t>
  </si>
  <si>
    <t xml:space="preserve">Clindamycin (as hydrochloride) 300mg capsule by 100's </t>
  </si>
  <si>
    <t>Cloxacillin (as sodium salt) 500mg capsule by 100's</t>
  </si>
  <si>
    <t xml:space="preserve"> vial</t>
  </si>
  <si>
    <t xml:space="preserve">box
</t>
  </si>
  <si>
    <t>Colchicine 500mcg tablet by 100's</t>
  </si>
  <si>
    <t>Cotrimoxazole 800mg/160mg tablet by 100's</t>
  </si>
  <si>
    <t>Digoxin 250mcg tablet by 100's</t>
  </si>
  <si>
    <t>Digoxin 250mcg/mL, 2 mL ampule by 10's</t>
  </si>
  <si>
    <t>Erythromycin 0.5% 5g, opthalmic ointment tube</t>
  </si>
  <si>
    <t>Furosemide 10mg/ml, 2ml ampule by 10's</t>
  </si>
  <si>
    <t>Hydrochlorothiazide 12.5mg tablet by 100's</t>
  </si>
  <si>
    <t>Hyoscine (as N-Butyl Bromide) 10mg tablet by 100's</t>
  </si>
  <si>
    <t>Ibuprofen 200mg  capsule by 100's</t>
  </si>
  <si>
    <t>Isosorbide Dinitrate 1mg/mL, 10mL ampule by 10's</t>
  </si>
  <si>
    <t>Lactulose 3.35 g/5 mL (3.35g/5ml), 120 mL bottle</t>
  </si>
  <si>
    <t>Lagundi (Vitex negundo) 600mg capsule by 100's</t>
  </si>
  <si>
    <t>Levocetirizine 5mg tablet</t>
  </si>
  <si>
    <t>Levofloxacin 500 mg tablet by 100's</t>
  </si>
  <si>
    <t>Lidocaine + Epinephrine 2%, 1.8 mL  carpule by 50's</t>
  </si>
  <si>
    <t>Losartan (as potassium salt) 50mg tablet by 100's</t>
  </si>
  <si>
    <t>Losartan (as potassium salt) 100mg tablet by 100's</t>
  </si>
  <si>
    <t>Mefenamic Acid 500 mg capsule by  100's</t>
  </si>
  <si>
    <t>Meropenem (as trihydrate) 1g vial</t>
  </si>
  <si>
    <t>Metformin (as hydrochloride) 500mg tablet by 100's</t>
  </si>
  <si>
    <t>Metoprolol (as tartrate) 50 mg tablet by  100's</t>
  </si>
  <si>
    <t>Metronidazole 5mg/ml, 100ml bottle by 12's</t>
  </si>
  <si>
    <t xml:space="preserve">vial </t>
  </si>
  <si>
    <t>Mupirocin 2%,  ointment 5 g tube</t>
  </si>
  <si>
    <t>Nitrofurantoin 50mg capsule by 100's</t>
  </si>
  <si>
    <t xml:space="preserve">Omeprazole 40mg vial + 10ml Diluent vial </t>
  </si>
  <si>
    <t>Oxytocin 10IU/ml, 1ml ampule by 10's</t>
  </si>
  <si>
    <t>Paracetamol 150 mg/mL, 2 mL ampule by 10's</t>
  </si>
  <si>
    <t>Phenytoin Sodium 50 mg/mL, 2 mL ampule</t>
  </si>
  <si>
    <t>Potassium Chloride 600mg tablet by 30's</t>
  </si>
  <si>
    <t xml:space="preserve">Ranitidine 25 mg/mL, 2 mL ampule by 10's </t>
  </si>
  <si>
    <t xml:space="preserve">Rocuronium (as Bromide) 10 mg/mL ampule </t>
  </si>
  <si>
    <t>Rosuvastatin (as calcium salt)10 mg tablet by 100's</t>
  </si>
  <si>
    <t>Rosuvastatin (as calcium salt) 20 mg tablet by 100's</t>
  </si>
  <si>
    <t xml:space="preserve">ampule </t>
  </si>
  <si>
    <t>Silver Sulfadiazine 1%, 25g piece</t>
  </si>
  <si>
    <t>Simvastatin 20mg tablet by 100's</t>
  </si>
  <si>
    <t>Telisartan 80mg tablet by 30's</t>
  </si>
  <si>
    <t>Tetanus Toxoid 0.5ml ampule by 10's</t>
  </si>
  <si>
    <t>Tramadol (as hydrochloride) 50 mg capsule by 100's</t>
  </si>
  <si>
    <t>Trimetazidine (as hydrochloride)  35 mg tablet by 30's</t>
  </si>
  <si>
    <t>Zinc (as Sulfate Monohydrate) 20mg/5ml, 60ml bottle</t>
  </si>
  <si>
    <t>Atracurium Besilate 10 mg/mL Solution for</t>
  </si>
  <si>
    <t>IV Injection,  2.5 mL</t>
  </si>
  <si>
    <t>Betahistine (hydrochloride/dihydrochloride)</t>
  </si>
  <si>
    <t>Bupivacaine (Isobaric) 0.5% (Isobaric) in</t>
  </si>
  <si>
    <t>5mg/ml Solution for Injection, 10ml ampule</t>
  </si>
  <si>
    <t>Ceftriaxone (as disodium/sodium salt) 1g +</t>
  </si>
  <si>
    <t>Diluent vial by 10's</t>
  </si>
  <si>
    <t>Cefuroxime (as axetil) 250mg/5mL granules</t>
  </si>
  <si>
    <t>for suspension</t>
  </si>
  <si>
    <t>Ciprofloxacin (as lactate) 2mg/mL, 100 Ml</t>
  </si>
  <si>
    <t>(IV Infusion) vial</t>
  </si>
  <si>
    <t>Clindamycin (as hydrochloride) 150mg/mL,</t>
  </si>
  <si>
    <t>2mL ampule by 10's</t>
  </si>
  <si>
    <t>Co-Amoxiclav (amoxicillin+potassium clavulate)</t>
  </si>
  <si>
    <t>500mg/125mg tablet by 10's</t>
  </si>
  <si>
    <t>4mg/mL, 1mL ampule by 10's</t>
  </si>
  <si>
    <t>50mg/mL, 1 mL ampule by 10's</t>
  </si>
  <si>
    <t>for Injection (SC/IV) prefilled syringe</t>
  </si>
  <si>
    <t>Epinephrine (Adrenaline)(as hydrochloride)</t>
  </si>
  <si>
    <t>Ciprofloxacin (as hydrochloride) 500mg tablet</t>
  </si>
  <si>
    <t>Diphenhydramine (as hydrochloride) 50mg</t>
  </si>
  <si>
    <t>Ferrous Sulfate 325 mg (Elemental Iron)</t>
  </si>
  <si>
    <t>Ferous Sulfate+Folic Acid 186mg/400mcg</t>
  </si>
  <si>
    <t>Gentamicin (as Sulfate) 40 mg/mL, 2 mL</t>
  </si>
  <si>
    <t xml:space="preserve">ampule by 10's </t>
  </si>
  <si>
    <t>Hydralazine (as hydrochloride)  20mg/mL,</t>
  </si>
  <si>
    <t>1 mL  ampule by 10's</t>
  </si>
  <si>
    <t>250mg vial by  10's</t>
  </si>
  <si>
    <t>Hyoscine (as N-Butylbromide)  20mg/mL,</t>
  </si>
  <si>
    <t>Ipratropium + Salbutamol 500mcg/2.5 mg,</t>
  </si>
  <si>
    <t>2.5 mL Nebule by 30's</t>
  </si>
  <si>
    <t>Isoxsuprine (as hydrochloride) 5mg/mL,</t>
  </si>
  <si>
    <t>Ketorolac (as tromethamol) 30mg/ml, 1ml</t>
  </si>
  <si>
    <t>ampule  by 10's</t>
  </si>
  <si>
    <t>Levofloxacin 5 mg/mL Solution for IV Infusion, 100 mL vial</t>
  </si>
  <si>
    <t>Lidocaine (as hydrochloride) 2% (20mg/ml),</t>
  </si>
  <si>
    <t>5ml ampule by 10's</t>
  </si>
  <si>
    <t>Lidocaine (as hydrochloride) 2%, 50ml</t>
  </si>
  <si>
    <t>(epidural, local infiltration) vial</t>
  </si>
  <si>
    <t>Maleate) 200micrograms/ml, 1ml ampule by 10's</t>
  </si>
  <si>
    <t>Metoclopramide (as hydrochloride) 5mg/mL,</t>
  </si>
  <si>
    <t>Oral Rehydration Salts (ORS 75-Replacement)</t>
  </si>
  <si>
    <t>Paracetamol 250 mg/5 mL suspension,</t>
  </si>
  <si>
    <t>120mL bottle</t>
  </si>
  <si>
    <t>Piperacillin Tazobactam (as sodium salt)</t>
  </si>
  <si>
    <t>4g/500mg + Diluent vial</t>
  </si>
  <si>
    <t>Salbutamol (as Sulfate) 2mg/ml, 2.5ml</t>
  </si>
  <si>
    <t>Terbutaline (as sulfate) 500mcg/ml, 1ml</t>
  </si>
  <si>
    <t>Tetanus Antitoxin 1,500 IU/0.7 mL solution for</t>
  </si>
  <si>
    <t xml:space="preserve">Injection ampule by 10's </t>
  </si>
  <si>
    <t>Tetanus Antitoxin 3,000 IU/0.95 mL solution</t>
  </si>
  <si>
    <t>Tramadol (as hydrochloride) 50mg/mL,</t>
  </si>
  <si>
    <t>Vitamin B1 B6 B12 100mg/5mg/50mcg tablet</t>
  </si>
  <si>
    <t>Vitamin B Complex 100mg/100mg/1mg,</t>
  </si>
  <si>
    <t>3ml ampule by 10's</t>
  </si>
  <si>
    <t>Page 6 of 6</t>
  </si>
  <si>
    <t>Page 5 of 6</t>
  </si>
  <si>
    <t>Page 4 of 6</t>
  </si>
  <si>
    <t>Page 3 of 6</t>
  </si>
  <si>
    <t>Page 2 of 6</t>
  </si>
  <si>
    <t>Page 1 of 6</t>
  </si>
  <si>
    <t>pages 5-10</t>
  </si>
  <si>
    <t>LYC-1 200ml</t>
  </si>
  <si>
    <t>LYC-2 500ml</t>
  </si>
  <si>
    <t>DM-5D 3 levels* 3ml</t>
  </si>
  <si>
    <t>DM-CAL-PLUS 1 * 3ML</t>
  </si>
  <si>
    <t>Hematology Reagents</t>
  </si>
  <si>
    <t>DYMIND</t>
  </si>
  <si>
    <t>04/20/2026</t>
  </si>
  <si>
    <t>boxes</t>
  </si>
  <si>
    <r>
      <t>Date:</t>
    </r>
    <r>
      <rPr>
        <u/>
        <sz val="10"/>
        <rFont val="Arial"/>
        <family val="2"/>
      </rPr>
      <t>04-22-2026</t>
    </r>
  </si>
  <si>
    <t>HbA1c 24 test</t>
  </si>
  <si>
    <t>Oxygen big, refill</t>
  </si>
  <si>
    <t>Na, K, Cl, Ca Reagent</t>
  </si>
  <si>
    <r>
      <t xml:space="preserve">Date: </t>
    </r>
    <r>
      <rPr>
        <u/>
        <sz val="10"/>
        <rFont val="Arial"/>
        <family val="2"/>
      </rPr>
      <t>04/23/2026</t>
    </r>
  </si>
  <si>
    <r>
      <t xml:space="preserve">PR No. </t>
    </r>
    <r>
      <rPr>
        <u/>
        <sz val="10"/>
        <rFont val="Arial"/>
        <family val="2"/>
      </rPr>
      <t>0426-2252</t>
    </r>
  </si>
  <si>
    <t>AM Snacks: Pasta with garlic bread and</t>
  </si>
  <si>
    <t>canned juice</t>
  </si>
  <si>
    <t>bottled water</t>
  </si>
  <si>
    <r>
      <t xml:space="preserve">Purpose/Remarks: </t>
    </r>
    <r>
      <rPr>
        <u/>
        <sz val="10"/>
        <rFont val="Arial"/>
        <family val="2"/>
      </rPr>
      <t>To be served during the departmental meeting on April 24, 2026.</t>
    </r>
  </si>
  <si>
    <t>04/27/2026</t>
  </si>
  <si>
    <r>
      <t>Date:</t>
    </r>
    <r>
      <rPr>
        <u/>
        <sz val="10"/>
        <rFont val="Arial"/>
        <family val="2"/>
      </rPr>
      <t>04-27-2026</t>
    </r>
  </si>
  <si>
    <t>BUA Uric Acid Elitech Manual</t>
  </si>
  <si>
    <t>BUN Urea Elitech Manual</t>
  </si>
  <si>
    <t>Creatinine Elitech Manual 250ml</t>
  </si>
  <si>
    <t>Glucose Elitech Manual</t>
  </si>
  <si>
    <t>HDL Cholesterol Elitech Manual</t>
  </si>
  <si>
    <t>Cholesterol Elitech Manual</t>
  </si>
  <si>
    <t xml:space="preserve">Elitrol 2 </t>
  </si>
  <si>
    <t>SGOT Elitech Manual</t>
  </si>
  <si>
    <t>SGPT Elitech Manual</t>
  </si>
  <si>
    <t>Triglycerides Elitech Manual</t>
  </si>
  <si>
    <r>
      <t xml:space="preserve">PR No. </t>
    </r>
    <r>
      <rPr>
        <u/>
        <sz val="10"/>
        <rFont val="Arial"/>
        <family val="2"/>
      </rPr>
      <t>0426-2266</t>
    </r>
  </si>
  <si>
    <r>
      <t xml:space="preserve">PR No. </t>
    </r>
    <r>
      <rPr>
        <u/>
        <sz val="10"/>
        <rFont val="Arial"/>
        <family val="2"/>
      </rPr>
      <t>0426-2267</t>
    </r>
  </si>
  <si>
    <r>
      <t xml:space="preserve">PR No. </t>
    </r>
    <r>
      <rPr>
        <u/>
        <sz val="10"/>
        <rFont val="Arial"/>
        <family val="2"/>
      </rPr>
      <t>0426-2268</t>
    </r>
  </si>
  <si>
    <r>
      <t xml:space="preserve">Date: </t>
    </r>
    <r>
      <rPr>
        <u/>
        <sz val="10"/>
        <rFont val="Arial"/>
        <family val="2"/>
      </rPr>
      <t>04-27-2026</t>
    </r>
  </si>
  <si>
    <r>
      <t xml:space="preserve">PR No. </t>
    </r>
    <r>
      <rPr>
        <u/>
        <sz val="10"/>
        <rFont val="Arial"/>
        <family val="2"/>
      </rPr>
      <t>0426-2269</t>
    </r>
  </si>
  <si>
    <t>verification of ppmp</t>
  </si>
  <si>
    <r>
      <t xml:space="preserve">PR No. </t>
    </r>
    <r>
      <rPr>
        <u/>
        <sz val="10"/>
        <rFont val="Arial"/>
        <family val="2"/>
      </rPr>
      <t>0426-2287</t>
    </r>
  </si>
  <si>
    <r>
      <t xml:space="preserve">PR No. </t>
    </r>
    <r>
      <rPr>
        <u/>
        <sz val="10"/>
        <rFont val="Arial"/>
        <family val="2"/>
      </rPr>
      <t>0426-2288</t>
    </r>
  </si>
  <si>
    <t>04/28/2026</t>
  </si>
  <si>
    <r>
      <t>Date:</t>
    </r>
    <r>
      <rPr>
        <u/>
        <sz val="10"/>
        <rFont val="Arial"/>
        <family val="2"/>
      </rPr>
      <t>04-28-2026</t>
    </r>
  </si>
  <si>
    <r>
      <t xml:space="preserve">PR No. </t>
    </r>
    <r>
      <rPr>
        <u/>
        <sz val="10"/>
        <rFont val="Arial"/>
        <family val="2"/>
      </rPr>
      <t>0426-2311</t>
    </r>
  </si>
  <si>
    <r>
      <t xml:space="preserve">Date: </t>
    </r>
    <r>
      <rPr>
        <u/>
        <sz val="10"/>
        <rFont val="Arial"/>
        <family val="2"/>
      </rPr>
      <t>04-28-2026</t>
    </r>
  </si>
  <si>
    <r>
      <t xml:space="preserve">PR No. </t>
    </r>
    <r>
      <rPr>
        <u/>
        <sz val="10"/>
        <rFont val="Arial"/>
        <family val="2"/>
      </rPr>
      <t>0426-2312</t>
    </r>
  </si>
  <si>
    <r>
      <t xml:space="preserve">PR No. </t>
    </r>
    <r>
      <rPr>
        <u/>
        <sz val="10"/>
        <rFont val="Arial"/>
        <family val="2"/>
      </rPr>
      <t>0426-2313</t>
    </r>
  </si>
  <si>
    <t>Lyse (LYC-1)</t>
  </si>
  <si>
    <t>Diluent (DIL-C)</t>
  </si>
  <si>
    <t>Lyse (LYC-2)</t>
  </si>
  <si>
    <t>Probe Cleaner (CLE-P)</t>
  </si>
  <si>
    <t>Control (DM-5D)</t>
  </si>
  <si>
    <t>Calibrator (DM-CAL-PLUS)</t>
  </si>
  <si>
    <r>
      <t xml:space="preserve">PR No. </t>
    </r>
    <r>
      <rPr>
        <u/>
        <sz val="10"/>
        <rFont val="Arial"/>
        <family val="2"/>
      </rPr>
      <t>0426-2355</t>
    </r>
  </si>
  <si>
    <t>Innovative</t>
  </si>
  <si>
    <t>Fluticasone + Salmeterol 500mcg</t>
  </si>
  <si>
    <t>Tetanus Immune Globulin, Human 250 IU/mL,</t>
  </si>
  <si>
    <t>1 mL vial</t>
  </si>
  <si>
    <r>
      <t>Date:</t>
    </r>
    <r>
      <rPr>
        <u/>
        <sz val="10"/>
        <rFont val="Arial"/>
        <family val="2"/>
      </rPr>
      <t>04-30-2026</t>
    </r>
  </si>
  <si>
    <r>
      <t xml:space="preserve">PR No. </t>
    </r>
    <r>
      <rPr>
        <u/>
        <sz val="10"/>
        <rFont val="Arial"/>
        <family val="2"/>
      </rPr>
      <t>0426-2415</t>
    </r>
  </si>
  <si>
    <r>
      <t xml:space="preserve">Date: </t>
    </r>
    <r>
      <rPr>
        <u/>
        <sz val="10"/>
        <rFont val="Arial"/>
        <family val="2"/>
      </rPr>
      <t>05-04-2026</t>
    </r>
  </si>
  <si>
    <r>
      <t xml:space="preserve">PR No. </t>
    </r>
    <r>
      <rPr>
        <u/>
        <sz val="10"/>
        <rFont val="Arial"/>
        <family val="2"/>
      </rPr>
      <t>0526-2439</t>
    </r>
  </si>
  <si>
    <t>pages 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</si>
</sst>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(&quot;₱&quot;* #,##0.00_);_(&quot;₱&quot;* \(#,##0.00\);_(&quot;₱&quot;* &quot;-&quot;??_);_(@_)"/>
    <numFmt numFmtId="165" formatCode="_(* #,##0.00_);_(* \(#,##0.00\);_(* &quot;-&quot;??_);_(@_)"/>
    <numFmt numFmtId="166" formatCode="_(* #,##0_);_(* \(#,##0\);_(* &quot;-&quot;??_);_(@_)"/>
    <numFmt numFmtId="167" formatCode="#,##0.000"/>
    <numFmt numFmtId="168" formatCode="0.0"/>
    <numFmt numFmtId="169" formatCode="[$-3409]mmmm\ dd\,\ yyyy;@"/>
    <numFmt numFmtId="170" formatCode="_(* #,##0.00_);_(* \(#,##0.00\);_(* \-??_);_(@_)"/>
    <numFmt numFmtId="171" formatCode="mm/dd/yyyy"/>
    <numFmt numFmtId="172" formatCode="mm/dd/yyyy;@"/>
  </numFmts>
  <fonts count="49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9.5"/>
      <name val="Arial"/>
      <family val="2"/>
    </font>
    <font>
      <b/>
      <i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u/>
      <sz val="11"/>
      <color indexed="8"/>
      <name val="Calibri"/>
      <family val="2"/>
    </font>
    <font>
      <u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color rgb="FFFF0000"/>
      <name val="Arial"/>
      <family val="2"/>
    </font>
    <font>
      <b/>
      <sz val="13"/>
      <color rgb="FFFF0000"/>
      <name val="Arial"/>
      <family val="2"/>
    </font>
    <font>
      <b/>
      <u/>
      <sz val="10"/>
      <color rgb="FFFF0000"/>
      <name val="Arial"/>
      <family val="2"/>
    </font>
    <font>
      <sz val="8"/>
      <name val="Arial"/>
      <family val="2"/>
    </font>
    <font>
      <sz val="13"/>
      <name val="Arial"/>
      <family val="2"/>
    </font>
    <font>
      <u val="singleAccounting"/>
      <sz val="10"/>
      <name val="Arial"/>
      <family val="2"/>
    </font>
    <font>
      <sz val="11"/>
      <color theme="1"/>
      <name val="Arial Narrow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679">
    <xf numFmtId="0" fontId="0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11" fillId="0" borderId="0"/>
    <xf numFmtId="0" fontId="11" fillId="0" borderId="0"/>
    <xf numFmtId="0" fontId="5" fillId="0" borderId="0"/>
    <xf numFmtId="16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</cellStyleXfs>
  <cellXfs count="1096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166" fontId="5" fillId="0" borderId="0" xfId="1" applyNumberFormat="1" applyFont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5" fillId="0" borderId="1" xfId="0" applyFont="1" applyBorder="1"/>
    <xf numFmtId="166" fontId="5" fillId="0" borderId="2" xfId="1" applyNumberFormat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4" fontId="5" fillId="0" borderId="2" xfId="0" applyNumberFormat="1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4" fontId="5" fillId="0" borderId="6" xfId="0" applyNumberFormat="1" applyFont="1" applyBorder="1"/>
    <xf numFmtId="0" fontId="5" fillId="0" borderId="7" xfId="0" applyFont="1" applyBorder="1"/>
    <xf numFmtId="0" fontId="5" fillId="0" borderId="8" xfId="0" applyFont="1" applyBorder="1"/>
    <xf numFmtId="166" fontId="5" fillId="0" borderId="0" xfId="1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0" fontId="5" fillId="0" borderId="9" xfId="0" applyFont="1" applyBorder="1"/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4" fontId="5" fillId="0" borderId="10" xfId="0" applyNumberFormat="1" applyFont="1" applyBorder="1"/>
    <xf numFmtId="4" fontId="5" fillId="0" borderId="11" xfId="0" applyNumberFormat="1" applyFont="1" applyBorder="1"/>
    <xf numFmtId="0" fontId="5" fillId="0" borderId="3" xfId="0" applyFont="1" applyBorder="1"/>
    <xf numFmtId="0" fontId="4" fillId="0" borderId="12" xfId="0" applyFont="1" applyBorder="1" applyAlignment="1">
      <alignment horizontal="center" vertical="top" wrapText="1"/>
    </xf>
    <xf numFmtId="166" fontId="4" fillId="0" borderId="13" xfId="1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/>
    </xf>
    <xf numFmtId="166" fontId="5" fillId="0" borderId="15" xfId="1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678" applyFont="1" applyBorder="1" applyAlignment="1">
      <alignment vertical="top" shrinkToFit="1"/>
    </xf>
    <xf numFmtId="166" fontId="5" fillId="0" borderId="15" xfId="1" quotePrefix="1" applyNumberFormat="1" applyFont="1" applyBorder="1" applyAlignment="1">
      <alignment horizontal="center"/>
    </xf>
    <xf numFmtId="4" fontId="5" fillId="0" borderId="15" xfId="1" applyNumberFormat="1" applyFont="1" applyBorder="1" applyAlignment="1">
      <alignment horizontal="right" vertical="center"/>
    </xf>
    <xf numFmtId="165" fontId="5" fillId="0" borderId="16" xfId="0" applyNumberFormat="1" applyFont="1" applyBorder="1"/>
    <xf numFmtId="166" fontId="5" fillId="0" borderId="15" xfId="1" quotePrefix="1" applyNumberFormat="1" applyFont="1" applyBorder="1" applyAlignment="1">
      <alignment vertical="center"/>
    </xf>
    <xf numFmtId="0" fontId="5" fillId="0" borderId="15" xfId="0" applyFont="1" applyBorder="1" applyAlignment="1">
      <alignment vertical="top" wrapText="1"/>
    </xf>
    <xf numFmtId="166" fontId="5" fillId="0" borderId="15" xfId="1" quotePrefix="1" applyNumberFormat="1" applyFont="1" applyBorder="1" applyAlignment="1">
      <alignment horizontal="center" vertical="center"/>
    </xf>
    <xf numFmtId="0" fontId="5" fillId="0" borderId="15" xfId="0" applyFont="1" applyBorder="1"/>
    <xf numFmtId="166" fontId="5" fillId="0" borderId="15" xfId="1" quotePrefix="1" applyNumberFormat="1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166" fontId="5" fillId="0" borderId="15" xfId="1" applyNumberFormat="1" applyFont="1" applyBorder="1" applyAlignment="1">
      <alignment horizontal="left"/>
    </xf>
    <xf numFmtId="4" fontId="5" fillId="0" borderId="5" xfId="0" applyNumberFormat="1" applyFont="1" applyBorder="1" applyAlignment="1">
      <alignment horizontal="right"/>
    </xf>
    <xf numFmtId="4" fontId="5" fillId="0" borderId="15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166" fontId="5" fillId="0" borderId="13" xfId="1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4" fontId="4" fillId="0" borderId="17" xfId="0" applyNumberFormat="1" applyFont="1" applyBorder="1" applyAlignment="1">
      <alignment horizontal="right"/>
    </xf>
    <xf numFmtId="165" fontId="4" fillId="0" borderId="18" xfId="0" applyNumberFormat="1" applyFont="1" applyBorder="1"/>
    <xf numFmtId="166" fontId="5" fillId="0" borderId="0" xfId="1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6" fontId="5" fillId="0" borderId="17" xfId="1" applyNumberFormat="1" applyFont="1" applyBorder="1" applyAlignment="1">
      <alignment horizontal="left"/>
    </xf>
    <xf numFmtId="15" fontId="5" fillId="0" borderId="17" xfId="0" quotePrefix="1" applyNumberFormat="1" applyFont="1" applyBorder="1"/>
    <xf numFmtId="4" fontId="5" fillId="0" borderId="17" xfId="0" applyNumberFormat="1" applyFont="1" applyBorder="1"/>
    <xf numFmtId="0" fontId="5" fillId="0" borderId="20" xfId="0" applyFont="1" applyBorder="1"/>
    <xf numFmtId="0" fontId="5" fillId="0" borderId="2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4" fontId="5" fillId="0" borderId="23" xfId="0" applyNumberFormat="1" applyFont="1" applyBorder="1"/>
    <xf numFmtId="0" fontId="5" fillId="0" borderId="24" xfId="0" applyFont="1" applyBorder="1" applyAlignment="1">
      <alignment horizontal="center"/>
    </xf>
    <xf numFmtId="0" fontId="5" fillId="0" borderId="15" xfId="0" applyFont="1" applyBorder="1" applyAlignment="1">
      <alignment vertical="top" shrinkToFit="1"/>
    </xf>
    <xf numFmtId="0" fontId="5" fillId="0" borderId="15" xfId="1" quotePrefix="1" applyNumberFormat="1" applyFont="1" applyBorder="1" applyAlignment="1">
      <alignment horizontal="center" vertical="center"/>
    </xf>
    <xf numFmtId="0" fontId="5" fillId="0" borderId="15" xfId="1" quotePrefix="1" applyNumberFormat="1" applyFont="1" applyBorder="1" applyAlignment="1">
      <alignment horizontal="center"/>
    </xf>
    <xf numFmtId="0" fontId="5" fillId="0" borderId="15" xfId="1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" fillId="0" borderId="15" xfId="0" applyFont="1" applyBorder="1" applyAlignment="1">
      <alignment shrinkToFit="1"/>
    </xf>
    <xf numFmtId="0" fontId="0" fillId="0" borderId="15" xfId="0" applyBorder="1" applyAlignment="1">
      <alignment horizontal="center"/>
    </xf>
    <xf numFmtId="165" fontId="5" fillId="0" borderId="15" xfId="1" applyFont="1" applyBorder="1" applyAlignment="1">
      <alignment horizontal="right" vertical="top"/>
    </xf>
    <xf numFmtId="165" fontId="5" fillId="0" borderId="15" xfId="1" applyFont="1" applyBorder="1" applyAlignment="1">
      <alignment horizontal="right" vertical="center"/>
    </xf>
    <xf numFmtId="165" fontId="5" fillId="0" borderId="25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15" xfId="0" applyFont="1" applyBorder="1" applyAlignment="1">
      <alignment horizontal="center" shrinkToFit="1"/>
    </xf>
    <xf numFmtId="166" fontId="5" fillId="0" borderId="15" xfId="21" quotePrefix="1" applyNumberFormat="1" applyFont="1" applyBorder="1" applyAlignment="1">
      <alignment horizontal="center" vertical="center"/>
    </xf>
    <xf numFmtId="166" fontId="5" fillId="0" borderId="15" xfId="21" applyNumberFormat="1" applyFont="1" applyBorder="1" applyAlignment="1">
      <alignment horizontal="center"/>
    </xf>
    <xf numFmtId="0" fontId="0" fillId="0" borderId="15" xfId="0" applyBorder="1"/>
    <xf numFmtId="0" fontId="5" fillId="0" borderId="15" xfId="21" applyNumberFormat="1" applyFont="1" applyFill="1" applyBorder="1" applyAlignment="1">
      <alignment horizontal="center"/>
    </xf>
    <xf numFmtId="165" fontId="0" fillId="0" borderId="15" xfId="21" applyFont="1" applyFill="1" applyBorder="1" applyAlignment="1">
      <alignment horizontal="center"/>
    </xf>
    <xf numFmtId="0" fontId="5" fillId="0" borderId="23" xfId="21" applyNumberFormat="1" applyFont="1" applyFill="1" applyBorder="1" applyAlignment="1">
      <alignment horizontal="center"/>
    </xf>
    <xf numFmtId="165" fontId="0" fillId="0" borderId="23" xfId="21" applyFont="1" applyFill="1" applyBorder="1" applyAlignment="1">
      <alignment horizontal="center"/>
    </xf>
    <xf numFmtId="165" fontId="5" fillId="0" borderId="15" xfId="21" applyFont="1" applyFill="1" applyBorder="1" applyAlignment="1">
      <alignment horizontal="center"/>
    </xf>
    <xf numFmtId="166" fontId="4" fillId="0" borderId="23" xfId="21" applyNumberFormat="1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5" fillId="0" borderId="15" xfId="21" applyNumberFormat="1" applyFont="1" applyBorder="1" applyAlignment="1">
      <alignment horizontal="center"/>
    </xf>
    <xf numFmtId="165" fontId="5" fillId="0" borderId="23" xfId="21" applyFont="1" applyFill="1" applyBorder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 vertical="top" wrapText="1"/>
    </xf>
    <xf numFmtId="165" fontId="5" fillId="0" borderId="5" xfId="1" applyFont="1" applyBorder="1" applyAlignment="1">
      <alignment horizontal="right"/>
    </xf>
    <xf numFmtId="165" fontId="5" fillId="0" borderId="15" xfId="1" applyFont="1" applyBorder="1" applyAlignment="1">
      <alignment horizontal="right"/>
    </xf>
    <xf numFmtId="0" fontId="0" fillId="0" borderId="23" xfId="0" applyBorder="1"/>
    <xf numFmtId="0" fontId="5" fillId="0" borderId="22" xfId="0" applyFont="1" applyBorder="1" applyAlignment="1">
      <alignment horizontal="center" shrinkToFit="1"/>
    </xf>
    <xf numFmtId="0" fontId="5" fillId="0" borderId="0" xfId="21" applyNumberFormat="1" applyFont="1" applyBorder="1" applyAlignment="1">
      <alignment horizontal="center"/>
    </xf>
    <xf numFmtId="0" fontId="5" fillId="0" borderId="6" xfId="0" applyFont="1" applyBorder="1"/>
    <xf numFmtId="0" fontId="5" fillId="0" borderId="23" xfId="0" applyFont="1" applyBorder="1" applyAlignment="1">
      <alignment horizontal="center"/>
    </xf>
    <xf numFmtId="166" fontId="5" fillId="0" borderId="26" xfId="21" quotePrefix="1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5" fontId="5" fillId="0" borderId="23" xfId="2" applyFont="1" applyBorder="1"/>
    <xf numFmtId="166" fontId="5" fillId="0" borderId="2" xfId="2" applyNumberFormat="1" applyFont="1" applyBorder="1" applyAlignment="1">
      <alignment horizontal="left"/>
    </xf>
    <xf numFmtId="166" fontId="5" fillId="0" borderId="0" xfId="2" applyNumberFormat="1" applyFont="1" applyBorder="1" applyAlignment="1">
      <alignment horizontal="left"/>
    </xf>
    <xf numFmtId="166" fontId="5" fillId="0" borderId="15" xfId="2" applyNumberFormat="1" applyFont="1" applyBorder="1" applyAlignment="1">
      <alignment horizontal="center"/>
    </xf>
    <xf numFmtId="0" fontId="5" fillId="0" borderId="15" xfId="2" quotePrefix="1" applyNumberFormat="1" applyFont="1" applyBorder="1" applyAlignment="1">
      <alignment horizontal="center"/>
    </xf>
    <xf numFmtId="166" fontId="5" fillId="0" borderId="17" xfId="2" applyNumberFormat="1" applyFont="1" applyBorder="1" applyAlignment="1">
      <alignment horizontal="left"/>
    </xf>
    <xf numFmtId="0" fontId="5" fillId="0" borderId="15" xfId="2" applyNumberFormat="1" applyFont="1" applyBorder="1" applyAlignment="1">
      <alignment horizontal="center"/>
    </xf>
    <xf numFmtId="166" fontId="5" fillId="0" borderId="15" xfId="2" quotePrefix="1" applyNumberFormat="1" applyFont="1" applyBorder="1" applyAlignment="1">
      <alignment horizontal="center" vertical="center"/>
    </xf>
    <xf numFmtId="166" fontId="5" fillId="0" borderId="15" xfId="2" quotePrefix="1" applyNumberFormat="1" applyFont="1" applyBorder="1" applyAlignment="1">
      <alignment vertical="center"/>
    </xf>
    <xf numFmtId="166" fontId="5" fillId="0" borderId="15" xfId="2" applyNumberFormat="1" applyFont="1" applyBorder="1" applyAlignment="1">
      <alignment horizontal="left"/>
    </xf>
    <xf numFmtId="0" fontId="5" fillId="0" borderId="15" xfId="2" quotePrefix="1" applyNumberFormat="1" applyFont="1" applyBorder="1" applyAlignment="1">
      <alignment horizontal="center" vertical="center"/>
    </xf>
    <xf numFmtId="0" fontId="5" fillId="0" borderId="23" xfId="0" applyFont="1" applyBorder="1"/>
    <xf numFmtId="0" fontId="4" fillId="0" borderId="13" xfId="0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6" fontId="4" fillId="0" borderId="13" xfId="1" applyNumberFormat="1" applyFont="1" applyBorder="1" applyAlignment="1">
      <alignment horizontal="center" vertical="center" wrapText="1"/>
    </xf>
    <xf numFmtId="166" fontId="4" fillId="0" borderId="13" xfId="2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66" fontId="4" fillId="0" borderId="23" xfId="21" applyNumberFormat="1" applyFont="1" applyBorder="1" applyAlignment="1">
      <alignment horizontal="center" vertical="center" wrapText="1"/>
    </xf>
    <xf numFmtId="4" fontId="5" fillId="0" borderId="15" xfId="0" applyNumberFormat="1" applyFont="1" applyBorder="1"/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5" xfId="21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165" fontId="0" fillId="0" borderId="15" xfId="21" applyFont="1" applyFill="1" applyBorder="1" applyAlignment="1">
      <alignment horizontal="center" vertical="center"/>
    </xf>
    <xf numFmtId="165" fontId="5" fillId="0" borderId="25" xfId="0" applyNumberFormat="1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5" fontId="5" fillId="0" borderId="15" xfId="21" applyFont="1" applyFill="1" applyBorder="1" applyAlignment="1">
      <alignment horizontal="center" vertical="center"/>
    </xf>
    <xf numFmtId="165" fontId="5" fillId="0" borderId="15" xfId="2" applyFont="1" applyBorder="1" applyAlignment="1">
      <alignment horizontal="right" vertical="top"/>
    </xf>
    <xf numFmtId="0" fontId="5" fillId="0" borderId="15" xfId="678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shrinkToFit="1"/>
    </xf>
    <xf numFmtId="0" fontId="5" fillId="0" borderId="15" xfId="2" applyNumberFormat="1" applyFont="1" applyBorder="1" applyAlignment="1">
      <alignment horizontal="center" vertical="center"/>
    </xf>
    <xf numFmtId="166" fontId="5" fillId="0" borderId="27" xfId="2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 shrinkToFit="1"/>
    </xf>
    <xf numFmtId="0" fontId="5" fillId="0" borderId="15" xfId="0" applyFont="1" applyBorder="1" applyAlignment="1">
      <alignment horizontal="center" wrapText="1"/>
    </xf>
    <xf numFmtId="4" fontId="5" fillId="0" borderId="8" xfId="0" applyNumberFormat="1" applyFont="1" applyBorder="1"/>
    <xf numFmtId="0" fontId="24" fillId="0" borderId="15" xfId="0" applyFont="1" applyBorder="1" applyAlignment="1">
      <alignment horizontal="center" vertical="center" textRotation="90" wrapText="1"/>
    </xf>
    <xf numFmtId="0" fontId="25" fillId="0" borderId="15" xfId="0" applyFont="1" applyBorder="1" applyAlignment="1">
      <alignment horizontal="center" vertical="center" textRotation="90" wrapText="1"/>
    </xf>
    <xf numFmtId="0" fontId="26" fillId="0" borderId="15" xfId="0" applyFont="1" applyBorder="1" applyAlignment="1">
      <alignment horizontal="center" vertical="center" textRotation="90" wrapText="1"/>
    </xf>
    <xf numFmtId="0" fontId="13" fillId="0" borderId="15" xfId="0" applyFont="1" applyBorder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5" fillId="0" borderId="15" xfId="0" applyFont="1" applyBorder="1" applyAlignment="1">
      <alignment horizontal="left" vertical="center" shrinkToFit="1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5" fontId="5" fillId="0" borderId="15" xfId="2" applyFont="1" applyFill="1" applyBorder="1" applyAlignment="1">
      <alignment horizontal="left" vertical="center"/>
    </xf>
    <xf numFmtId="165" fontId="5" fillId="0" borderId="15" xfId="2" applyFont="1" applyFill="1" applyBorder="1" applyAlignment="1">
      <alignment vertical="center"/>
    </xf>
    <xf numFmtId="166" fontId="5" fillId="0" borderId="15" xfId="2" quotePrefix="1" applyNumberFormat="1" applyFont="1" applyBorder="1" applyAlignment="1">
      <alignment horizontal="center" vertical="top"/>
    </xf>
    <xf numFmtId="165" fontId="5" fillId="0" borderId="15" xfId="2" applyFont="1" applyFill="1" applyBorder="1" applyAlignment="1">
      <alignment horizontal="center" vertical="center"/>
    </xf>
    <xf numFmtId="0" fontId="5" fillId="0" borderId="15" xfId="2" quotePrefix="1" applyNumberFormat="1" applyFont="1" applyBorder="1" applyAlignment="1">
      <alignment horizontal="center" vertical="top"/>
    </xf>
    <xf numFmtId="165" fontId="5" fillId="0" borderId="15" xfId="2" applyFont="1" applyBorder="1" applyAlignment="1">
      <alignment vertical="top"/>
    </xf>
    <xf numFmtId="1" fontId="5" fillId="0" borderId="15" xfId="2" applyNumberFormat="1" applyFont="1" applyBorder="1" applyAlignment="1">
      <alignment horizontal="center"/>
    </xf>
    <xf numFmtId="168" fontId="5" fillId="0" borderId="15" xfId="2" quotePrefix="1" applyNumberFormat="1" applyFont="1" applyBorder="1" applyAlignment="1">
      <alignment horizontal="center" vertical="center"/>
    </xf>
    <xf numFmtId="167" fontId="5" fillId="0" borderId="15" xfId="2" quotePrefix="1" applyNumberFormat="1" applyFont="1" applyBorder="1" applyAlignment="1">
      <alignment horizontal="center" vertical="center"/>
    </xf>
    <xf numFmtId="1" fontId="5" fillId="0" borderId="15" xfId="2" quotePrefix="1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 shrinkToFit="1"/>
    </xf>
    <xf numFmtId="166" fontId="4" fillId="0" borderId="13" xfId="2" applyNumberFormat="1" applyFont="1" applyBorder="1" applyAlignment="1">
      <alignment horizontal="center" vertical="top" wrapText="1"/>
    </xf>
    <xf numFmtId="0" fontId="5" fillId="0" borderId="23" xfId="0" applyFont="1" applyBorder="1" applyAlignment="1">
      <alignment vertical="center" shrinkToFit="1"/>
    </xf>
    <xf numFmtId="165" fontId="5" fillId="0" borderId="15" xfId="2" applyFont="1" applyBorder="1" applyAlignment="1">
      <alignment horizontal="right" vertical="center"/>
    </xf>
    <xf numFmtId="43" fontId="5" fillId="0" borderId="0" xfId="0" applyNumberFormat="1" applyFont="1"/>
    <xf numFmtId="0" fontId="27" fillId="0" borderId="15" xfId="0" applyFont="1" applyBorder="1" applyAlignment="1">
      <alignment shrinkToFit="1"/>
    </xf>
    <xf numFmtId="1" fontId="5" fillId="0" borderId="15" xfId="2" quotePrefix="1" applyNumberFormat="1" applyFont="1" applyBorder="1" applyAlignment="1">
      <alignment horizontal="center"/>
    </xf>
    <xf numFmtId="165" fontId="28" fillId="0" borderId="16" xfId="0" applyNumberFormat="1" applyFont="1" applyBorder="1"/>
    <xf numFmtId="4" fontId="5" fillId="0" borderId="15" xfId="149" quotePrefix="1" applyNumberFormat="1" applyBorder="1" applyAlignment="1">
      <alignment horizontal="left" shrinkToFit="1"/>
    </xf>
    <xf numFmtId="165" fontId="0" fillId="0" borderId="15" xfId="2" applyFont="1" applyFill="1" applyBorder="1" applyAlignment="1">
      <alignment horizontal="center"/>
    </xf>
    <xf numFmtId="0" fontId="5" fillId="0" borderId="15" xfId="678" applyFont="1" applyBorder="1" applyAlignment="1">
      <alignment horizontal="left" vertical="top" shrinkToFit="1"/>
    </xf>
    <xf numFmtId="165" fontId="5" fillId="0" borderId="5" xfId="2" applyFont="1" applyBorder="1" applyAlignment="1">
      <alignment horizontal="right" vertical="center"/>
    </xf>
    <xf numFmtId="165" fontId="5" fillId="0" borderId="5" xfId="2" applyFont="1" applyBorder="1" applyAlignment="1">
      <alignment horizontal="right"/>
    </xf>
    <xf numFmtId="165" fontId="5" fillId="0" borderId="15" xfId="2" applyFont="1" applyBorder="1" applyAlignment="1">
      <alignment horizontal="right"/>
    </xf>
    <xf numFmtId="166" fontId="5" fillId="0" borderId="13" xfId="2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6" fontId="5" fillId="0" borderId="0" xfId="2" applyNumberFormat="1" applyFont="1" applyBorder="1" applyAlignment="1">
      <alignment horizontal="center"/>
    </xf>
    <xf numFmtId="166" fontId="5" fillId="0" borderId="17" xfId="21" applyNumberFormat="1" applyFont="1" applyBorder="1" applyAlignment="1">
      <alignment horizontal="left"/>
    </xf>
    <xf numFmtId="166" fontId="5" fillId="0" borderId="2" xfId="21" applyNumberFormat="1" applyFont="1" applyBorder="1" applyAlignment="1">
      <alignment horizontal="left"/>
    </xf>
    <xf numFmtId="166" fontId="5" fillId="0" borderId="0" xfId="21" applyNumberFormat="1" applyFont="1" applyBorder="1" applyAlignment="1">
      <alignment horizontal="left"/>
    </xf>
    <xf numFmtId="166" fontId="4" fillId="0" borderId="13" xfId="21" applyNumberFormat="1" applyFont="1" applyBorder="1" applyAlignment="1">
      <alignment horizontal="center" vertical="top" wrapText="1"/>
    </xf>
    <xf numFmtId="166" fontId="4" fillId="0" borderId="13" xfId="21" applyNumberFormat="1" applyFont="1" applyBorder="1" applyAlignment="1">
      <alignment horizontal="center" vertical="center" wrapText="1"/>
    </xf>
    <xf numFmtId="166" fontId="5" fillId="0" borderId="21" xfId="21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65" xfId="0" applyFont="1" applyBorder="1" applyAlignment="1">
      <alignment horizontal="left" vertical="top" shrinkToFit="1"/>
    </xf>
    <xf numFmtId="165" fontId="5" fillId="0" borderId="15" xfId="2" applyFont="1" applyBorder="1"/>
    <xf numFmtId="166" fontId="5" fillId="0" borderId="15" xfId="21" quotePrefix="1" applyNumberFormat="1" applyFont="1" applyBorder="1" applyAlignment="1">
      <alignment vertical="center"/>
    </xf>
    <xf numFmtId="0" fontId="5" fillId="0" borderId="15" xfId="678" applyFont="1" applyBorder="1" applyAlignment="1">
      <alignment vertical="center" shrinkToFit="1"/>
    </xf>
    <xf numFmtId="166" fontId="5" fillId="0" borderId="13" xfId="21" applyNumberFormat="1" applyFont="1" applyBorder="1" applyAlignment="1">
      <alignment horizontal="center"/>
    </xf>
    <xf numFmtId="0" fontId="5" fillId="0" borderId="33" xfId="0" applyFont="1" applyBorder="1" applyAlignment="1">
      <alignment vertical="center"/>
    </xf>
    <xf numFmtId="166" fontId="5" fillId="0" borderId="34" xfId="21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vertical="center" shrinkToFit="1"/>
    </xf>
    <xf numFmtId="4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66" fontId="5" fillId="0" borderId="17" xfId="21" applyNumberFormat="1" applyFont="1" applyBorder="1" applyAlignment="1">
      <alignment horizontal="center" vertical="center"/>
    </xf>
    <xf numFmtId="4" fontId="5" fillId="0" borderId="17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165" fontId="4" fillId="0" borderId="16" xfId="0" applyNumberFormat="1" applyFont="1" applyBorder="1"/>
    <xf numFmtId="43" fontId="4" fillId="0" borderId="0" xfId="0" applyNumberFormat="1" applyFont="1" applyAlignment="1">
      <alignment horizontal="center"/>
    </xf>
    <xf numFmtId="0" fontId="10" fillId="0" borderId="15" xfId="0" applyFont="1" applyBorder="1" applyAlignment="1">
      <alignment horizontal="center" vertical="center" shrinkToFit="1"/>
    </xf>
    <xf numFmtId="0" fontId="5" fillId="0" borderId="21" xfId="678" applyFont="1" applyBorder="1" applyAlignment="1">
      <alignment horizontal="left" vertical="center" shrinkToFit="1"/>
    </xf>
    <xf numFmtId="1" fontId="5" fillId="0" borderId="36" xfId="2" quotePrefix="1" applyNumberFormat="1" applyFont="1" applyBorder="1" applyAlignment="1">
      <alignment horizontal="center" vertical="center"/>
    </xf>
    <xf numFmtId="3" fontId="5" fillId="0" borderId="15" xfId="2" quotePrefix="1" applyNumberFormat="1" applyFont="1" applyBorder="1" applyAlignment="1">
      <alignment horizontal="center" vertical="center"/>
    </xf>
    <xf numFmtId="3" fontId="5" fillId="0" borderId="15" xfId="2" quotePrefix="1" applyNumberFormat="1" applyFont="1" applyBorder="1" applyAlignment="1">
      <alignment horizontal="center" vertical="top"/>
    </xf>
    <xf numFmtId="0" fontId="4" fillId="0" borderId="37" xfId="0" applyFont="1" applyBorder="1" applyAlignment="1">
      <alignment horizontal="center" vertical="top" wrapText="1"/>
    </xf>
    <xf numFmtId="166" fontId="5" fillId="0" borderId="21" xfId="2" applyNumberFormat="1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165" fontId="4" fillId="0" borderId="39" xfId="0" applyNumberFormat="1" applyFont="1" applyBorder="1"/>
    <xf numFmtId="165" fontId="5" fillId="0" borderId="0" xfId="1" applyFont="1"/>
    <xf numFmtId="165" fontId="5" fillId="0" borderId="0" xfId="0" applyNumberFormat="1" applyFont="1"/>
    <xf numFmtId="0" fontId="29" fillId="0" borderId="21" xfId="0" applyFont="1" applyBorder="1" applyAlignment="1">
      <alignment horizontal="center" vertical="top"/>
    </xf>
    <xf numFmtId="0" fontId="29" fillId="0" borderId="64" xfId="0" applyFont="1" applyBorder="1" applyAlignment="1">
      <alignment horizontal="left" vertical="top" shrinkToFit="1"/>
    </xf>
    <xf numFmtId="0" fontId="29" fillId="0" borderId="21" xfId="21" applyNumberFormat="1" applyFont="1" applyFill="1" applyBorder="1" applyAlignment="1">
      <alignment horizontal="center"/>
    </xf>
    <xf numFmtId="165" fontId="29" fillId="0" borderId="21" xfId="2" applyFont="1" applyBorder="1"/>
    <xf numFmtId="165" fontId="29" fillId="0" borderId="16" xfId="0" applyNumberFormat="1" applyFont="1" applyBorder="1"/>
    <xf numFmtId="0" fontId="29" fillId="0" borderId="65" xfId="0" applyFont="1" applyBorder="1" applyAlignment="1">
      <alignment horizontal="left" vertical="top" shrinkToFit="1"/>
    </xf>
    <xf numFmtId="0" fontId="29" fillId="0" borderId="15" xfId="21" applyNumberFormat="1" applyFont="1" applyFill="1" applyBorder="1" applyAlignment="1">
      <alignment horizontal="center"/>
    </xf>
    <xf numFmtId="165" fontId="29" fillId="0" borderId="15" xfId="2" applyFont="1" applyBorder="1"/>
    <xf numFmtId="0" fontId="29" fillId="0" borderId="15" xfId="0" applyFont="1" applyBorder="1" applyAlignment="1">
      <alignment horizontal="center"/>
    </xf>
    <xf numFmtId="0" fontId="29" fillId="0" borderId="15" xfId="0" applyFont="1" applyBorder="1" applyAlignment="1">
      <alignment horizontal="center" vertical="top"/>
    </xf>
    <xf numFmtId="165" fontId="29" fillId="0" borderId="16" xfId="2" applyFont="1" applyBorder="1"/>
    <xf numFmtId="0" fontId="29" fillId="4" borderId="15" xfId="0" applyFont="1" applyFill="1" applyBorder="1"/>
    <xf numFmtId="0" fontId="29" fillId="0" borderId="15" xfId="21" applyNumberFormat="1" applyFont="1" applyBorder="1" applyAlignment="1">
      <alignment horizontal="center"/>
    </xf>
    <xf numFmtId="165" fontId="29" fillId="0" borderId="15" xfId="2" applyFont="1" applyBorder="1" applyAlignment="1">
      <alignment horizontal="right" vertical="center"/>
    </xf>
    <xf numFmtId="0" fontId="29" fillId="4" borderId="30" xfId="0" applyFont="1" applyFill="1" applyBorder="1"/>
    <xf numFmtId="0" fontId="29" fillId="0" borderId="15" xfId="678" applyFont="1" applyBorder="1" applyAlignment="1">
      <alignment vertical="center" shrinkToFit="1"/>
    </xf>
    <xf numFmtId="0" fontId="0" fillId="0" borderId="0" xfId="0" applyAlignment="1">
      <alignment horizontal="center"/>
    </xf>
    <xf numFmtId="14" fontId="5" fillId="0" borderId="0" xfId="0" quotePrefix="1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0" fillId="0" borderId="41" xfId="0" applyBorder="1" applyAlignment="1">
      <alignment horizont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1" fillId="0" borderId="0" xfId="0" applyFont="1"/>
    <xf numFmtId="0" fontId="21" fillId="0" borderId="0" xfId="0" applyFont="1"/>
    <xf numFmtId="0" fontId="5" fillId="0" borderId="14" xfId="21" applyNumberFormat="1" applyFont="1" applyFill="1" applyBorder="1" applyAlignment="1">
      <alignment horizontal="center"/>
    </xf>
    <xf numFmtId="0" fontId="5" fillId="0" borderId="24" xfId="21" applyNumberFormat="1" applyFont="1" applyFill="1" applyBorder="1" applyAlignment="1">
      <alignment horizontal="center"/>
    </xf>
    <xf numFmtId="0" fontId="5" fillId="0" borderId="24" xfId="21" applyNumberFormat="1" applyFont="1" applyBorder="1" applyAlignment="1">
      <alignment horizontal="center"/>
    </xf>
    <xf numFmtId="4" fontId="23" fillId="0" borderId="6" xfId="0" applyNumberFormat="1" applyFont="1" applyBorder="1"/>
    <xf numFmtId="0" fontId="23" fillId="0" borderId="7" xfId="0" applyFont="1" applyBorder="1"/>
    <xf numFmtId="165" fontId="4" fillId="0" borderId="0" xfId="0" applyNumberFormat="1" applyFont="1"/>
    <xf numFmtId="3" fontId="23" fillId="0" borderId="15" xfId="2" quotePrefix="1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9" fillId="0" borderId="15" xfId="0" applyFont="1" applyBorder="1" applyAlignment="1">
      <alignment vertical="center" shrinkToFit="1"/>
    </xf>
    <xf numFmtId="0" fontId="23" fillId="0" borderId="15" xfId="0" applyFont="1" applyBorder="1" applyAlignment="1">
      <alignment horizontal="left" vertical="center" shrinkToFit="1"/>
    </xf>
    <xf numFmtId="0" fontId="23" fillId="0" borderId="15" xfId="0" applyFont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 shrinkToFit="1"/>
    </xf>
    <xf numFmtId="0" fontId="5" fillId="0" borderId="15" xfId="2" quotePrefix="1" applyNumberFormat="1" applyFont="1" applyBorder="1" applyAlignment="1">
      <alignment horizontal="left" vertical="center"/>
    </xf>
    <xf numFmtId="165" fontId="5" fillId="0" borderId="16" xfId="1" applyFont="1" applyBorder="1"/>
    <xf numFmtId="0" fontId="29" fillId="0" borderId="15" xfId="0" applyFont="1" applyBorder="1" applyAlignment="1">
      <alignment shrinkToFit="1"/>
    </xf>
    <xf numFmtId="0" fontId="29" fillId="0" borderId="0" xfId="0" applyFont="1"/>
    <xf numFmtId="0" fontId="23" fillId="0" borderId="15" xfId="0" applyFont="1" applyBorder="1" applyAlignment="1">
      <alignment vertical="center" shrinkToFit="1"/>
    </xf>
    <xf numFmtId="0" fontId="23" fillId="0" borderId="15" xfId="2" quotePrefix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top" shrinkToFit="1"/>
    </xf>
    <xf numFmtId="165" fontId="5" fillId="0" borderId="15" xfId="1" applyFont="1" applyFill="1" applyBorder="1" applyAlignment="1">
      <alignment horizontal="left" vertical="center"/>
    </xf>
    <xf numFmtId="165" fontId="5" fillId="0" borderId="15" xfId="1" applyFont="1" applyFill="1" applyBorder="1" applyAlignment="1">
      <alignment vertical="center"/>
    </xf>
    <xf numFmtId="165" fontId="5" fillId="0" borderId="15" xfId="1" applyFont="1" applyFill="1" applyBorder="1" applyAlignment="1">
      <alignment horizontal="center" vertical="center"/>
    </xf>
    <xf numFmtId="165" fontId="5" fillId="0" borderId="15" xfId="1" applyFont="1" applyBorder="1" applyAlignment="1">
      <alignment vertical="top"/>
    </xf>
    <xf numFmtId="165" fontId="5" fillId="0" borderId="15" xfId="1" applyFont="1" applyBorder="1"/>
    <xf numFmtId="0" fontId="23" fillId="0" borderId="21" xfId="0" applyFont="1" applyBorder="1" applyAlignment="1">
      <alignment horizontal="center" vertical="top"/>
    </xf>
    <xf numFmtId="0" fontId="23" fillId="0" borderId="21" xfId="0" applyFont="1" applyBorder="1" applyAlignment="1">
      <alignment horizontal="left" vertical="center" shrinkToFit="1"/>
    </xf>
    <xf numFmtId="0" fontId="5" fillId="0" borderId="21" xfId="2" quotePrefix="1" applyNumberFormat="1" applyFont="1" applyBorder="1" applyAlignment="1">
      <alignment horizontal="center" vertical="center"/>
    </xf>
    <xf numFmtId="165" fontId="5" fillId="0" borderId="2" xfId="1" applyFont="1" applyFill="1" applyBorder="1" applyAlignment="1">
      <alignment horizontal="left" vertical="center"/>
    </xf>
    <xf numFmtId="4" fontId="29" fillId="0" borderId="6" xfId="0" applyNumberFormat="1" applyFont="1" applyBorder="1"/>
    <xf numFmtId="165" fontId="29" fillId="0" borderId="23" xfId="2" applyFont="1" applyBorder="1"/>
    <xf numFmtId="0" fontId="29" fillId="0" borderId="7" xfId="0" applyFont="1" applyBorder="1"/>
    <xf numFmtId="0" fontId="32" fillId="0" borderId="0" xfId="0" applyFont="1"/>
    <xf numFmtId="0" fontId="25" fillId="0" borderId="15" xfId="0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165" fontId="0" fillId="0" borderId="0" xfId="1" applyFont="1" applyAlignment="1">
      <alignment horizontal="left"/>
    </xf>
    <xf numFmtId="164" fontId="23" fillId="0" borderId="15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165" fontId="0" fillId="0" borderId="0" xfId="1" applyFont="1" applyBorder="1" applyAlignment="1">
      <alignment horizontal="left"/>
    </xf>
    <xf numFmtId="165" fontId="33" fillId="0" borderId="15" xfId="2" applyFont="1" applyBorder="1" applyAlignment="1">
      <alignment vertical="top"/>
    </xf>
    <xf numFmtId="164" fontId="23" fillId="5" borderId="15" xfId="0" applyNumberFormat="1" applyFont="1" applyFill="1" applyBorder="1" applyAlignment="1">
      <alignment horizontal="center" vertical="center"/>
    </xf>
    <xf numFmtId="164" fontId="23" fillId="0" borderId="15" xfId="0" applyNumberFormat="1" applyFont="1" applyBorder="1" applyAlignment="1">
      <alignment vertical="center"/>
    </xf>
    <xf numFmtId="165" fontId="0" fillId="0" borderId="0" xfId="1" applyFont="1" applyBorder="1" applyAlignment="1">
      <alignment horizontal="left" vertical="center"/>
    </xf>
    <xf numFmtId="165" fontId="5" fillId="5" borderId="15" xfId="2" applyFont="1" applyFill="1" applyBorder="1" applyAlignment="1">
      <alignment vertical="top"/>
    </xf>
    <xf numFmtId="165" fontId="19" fillId="4" borderId="0" xfId="1" applyFont="1" applyFill="1" applyBorder="1" applyAlignment="1">
      <alignment horizontal="left" vertical="center"/>
    </xf>
    <xf numFmtId="0" fontId="23" fillId="4" borderId="15" xfId="0" applyFont="1" applyFill="1" applyBorder="1" applyAlignment="1">
      <alignment horizontal="center" vertical="center"/>
    </xf>
    <xf numFmtId="165" fontId="19" fillId="0" borderId="66" xfId="1" applyFont="1" applyBorder="1" applyAlignment="1">
      <alignment horizontal="left" vertical="center"/>
    </xf>
    <xf numFmtId="0" fontId="0" fillId="4" borderId="67" xfId="0" applyFill="1" applyBorder="1" applyAlignment="1">
      <alignment vertical="center"/>
    </xf>
    <xf numFmtId="0" fontId="0" fillId="4" borderId="0" xfId="0" applyFill="1" applyAlignment="1">
      <alignment vertical="center"/>
    </xf>
    <xf numFmtId="165" fontId="29" fillId="5" borderId="15" xfId="2" applyFont="1" applyFill="1" applyBorder="1" applyAlignment="1">
      <alignment vertical="top"/>
    </xf>
    <xf numFmtId="164" fontId="23" fillId="5" borderId="15" xfId="0" applyNumberFormat="1" applyFont="1" applyFill="1" applyBorder="1" applyAlignment="1">
      <alignment vertical="center"/>
    </xf>
    <xf numFmtId="165" fontId="0" fillId="0" borderId="0" xfId="1" applyFont="1" applyFill="1" applyBorder="1" applyAlignment="1">
      <alignment horizontal="left" vertical="center"/>
    </xf>
    <xf numFmtId="164" fontId="23" fillId="4" borderId="15" xfId="0" applyNumberFormat="1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vertical="center"/>
    </xf>
    <xf numFmtId="165" fontId="34" fillId="0" borderId="0" xfId="1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164" fontId="23" fillId="4" borderId="15" xfId="0" applyNumberFormat="1" applyFont="1" applyFill="1" applyBorder="1" applyAlignment="1">
      <alignment vertical="center"/>
    </xf>
    <xf numFmtId="0" fontId="23" fillId="0" borderId="15" xfId="0" applyFont="1" applyBorder="1" applyAlignment="1">
      <alignment horizontal="center" vertical="center" shrinkToFit="1"/>
    </xf>
    <xf numFmtId="164" fontId="0" fillId="0" borderId="0" xfId="0" applyNumberFormat="1"/>
    <xf numFmtId="0" fontId="2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 wrapText="1"/>
    </xf>
    <xf numFmtId="0" fontId="27" fillId="6" borderId="15" xfId="0" applyFont="1" applyFill="1" applyBorder="1" applyAlignment="1">
      <alignment horizontal="left" vertical="top" shrinkToFit="1"/>
    </xf>
    <xf numFmtId="0" fontId="23" fillId="0" borderId="68" xfId="0" applyFont="1" applyBorder="1" applyAlignment="1">
      <alignment horizontal="left" vertical="center"/>
    </xf>
    <xf numFmtId="0" fontId="27" fillId="6" borderId="69" xfId="0" applyFont="1" applyFill="1" applyBorder="1" applyAlignment="1">
      <alignment horizontal="left" vertical="top" shrinkToFit="1"/>
    </xf>
    <xf numFmtId="0" fontId="27" fillId="0" borderId="15" xfId="0" applyFont="1" applyBorder="1" applyAlignment="1">
      <alignment horizontal="left" vertical="top" shrinkToFit="1"/>
    </xf>
    <xf numFmtId="0" fontId="5" fillId="4" borderId="15" xfId="0" applyFont="1" applyFill="1" applyBorder="1" applyAlignment="1">
      <alignment horizontal="left" shrinkToFit="1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21" xfId="0" applyBorder="1" applyAlignment="1">
      <alignment horizontal="center" vertical="top" wrapText="1"/>
    </xf>
    <xf numFmtId="3" fontId="0" fillId="0" borderId="15" xfId="2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5" xfId="2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/>
    </xf>
    <xf numFmtId="165" fontId="0" fillId="0" borderId="21" xfId="21" applyFont="1" applyBorder="1" applyAlignment="1">
      <alignment horizontal="right" vertical="top"/>
    </xf>
    <xf numFmtId="165" fontId="0" fillId="0" borderId="21" xfId="21" applyFont="1" applyBorder="1" applyAlignment="1">
      <alignment vertical="top"/>
    </xf>
    <xf numFmtId="165" fontId="0" fillId="0" borderId="15" xfId="21" applyFont="1" applyBorder="1" applyAlignment="1">
      <alignment horizontal="right" vertical="top"/>
    </xf>
    <xf numFmtId="0" fontId="20" fillId="0" borderId="15" xfId="0" applyFont="1" applyBorder="1" applyAlignment="1">
      <alignment horizontal="center"/>
    </xf>
    <xf numFmtId="166" fontId="5" fillId="0" borderId="0" xfId="21" applyNumberFormat="1" applyFont="1" applyBorder="1" applyAlignment="1">
      <alignment horizontal="center"/>
    </xf>
    <xf numFmtId="3" fontId="5" fillId="0" borderId="15" xfId="2" quotePrefix="1" applyNumberFormat="1" applyFont="1" applyBorder="1" applyAlignment="1">
      <alignment horizontal="left" vertical="center"/>
    </xf>
    <xf numFmtId="3" fontId="23" fillId="0" borderId="15" xfId="2" quotePrefix="1" applyNumberFormat="1" applyFont="1" applyBorder="1" applyAlignment="1">
      <alignment horizontal="left" vertical="center"/>
    </xf>
    <xf numFmtId="0" fontId="4" fillId="0" borderId="0" xfId="0" applyFont="1"/>
    <xf numFmtId="166" fontId="0" fillId="0" borderId="21" xfId="21" applyNumberFormat="1" applyFont="1" applyFill="1" applyBorder="1" applyAlignment="1">
      <alignment horizontal="center"/>
    </xf>
    <xf numFmtId="165" fontId="23" fillId="0" borderId="23" xfId="2" applyFont="1" applyBorder="1"/>
    <xf numFmtId="2" fontId="5" fillId="0" borderId="0" xfId="0" applyNumberFormat="1" applyFont="1"/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left"/>
    </xf>
    <xf numFmtId="0" fontId="28" fillId="0" borderId="0" xfId="0" applyFont="1"/>
    <xf numFmtId="0" fontId="36" fillId="0" borderId="0" xfId="0" applyFont="1" applyAlignment="1">
      <alignment horizontal="left" vertical="top" wrapText="1"/>
    </xf>
    <xf numFmtId="0" fontId="5" fillId="0" borderId="0" xfId="0" applyFont="1" applyAlignment="1">
      <alignment wrapText="1" shrinkToFit="1"/>
    </xf>
    <xf numFmtId="0" fontId="0" fillId="0" borderId="0" xfId="0" applyAlignment="1">
      <alignment wrapText="1"/>
    </xf>
    <xf numFmtId="165" fontId="5" fillId="0" borderId="44" xfId="0" applyNumberFormat="1" applyFont="1" applyBorder="1"/>
    <xf numFmtId="0" fontId="5" fillId="0" borderId="9" xfId="0" applyFont="1" applyBorder="1" applyAlignment="1">
      <alignment horizontal="left"/>
    </xf>
    <xf numFmtId="165" fontId="0" fillId="0" borderId="0" xfId="1" applyFont="1"/>
    <xf numFmtId="43" fontId="0" fillId="0" borderId="0" xfId="0" applyNumberFormat="1"/>
    <xf numFmtId="165" fontId="5" fillId="0" borderId="0" xfId="1" applyFont="1" applyBorder="1"/>
    <xf numFmtId="0" fontId="5" fillId="0" borderId="17" xfId="0" applyFont="1" applyBorder="1"/>
    <xf numFmtId="0" fontId="4" fillId="0" borderId="15" xfId="0" applyFont="1" applyBorder="1" applyAlignment="1">
      <alignment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5" xfId="678" applyFont="1" applyBorder="1" applyAlignment="1">
      <alignment horizontal="left" vertical="center" shrinkToFit="1"/>
    </xf>
    <xf numFmtId="4" fontId="5" fillId="0" borderId="21" xfId="149" quotePrefix="1" applyNumberFormat="1" applyBorder="1" applyAlignment="1">
      <alignment horizontal="left" shrinkToFit="1"/>
    </xf>
    <xf numFmtId="0" fontId="1" fillId="0" borderId="8" xfId="0" applyFont="1" applyBorder="1"/>
    <xf numFmtId="4" fontId="1" fillId="0" borderId="6" xfId="0" applyNumberFormat="1" applyFont="1" applyBorder="1"/>
    <xf numFmtId="0" fontId="1" fillId="0" borderId="7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 vertical="top"/>
    </xf>
    <xf numFmtId="0" fontId="1" fillId="0" borderId="65" xfId="0" applyFont="1" applyBorder="1" applyAlignment="1">
      <alignment horizontal="left" vertical="top" shrinkToFit="1"/>
    </xf>
    <xf numFmtId="0" fontId="1" fillId="0" borderId="33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9" fillId="0" borderId="0" xfId="0" applyFont="1" applyAlignment="1">
      <alignment horizontal="left" vertical="top" shrinkToFit="1"/>
    </xf>
    <xf numFmtId="0" fontId="1" fillId="0" borderId="15" xfId="678" applyFont="1" applyBorder="1" applyAlignment="1">
      <alignment horizontal="left" vertical="center" shrinkToFit="1"/>
    </xf>
    <xf numFmtId="0" fontId="1" fillId="0" borderId="15" xfId="0" applyFont="1" applyBorder="1" applyAlignment="1">
      <alignment horizontal="center" vertical="top"/>
    </xf>
    <xf numFmtId="165" fontId="1" fillId="0" borderId="16" xfId="0" applyNumberFormat="1" applyFont="1" applyBorder="1"/>
    <xf numFmtId="0" fontId="1" fillId="0" borderId="8" xfId="0" applyFont="1" applyBorder="1" applyAlignment="1">
      <alignment horizontal="left"/>
    </xf>
    <xf numFmtId="166" fontId="1" fillId="0" borderId="17" xfId="2" applyNumberFormat="1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vertical="center" shrinkToFit="1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center"/>
    </xf>
    <xf numFmtId="15" fontId="1" fillId="0" borderId="17" xfId="0" quotePrefix="1" applyNumberFormat="1" applyFont="1" applyBorder="1"/>
    <xf numFmtId="4" fontId="1" fillId="0" borderId="17" xfId="0" applyNumberFormat="1" applyFont="1" applyBorder="1"/>
    <xf numFmtId="0" fontId="1" fillId="0" borderId="20" xfId="0" applyFont="1" applyBorder="1"/>
    <xf numFmtId="0" fontId="1" fillId="0" borderId="23" xfId="0" applyFont="1" applyBorder="1" applyAlignment="1">
      <alignment vertical="center" shrinkToFit="1"/>
    </xf>
    <xf numFmtId="0" fontId="1" fillId="0" borderId="15" xfId="0" applyFont="1" applyBorder="1" applyAlignment="1">
      <alignment horizontal="left" vertical="center" shrinkToFit="1"/>
    </xf>
    <xf numFmtId="0" fontId="1" fillId="0" borderId="15" xfId="0" applyFont="1" applyBorder="1" applyAlignment="1">
      <alignment shrinkToFit="1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166" fontId="1" fillId="0" borderId="2" xfId="2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5" fontId="1" fillId="0" borderId="23" xfId="2" applyFont="1" applyBorder="1"/>
    <xf numFmtId="166" fontId="1" fillId="0" borderId="0" xfId="2" applyNumberFormat="1" applyFont="1" applyBorder="1" applyAlignment="1">
      <alignment horizontal="left"/>
    </xf>
    <xf numFmtId="0" fontId="1" fillId="0" borderId="9" xfId="0" applyFont="1" applyBorder="1"/>
    <xf numFmtId="4" fontId="1" fillId="0" borderId="10" xfId="0" applyNumberFormat="1" applyFont="1" applyBorder="1"/>
    <xf numFmtId="4" fontId="1" fillId="0" borderId="11" xfId="0" applyNumberFormat="1" applyFont="1" applyBorder="1"/>
    <xf numFmtId="0" fontId="1" fillId="0" borderId="3" xfId="0" applyFont="1" applyBorder="1"/>
    <xf numFmtId="166" fontId="1" fillId="0" borderId="15" xfId="2" applyNumberFormat="1" applyFont="1" applyBorder="1" applyAlignment="1">
      <alignment horizontal="center"/>
    </xf>
    <xf numFmtId="1" fontId="1" fillId="0" borderId="15" xfId="2" quotePrefix="1" applyNumberFormat="1" applyFont="1" applyBorder="1" applyAlignment="1">
      <alignment horizontal="center" vertical="center"/>
    </xf>
    <xf numFmtId="165" fontId="1" fillId="0" borderId="15" xfId="2" applyFont="1" applyBorder="1" applyAlignment="1">
      <alignment horizontal="right" vertical="top"/>
    </xf>
    <xf numFmtId="168" fontId="1" fillId="0" borderId="15" xfId="2" quotePrefix="1" applyNumberFormat="1" applyFont="1" applyBorder="1" applyAlignment="1">
      <alignment horizontal="center" vertical="center"/>
    </xf>
    <xf numFmtId="167" fontId="1" fillId="0" borderId="15" xfId="2" quotePrefix="1" applyNumberFormat="1" applyFont="1" applyBorder="1" applyAlignment="1">
      <alignment horizontal="center" vertical="center"/>
    </xf>
    <xf numFmtId="165" fontId="1" fillId="0" borderId="15" xfId="2" applyFont="1" applyFill="1" applyBorder="1" applyAlignment="1">
      <alignment horizontal="left" vertical="center"/>
    </xf>
    <xf numFmtId="0" fontId="1" fillId="0" borderId="15" xfId="2" quotePrefix="1" applyNumberFormat="1" applyFont="1" applyBorder="1" applyAlignment="1">
      <alignment horizontal="center" vertical="center"/>
    </xf>
    <xf numFmtId="166" fontId="1" fillId="0" borderId="15" xfId="2" quotePrefix="1" applyNumberFormat="1" applyFont="1" applyBorder="1" applyAlignment="1">
      <alignment horizontal="center" vertical="center"/>
    </xf>
    <xf numFmtId="0" fontId="1" fillId="0" borderId="15" xfId="2" quotePrefix="1" applyNumberFormat="1" applyFont="1" applyBorder="1" applyAlignment="1">
      <alignment horizontal="center"/>
    </xf>
    <xf numFmtId="166" fontId="1" fillId="0" borderId="15" xfId="2" quotePrefix="1" applyNumberFormat="1" applyFont="1" applyBorder="1" applyAlignment="1">
      <alignment horizontal="center" vertical="top"/>
    </xf>
    <xf numFmtId="165" fontId="1" fillId="0" borderId="15" xfId="2" applyFont="1" applyFill="1" applyBorder="1" applyAlignment="1">
      <alignment vertical="center"/>
    </xf>
    <xf numFmtId="1" fontId="1" fillId="0" borderId="15" xfId="2" applyNumberFormat="1" applyFont="1" applyBorder="1" applyAlignment="1">
      <alignment horizontal="center"/>
    </xf>
    <xf numFmtId="166" fontId="1" fillId="0" borderId="15" xfId="2" quotePrefix="1" applyNumberFormat="1" applyFont="1" applyBorder="1" applyAlignment="1">
      <alignment vertical="center"/>
    </xf>
    <xf numFmtId="0" fontId="1" fillId="0" borderId="15" xfId="2" applyNumberFormat="1" applyFont="1" applyBorder="1" applyAlignment="1">
      <alignment horizontal="center"/>
    </xf>
    <xf numFmtId="165" fontId="1" fillId="0" borderId="15" xfId="2" applyFont="1" applyFill="1" applyBorder="1" applyAlignment="1">
      <alignment horizontal="center" vertical="center"/>
    </xf>
    <xf numFmtId="166" fontId="1" fillId="0" borderId="15" xfId="2" applyNumberFormat="1" applyFont="1" applyBorder="1" applyAlignment="1">
      <alignment horizontal="left"/>
    </xf>
    <xf numFmtId="0" fontId="1" fillId="0" borderId="15" xfId="2" quotePrefix="1" applyNumberFormat="1" applyFont="1" applyBorder="1" applyAlignment="1">
      <alignment horizontal="center" vertical="top"/>
    </xf>
    <xf numFmtId="165" fontId="1" fillId="0" borderId="15" xfId="2" applyFont="1" applyBorder="1" applyAlignment="1">
      <alignment vertical="top"/>
    </xf>
    <xf numFmtId="0" fontId="1" fillId="0" borderId="15" xfId="0" applyFont="1" applyBorder="1" applyAlignment="1">
      <alignment horizontal="left" shrinkToFit="1"/>
    </xf>
    <xf numFmtId="0" fontId="1" fillId="0" borderId="15" xfId="0" applyFont="1" applyBorder="1" applyAlignment="1">
      <alignment vertical="top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/>
    </xf>
    <xf numFmtId="0" fontId="1" fillId="0" borderId="15" xfId="2" applyNumberFormat="1" applyFont="1" applyBorder="1" applyAlignment="1">
      <alignment horizontal="center" vertical="center"/>
    </xf>
    <xf numFmtId="4" fontId="1" fillId="0" borderId="15" xfId="0" applyNumberFormat="1" applyFont="1" applyBorder="1"/>
    <xf numFmtId="0" fontId="1" fillId="0" borderId="15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166" fontId="1" fillId="0" borderId="27" xfId="2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6" fontId="1" fillId="0" borderId="0" xfId="2" applyNumberFormat="1" applyFont="1" applyBorder="1" applyAlignment="1">
      <alignment horizontal="center"/>
    </xf>
    <xf numFmtId="0" fontId="1" fillId="0" borderId="0" xfId="0" applyFont="1"/>
    <xf numFmtId="4" fontId="1" fillId="0" borderId="0" xfId="0" applyNumberFormat="1" applyFont="1"/>
    <xf numFmtId="166" fontId="1" fillId="0" borderId="17" xfId="21" applyNumberFormat="1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15" xfId="0" applyFont="1" applyBorder="1"/>
    <xf numFmtId="0" fontId="4" fillId="0" borderId="15" xfId="0" applyFont="1" applyBorder="1"/>
    <xf numFmtId="0" fontId="4" fillId="0" borderId="15" xfId="0" applyFont="1" applyBorder="1" applyAlignment="1">
      <alignment wrapText="1"/>
    </xf>
    <xf numFmtId="165" fontId="1" fillId="0" borderId="0" xfId="1" applyFont="1"/>
    <xf numFmtId="165" fontId="1" fillId="0" borderId="0" xfId="0" applyNumberFormat="1" applyFont="1"/>
    <xf numFmtId="166" fontId="1" fillId="0" borderId="0" xfId="1" applyNumberFormat="1" applyFont="1" applyAlignment="1">
      <alignment horizontal="left"/>
    </xf>
    <xf numFmtId="0" fontId="4" fillId="0" borderId="23" xfId="0" applyFont="1" applyBorder="1" applyAlignment="1">
      <alignment vertical="center" shrinkToFit="1"/>
    </xf>
    <xf numFmtId="0" fontId="40" fillId="0" borderId="15" xfId="0" applyFont="1" applyBorder="1" applyAlignment="1">
      <alignment shrinkToFit="1"/>
    </xf>
    <xf numFmtId="0" fontId="1" fillId="0" borderId="19" xfId="0" applyFont="1" applyBorder="1" applyAlignment="1">
      <alignment horizontal="left"/>
    </xf>
    <xf numFmtId="0" fontId="8" fillId="0" borderId="7" xfId="0" applyFont="1" applyBorder="1"/>
    <xf numFmtId="0" fontId="4" fillId="0" borderId="15" xfId="0" applyFont="1" applyBorder="1" applyAlignment="1">
      <alignment shrinkToFit="1"/>
    </xf>
    <xf numFmtId="0" fontId="4" fillId="0" borderId="15" xfId="0" applyFont="1" applyBorder="1" applyAlignment="1">
      <alignment vertical="top" shrinkToFit="1"/>
    </xf>
    <xf numFmtId="15" fontId="4" fillId="0" borderId="15" xfId="678" quotePrefix="1" applyNumberFormat="1" applyFont="1" applyBorder="1" applyAlignment="1">
      <alignment horizontal="left" vertical="center" shrinkToFit="1"/>
    </xf>
    <xf numFmtId="15" fontId="4" fillId="0" borderId="15" xfId="0" quotePrefix="1" applyNumberFormat="1" applyFont="1" applyBorder="1" applyAlignment="1">
      <alignment horizontal="left" vertical="center" shrinkToFit="1"/>
    </xf>
    <xf numFmtId="15" fontId="1" fillId="0" borderId="15" xfId="0" quotePrefix="1" applyNumberFormat="1" applyFont="1" applyBorder="1" applyAlignment="1">
      <alignment horizontal="left" vertical="center" shrinkToFit="1"/>
    </xf>
    <xf numFmtId="15" fontId="4" fillId="0" borderId="15" xfId="0" quotePrefix="1" applyNumberFormat="1" applyFont="1" applyBorder="1" applyAlignment="1">
      <alignment vertical="center" shrinkToFit="1"/>
    </xf>
    <xf numFmtId="15" fontId="4" fillId="0" borderId="15" xfId="0" quotePrefix="1" applyNumberFormat="1" applyFont="1" applyBorder="1" applyAlignment="1">
      <alignment shrinkToFit="1"/>
    </xf>
    <xf numFmtId="165" fontId="1" fillId="0" borderId="15" xfId="1" applyFont="1" applyBorder="1" applyAlignment="1">
      <alignment horizontal="right" vertical="top"/>
    </xf>
    <xf numFmtId="15" fontId="4" fillId="0" borderId="32" xfId="678" quotePrefix="1" applyNumberFormat="1" applyFont="1" applyBorder="1" applyAlignment="1">
      <alignment vertical="top" shrinkToFit="1"/>
    </xf>
    <xf numFmtId="16" fontId="32" fillId="0" borderId="0" xfId="0" quotePrefix="1" applyNumberFormat="1" applyFont="1"/>
    <xf numFmtId="0" fontId="1" fillId="0" borderId="15" xfId="678" applyFont="1" applyBorder="1" applyAlignment="1">
      <alignment vertical="center" shrinkToFit="1"/>
    </xf>
    <xf numFmtId="0" fontId="10" fillId="0" borderId="65" xfId="0" applyFont="1" applyBorder="1" applyAlignment="1">
      <alignment horizontal="center" vertical="top" shrinkToFit="1"/>
    </xf>
    <xf numFmtId="165" fontId="1" fillId="0" borderId="15" xfId="2" applyFont="1" applyBorder="1"/>
    <xf numFmtId="0" fontId="1" fillId="0" borderId="15" xfId="21" applyNumberFormat="1" applyFont="1" applyFill="1" applyBorder="1" applyAlignment="1">
      <alignment horizontal="center"/>
    </xf>
    <xf numFmtId="0" fontId="23" fillId="0" borderId="65" xfId="0" applyFont="1" applyBorder="1" applyAlignment="1">
      <alignment horizontal="left" vertical="top" shrinkToFit="1"/>
    </xf>
    <xf numFmtId="0" fontId="0" fillId="0" borderId="22" xfId="0" applyBorder="1"/>
    <xf numFmtId="15" fontId="1" fillId="0" borderId="15" xfId="0" quotePrefix="1" applyNumberFormat="1" applyFont="1" applyBorder="1" applyAlignment="1">
      <alignment vertical="center" shrinkToFit="1"/>
    </xf>
    <xf numFmtId="0" fontId="2" fillId="0" borderId="15" xfId="0" applyFont="1" applyBorder="1" applyAlignment="1">
      <alignment horizontal="left" vertical="center"/>
    </xf>
    <xf numFmtId="16" fontId="28" fillId="0" borderId="0" xfId="0" quotePrefix="1" applyNumberFormat="1" applyFont="1"/>
    <xf numFmtId="43" fontId="4" fillId="0" borderId="0" xfId="0" applyNumberFormat="1" applyFont="1"/>
    <xf numFmtId="0" fontId="23" fillId="0" borderId="19" xfId="0" applyFont="1" applyBorder="1" applyAlignment="1">
      <alignment horizontal="center"/>
    </xf>
    <xf numFmtId="166" fontId="23" fillId="0" borderId="17" xfId="2" applyNumberFormat="1" applyFont="1" applyBorder="1" applyAlignment="1">
      <alignment horizontal="left"/>
    </xf>
    <xf numFmtId="15" fontId="23" fillId="0" borderId="17" xfId="0" quotePrefix="1" applyNumberFormat="1" applyFont="1" applyBorder="1"/>
    <xf numFmtId="4" fontId="23" fillId="0" borderId="17" xfId="0" applyNumberFormat="1" applyFont="1" applyBorder="1"/>
    <xf numFmtId="0" fontId="23" fillId="0" borderId="20" xfId="0" applyFont="1" applyBorder="1"/>
    <xf numFmtId="0" fontId="29" fillId="0" borderId="0" xfId="0" applyFont="1" applyAlignment="1">
      <alignment horizontal="center"/>
    </xf>
    <xf numFmtId="0" fontId="29" fillId="0" borderId="1" xfId="0" applyFont="1" applyBorder="1"/>
    <xf numFmtId="166" fontId="29" fillId="0" borderId="2" xfId="2" applyNumberFormat="1" applyFont="1" applyBorder="1" applyAlignment="1">
      <alignment horizontal="left"/>
    </xf>
    <xf numFmtId="0" fontId="29" fillId="0" borderId="2" xfId="0" applyFont="1" applyBorder="1" applyAlignment="1">
      <alignment horizontal="center"/>
    </xf>
    <xf numFmtId="0" fontId="29" fillId="0" borderId="2" xfId="0" applyFont="1" applyBorder="1"/>
    <xf numFmtId="4" fontId="29" fillId="0" borderId="2" xfId="0" applyNumberFormat="1" applyFont="1" applyBorder="1"/>
    <xf numFmtId="0" fontId="29" fillId="0" borderId="3" xfId="0" applyFont="1" applyBorder="1" applyAlignment="1">
      <alignment horizontal="right"/>
    </xf>
    <xf numFmtId="0" fontId="29" fillId="0" borderId="4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29" fillId="0" borderId="8" xfId="0" applyFont="1" applyBorder="1"/>
    <xf numFmtId="166" fontId="29" fillId="0" borderId="0" xfId="2" applyNumberFormat="1" applyFont="1" applyBorder="1" applyAlignment="1">
      <alignment horizontal="left"/>
    </xf>
    <xf numFmtId="0" fontId="41" fillId="0" borderId="0" xfId="0" applyFont="1" applyAlignment="1">
      <alignment horizontal="center"/>
    </xf>
    <xf numFmtId="0" fontId="29" fillId="0" borderId="9" xfId="0" applyFont="1" applyBorder="1"/>
    <xf numFmtId="0" fontId="29" fillId="0" borderId="8" xfId="0" applyFont="1" applyBorder="1" applyAlignment="1">
      <alignment horizontal="left"/>
    </xf>
    <xf numFmtId="0" fontId="29" fillId="0" borderId="0" xfId="0" applyFont="1" applyAlignment="1">
      <alignment horizontal="left"/>
    </xf>
    <xf numFmtId="4" fontId="29" fillId="0" borderId="10" xfId="0" applyNumberFormat="1" applyFont="1" applyBorder="1"/>
    <xf numFmtId="4" fontId="29" fillId="0" borderId="11" xfId="0" applyNumberFormat="1" applyFont="1" applyBorder="1"/>
    <xf numFmtId="0" fontId="29" fillId="0" borderId="3" xfId="0" applyFont="1" applyBorder="1"/>
    <xf numFmtId="0" fontId="32" fillId="0" borderId="37" xfId="0" applyFont="1" applyBorder="1" applyAlignment="1">
      <alignment horizontal="center" vertical="top" wrapText="1"/>
    </xf>
    <xf numFmtId="0" fontId="32" fillId="0" borderId="13" xfId="0" applyFont="1" applyBorder="1" applyAlignment="1">
      <alignment horizontal="center" vertical="top" wrapText="1"/>
    </xf>
    <xf numFmtId="0" fontId="32" fillId="0" borderId="13" xfId="0" applyFont="1" applyBorder="1" applyAlignment="1">
      <alignment horizontal="center" vertical="center" wrapText="1"/>
    </xf>
    <xf numFmtId="166" fontId="32" fillId="0" borderId="13" xfId="2" applyNumberFormat="1" applyFont="1" applyBorder="1" applyAlignment="1">
      <alignment horizontal="center" vertical="center" wrapText="1"/>
    </xf>
    <xf numFmtId="4" fontId="32" fillId="0" borderId="13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/>
    </xf>
    <xf numFmtId="166" fontId="29" fillId="0" borderId="15" xfId="2" applyNumberFormat="1" applyFont="1" applyBorder="1" applyAlignment="1">
      <alignment horizontal="center"/>
    </xf>
    <xf numFmtId="0" fontId="29" fillId="0" borderId="21" xfId="0" applyFont="1" applyBorder="1" applyAlignment="1">
      <alignment horizontal="center" vertical="top" wrapText="1"/>
    </xf>
    <xf numFmtId="0" fontId="29" fillId="0" borderId="32" xfId="0" quotePrefix="1" applyFont="1" applyBorder="1" applyAlignment="1">
      <alignment vertical="top" shrinkToFit="1"/>
    </xf>
    <xf numFmtId="165" fontId="29" fillId="0" borderId="21" xfId="21" applyFont="1" applyBorder="1" applyAlignment="1">
      <alignment horizontal="right" vertical="top"/>
    </xf>
    <xf numFmtId="0" fontId="29" fillId="0" borderId="26" xfId="0" quotePrefix="1" applyFont="1" applyBorder="1" applyAlignment="1">
      <alignment vertical="top" shrinkToFit="1"/>
    </xf>
    <xf numFmtId="0" fontId="29" fillId="0" borderId="15" xfId="2" quotePrefix="1" applyNumberFormat="1" applyFont="1" applyBorder="1" applyAlignment="1">
      <alignment horizontal="center" vertical="center"/>
    </xf>
    <xf numFmtId="165" fontId="29" fillId="0" borderId="15" xfId="2" applyFont="1" applyBorder="1" applyAlignment="1">
      <alignment horizontal="right" vertical="top"/>
    </xf>
    <xf numFmtId="0" fontId="29" fillId="0" borderId="15" xfId="678" applyFont="1" applyBorder="1" applyAlignment="1">
      <alignment horizontal="left" vertical="center" shrinkToFit="1"/>
    </xf>
    <xf numFmtId="167" fontId="29" fillId="0" borderId="15" xfId="2" quotePrefix="1" applyNumberFormat="1" applyFont="1" applyBorder="1" applyAlignment="1">
      <alignment horizontal="center" vertical="center"/>
    </xf>
    <xf numFmtId="165" fontId="29" fillId="0" borderId="15" xfId="2" applyFont="1" applyFill="1" applyBorder="1" applyAlignment="1">
      <alignment horizontal="left" vertical="center"/>
    </xf>
    <xf numFmtId="166" fontId="29" fillId="0" borderId="15" xfId="2" quotePrefix="1" applyNumberFormat="1" applyFont="1" applyBorder="1" applyAlignment="1">
      <alignment horizontal="center" vertical="center"/>
    </xf>
    <xf numFmtId="0" fontId="29" fillId="0" borderId="15" xfId="2" quotePrefix="1" applyNumberFormat="1" applyFont="1" applyBorder="1" applyAlignment="1">
      <alignment horizontal="center"/>
    </xf>
    <xf numFmtId="166" fontId="29" fillId="0" borderId="15" xfId="2" quotePrefix="1" applyNumberFormat="1" applyFont="1" applyBorder="1" applyAlignment="1">
      <alignment horizontal="center" vertical="top"/>
    </xf>
    <xf numFmtId="0" fontId="29" fillId="0" borderId="15" xfId="0" applyFont="1" applyBorder="1" applyAlignment="1">
      <alignment horizontal="center" vertical="center"/>
    </xf>
    <xf numFmtId="165" fontId="29" fillId="0" borderId="15" xfId="2" applyFont="1" applyFill="1" applyBorder="1" applyAlignment="1">
      <alignment vertical="center"/>
    </xf>
    <xf numFmtId="0" fontId="29" fillId="0" borderId="15" xfId="0" applyFont="1" applyBorder="1" applyAlignment="1">
      <alignment horizontal="left" vertical="center" shrinkToFit="1"/>
    </xf>
    <xf numFmtId="1" fontId="29" fillId="0" borderId="15" xfId="2" applyNumberFormat="1" applyFont="1" applyBorder="1" applyAlignment="1">
      <alignment horizontal="center"/>
    </xf>
    <xf numFmtId="166" fontId="29" fillId="0" borderId="15" xfId="2" quotePrefix="1" applyNumberFormat="1" applyFont="1" applyBorder="1" applyAlignment="1">
      <alignment vertical="center"/>
    </xf>
    <xf numFmtId="0" fontId="29" fillId="0" borderId="15" xfId="2" applyNumberFormat="1" applyFont="1" applyBorder="1" applyAlignment="1">
      <alignment horizontal="center"/>
    </xf>
    <xf numFmtId="165" fontId="29" fillId="0" borderId="15" xfId="2" applyFont="1" applyFill="1" applyBorder="1" applyAlignment="1">
      <alignment horizontal="center" vertical="center"/>
    </xf>
    <xf numFmtId="166" fontId="29" fillId="0" borderId="15" xfId="2" applyNumberFormat="1" applyFont="1" applyBorder="1" applyAlignment="1">
      <alignment horizontal="left"/>
    </xf>
    <xf numFmtId="0" fontId="29" fillId="0" borderId="15" xfId="2" quotePrefix="1" applyNumberFormat="1" applyFont="1" applyBorder="1" applyAlignment="1">
      <alignment horizontal="center" vertical="top"/>
    </xf>
    <xf numFmtId="165" fontId="29" fillId="0" borderId="15" xfId="2" applyFont="1" applyBorder="1" applyAlignment="1">
      <alignment vertical="top"/>
    </xf>
    <xf numFmtId="0" fontId="29" fillId="0" borderId="15" xfId="0" applyFont="1" applyBorder="1" applyAlignment="1">
      <alignment horizontal="left" shrinkToFit="1"/>
    </xf>
    <xf numFmtId="0" fontId="29" fillId="0" borderId="15" xfId="0" applyFont="1" applyBorder="1" applyAlignment="1">
      <alignment vertical="top" shrinkToFit="1"/>
    </xf>
    <xf numFmtId="0" fontId="29" fillId="0" borderId="15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29" fillId="0" borderId="15" xfId="2" applyNumberFormat="1" applyFont="1" applyBorder="1" applyAlignment="1">
      <alignment horizontal="center" vertical="center"/>
    </xf>
    <xf numFmtId="4" fontId="29" fillId="0" borderId="15" xfId="0" applyNumberFormat="1" applyFont="1" applyBorder="1"/>
    <xf numFmtId="0" fontId="29" fillId="0" borderId="15" xfId="0" applyFont="1" applyBorder="1" applyAlignment="1">
      <alignment horizontal="left" vertical="center"/>
    </xf>
    <xf numFmtId="0" fontId="29" fillId="0" borderId="12" xfId="0" applyFont="1" applyBorder="1" applyAlignment="1">
      <alignment horizontal="center"/>
    </xf>
    <xf numFmtId="166" fontId="29" fillId="0" borderId="27" xfId="2" applyNumberFormat="1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4" fontId="32" fillId="0" borderId="17" xfId="0" applyNumberFormat="1" applyFont="1" applyBorder="1" applyAlignment="1">
      <alignment horizontal="right"/>
    </xf>
    <xf numFmtId="165" fontId="32" fillId="0" borderId="18" xfId="0" applyNumberFormat="1" applyFont="1" applyBorder="1"/>
    <xf numFmtId="0" fontId="29" fillId="0" borderId="19" xfId="0" applyFont="1" applyBorder="1" applyAlignment="1">
      <alignment horizontal="center"/>
    </xf>
    <xf numFmtId="166" fontId="29" fillId="0" borderId="17" xfId="2" applyNumberFormat="1" applyFont="1" applyBorder="1" applyAlignment="1">
      <alignment horizontal="left"/>
    </xf>
    <xf numFmtId="15" fontId="29" fillId="0" borderId="17" xfId="0" quotePrefix="1" applyNumberFormat="1" applyFont="1" applyBorder="1"/>
    <xf numFmtId="4" fontId="29" fillId="0" borderId="17" xfId="0" applyNumberFormat="1" applyFont="1" applyBorder="1"/>
    <xf numFmtId="0" fontId="29" fillId="0" borderId="20" xfId="0" applyFont="1" applyBorder="1"/>
    <xf numFmtId="0" fontId="29" fillId="0" borderId="21" xfId="0" applyFont="1" applyBorder="1" applyAlignment="1">
      <alignment horizontal="center"/>
    </xf>
    <xf numFmtId="0" fontId="29" fillId="0" borderId="15" xfId="0" applyFont="1" applyBorder="1"/>
    <xf numFmtId="0" fontId="32" fillId="0" borderId="1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1" fillId="0" borderId="15" xfId="21" applyNumberFormat="1" applyFont="1" applyBorder="1" applyAlignment="1">
      <alignment horizontal="center"/>
    </xf>
    <xf numFmtId="0" fontId="1" fillId="4" borderId="15" xfId="0" applyFont="1" applyFill="1" applyBorder="1" applyAlignment="1">
      <alignment horizontal="left" vertical="center" shrinkToFit="1"/>
    </xf>
    <xf numFmtId="1" fontId="1" fillId="0" borderId="36" xfId="2" quotePrefix="1" applyNumberFormat="1" applyFont="1" applyBorder="1" applyAlignment="1">
      <alignment horizontal="center" vertical="center"/>
    </xf>
    <xf numFmtId="165" fontId="28" fillId="0" borderId="0" xfId="0" applyNumberFormat="1" applyFont="1"/>
    <xf numFmtId="3" fontId="1" fillId="0" borderId="15" xfId="2" quotePrefix="1" applyNumberFormat="1" applyFont="1" applyBorder="1" applyAlignment="1">
      <alignment horizontal="center" vertical="center"/>
    </xf>
    <xf numFmtId="43" fontId="1" fillId="0" borderId="0" xfId="0" applyNumberFormat="1" applyFont="1"/>
    <xf numFmtId="43" fontId="1" fillId="0" borderId="0" xfId="0" applyNumberFormat="1" applyFont="1" applyAlignment="1">
      <alignment horizontal="center"/>
    </xf>
    <xf numFmtId="1" fontId="5" fillId="0" borderId="0" xfId="0" applyNumberFormat="1" applyFont="1"/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165" fontId="1" fillId="0" borderId="15" xfId="1" applyFont="1" applyFill="1" applyBorder="1" applyAlignment="1">
      <alignment vertical="center"/>
    </xf>
    <xf numFmtId="165" fontId="1" fillId="0" borderId="15" xfId="1" applyFont="1" applyBorder="1" applyAlignment="1">
      <alignment vertical="top"/>
    </xf>
    <xf numFmtId="165" fontId="1" fillId="0" borderId="15" xfId="1" applyFont="1" applyBorder="1"/>
    <xf numFmtId="165" fontId="1" fillId="0" borderId="15" xfId="1" applyFont="1" applyFill="1" applyBorder="1" applyAlignment="1">
      <alignment horizontal="left" vertical="center"/>
    </xf>
    <xf numFmtId="0" fontId="1" fillId="0" borderId="38" xfId="0" applyFont="1" applyBorder="1" applyAlignment="1">
      <alignment horizontal="center"/>
    </xf>
    <xf numFmtId="0" fontId="1" fillId="0" borderId="22" xfId="0" applyFont="1" applyBorder="1" applyAlignment="1">
      <alignment horizontal="center" shrinkToFit="1"/>
    </xf>
    <xf numFmtId="0" fontId="1" fillId="0" borderId="24" xfId="0" applyFont="1" applyBorder="1" applyAlignment="1">
      <alignment horizontal="center"/>
    </xf>
    <xf numFmtId="165" fontId="28" fillId="0" borderId="25" xfId="0" applyNumberFormat="1" applyFont="1" applyBorder="1"/>
    <xf numFmtId="15" fontId="1" fillId="0" borderId="21" xfId="0" quotePrefix="1" applyNumberFormat="1" applyFont="1" applyBorder="1" applyAlignment="1">
      <alignment vertical="center" shrinkToFit="1"/>
    </xf>
    <xf numFmtId="1" fontId="1" fillId="0" borderId="21" xfId="2" quotePrefix="1" applyNumberFormat="1" applyFont="1" applyBorder="1" applyAlignment="1">
      <alignment horizontal="center" vertical="center"/>
    </xf>
    <xf numFmtId="165" fontId="1" fillId="0" borderId="21" xfId="2" applyFont="1" applyBorder="1" applyAlignment="1">
      <alignment horizontal="right" vertical="top"/>
    </xf>
    <xf numFmtId="0" fontId="4" fillId="0" borderId="74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166" fontId="4" fillId="0" borderId="32" xfId="2" applyNumberFormat="1" applyFont="1" applyBorder="1" applyAlignment="1">
      <alignment horizontal="center" vertical="center" wrapText="1"/>
    </xf>
    <xf numFmtId="4" fontId="4" fillId="0" borderId="32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165" fontId="1" fillId="0" borderId="31" xfId="2" applyFont="1" applyFill="1" applyBorder="1" applyAlignment="1">
      <alignment horizontal="left" vertical="center"/>
    </xf>
    <xf numFmtId="165" fontId="1" fillId="0" borderId="25" xfId="0" applyNumberFormat="1" applyFont="1" applyBorder="1"/>
    <xf numFmtId="165" fontId="0" fillId="0" borderId="15" xfId="1" applyFont="1" applyBorder="1" applyAlignment="1">
      <alignment horizontal="center"/>
    </xf>
    <xf numFmtId="43" fontId="0" fillId="0" borderId="15" xfId="0" applyNumberForma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7" xfId="0" applyFont="1" applyBorder="1"/>
    <xf numFmtId="0" fontId="4" fillId="0" borderId="58" xfId="0" applyFont="1" applyBorder="1"/>
    <xf numFmtId="0" fontId="0" fillId="0" borderId="71" xfId="0" applyBorder="1" applyAlignment="1">
      <alignment horizontal="center"/>
    </xf>
    <xf numFmtId="165" fontId="0" fillId="0" borderId="72" xfId="1" applyFont="1" applyBorder="1" applyAlignment="1">
      <alignment horizontal="center"/>
    </xf>
    <xf numFmtId="43" fontId="0" fillId="0" borderId="72" xfId="0" applyNumberFormat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2" xfId="0" applyBorder="1"/>
    <xf numFmtId="43" fontId="0" fillId="0" borderId="76" xfId="0" applyNumberFormat="1" applyBorder="1"/>
    <xf numFmtId="0" fontId="0" fillId="0" borderId="24" xfId="0" applyBorder="1" applyAlignment="1">
      <alignment horizontal="center"/>
    </xf>
    <xf numFmtId="43" fontId="0" fillId="0" borderId="25" xfId="0" applyNumberFormat="1" applyBorder="1"/>
    <xf numFmtId="0" fontId="0" fillId="0" borderId="49" xfId="0" applyBorder="1" applyAlignment="1">
      <alignment horizontal="center"/>
    </xf>
    <xf numFmtId="165" fontId="0" fillId="0" borderId="22" xfId="1" applyFont="1" applyBorder="1" applyAlignment="1">
      <alignment horizontal="center"/>
    </xf>
    <xf numFmtId="43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43" fontId="0" fillId="0" borderId="73" xfId="0" applyNumberFormat="1" applyBorder="1"/>
    <xf numFmtId="165" fontId="1" fillId="0" borderId="15" xfId="2" applyFont="1" applyBorder="1" applyAlignment="1">
      <alignment horizontal="right" vertic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65" fontId="1" fillId="0" borderId="0" xfId="1" applyFont="1" applyFill="1" applyBorder="1"/>
    <xf numFmtId="166" fontId="1" fillId="0" borderId="2" xfId="21" applyNumberFormat="1" applyFont="1" applyBorder="1" applyAlignment="1">
      <alignment horizontal="left"/>
    </xf>
    <xf numFmtId="4" fontId="23" fillId="0" borderId="23" xfId="0" applyNumberFormat="1" applyFont="1" applyBorder="1"/>
    <xf numFmtId="166" fontId="1" fillId="0" borderId="0" xfId="21" applyNumberFormat="1" applyFont="1" applyBorder="1" applyAlignment="1">
      <alignment horizontal="left"/>
    </xf>
    <xf numFmtId="166" fontId="1" fillId="0" borderId="15" xfId="21" applyNumberFormat="1" applyFont="1" applyBorder="1" applyAlignment="1">
      <alignment horizontal="center"/>
    </xf>
    <xf numFmtId="3" fontId="1" fillId="0" borderId="15" xfId="21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left" vertical="top"/>
    </xf>
    <xf numFmtId="166" fontId="1" fillId="0" borderId="15" xfId="21" quotePrefix="1" applyNumberFormat="1" applyFont="1" applyBorder="1" applyAlignment="1">
      <alignment vertical="center"/>
    </xf>
    <xf numFmtId="0" fontId="23" fillId="4" borderId="30" xfId="0" applyFont="1" applyFill="1" applyBorder="1" applyAlignment="1">
      <alignment horizontal="left"/>
    </xf>
    <xf numFmtId="166" fontId="1" fillId="0" borderId="15" xfId="21" quotePrefix="1" applyNumberFormat="1" applyFont="1" applyBorder="1" applyAlignment="1">
      <alignment horizontal="center" vertical="center"/>
    </xf>
    <xf numFmtId="3" fontId="1" fillId="0" borderId="15" xfId="21" applyNumberFormat="1" applyFont="1" applyBorder="1" applyAlignment="1">
      <alignment horizontal="center"/>
    </xf>
    <xf numFmtId="0" fontId="1" fillId="4" borderId="15" xfId="0" applyFont="1" applyFill="1" applyBorder="1" applyAlignment="1">
      <alignment horizontal="left"/>
    </xf>
    <xf numFmtId="0" fontId="23" fillId="0" borderId="64" xfId="0" applyFont="1" applyBorder="1" applyAlignment="1">
      <alignment horizontal="left" vertical="top" shrinkToFit="1"/>
    </xf>
    <xf numFmtId="0" fontId="1" fillId="0" borderId="21" xfId="21" applyNumberFormat="1" applyFont="1" applyFill="1" applyBorder="1" applyAlignment="1">
      <alignment horizontal="center"/>
    </xf>
    <xf numFmtId="165" fontId="1" fillId="0" borderId="21" xfId="2" applyFont="1" applyBorder="1"/>
    <xf numFmtId="166" fontId="1" fillId="0" borderId="13" xfId="21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6" fontId="1" fillId="0" borderId="34" xfId="21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vertical="center" shrinkToFit="1"/>
    </xf>
    <xf numFmtId="4" fontId="1" fillId="0" borderId="34" xfId="0" applyNumberFormat="1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166" fontId="1" fillId="0" borderId="17" xfId="21" applyNumberFormat="1" applyFont="1" applyBorder="1" applyAlignment="1">
      <alignment horizontal="center" vertical="center"/>
    </xf>
    <xf numFmtId="4" fontId="1" fillId="0" borderId="17" xfId="0" applyNumberFormat="1" applyFont="1" applyBorder="1" applyAlignment="1">
      <alignment vertical="center"/>
    </xf>
    <xf numFmtId="0" fontId="1" fillId="4" borderId="0" xfId="0" applyFont="1" applyFill="1" applyAlignment="1">
      <alignment horizontal="left"/>
    </xf>
    <xf numFmtId="0" fontId="1" fillId="0" borderId="77" xfId="0" applyFont="1" applyBorder="1" applyAlignment="1">
      <alignment horizontal="center"/>
    </xf>
    <xf numFmtId="166" fontId="1" fillId="0" borderId="23" xfId="21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23" fillId="0" borderId="0" xfId="0" applyFont="1" applyAlignment="1">
      <alignment horizontal="left" vertical="top" shrinkToFit="1"/>
    </xf>
    <xf numFmtId="0" fontId="1" fillId="0" borderId="11" xfId="21" applyNumberFormat="1" applyFont="1" applyFill="1" applyBorder="1" applyAlignment="1">
      <alignment horizontal="center"/>
    </xf>
    <xf numFmtId="165" fontId="1" fillId="0" borderId="44" xfId="0" applyNumberFormat="1" applyFont="1" applyBorder="1"/>
    <xf numFmtId="0" fontId="1" fillId="0" borderId="19" xfId="0" applyFont="1" applyBorder="1"/>
    <xf numFmtId="166" fontId="5" fillId="0" borderId="17" xfId="2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2" applyNumberFormat="1" applyFont="1" applyBorder="1" applyAlignment="1">
      <alignment horizontal="center"/>
    </xf>
    <xf numFmtId="165" fontId="1" fillId="0" borderId="0" xfId="1" applyFont="1" applyAlignment="1">
      <alignment horizontal="center"/>
    </xf>
    <xf numFmtId="165" fontId="1" fillId="0" borderId="0" xfId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5" fontId="1" fillId="0" borderId="32" xfId="678" quotePrefix="1" applyNumberFormat="1" applyFont="1" applyBorder="1" applyAlignment="1">
      <alignment vertical="top" shrinkToFit="1"/>
    </xf>
    <xf numFmtId="165" fontId="1" fillId="0" borderId="15" xfId="1" applyFont="1" applyFill="1" applyBorder="1" applyAlignment="1">
      <alignment horizontal="center" vertical="center"/>
    </xf>
    <xf numFmtId="165" fontId="4" fillId="0" borderId="0" xfId="1" applyFont="1"/>
    <xf numFmtId="0" fontId="4" fillId="0" borderId="0" xfId="1" applyNumberFormat="1" applyFont="1"/>
    <xf numFmtId="0" fontId="1" fillId="0" borderId="0" xfId="1" applyNumberFormat="1" applyFont="1"/>
    <xf numFmtId="2" fontId="1" fillId="0" borderId="15" xfId="2" applyNumberFormat="1" applyFont="1" applyBorder="1" applyAlignment="1">
      <alignment horizontal="center"/>
    </xf>
    <xf numFmtId="165" fontId="1" fillId="0" borderId="0" xfId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23" fillId="4" borderId="0" xfId="0" applyFont="1" applyFill="1" applyAlignment="1">
      <alignment horizontal="left"/>
    </xf>
    <xf numFmtId="0" fontId="1" fillId="0" borderId="74" xfId="0" applyFont="1" applyBorder="1" applyAlignment="1">
      <alignment horizontal="center" vertical="top" wrapText="1"/>
    </xf>
    <xf numFmtId="0" fontId="1" fillId="0" borderId="32" xfId="2" applyNumberFormat="1" applyFont="1" applyBorder="1" applyAlignment="1">
      <alignment horizontal="center" vertical="center" wrapText="1"/>
    </xf>
    <xf numFmtId="165" fontId="1" fillId="0" borderId="75" xfId="1" applyFont="1" applyBorder="1" applyAlignment="1">
      <alignment horizontal="center" vertical="center"/>
    </xf>
    <xf numFmtId="165" fontId="1" fillId="0" borderId="32" xfId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 wrapText="1"/>
    </xf>
    <xf numFmtId="165" fontId="5" fillId="4" borderId="16" xfId="0" applyNumberFormat="1" applyFont="1" applyFill="1" applyBorder="1"/>
    <xf numFmtId="0" fontId="1" fillId="0" borderId="9" xfId="0" applyFont="1" applyBorder="1" applyAlignment="1">
      <alignment horizontal="left"/>
    </xf>
    <xf numFmtId="0" fontId="4" fillId="0" borderId="78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166" fontId="1" fillId="0" borderId="0" xfId="2" applyNumberFormat="1" applyFont="1" applyBorder="1" applyAlignment="1">
      <alignment horizontal="left" vertical="center"/>
    </xf>
    <xf numFmtId="0" fontId="1" fillId="0" borderId="0" xfId="0" quotePrefix="1" applyFont="1"/>
    <xf numFmtId="166" fontId="5" fillId="0" borderId="15" xfId="21" applyNumberFormat="1" applyFont="1" applyFill="1" applyBorder="1" applyAlignment="1">
      <alignment horizontal="center"/>
    </xf>
    <xf numFmtId="166" fontId="5" fillId="0" borderId="15" xfId="21" quotePrefix="1" applyNumberFormat="1" applyFont="1" applyFill="1" applyBorder="1" applyAlignment="1">
      <alignment vertical="center"/>
    </xf>
    <xf numFmtId="166" fontId="5" fillId="0" borderId="15" xfId="21" quotePrefix="1" applyNumberFormat="1" applyFont="1" applyFill="1" applyBorder="1" applyAlignment="1">
      <alignment horizontal="center" vertical="center"/>
    </xf>
    <xf numFmtId="2" fontId="5" fillId="0" borderId="15" xfId="21" applyNumberFormat="1" applyFont="1" applyFill="1" applyBorder="1" applyAlignment="1">
      <alignment horizontal="center"/>
    </xf>
    <xf numFmtId="2" fontId="5" fillId="0" borderId="15" xfId="21" applyNumberFormat="1" applyFont="1" applyBorder="1" applyAlignment="1">
      <alignment horizontal="center"/>
    </xf>
    <xf numFmtId="166" fontId="5" fillId="0" borderId="78" xfId="2" applyNumberFormat="1" applyFont="1" applyBorder="1" applyAlignment="1">
      <alignment horizontal="center"/>
    </xf>
    <xf numFmtId="0" fontId="5" fillId="0" borderId="78" xfId="0" applyFont="1" applyBorder="1" applyAlignment="1">
      <alignment horizontal="center" vertical="top"/>
    </xf>
    <xf numFmtId="0" fontId="5" fillId="0" borderId="78" xfId="0" applyFont="1" applyBorder="1" applyAlignment="1">
      <alignment vertical="top" shrinkToFit="1"/>
    </xf>
    <xf numFmtId="0" fontId="5" fillId="0" borderId="78" xfId="2" applyNumberFormat="1" applyFont="1" applyBorder="1" applyAlignment="1">
      <alignment horizontal="center"/>
    </xf>
    <xf numFmtId="165" fontId="5" fillId="0" borderId="78" xfId="2" applyFont="1" applyBorder="1" applyAlignment="1">
      <alignment vertical="top"/>
    </xf>
    <xf numFmtId="165" fontId="28" fillId="4" borderId="16" xfId="0" applyNumberFormat="1" applyFont="1" applyFill="1" applyBorder="1"/>
    <xf numFmtId="165" fontId="1" fillId="0" borderId="0" xfId="2" applyFont="1" applyBorder="1"/>
    <xf numFmtId="165" fontId="5" fillId="0" borderId="0" xfId="2" applyFont="1" applyBorder="1"/>
    <xf numFmtId="0" fontId="5" fillId="7" borderId="0" xfId="0" applyFont="1" applyFill="1"/>
    <xf numFmtId="165" fontId="5" fillId="0" borderId="78" xfId="1" applyFont="1" applyBorder="1"/>
    <xf numFmtId="0" fontId="1" fillId="0" borderId="78" xfId="0" applyFont="1" applyBorder="1" applyAlignment="1">
      <alignment horizontal="center" vertical="top"/>
    </xf>
    <xf numFmtId="0" fontId="1" fillId="0" borderId="78" xfId="678" applyFont="1" applyBorder="1" applyAlignment="1">
      <alignment horizontal="left" vertical="center" shrinkToFit="1"/>
    </xf>
    <xf numFmtId="1" fontId="5" fillId="0" borderId="78" xfId="2" quotePrefix="1" applyNumberFormat="1" applyFont="1" applyBorder="1" applyAlignment="1">
      <alignment horizontal="center" vertical="center"/>
    </xf>
    <xf numFmtId="165" fontId="5" fillId="0" borderId="78" xfId="2" applyFont="1" applyBorder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" fontId="29" fillId="0" borderId="15" xfId="2" quotePrefix="1" applyNumberFormat="1" applyFont="1" applyBorder="1" applyAlignment="1">
      <alignment horizontal="center" vertical="center"/>
    </xf>
    <xf numFmtId="168" fontId="29" fillId="0" borderId="15" xfId="2" quotePrefix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2" xfId="2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1" fillId="0" borderId="6" xfId="0" applyNumberFormat="1" applyFont="1" applyBorder="1" applyAlignment="1">
      <alignment vertical="center"/>
    </xf>
    <xf numFmtId="165" fontId="5" fillId="0" borderId="23" xfId="2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6" fontId="5" fillId="0" borderId="0" xfId="2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4" fontId="5" fillId="0" borderId="10" xfId="0" applyNumberFormat="1" applyFont="1" applyBorder="1" applyAlignment="1">
      <alignment vertical="center"/>
    </xf>
    <xf numFmtId="4" fontId="5" fillId="0" borderId="11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66" fontId="5" fillId="0" borderId="21" xfId="2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vertical="center"/>
    </xf>
    <xf numFmtId="166" fontId="5" fillId="0" borderId="15" xfId="2" applyNumberFormat="1" applyFont="1" applyBorder="1" applyAlignment="1">
      <alignment horizontal="center" vertical="center"/>
    </xf>
    <xf numFmtId="1" fontId="5" fillId="0" borderId="15" xfId="2" applyNumberFormat="1" applyFont="1" applyBorder="1" applyAlignment="1">
      <alignment horizontal="center" vertical="center"/>
    </xf>
    <xf numFmtId="166" fontId="5" fillId="0" borderId="15" xfId="2" applyNumberFormat="1" applyFont="1" applyBorder="1" applyAlignment="1">
      <alignment horizontal="left" vertical="center"/>
    </xf>
    <xf numFmtId="165" fontId="5" fillId="0" borderId="15" xfId="1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6" fontId="5" fillId="0" borderId="27" xfId="2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right" vertical="center"/>
    </xf>
    <xf numFmtId="165" fontId="4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6" fontId="5" fillId="0" borderId="17" xfId="2" applyNumberFormat="1" applyFont="1" applyBorder="1" applyAlignment="1">
      <alignment horizontal="left" vertical="center"/>
    </xf>
    <xf numFmtId="15" fontId="5" fillId="0" borderId="17" xfId="0" quotePrefix="1" applyNumberFormat="1" applyFont="1" applyBorder="1" applyAlignment="1">
      <alignment vertical="center"/>
    </xf>
    <xf numFmtId="0" fontId="4" fillId="0" borderId="15" xfId="0" applyFont="1" applyBorder="1" applyAlignment="1">
      <alignment horizontal="center" vertical="center" shrinkToFit="1"/>
    </xf>
    <xf numFmtId="166" fontId="5" fillId="0" borderId="0" xfId="1" applyNumberFormat="1" applyFont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3" fillId="0" borderId="15" xfId="0" applyFont="1" applyBorder="1" applyAlignment="1">
      <alignment vertical="center" wrapText="1"/>
    </xf>
    <xf numFmtId="3" fontId="5" fillId="0" borderId="15" xfId="2" applyNumberFormat="1" applyFont="1" applyBorder="1" applyAlignment="1">
      <alignment horizontal="center" vertical="center"/>
    </xf>
    <xf numFmtId="165" fontId="5" fillId="0" borderId="15" xfId="2" applyFont="1" applyBorder="1" applyAlignment="1">
      <alignment vertical="center"/>
    </xf>
    <xf numFmtId="4" fontId="5" fillId="0" borderId="15" xfId="0" applyNumberFormat="1" applyFont="1" applyBorder="1" applyAlignment="1">
      <alignment vertical="center"/>
    </xf>
    <xf numFmtId="0" fontId="23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" fontId="5" fillId="0" borderId="15" xfId="2" applyNumberFormat="1" applyFont="1" applyBorder="1" applyAlignment="1">
      <alignment horizontal="left" vertical="center"/>
    </xf>
    <xf numFmtId="0" fontId="5" fillId="0" borderId="15" xfId="2" applyNumberFormat="1" applyFont="1" applyBorder="1" applyAlignment="1">
      <alignment horizontal="left" vertical="center"/>
    </xf>
    <xf numFmtId="3" fontId="5" fillId="0" borderId="15" xfId="2" applyNumberFormat="1" applyFont="1" applyBorder="1" applyAlignment="1">
      <alignment horizontal="left" vertical="center"/>
    </xf>
    <xf numFmtId="165" fontId="23" fillId="0" borderId="15" xfId="1" applyFont="1" applyBorder="1" applyAlignment="1">
      <alignment horizontal="right" vertical="center"/>
    </xf>
    <xf numFmtId="0" fontId="5" fillId="0" borderId="2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65" fontId="4" fillId="0" borderId="39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" fontId="5" fillId="0" borderId="21" xfId="2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2" xfId="2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5" fontId="1" fillId="0" borderId="23" xfId="2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4" fontId="1" fillId="0" borderId="10" xfId="0" applyNumberFormat="1" applyFont="1" applyBorder="1" applyAlignment="1">
      <alignment vertical="center"/>
    </xf>
    <xf numFmtId="4" fontId="1" fillId="0" borderId="1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166" fontId="1" fillId="0" borderId="21" xfId="2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vertical="center"/>
    </xf>
    <xf numFmtId="166" fontId="1" fillId="0" borderId="15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66" fontId="1" fillId="0" borderId="15" xfId="2" applyNumberFormat="1" applyFont="1" applyBorder="1" applyAlignment="1">
      <alignment horizontal="left" vertical="center"/>
    </xf>
    <xf numFmtId="165" fontId="1" fillId="0" borderId="15" xfId="2" applyFont="1" applyBorder="1" applyAlignment="1">
      <alignment vertical="center"/>
    </xf>
    <xf numFmtId="4" fontId="1" fillId="0" borderId="15" xfId="0" applyNumberFormat="1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66" fontId="1" fillId="0" borderId="27" xfId="2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6" fontId="1" fillId="0" borderId="17" xfId="2" applyNumberFormat="1" applyFont="1" applyBorder="1" applyAlignment="1">
      <alignment horizontal="left" vertical="center"/>
    </xf>
    <xf numFmtId="15" fontId="1" fillId="0" borderId="17" xfId="0" quotePrefix="1" applyNumberFormat="1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165" fontId="29" fillId="0" borderId="40" xfId="2" applyFont="1" applyBorder="1" applyAlignment="1">
      <alignment vertical="center"/>
    </xf>
    <xf numFmtId="165" fontId="0" fillId="0" borderId="21" xfId="21" applyFont="1" applyBorder="1" applyAlignment="1">
      <alignment horizontal="right" vertical="center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vertical="center" shrinkToFit="1"/>
    </xf>
    <xf numFmtId="165" fontId="0" fillId="0" borderId="21" xfId="21" applyFont="1" applyBorder="1" applyAlignment="1">
      <alignment vertical="center"/>
    </xf>
    <xf numFmtId="165" fontId="0" fillId="0" borderId="15" xfId="21" applyFont="1" applyBorder="1" applyAlignment="1">
      <alignment horizontal="right" vertical="center"/>
    </xf>
    <xf numFmtId="0" fontId="20" fillId="0" borderId="15" xfId="0" applyFont="1" applyBorder="1" applyAlignment="1">
      <alignment horizontal="center" vertical="center"/>
    </xf>
    <xf numFmtId="165" fontId="5" fillId="0" borderId="0" xfId="1" applyFont="1" applyAlignment="1">
      <alignment vertical="center"/>
    </xf>
    <xf numFmtId="3" fontId="1" fillId="0" borderId="15" xfId="2" applyNumberFormat="1" applyFont="1" applyBorder="1" applyAlignment="1">
      <alignment horizontal="left" vertical="center"/>
    </xf>
    <xf numFmtId="3" fontId="1" fillId="0" borderId="15" xfId="2" applyNumberFormat="1" applyFont="1" applyBorder="1" applyAlignment="1">
      <alignment horizontal="center" vertical="center"/>
    </xf>
    <xf numFmtId="165" fontId="5" fillId="0" borderId="16" xfId="1" applyFont="1" applyBorder="1" applyAlignment="1">
      <alignment vertical="center"/>
    </xf>
    <xf numFmtId="171" fontId="5" fillId="0" borderId="0" xfId="0" applyNumberFormat="1" applyFont="1"/>
    <xf numFmtId="171" fontId="4" fillId="0" borderId="0" xfId="0" applyNumberFormat="1" applyFont="1" applyAlignment="1">
      <alignment horizontal="center" vertical="center"/>
    </xf>
    <xf numFmtId="166" fontId="5" fillId="0" borderId="78" xfId="2" applyNumberFormat="1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8" xfId="0" applyFont="1" applyBorder="1" applyAlignment="1">
      <alignment horizontal="left" vertical="center" shrinkToFit="1"/>
    </xf>
    <xf numFmtId="0" fontId="5" fillId="0" borderId="78" xfId="2" quotePrefix="1" applyNumberFormat="1" applyFont="1" applyBorder="1" applyAlignment="1">
      <alignment horizontal="center" vertical="center"/>
    </xf>
    <xf numFmtId="165" fontId="5" fillId="0" borderId="78" xfId="2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1" fontId="5" fillId="0" borderId="8" xfId="2" quotePrefix="1" applyNumberFormat="1" applyFont="1" applyBorder="1" applyAlignment="1">
      <alignment horizontal="center" vertical="center"/>
    </xf>
    <xf numFmtId="0" fontId="47" fillId="0" borderId="78" xfId="0" applyFont="1" applyBorder="1" applyAlignment="1">
      <alignment vertical="top" wrapText="1"/>
    </xf>
    <xf numFmtId="172" fontId="4" fillId="0" borderId="0" xfId="0" applyNumberFormat="1" applyFont="1" applyAlignment="1">
      <alignment horizontal="center"/>
    </xf>
    <xf numFmtId="0" fontId="1" fillId="0" borderId="31" xfId="0" applyFont="1" applyBorder="1" applyAlignment="1">
      <alignment horizontal="left" vertical="top" wrapText="1"/>
    </xf>
    <xf numFmtId="166" fontId="5" fillId="0" borderId="78" xfId="2" quotePrefix="1" applyNumberFormat="1" applyFont="1" applyBorder="1" applyAlignment="1">
      <alignment horizontal="center" vertical="center"/>
    </xf>
    <xf numFmtId="0" fontId="1" fillId="0" borderId="78" xfId="0" applyFont="1" applyBorder="1" applyAlignment="1">
      <alignment vertical="center" shrinkToFit="1"/>
    </xf>
    <xf numFmtId="0" fontId="5" fillId="0" borderId="78" xfId="2" quotePrefix="1" applyNumberFormat="1" applyFont="1" applyBorder="1" applyAlignment="1">
      <alignment horizontal="center"/>
    </xf>
    <xf numFmtId="0" fontId="23" fillId="0" borderId="78" xfId="0" applyFont="1" applyBorder="1" applyAlignment="1">
      <alignment vertical="top" wrapText="1"/>
    </xf>
    <xf numFmtId="0" fontId="25" fillId="0" borderId="78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center"/>
    </xf>
    <xf numFmtId="0" fontId="1" fillId="0" borderId="21" xfId="678" applyFont="1" applyBorder="1" applyAlignment="1">
      <alignment horizontal="left" vertical="center" shrinkToFit="1"/>
    </xf>
    <xf numFmtId="166" fontId="1" fillId="0" borderId="78" xfId="2" applyNumberFormat="1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8" xfId="0" applyFont="1" applyBorder="1" applyAlignment="1">
      <alignment horizontal="left" vertical="center" shrinkToFit="1"/>
    </xf>
    <xf numFmtId="0" fontId="1" fillId="0" borderId="78" xfId="2" quotePrefix="1" applyNumberFormat="1" applyFont="1" applyBorder="1" applyAlignment="1">
      <alignment horizontal="center" vertical="center"/>
    </xf>
    <xf numFmtId="165" fontId="1" fillId="0" borderId="78" xfId="2" applyFont="1" applyBorder="1" applyAlignment="1">
      <alignment horizontal="right" vertical="center"/>
    </xf>
    <xf numFmtId="166" fontId="1" fillId="0" borderId="78" xfId="2" quotePrefix="1" applyNumberFormat="1" applyFont="1" applyBorder="1" applyAlignment="1">
      <alignment horizontal="center" vertical="center"/>
    </xf>
    <xf numFmtId="165" fontId="1" fillId="0" borderId="78" xfId="2" applyFont="1" applyFill="1" applyBorder="1" applyAlignment="1">
      <alignment vertical="center"/>
    </xf>
    <xf numFmtId="1" fontId="1" fillId="0" borderId="78" xfId="2" applyNumberFormat="1" applyFont="1" applyBorder="1" applyAlignment="1">
      <alignment horizontal="center" vertical="center"/>
    </xf>
    <xf numFmtId="0" fontId="1" fillId="0" borderId="78" xfId="2" applyNumberFormat="1" applyFont="1" applyBorder="1" applyAlignment="1">
      <alignment horizontal="center" vertical="center"/>
    </xf>
    <xf numFmtId="165" fontId="1" fillId="0" borderId="78" xfId="2" applyFont="1" applyBorder="1" applyAlignment="1">
      <alignment vertical="center"/>
    </xf>
    <xf numFmtId="0" fontId="1" fillId="0" borderId="31" xfId="0" applyFont="1" applyBorder="1" applyAlignment="1">
      <alignment horizontal="left" vertical="top"/>
    </xf>
    <xf numFmtId="14" fontId="4" fillId="0" borderId="0" xfId="0" applyNumberFormat="1" applyFont="1" applyAlignment="1">
      <alignment horizontal="center" vertical="center"/>
    </xf>
    <xf numFmtId="165" fontId="5" fillId="0" borderId="78" xfId="1" applyFont="1" applyBorder="1" applyAlignment="1">
      <alignment horizontal="right" vertical="center"/>
    </xf>
    <xf numFmtId="166" fontId="5" fillId="0" borderId="78" xfId="2" applyNumberFormat="1" applyFont="1" applyBorder="1" applyAlignment="1">
      <alignment horizontal="left" vertical="center"/>
    </xf>
    <xf numFmtId="165" fontId="5" fillId="0" borderId="78" xfId="1" applyFont="1" applyFill="1" applyBorder="1" applyAlignment="1">
      <alignment horizontal="center" vertical="center"/>
    </xf>
    <xf numFmtId="0" fontId="5" fillId="0" borderId="78" xfId="2" applyNumberFormat="1" applyFont="1" applyBorder="1" applyAlignment="1">
      <alignment horizontal="center" vertical="center"/>
    </xf>
    <xf numFmtId="165" fontId="5" fillId="0" borderId="78" xfId="1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165" fontId="5" fillId="0" borderId="78" xfId="2" applyFont="1" applyFill="1" applyBorder="1" applyAlignment="1">
      <alignment vertical="center"/>
    </xf>
    <xf numFmtId="166" fontId="5" fillId="0" borderId="78" xfId="2" quotePrefix="1" applyNumberFormat="1" applyFont="1" applyBorder="1" applyAlignment="1">
      <alignment vertical="center"/>
    </xf>
    <xf numFmtId="165" fontId="5" fillId="0" borderId="78" xfId="2" applyFont="1" applyBorder="1" applyAlignment="1">
      <alignment vertical="center"/>
    </xf>
    <xf numFmtId="165" fontId="5" fillId="0" borderId="31" xfId="2" applyFont="1" applyBorder="1" applyAlignment="1">
      <alignment vertical="center"/>
    </xf>
    <xf numFmtId="165" fontId="5" fillId="0" borderId="78" xfId="2" applyFont="1" applyFill="1" applyBorder="1" applyAlignment="1">
      <alignment horizontal="left" vertical="center"/>
    </xf>
    <xf numFmtId="165" fontId="5" fillId="0" borderId="31" xfId="2" applyFont="1" applyBorder="1" applyAlignment="1">
      <alignment horizontal="right" vertical="center"/>
    </xf>
    <xf numFmtId="165" fontId="5" fillId="0" borderId="15" xfId="2" applyFont="1" applyFill="1" applyBorder="1" applyAlignment="1">
      <alignment horizontal="right" vertical="center"/>
    </xf>
    <xf numFmtId="172" fontId="4" fillId="0" borderId="0" xfId="0" applyNumberFormat="1" applyFont="1" applyAlignment="1">
      <alignment horizontal="center" vertical="center"/>
    </xf>
    <xf numFmtId="0" fontId="5" fillId="0" borderId="78" xfId="0" applyFont="1" applyBorder="1" applyAlignment="1">
      <alignment vertical="center" shrinkToFit="1"/>
    </xf>
    <xf numFmtId="0" fontId="23" fillId="0" borderId="21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1" fontId="5" fillId="0" borderId="21" xfId="2" quotePrefix="1" applyNumberFormat="1" applyFont="1" applyBorder="1" applyAlignment="1">
      <alignment horizontal="center" vertical="center"/>
    </xf>
    <xf numFmtId="165" fontId="5" fillId="0" borderId="21" xfId="2" applyFont="1" applyBorder="1" applyAlignment="1">
      <alignment horizontal="right" vertical="center"/>
    </xf>
    <xf numFmtId="0" fontId="4" fillId="0" borderId="7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shrinkToFit="1"/>
    </xf>
    <xf numFmtId="3" fontId="5" fillId="0" borderId="36" xfId="2" quotePrefix="1" applyNumberFormat="1" applyFont="1" applyBorder="1" applyAlignment="1">
      <alignment horizontal="center" vertical="center"/>
    </xf>
    <xf numFmtId="0" fontId="5" fillId="0" borderId="8" xfId="2" applyNumberFormat="1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/>
    </xf>
    <xf numFmtId="0" fontId="23" fillId="0" borderId="78" xfId="0" applyFont="1" applyBorder="1" applyAlignment="1">
      <alignment vertical="center" shrinkToFit="1"/>
    </xf>
    <xf numFmtId="0" fontId="23" fillId="0" borderId="78" xfId="2" quotePrefix="1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166" fontId="4" fillId="0" borderId="23" xfId="2" applyNumberFormat="1" applyFont="1" applyBorder="1" applyAlignment="1">
      <alignment horizontal="center" vertical="center" wrapText="1"/>
    </xf>
    <xf numFmtId="4" fontId="4" fillId="0" borderId="23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1" fontId="1" fillId="0" borderId="78" xfId="2" quotePrefix="1" applyNumberFormat="1" applyFont="1" applyBorder="1" applyAlignment="1">
      <alignment horizontal="center" vertical="center"/>
    </xf>
    <xf numFmtId="0" fontId="5" fillId="0" borderId="8" xfId="2" quotePrefix="1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165" fontId="5" fillId="0" borderId="21" xfId="1" applyFont="1" applyBorder="1" applyAlignment="1">
      <alignment horizontal="right" vertical="center"/>
    </xf>
    <xf numFmtId="165" fontId="5" fillId="0" borderId="78" xfId="1" applyFont="1" applyFill="1" applyBorder="1" applyAlignment="1">
      <alignment horizontal="left" vertical="center"/>
    </xf>
    <xf numFmtId="3" fontId="5" fillId="0" borderId="78" xfId="2" quotePrefix="1" applyNumberFormat="1" applyFont="1" applyBorder="1" applyAlignment="1">
      <alignment horizontal="center" vertical="center"/>
    </xf>
    <xf numFmtId="3" fontId="23" fillId="0" borderId="78" xfId="2" quotePrefix="1" applyNumberFormat="1" applyFont="1" applyBorder="1" applyAlignment="1">
      <alignment horizontal="center" vertical="center"/>
    </xf>
    <xf numFmtId="165" fontId="5" fillId="0" borderId="78" xfId="2" applyFont="1" applyFill="1" applyBorder="1" applyAlignment="1">
      <alignment horizontal="center" vertical="center"/>
    </xf>
    <xf numFmtId="43" fontId="1" fillId="0" borderId="75" xfId="0" applyNumberFormat="1" applyFont="1" applyBorder="1" applyAlignment="1">
      <alignment horizontal="center" vertical="center" wrapText="1"/>
    </xf>
    <xf numFmtId="165" fontId="4" fillId="0" borderId="75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 shrinkToFit="1"/>
    </xf>
    <xf numFmtId="0" fontId="25" fillId="0" borderId="15" xfId="0" applyFont="1" applyBorder="1" applyAlignment="1">
      <alignment horizontal="center" vertical="center" shrinkToFit="1"/>
    </xf>
    <xf numFmtId="3" fontId="5" fillId="0" borderId="78" xfId="2" applyNumberFormat="1" applyFont="1" applyBorder="1" applyAlignment="1">
      <alignment horizontal="center" vertical="center"/>
    </xf>
    <xf numFmtId="0" fontId="5" fillId="0" borderId="36" xfId="2" applyNumberFormat="1" applyFont="1" applyBorder="1" applyAlignment="1">
      <alignment horizontal="center" vertical="center"/>
    </xf>
    <xf numFmtId="0" fontId="23" fillId="0" borderId="78" xfId="0" applyFont="1" applyBorder="1" applyAlignment="1">
      <alignment horizontal="left" vertical="center" shrinkToFit="1"/>
    </xf>
    <xf numFmtId="0" fontId="5" fillId="0" borderId="36" xfId="2" quotePrefix="1" applyNumberFormat="1" applyFont="1" applyBorder="1" applyAlignment="1">
      <alignment horizontal="center" vertical="center"/>
    </xf>
    <xf numFmtId="0" fontId="1" fillId="0" borderId="0" xfId="678" applyFont="1" applyAlignment="1">
      <alignment horizontal="left" vertical="center" shrinkToFit="1"/>
    </xf>
    <xf numFmtId="0" fontId="1" fillId="0" borderId="0" xfId="0" applyFont="1" applyAlignment="1">
      <alignment vertical="center" shrinkToFit="1"/>
    </xf>
    <xf numFmtId="4" fontId="1" fillId="0" borderId="32" xfId="0" applyNumberFormat="1" applyFont="1" applyBorder="1" applyAlignment="1">
      <alignment horizontal="center" vertical="center" wrapText="1"/>
    </xf>
    <xf numFmtId="3" fontId="1" fillId="0" borderId="32" xfId="2" applyNumberFormat="1" applyFont="1" applyBorder="1" applyAlignment="1">
      <alignment horizontal="center" vertical="center"/>
    </xf>
    <xf numFmtId="0" fontId="1" fillId="0" borderId="78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7" fontId="5" fillId="0" borderId="0" xfId="0" applyNumberFormat="1" applyFont="1" applyAlignment="1">
      <alignment vertical="center"/>
    </xf>
    <xf numFmtId="0" fontId="1" fillId="0" borderId="15" xfId="0" applyFont="1" applyBorder="1" applyAlignment="1">
      <alignment vertical="center" wrapText="1"/>
    </xf>
    <xf numFmtId="3" fontId="5" fillId="0" borderId="78" xfId="2" quotePrefix="1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4" fillId="0" borderId="31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1" fillId="0" borderId="49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1" fillId="0" borderId="30" xfId="2" applyNumberFormat="1" applyFont="1" applyBorder="1" applyAlignment="1">
      <alignment horizontal="center"/>
    </xf>
    <xf numFmtId="166" fontId="1" fillId="0" borderId="31" xfId="2" applyNumberFormat="1" applyFont="1" applyBorder="1" applyAlignment="1">
      <alignment horizontal="center"/>
    </xf>
    <xf numFmtId="166" fontId="1" fillId="0" borderId="53" xfId="2" applyNumberFormat="1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4" fontId="1" fillId="0" borderId="40" xfId="0" applyNumberFormat="1" applyFont="1" applyBorder="1" applyAlignment="1">
      <alignment horizontal="center"/>
    </xf>
    <xf numFmtId="4" fontId="1" fillId="0" borderId="26" xfId="0" applyNumberFormat="1" applyFont="1" applyBorder="1" applyAlignment="1">
      <alignment horizontal="center"/>
    </xf>
    <xf numFmtId="4" fontId="1" fillId="0" borderId="45" xfId="0" applyNumberFormat="1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49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166" fontId="5" fillId="0" borderId="30" xfId="2" applyNumberFormat="1" applyFont="1" applyBorder="1" applyAlignment="1">
      <alignment horizontal="center"/>
    </xf>
    <xf numFmtId="166" fontId="5" fillId="0" borderId="31" xfId="2" applyNumberFormat="1" applyFont="1" applyBorder="1" applyAlignment="1">
      <alignment horizontal="center"/>
    </xf>
    <xf numFmtId="166" fontId="5" fillId="0" borderId="53" xfId="2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40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4" fontId="5" fillId="0" borderId="45" xfId="0" applyNumberFormat="1" applyFont="1" applyBorder="1" applyAlignment="1">
      <alignment horizontal="center"/>
    </xf>
    <xf numFmtId="166" fontId="46" fillId="0" borderId="0" xfId="2" applyNumberFormat="1" applyFont="1" applyBorder="1" applyAlignment="1">
      <alignment horizontal="left" vertical="center"/>
    </xf>
    <xf numFmtId="166" fontId="1" fillId="0" borderId="0" xfId="2" applyNumberFormat="1" applyFont="1" applyBorder="1" applyAlignment="1">
      <alignment horizontal="left" vertical="center"/>
    </xf>
    <xf numFmtId="166" fontId="1" fillId="0" borderId="9" xfId="2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66" fontId="1" fillId="0" borderId="19" xfId="2" applyNumberFormat="1" applyFont="1" applyBorder="1" applyAlignment="1">
      <alignment horizontal="left"/>
    </xf>
    <xf numFmtId="166" fontId="1" fillId="0" borderId="17" xfId="2" applyNumberFormat="1" applyFont="1" applyBorder="1" applyAlignment="1">
      <alignment horizontal="left"/>
    </xf>
    <xf numFmtId="166" fontId="1" fillId="0" borderId="20" xfId="2" applyNumberFormat="1" applyFont="1" applyBorder="1" applyAlignment="1">
      <alignment horizontal="left"/>
    </xf>
    <xf numFmtId="0" fontId="29" fillId="0" borderId="49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0" fontId="29" fillId="0" borderId="50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9" fillId="0" borderId="52" xfId="0" applyFont="1" applyBorder="1" applyAlignment="1">
      <alignment horizontal="center"/>
    </xf>
    <xf numFmtId="4" fontId="29" fillId="0" borderId="26" xfId="0" applyNumberFormat="1" applyFont="1" applyBorder="1" applyAlignment="1">
      <alignment horizontal="center"/>
    </xf>
    <xf numFmtId="4" fontId="29" fillId="0" borderId="45" xfId="0" applyNumberFormat="1" applyFont="1" applyBorder="1" applyAlignment="1">
      <alignment horizontal="center"/>
    </xf>
    <xf numFmtId="0" fontId="29" fillId="0" borderId="8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9" xfId="0" applyFont="1" applyBorder="1" applyAlignment="1">
      <alignment horizontal="left"/>
    </xf>
    <xf numFmtId="0" fontId="29" fillId="0" borderId="14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24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166" fontId="29" fillId="0" borderId="30" xfId="2" applyNumberFormat="1" applyFont="1" applyBorder="1" applyAlignment="1">
      <alignment horizontal="center"/>
    </xf>
    <xf numFmtId="166" fontId="29" fillId="0" borderId="31" xfId="2" applyNumberFormat="1" applyFont="1" applyBorder="1" applyAlignment="1">
      <alignment horizontal="center"/>
    </xf>
    <xf numFmtId="166" fontId="29" fillId="0" borderId="53" xfId="2" applyNumberFormat="1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47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9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9" xfId="0" applyFont="1" applyBorder="1" applyAlignment="1">
      <alignment horizontal="center"/>
    </xf>
    <xf numFmtId="4" fontId="29" fillId="0" borderId="10" xfId="0" applyNumberFormat="1" applyFont="1" applyBorder="1" applyAlignment="1">
      <alignment horizontal="center"/>
    </xf>
    <xf numFmtId="4" fontId="29" fillId="0" borderId="40" xfId="0" applyNumberFormat="1" applyFont="1" applyBorder="1" applyAlignment="1">
      <alignment horizontal="center"/>
    </xf>
    <xf numFmtId="0" fontId="32" fillId="0" borderId="31" xfId="0" applyFont="1" applyBorder="1" applyAlignment="1">
      <alignment horizontal="center"/>
    </xf>
    <xf numFmtId="0" fontId="32" fillId="0" borderId="5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4" fillId="0" borderId="30" xfId="0" applyFont="1" applyBorder="1" applyAlignment="1">
      <alignment horizontal="center"/>
    </xf>
    <xf numFmtId="0" fontId="5" fillId="0" borderId="43" xfId="0" applyFont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5" fillId="0" borderId="54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0" fillId="0" borderId="30" xfId="0" applyBorder="1" applyAlignment="1">
      <alignment horizontal="left" vertical="top" shrinkToFit="1"/>
    </xf>
    <xf numFmtId="0" fontId="0" fillId="0" borderId="31" xfId="0" applyBorder="1" applyAlignment="1">
      <alignment horizontal="left" vertical="top" shrinkToFit="1"/>
    </xf>
    <xf numFmtId="0" fontId="0" fillId="0" borderId="36" xfId="0" applyBorder="1" applyAlignment="1">
      <alignment horizontal="left" vertical="top" shrinkToFit="1"/>
    </xf>
    <xf numFmtId="0" fontId="0" fillId="0" borderId="26" xfId="0" quotePrefix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45" xfId="0" quotePrefix="1" applyBorder="1" applyAlignment="1">
      <alignment horizontal="left" vertical="top" wrapText="1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4" fontId="5" fillId="0" borderId="40" xfId="0" applyNumberFormat="1" applyFont="1" applyBorder="1" applyAlignment="1">
      <alignment horizontal="center" vertical="center"/>
    </xf>
    <xf numFmtId="4" fontId="5" fillId="0" borderId="26" xfId="0" applyNumberFormat="1" applyFont="1" applyBorder="1" applyAlignment="1">
      <alignment horizontal="center" vertical="center"/>
    </xf>
    <xf numFmtId="4" fontId="5" fillId="0" borderId="45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66" fontId="1" fillId="0" borderId="17" xfId="2" applyNumberFormat="1" applyFont="1" applyBorder="1" applyAlignment="1">
      <alignment horizontal="left" vertical="center"/>
    </xf>
    <xf numFmtId="166" fontId="1" fillId="0" borderId="20" xfId="2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5" fillId="0" borderId="30" xfId="2" applyNumberFormat="1" applyFont="1" applyBorder="1" applyAlignment="1">
      <alignment horizontal="center" vertical="center"/>
    </xf>
    <xf numFmtId="166" fontId="5" fillId="0" borderId="31" xfId="2" applyNumberFormat="1" applyFont="1" applyBorder="1" applyAlignment="1">
      <alignment horizontal="center" vertical="center"/>
    </xf>
    <xf numFmtId="166" fontId="5" fillId="0" borderId="53" xfId="2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6" fontId="1" fillId="0" borderId="30" xfId="2" applyNumberFormat="1" applyFont="1" applyBorder="1" applyAlignment="1">
      <alignment horizontal="center" vertical="center"/>
    </xf>
    <xf numFmtId="166" fontId="1" fillId="0" borderId="31" xfId="2" applyNumberFormat="1" applyFont="1" applyBorder="1" applyAlignment="1">
      <alignment horizontal="center" vertical="center"/>
    </xf>
    <xf numFmtId="166" fontId="1" fillId="0" borderId="53" xfId="2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4" fontId="1" fillId="0" borderId="40" xfId="0" applyNumberFormat="1" applyFont="1" applyBorder="1" applyAlignment="1">
      <alignment horizontal="center" vertical="center"/>
    </xf>
    <xf numFmtId="4" fontId="1" fillId="0" borderId="26" xfId="0" applyNumberFormat="1" applyFont="1" applyBorder="1" applyAlignment="1">
      <alignment horizontal="center" vertical="center"/>
    </xf>
    <xf numFmtId="4" fontId="1" fillId="0" borderId="45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166" fontId="5" fillId="0" borderId="17" xfId="2" applyNumberFormat="1" applyFont="1" applyBorder="1" applyAlignment="1">
      <alignment horizontal="left"/>
    </xf>
    <xf numFmtId="166" fontId="1" fillId="0" borderId="17" xfId="2" applyNumberFormat="1" applyFont="1" applyBorder="1" applyAlignment="1">
      <alignment horizontal="center"/>
    </xf>
    <xf numFmtId="166" fontId="1" fillId="0" borderId="20" xfId="2" applyNumberFormat="1" applyFont="1" applyBorder="1" applyAlignment="1">
      <alignment horizontal="center"/>
    </xf>
    <xf numFmtId="0" fontId="23" fillId="0" borderId="8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9" xfId="0" applyFont="1" applyBorder="1" applyAlignment="1">
      <alignment horizontal="left"/>
    </xf>
    <xf numFmtId="166" fontId="5" fillId="0" borderId="30" xfId="1" applyNumberFormat="1" applyFont="1" applyBorder="1" applyAlignment="1">
      <alignment horizontal="center"/>
    </xf>
    <xf numFmtId="166" fontId="5" fillId="0" borderId="31" xfId="1" applyNumberFormat="1" applyFont="1" applyBorder="1" applyAlignment="1">
      <alignment horizontal="center"/>
    </xf>
    <xf numFmtId="166" fontId="5" fillId="0" borderId="53" xfId="1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left"/>
    </xf>
    <xf numFmtId="0" fontId="3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52" xfId="0" applyFont="1" applyBorder="1" applyAlignment="1">
      <alignment horizontal="left"/>
    </xf>
    <xf numFmtId="0" fontId="37" fillId="0" borderId="47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5" fillId="0" borderId="59" xfId="0" applyFont="1" applyBorder="1" applyAlignment="1">
      <alignment horizontal="left"/>
    </xf>
    <xf numFmtId="0" fontId="5" fillId="0" borderId="55" xfId="0" applyFont="1" applyBorder="1" applyAlignment="1">
      <alignment horizontal="left"/>
    </xf>
    <xf numFmtId="0" fontId="5" fillId="0" borderId="60" xfId="0" applyFont="1" applyBorder="1" applyAlignment="1">
      <alignment horizontal="left"/>
    </xf>
    <xf numFmtId="0" fontId="37" fillId="0" borderId="61" xfId="0" applyFont="1" applyBorder="1" applyAlignment="1">
      <alignment horizontal="center"/>
    </xf>
    <xf numFmtId="0" fontId="37" fillId="0" borderId="62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679">
    <cellStyle name="Comma" xfId="1" builtinId="3"/>
    <cellStyle name="Comma 10 10" xfId="2" xr:uid="{00000000-0005-0000-0000-000001000000}"/>
    <cellStyle name="Comma 10 10 2" xfId="3" xr:uid="{00000000-0005-0000-0000-000002000000}"/>
    <cellStyle name="Comma 10 11" xfId="4" xr:uid="{00000000-0005-0000-0000-000003000000}"/>
    <cellStyle name="Comma 10 12" xfId="5" xr:uid="{00000000-0005-0000-0000-000004000000}"/>
    <cellStyle name="Comma 10 13" xfId="6" xr:uid="{00000000-0005-0000-0000-000005000000}"/>
    <cellStyle name="Comma 10 14" xfId="7" xr:uid="{00000000-0005-0000-0000-000006000000}"/>
    <cellStyle name="Comma 10 15" xfId="8" xr:uid="{00000000-0005-0000-0000-000007000000}"/>
    <cellStyle name="Comma 10 16" xfId="9" xr:uid="{00000000-0005-0000-0000-000008000000}"/>
    <cellStyle name="Comma 10 17" xfId="10" xr:uid="{00000000-0005-0000-0000-000009000000}"/>
    <cellStyle name="Comma 10 18" xfId="11" xr:uid="{00000000-0005-0000-0000-00000A000000}"/>
    <cellStyle name="Comma 10 19" xfId="12" xr:uid="{00000000-0005-0000-0000-00000B000000}"/>
    <cellStyle name="Comma 10 2" xfId="13" xr:uid="{00000000-0005-0000-0000-00000C000000}"/>
    <cellStyle name="Comma 10 3" xfId="14" xr:uid="{00000000-0005-0000-0000-00000D000000}"/>
    <cellStyle name="Comma 10 4" xfId="15" xr:uid="{00000000-0005-0000-0000-00000E000000}"/>
    <cellStyle name="Comma 10 5" xfId="16" xr:uid="{00000000-0005-0000-0000-00000F000000}"/>
    <cellStyle name="Comma 10 6" xfId="17" xr:uid="{00000000-0005-0000-0000-000010000000}"/>
    <cellStyle name="Comma 10 7" xfId="18" xr:uid="{00000000-0005-0000-0000-000011000000}"/>
    <cellStyle name="Comma 10 8" xfId="19" xr:uid="{00000000-0005-0000-0000-000012000000}"/>
    <cellStyle name="Comma 10 9" xfId="20" xr:uid="{00000000-0005-0000-0000-000013000000}"/>
    <cellStyle name="Comma 108" xfId="21" xr:uid="{00000000-0005-0000-0000-000014000000}"/>
    <cellStyle name="Comma 108 2" xfId="22" xr:uid="{00000000-0005-0000-0000-000015000000}"/>
    <cellStyle name="Comma 11 2" xfId="23" xr:uid="{00000000-0005-0000-0000-000016000000}"/>
    <cellStyle name="Comma 11 3" xfId="24" xr:uid="{00000000-0005-0000-0000-000017000000}"/>
    <cellStyle name="Comma 11 4" xfId="25" xr:uid="{00000000-0005-0000-0000-000018000000}"/>
    <cellStyle name="Comma 11 5" xfId="26" xr:uid="{00000000-0005-0000-0000-000019000000}"/>
    <cellStyle name="Comma 11 6" xfId="27" xr:uid="{00000000-0005-0000-0000-00001A000000}"/>
    <cellStyle name="Comma 11 7" xfId="28" xr:uid="{00000000-0005-0000-0000-00001B000000}"/>
    <cellStyle name="Comma 12 2" xfId="29" xr:uid="{00000000-0005-0000-0000-00001C000000}"/>
    <cellStyle name="Comma 12 3" xfId="30" xr:uid="{00000000-0005-0000-0000-00001D000000}"/>
    <cellStyle name="Comma 12 4" xfId="31" xr:uid="{00000000-0005-0000-0000-00001E000000}"/>
    <cellStyle name="Comma 12 5" xfId="32" xr:uid="{00000000-0005-0000-0000-00001F000000}"/>
    <cellStyle name="Comma 12 6" xfId="33" xr:uid="{00000000-0005-0000-0000-000020000000}"/>
    <cellStyle name="Comma 12 7" xfId="34" xr:uid="{00000000-0005-0000-0000-000021000000}"/>
    <cellStyle name="Comma 13 10" xfId="35" xr:uid="{00000000-0005-0000-0000-000022000000}"/>
    <cellStyle name="Comma 13 11" xfId="36" xr:uid="{00000000-0005-0000-0000-000023000000}"/>
    <cellStyle name="Comma 13 12" xfId="37" xr:uid="{00000000-0005-0000-0000-000024000000}"/>
    <cellStyle name="Comma 13 13" xfId="38" xr:uid="{00000000-0005-0000-0000-000025000000}"/>
    <cellStyle name="Comma 13 14" xfId="39" xr:uid="{00000000-0005-0000-0000-000026000000}"/>
    <cellStyle name="Comma 13 15" xfId="40" xr:uid="{00000000-0005-0000-0000-000027000000}"/>
    <cellStyle name="Comma 13 16" xfId="41" xr:uid="{00000000-0005-0000-0000-000028000000}"/>
    <cellStyle name="Comma 13 17" xfId="42" xr:uid="{00000000-0005-0000-0000-000029000000}"/>
    <cellStyle name="Comma 13 18" xfId="43" xr:uid="{00000000-0005-0000-0000-00002A000000}"/>
    <cellStyle name="Comma 13 19" xfId="44" xr:uid="{00000000-0005-0000-0000-00002B000000}"/>
    <cellStyle name="Comma 13 2" xfId="45" xr:uid="{00000000-0005-0000-0000-00002C000000}"/>
    <cellStyle name="Comma 13 3" xfId="46" xr:uid="{00000000-0005-0000-0000-00002D000000}"/>
    <cellStyle name="Comma 13 4" xfId="47" xr:uid="{00000000-0005-0000-0000-00002E000000}"/>
    <cellStyle name="Comma 13 5" xfId="48" xr:uid="{00000000-0005-0000-0000-00002F000000}"/>
    <cellStyle name="Comma 13 6" xfId="49" xr:uid="{00000000-0005-0000-0000-000030000000}"/>
    <cellStyle name="Comma 13 7" xfId="50" xr:uid="{00000000-0005-0000-0000-000031000000}"/>
    <cellStyle name="Comma 13 8" xfId="51" xr:uid="{00000000-0005-0000-0000-000032000000}"/>
    <cellStyle name="Comma 13 9" xfId="52" xr:uid="{00000000-0005-0000-0000-000033000000}"/>
    <cellStyle name="Comma 15" xfId="53" xr:uid="{00000000-0005-0000-0000-000034000000}"/>
    <cellStyle name="Comma 16" xfId="54" xr:uid="{00000000-0005-0000-0000-000035000000}"/>
    <cellStyle name="Comma 17" xfId="55" xr:uid="{00000000-0005-0000-0000-000036000000}"/>
    <cellStyle name="Comma 18" xfId="56" xr:uid="{00000000-0005-0000-0000-000037000000}"/>
    <cellStyle name="Comma 2" xfId="57" xr:uid="{00000000-0005-0000-0000-000038000000}"/>
    <cellStyle name="Comma 2 10" xfId="58" xr:uid="{00000000-0005-0000-0000-000039000000}"/>
    <cellStyle name="Comma 2 11" xfId="59" xr:uid="{00000000-0005-0000-0000-00003A000000}"/>
    <cellStyle name="Comma 2 12" xfId="60" xr:uid="{00000000-0005-0000-0000-00003B000000}"/>
    <cellStyle name="Comma 2 13" xfId="61" xr:uid="{00000000-0005-0000-0000-00003C000000}"/>
    <cellStyle name="Comma 2 14" xfId="62" xr:uid="{00000000-0005-0000-0000-00003D000000}"/>
    <cellStyle name="Comma 2 15" xfId="63" xr:uid="{00000000-0005-0000-0000-00003E000000}"/>
    <cellStyle name="Comma 2 16" xfId="64" xr:uid="{00000000-0005-0000-0000-00003F000000}"/>
    <cellStyle name="Comma 2 17" xfId="65" xr:uid="{00000000-0005-0000-0000-000040000000}"/>
    <cellStyle name="Comma 2 18" xfId="66" xr:uid="{00000000-0005-0000-0000-000041000000}"/>
    <cellStyle name="Comma 2 19" xfId="67" xr:uid="{00000000-0005-0000-0000-000042000000}"/>
    <cellStyle name="Comma 2 2" xfId="68" xr:uid="{00000000-0005-0000-0000-000043000000}"/>
    <cellStyle name="Comma 2 20" xfId="69" xr:uid="{00000000-0005-0000-0000-000044000000}"/>
    <cellStyle name="Comma 2 21" xfId="70" xr:uid="{00000000-0005-0000-0000-000045000000}"/>
    <cellStyle name="Comma 2 22" xfId="71" xr:uid="{00000000-0005-0000-0000-000046000000}"/>
    <cellStyle name="Comma 2 23" xfId="72" xr:uid="{00000000-0005-0000-0000-000047000000}"/>
    <cellStyle name="Comma 2 24" xfId="73" xr:uid="{00000000-0005-0000-0000-000048000000}"/>
    <cellStyle name="Comma 2 3" xfId="74" xr:uid="{00000000-0005-0000-0000-000049000000}"/>
    <cellStyle name="Comma 2 4" xfId="75" xr:uid="{00000000-0005-0000-0000-00004A000000}"/>
    <cellStyle name="Comma 2 5" xfId="76" xr:uid="{00000000-0005-0000-0000-00004B000000}"/>
    <cellStyle name="Comma 2 6" xfId="77" xr:uid="{00000000-0005-0000-0000-00004C000000}"/>
    <cellStyle name="Comma 2 7" xfId="78" xr:uid="{00000000-0005-0000-0000-00004D000000}"/>
    <cellStyle name="Comma 2 8" xfId="79" xr:uid="{00000000-0005-0000-0000-00004E000000}"/>
    <cellStyle name="Comma 2 9" xfId="80" xr:uid="{00000000-0005-0000-0000-00004F000000}"/>
    <cellStyle name="Comma 3 2" xfId="81" xr:uid="{00000000-0005-0000-0000-000050000000}"/>
    <cellStyle name="Comma 3 3" xfId="82" xr:uid="{00000000-0005-0000-0000-000051000000}"/>
    <cellStyle name="Comma 3 4" xfId="83" xr:uid="{00000000-0005-0000-0000-000052000000}"/>
    <cellStyle name="Comma 3 5" xfId="84" xr:uid="{00000000-0005-0000-0000-000053000000}"/>
    <cellStyle name="Comma 3 6" xfId="85" xr:uid="{00000000-0005-0000-0000-000054000000}"/>
    <cellStyle name="Comma 3 7" xfId="86" xr:uid="{00000000-0005-0000-0000-000055000000}"/>
    <cellStyle name="Comma 4 2" xfId="87" xr:uid="{00000000-0005-0000-0000-000056000000}"/>
    <cellStyle name="Comma 4 3" xfId="88" xr:uid="{00000000-0005-0000-0000-000057000000}"/>
    <cellStyle name="Comma 4 4" xfId="89" xr:uid="{00000000-0005-0000-0000-000058000000}"/>
    <cellStyle name="Comma 4 5" xfId="90" xr:uid="{00000000-0005-0000-0000-000059000000}"/>
    <cellStyle name="Comma 4 6" xfId="91" xr:uid="{00000000-0005-0000-0000-00005A000000}"/>
    <cellStyle name="Comma 4 7" xfId="92" xr:uid="{00000000-0005-0000-0000-00005B000000}"/>
    <cellStyle name="Comma 5 2" xfId="93" xr:uid="{00000000-0005-0000-0000-00005C000000}"/>
    <cellStyle name="Comma 5 3" xfId="94" xr:uid="{00000000-0005-0000-0000-00005D000000}"/>
    <cellStyle name="Comma 5 4" xfId="95" xr:uid="{00000000-0005-0000-0000-00005E000000}"/>
    <cellStyle name="Comma 5 5" xfId="96" xr:uid="{00000000-0005-0000-0000-00005F000000}"/>
    <cellStyle name="Comma 5 6" xfId="97" xr:uid="{00000000-0005-0000-0000-000060000000}"/>
    <cellStyle name="Comma 5 7" xfId="98" xr:uid="{00000000-0005-0000-0000-000061000000}"/>
    <cellStyle name="Comma 51" xfId="99" xr:uid="{00000000-0005-0000-0000-000062000000}"/>
    <cellStyle name="Comma 6 10" xfId="100" xr:uid="{00000000-0005-0000-0000-000063000000}"/>
    <cellStyle name="Comma 6 11" xfId="101" xr:uid="{00000000-0005-0000-0000-000064000000}"/>
    <cellStyle name="Comma 6 12" xfId="102" xr:uid="{00000000-0005-0000-0000-000065000000}"/>
    <cellStyle name="Comma 6 13" xfId="103" xr:uid="{00000000-0005-0000-0000-000066000000}"/>
    <cellStyle name="Comma 6 14" xfId="104" xr:uid="{00000000-0005-0000-0000-000067000000}"/>
    <cellStyle name="Comma 6 15" xfId="105" xr:uid="{00000000-0005-0000-0000-000068000000}"/>
    <cellStyle name="Comma 6 16" xfId="106" xr:uid="{00000000-0005-0000-0000-000069000000}"/>
    <cellStyle name="Comma 6 17" xfId="107" xr:uid="{00000000-0005-0000-0000-00006A000000}"/>
    <cellStyle name="Comma 6 18" xfId="108" xr:uid="{00000000-0005-0000-0000-00006B000000}"/>
    <cellStyle name="Comma 6 19" xfId="109" xr:uid="{00000000-0005-0000-0000-00006C000000}"/>
    <cellStyle name="Comma 6 2" xfId="110" xr:uid="{00000000-0005-0000-0000-00006D000000}"/>
    <cellStyle name="Comma 6 3" xfId="111" xr:uid="{00000000-0005-0000-0000-00006E000000}"/>
    <cellStyle name="Comma 6 4" xfId="112" xr:uid="{00000000-0005-0000-0000-00006F000000}"/>
    <cellStyle name="Comma 6 5" xfId="113" xr:uid="{00000000-0005-0000-0000-000070000000}"/>
    <cellStyle name="Comma 6 6" xfId="114" xr:uid="{00000000-0005-0000-0000-000071000000}"/>
    <cellStyle name="Comma 6 7" xfId="115" xr:uid="{00000000-0005-0000-0000-000072000000}"/>
    <cellStyle name="Comma 6 8" xfId="116" xr:uid="{00000000-0005-0000-0000-000073000000}"/>
    <cellStyle name="Comma 6 9" xfId="117" xr:uid="{00000000-0005-0000-0000-000074000000}"/>
    <cellStyle name="Comma 7 2" xfId="118" xr:uid="{00000000-0005-0000-0000-000075000000}"/>
    <cellStyle name="Comma 7 3" xfId="119" xr:uid="{00000000-0005-0000-0000-000076000000}"/>
    <cellStyle name="Comma 7 4" xfId="120" xr:uid="{00000000-0005-0000-0000-000077000000}"/>
    <cellStyle name="Comma 7 5" xfId="121" xr:uid="{00000000-0005-0000-0000-000078000000}"/>
    <cellStyle name="Comma 7 6" xfId="122" xr:uid="{00000000-0005-0000-0000-000079000000}"/>
    <cellStyle name="Comma 7 7" xfId="123" xr:uid="{00000000-0005-0000-0000-00007A000000}"/>
    <cellStyle name="Comma 8 2" xfId="124" xr:uid="{00000000-0005-0000-0000-00007B000000}"/>
    <cellStyle name="Comma 8 3" xfId="125" xr:uid="{00000000-0005-0000-0000-00007C000000}"/>
    <cellStyle name="Comma 8 4" xfId="126" xr:uid="{00000000-0005-0000-0000-00007D000000}"/>
    <cellStyle name="Comma 8 5" xfId="127" xr:uid="{00000000-0005-0000-0000-00007E000000}"/>
    <cellStyle name="Comma 8 6" xfId="128" xr:uid="{00000000-0005-0000-0000-00007F000000}"/>
    <cellStyle name="Comma 8 7" xfId="129" xr:uid="{00000000-0005-0000-0000-000080000000}"/>
    <cellStyle name="Comma 9 2" xfId="130" xr:uid="{00000000-0005-0000-0000-000081000000}"/>
    <cellStyle name="Comma 9 3" xfId="131" xr:uid="{00000000-0005-0000-0000-000082000000}"/>
    <cellStyle name="Comma 9 4" xfId="132" xr:uid="{00000000-0005-0000-0000-000083000000}"/>
    <cellStyle name="Comma 9 5" xfId="133" xr:uid="{00000000-0005-0000-0000-000084000000}"/>
    <cellStyle name="Comma 9 6" xfId="134" xr:uid="{00000000-0005-0000-0000-000085000000}"/>
    <cellStyle name="Comma 9 7" xfId="135" xr:uid="{00000000-0005-0000-0000-000086000000}"/>
    <cellStyle name="Excel Built-in Comma" xfId="136" xr:uid="{00000000-0005-0000-0000-000087000000}"/>
    <cellStyle name="Excel Built-in Normal" xfId="137" xr:uid="{00000000-0005-0000-0000-000088000000}"/>
    <cellStyle name="Normal" xfId="0" builtinId="0"/>
    <cellStyle name="Normal 10" xfId="138" xr:uid="{00000000-0005-0000-0000-00008A000000}"/>
    <cellStyle name="Normal 10 2" xfId="139" xr:uid="{00000000-0005-0000-0000-00008B000000}"/>
    <cellStyle name="Normal 11" xfId="140" xr:uid="{00000000-0005-0000-0000-00008C000000}"/>
    <cellStyle name="Normal 12" xfId="141" xr:uid="{00000000-0005-0000-0000-00008D000000}"/>
    <cellStyle name="Normal 13" xfId="142" xr:uid="{00000000-0005-0000-0000-00008E000000}"/>
    <cellStyle name="Normal 14" xfId="143" xr:uid="{00000000-0005-0000-0000-00008F000000}"/>
    <cellStyle name="Normal 15" xfId="144" xr:uid="{00000000-0005-0000-0000-000090000000}"/>
    <cellStyle name="Normal 16" xfId="145" xr:uid="{00000000-0005-0000-0000-000091000000}"/>
    <cellStyle name="Normal 17" xfId="146" xr:uid="{00000000-0005-0000-0000-000092000000}"/>
    <cellStyle name="Normal 18" xfId="147" xr:uid="{00000000-0005-0000-0000-000093000000}"/>
    <cellStyle name="Normal 19" xfId="148" xr:uid="{00000000-0005-0000-0000-000094000000}"/>
    <cellStyle name="Normal 2" xfId="149" xr:uid="{00000000-0005-0000-0000-000095000000}"/>
    <cellStyle name="Normal 2 10" xfId="150" xr:uid="{00000000-0005-0000-0000-000096000000}"/>
    <cellStyle name="Normal 2 10 2" xfId="151" xr:uid="{00000000-0005-0000-0000-000097000000}"/>
    <cellStyle name="Normal 2 10 3" xfId="152" xr:uid="{00000000-0005-0000-0000-000098000000}"/>
    <cellStyle name="Normal 2 10 4" xfId="153" xr:uid="{00000000-0005-0000-0000-000099000000}"/>
    <cellStyle name="Normal 2 10 5" xfId="154" xr:uid="{00000000-0005-0000-0000-00009A000000}"/>
    <cellStyle name="Normal 2 10 6" xfId="155" xr:uid="{00000000-0005-0000-0000-00009B000000}"/>
    <cellStyle name="Normal 2 10 7" xfId="156" xr:uid="{00000000-0005-0000-0000-00009C000000}"/>
    <cellStyle name="Normal 2 10 8" xfId="157" xr:uid="{00000000-0005-0000-0000-00009D000000}"/>
    <cellStyle name="Normal 2 10 9" xfId="158" xr:uid="{00000000-0005-0000-0000-00009E000000}"/>
    <cellStyle name="Normal 2 11" xfId="159" xr:uid="{00000000-0005-0000-0000-00009F000000}"/>
    <cellStyle name="Normal 2 11 2" xfId="160" xr:uid="{00000000-0005-0000-0000-0000A0000000}"/>
    <cellStyle name="Normal 2 11 3" xfId="161" xr:uid="{00000000-0005-0000-0000-0000A1000000}"/>
    <cellStyle name="Normal 2 11 4" xfId="162" xr:uid="{00000000-0005-0000-0000-0000A2000000}"/>
    <cellStyle name="Normal 2 11 5" xfId="163" xr:uid="{00000000-0005-0000-0000-0000A3000000}"/>
    <cellStyle name="Normal 2 11 6" xfId="164" xr:uid="{00000000-0005-0000-0000-0000A4000000}"/>
    <cellStyle name="Normal 2 11 7" xfId="165" xr:uid="{00000000-0005-0000-0000-0000A5000000}"/>
    <cellStyle name="Normal 2 11 8" xfId="166" xr:uid="{00000000-0005-0000-0000-0000A6000000}"/>
    <cellStyle name="Normal 2 11 9" xfId="167" xr:uid="{00000000-0005-0000-0000-0000A7000000}"/>
    <cellStyle name="Normal 2 12" xfId="168" xr:uid="{00000000-0005-0000-0000-0000A8000000}"/>
    <cellStyle name="Normal 2 12 2" xfId="169" xr:uid="{00000000-0005-0000-0000-0000A9000000}"/>
    <cellStyle name="Normal 2 12 3" xfId="170" xr:uid="{00000000-0005-0000-0000-0000AA000000}"/>
    <cellStyle name="Normal 2 12 4" xfId="171" xr:uid="{00000000-0005-0000-0000-0000AB000000}"/>
    <cellStyle name="Normal 2 12 5" xfId="172" xr:uid="{00000000-0005-0000-0000-0000AC000000}"/>
    <cellStyle name="Normal 2 12 6" xfId="173" xr:uid="{00000000-0005-0000-0000-0000AD000000}"/>
    <cellStyle name="Normal 2 12 7" xfId="174" xr:uid="{00000000-0005-0000-0000-0000AE000000}"/>
    <cellStyle name="Normal 2 12 8" xfId="175" xr:uid="{00000000-0005-0000-0000-0000AF000000}"/>
    <cellStyle name="Normal 2 12 9" xfId="176" xr:uid="{00000000-0005-0000-0000-0000B0000000}"/>
    <cellStyle name="Normal 2 13" xfId="177" xr:uid="{00000000-0005-0000-0000-0000B1000000}"/>
    <cellStyle name="Normal 2 13 2" xfId="178" xr:uid="{00000000-0005-0000-0000-0000B2000000}"/>
    <cellStyle name="Normal 2 13 3" xfId="179" xr:uid="{00000000-0005-0000-0000-0000B3000000}"/>
    <cellStyle name="Normal 2 13 4" xfId="180" xr:uid="{00000000-0005-0000-0000-0000B4000000}"/>
    <cellStyle name="Normal 2 13 5" xfId="181" xr:uid="{00000000-0005-0000-0000-0000B5000000}"/>
    <cellStyle name="Normal 2 13 6" xfId="182" xr:uid="{00000000-0005-0000-0000-0000B6000000}"/>
    <cellStyle name="Normal 2 13 7" xfId="183" xr:uid="{00000000-0005-0000-0000-0000B7000000}"/>
    <cellStyle name="Normal 2 13 8" xfId="184" xr:uid="{00000000-0005-0000-0000-0000B8000000}"/>
    <cellStyle name="Normal 2 13 9" xfId="185" xr:uid="{00000000-0005-0000-0000-0000B9000000}"/>
    <cellStyle name="Normal 2 14" xfId="186" xr:uid="{00000000-0005-0000-0000-0000BA000000}"/>
    <cellStyle name="Normal 2 14 2" xfId="187" xr:uid="{00000000-0005-0000-0000-0000BB000000}"/>
    <cellStyle name="Normal 2 14 3" xfId="188" xr:uid="{00000000-0005-0000-0000-0000BC000000}"/>
    <cellStyle name="Normal 2 14 4" xfId="189" xr:uid="{00000000-0005-0000-0000-0000BD000000}"/>
    <cellStyle name="Normal 2 14 5" xfId="190" xr:uid="{00000000-0005-0000-0000-0000BE000000}"/>
    <cellStyle name="Normal 2 14 6" xfId="191" xr:uid="{00000000-0005-0000-0000-0000BF000000}"/>
    <cellStyle name="Normal 2 14 7" xfId="192" xr:uid="{00000000-0005-0000-0000-0000C0000000}"/>
    <cellStyle name="Normal 2 14 8" xfId="193" xr:uid="{00000000-0005-0000-0000-0000C1000000}"/>
    <cellStyle name="Normal 2 14 9" xfId="194" xr:uid="{00000000-0005-0000-0000-0000C2000000}"/>
    <cellStyle name="Normal 2 15" xfId="195" xr:uid="{00000000-0005-0000-0000-0000C3000000}"/>
    <cellStyle name="Normal 2 16" xfId="196" xr:uid="{00000000-0005-0000-0000-0000C4000000}"/>
    <cellStyle name="Normal 2 17" xfId="197" xr:uid="{00000000-0005-0000-0000-0000C5000000}"/>
    <cellStyle name="Normal 2 18" xfId="198" xr:uid="{00000000-0005-0000-0000-0000C6000000}"/>
    <cellStyle name="Normal 2 19" xfId="199" xr:uid="{00000000-0005-0000-0000-0000C7000000}"/>
    <cellStyle name="Normal 2 2" xfId="200" xr:uid="{00000000-0005-0000-0000-0000C8000000}"/>
    <cellStyle name="Normal 2 2 10" xfId="201" xr:uid="{00000000-0005-0000-0000-0000C9000000}"/>
    <cellStyle name="Normal 2 2 11" xfId="202" xr:uid="{00000000-0005-0000-0000-0000CA000000}"/>
    <cellStyle name="Normal 2 2 12" xfId="203" xr:uid="{00000000-0005-0000-0000-0000CB000000}"/>
    <cellStyle name="Normal 2 2 13" xfId="204" xr:uid="{00000000-0005-0000-0000-0000CC000000}"/>
    <cellStyle name="Normal 2 2 14" xfId="205" xr:uid="{00000000-0005-0000-0000-0000CD000000}"/>
    <cellStyle name="Normal 2 2 14 2" xfId="206" xr:uid="{00000000-0005-0000-0000-0000CE000000}"/>
    <cellStyle name="Normal 2 2 14 3" xfId="207" xr:uid="{00000000-0005-0000-0000-0000CF000000}"/>
    <cellStyle name="Normal 2 2 14 4" xfId="208" xr:uid="{00000000-0005-0000-0000-0000D0000000}"/>
    <cellStyle name="Normal 2 2 14 5" xfId="209" xr:uid="{00000000-0005-0000-0000-0000D1000000}"/>
    <cellStyle name="Normal 2 2 14 6" xfId="210" xr:uid="{00000000-0005-0000-0000-0000D2000000}"/>
    <cellStyle name="Normal 2 2 14 7" xfId="211" xr:uid="{00000000-0005-0000-0000-0000D3000000}"/>
    <cellStyle name="Normal 2 2 15" xfId="212" xr:uid="{00000000-0005-0000-0000-0000D4000000}"/>
    <cellStyle name="Normal 2 2 16" xfId="213" xr:uid="{00000000-0005-0000-0000-0000D5000000}"/>
    <cellStyle name="Normal 2 2 17" xfId="214" xr:uid="{00000000-0005-0000-0000-0000D6000000}"/>
    <cellStyle name="Normal 2 2 18" xfId="215" xr:uid="{00000000-0005-0000-0000-0000D7000000}"/>
    <cellStyle name="Normal 2 2 19" xfId="216" xr:uid="{00000000-0005-0000-0000-0000D8000000}"/>
    <cellStyle name="Normal 2 2 2" xfId="217" xr:uid="{00000000-0005-0000-0000-0000D9000000}"/>
    <cellStyle name="Normal 2 2 2 10" xfId="218" xr:uid="{00000000-0005-0000-0000-0000DA000000}"/>
    <cellStyle name="Normal 2 2 2 11" xfId="219" xr:uid="{00000000-0005-0000-0000-0000DB000000}"/>
    <cellStyle name="Normal 2 2 2 12" xfId="220" xr:uid="{00000000-0005-0000-0000-0000DC000000}"/>
    <cellStyle name="Normal 2 2 2 13" xfId="221" xr:uid="{00000000-0005-0000-0000-0000DD000000}"/>
    <cellStyle name="Normal 2 2 2 14" xfId="222" xr:uid="{00000000-0005-0000-0000-0000DE000000}"/>
    <cellStyle name="Normal 2 2 2 14 2" xfId="223" xr:uid="{00000000-0005-0000-0000-0000DF000000}"/>
    <cellStyle name="Normal 2 2 2 14 3" xfId="224" xr:uid="{00000000-0005-0000-0000-0000E0000000}"/>
    <cellStyle name="Normal 2 2 2 14 4" xfId="225" xr:uid="{00000000-0005-0000-0000-0000E1000000}"/>
    <cellStyle name="Normal 2 2 2 14 5" xfId="226" xr:uid="{00000000-0005-0000-0000-0000E2000000}"/>
    <cellStyle name="Normal 2 2 2 14 6" xfId="227" xr:uid="{00000000-0005-0000-0000-0000E3000000}"/>
    <cellStyle name="Normal 2 2 2 14 7" xfId="228" xr:uid="{00000000-0005-0000-0000-0000E4000000}"/>
    <cellStyle name="Normal 2 2 2 15" xfId="229" xr:uid="{00000000-0005-0000-0000-0000E5000000}"/>
    <cellStyle name="Normal 2 2 2 16" xfId="230" xr:uid="{00000000-0005-0000-0000-0000E6000000}"/>
    <cellStyle name="Normal 2 2 2 17" xfId="231" xr:uid="{00000000-0005-0000-0000-0000E7000000}"/>
    <cellStyle name="Normal 2 2 2 18" xfId="232" xr:uid="{00000000-0005-0000-0000-0000E8000000}"/>
    <cellStyle name="Normal 2 2 2 19" xfId="233" xr:uid="{00000000-0005-0000-0000-0000E9000000}"/>
    <cellStyle name="Normal 2 2 2 2" xfId="234" xr:uid="{00000000-0005-0000-0000-0000EA000000}"/>
    <cellStyle name="Normal 2 2 2 2 10" xfId="235" xr:uid="{00000000-0005-0000-0000-0000EB000000}"/>
    <cellStyle name="Normal 2 2 2 2 11" xfId="236" xr:uid="{00000000-0005-0000-0000-0000EC000000}"/>
    <cellStyle name="Normal 2 2 2 2 12" xfId="237" xr:uid="{00000000-0005-0000-0000-0000ED000000}"/>
    <cellStyle name="Normal 2 2 2 2 12 2" xfId="238" xr:uid="{00000000-0005-0000-0000-0000EE000000}"/>
    <cellStyle name="Normal 2 2 2 2 12 3" xfId="239" xr:uid="{00000000-0005-0000-0000-0000EF000000}"/>
    <cellStyle name="Normal 2 2 2 2 12 4" xfId="240" xr:uid="{00000000-0005-0000-0000-0000F0000000}"/>
    <cellStyle name="Normal 2 2 2 2 12 5" xfId="241" xr:uid="{00000000-0005-0000-0000-0000F1000000}"/>
    <cellStyle name="Normal 2 2 2 2 12 6" xfId="242" xr:uid="{00000000-0005-0000-0000-0000F2000000}"/>
    <cellStyle name="Normal 2 2 2 2 12 7" xfId="243" xr:uid="{00000000-0005-0000-0000-0000F3000000}"/>
    <cellStyle name="Normal 2 2 2 2 13" xfId="244" xr:uid="{00000000-0005-0000-0000-0000F4000000}"/>
    <cellStyle name="Normal 2 2 2 2 14" xfId="245" xr:uid="{00000000-0005-0000-0000-0000F5000000}"/>
    <cellStyle name="Normal 2 2 2 2 15" xfId="246" xr:uid="{00000000-0005-0000-0000-0000F6000000}"/>
    <cellStyle name="Normal 2 2 2 2 16" xfId="247" xr:uid="{00000000-0005-0000-0000-0000F7000000}"/>
    <cellStyle name="Normal 2 2 2 2 17" xfId="248" xr:uid="{00000000-0005-0000-0000-0000F8000000}"/>
    <cellStyle name="Normal 2 2 2 2 18" xfId="249" xr:uid="{00000000-0005-0000-0000-0000F9000000}"/>
    <cellStyle name="Normal 2 2 2 2 19" xfId="250" xr:uid="{00000000-0005-0000-0000-0000FA000000}"/>
    <cellStyle name="Normal 2 2 2 2 2" xfId="251" xr:uid="{00000000-0005-0000-0000-0000FB000000}"/>
    <cellStyle name="Normal 2 2 2 2 2 10" xfId="252" xr:uid="{00000000-0005-0000-0000-0000FC000000}"/>
    <cellStyle name="Normal 2 2 2 2 2 11" xfId="253" xr:uid="{00000000-0005-0000-0000-0000FD000000}"/>
    <cellStyle name="Normal 2 2 2 2 2 12" xfId="254" xr:uid="{00000000-0005-0000-0000-0000FE000000}"/>
    <cellStyle name="Normal 2 2 2 2 2 13" xfId="255" xr:uid="{00000000-0005-0000-0000-0000FF000000}"/>
    <cellStyle name="Normal 2 2 2 2 2 14" xfId="256" xr:uid="{00000000-0005-0000-0000-000000010000}"/>
    <cellStyle name="Normal 2 2 2 2 2 15" xfId="257" xr:uid="{00000000-0005-0000-0000-000001010000}"/>
    <cellStyle name="Normal 2 2 2 2 2 16" xfId="258" xr:uid="{00000000-0005-0000-0000-000002010000}"/>
    <cellStyle name="Normal 2 2 2 2 2 17" xfId="259" xr:uid="{00000000-0005-0000-0000-000003010000}"/>
    <cellStyle name="Normal 2 2 2 2 2 18" xfId="260" xr:uid="{00000000-0005-0000-0000-000004010000}"/>
    <cellStyle name="Normal 2 2 2 2 2 19" xfId="261" xr:uid="{00000000-0005-0000-0000-000005010000}"/>
    <cellStyle name="Normal 2 2 2 2 2 2" xfId="262" xr:uid="{00000000-0005-0000-0000-000006010000}"/>
    <cellStyle name="Normal 2 2 2 2 2 2 10" xfId="263" xr:uid="{00000000-0005-0000-0000-000007010000}"/>
    <cellStyle name="Normal 2 2 2 2 2 2 11" xfId="264" xr:uid="{00000000-0005-0000-0000-000008010000}"/>
    <cellStyle name="Normal 2 2 2 2 2 2 12" xfId="265" xr:uid="{00000000-0005-0000-0000-000009010000}"/>
    <cellStyle name="Normal 2 2 2 2 2 2 13" xfId="266" xr:uid="{00000000-0005-0000-0000-00000A010000}"/>
    <cellStyle name="Normal 2 2 2 2 2 2 14" xfId="267" xr:uid="{00000000-0005-0000-0000-00000B010000}"/>
    <cellStyle name="Normal 2 2 2 2 2 2 2" xfId="268" xr:uid="{00000000-0005-0000-0000-00000C010000}"/>
    <cellStyle name="Normal 2 2 2 2 2 2 2 2" xfId="269" xr:uid="{00000000-0005-0000-0000-00000D010000}"/>
    <cellStyle name="Normal 2 2 2 2 2 2 2 2 2" xfId="270" xr:uid="{00000000-0005-0000-0000-00000E010000}"/>
    <cellStyle name="Normal 2 2 2 2 2 2 2 2 2 2" xfId="271" xr:uid="{00000000-0005-0000-0000-00000F010000}"/>
    <cellStyle name="Normal 2 2 2 2 2 2 2 2 2 2 2" xfId="272" xr:uid="{00000000-0005-0000-0000-000010010000}"/>
    <cellStyle name="Normal 2 2 2 2 2 2 2 2 3" xfId="273" xr:uid="{00000000-0005-0000-0000-000011010000}"/>
    <cellStyle name="Normal 2 2 2 2 2 2 2 3" xfId="274" xr:uid="{00000000-0005-0000-0000-000012010000}"/>
    <cellStyle name="Normal 2 2 2 2 2 2 2 4" xfId="275" xr:uid="{00000000-0005-0000-0000-000013010000}"/>
    <cellStyle name="Normal 2 2 2 2 2 2 2 5" xfId="276" xr:uid="{00000000-0005-0000-0000-000014010000}"/>
    <cellStyle name="Normal 2 2 2 2 2 2 2 6" xfId="277" xr:uid="{00000000-0005-0000-0000-000015010000}"/>
    <cellStyle name="Normal 2 2 2 2 2 2 2 7" xfId="278" xr:uid="{00000000-0005-0000-0000-000016010000}"/>
    <cellStyle name="Normal 2 2 2 2 2 2 2 8" xfId="279" xr:uid="{00000000-0005-0000-0000-000017010000}"/>
    <cellStyle name="Normal 2 2 2 2 2 2 2 9" xfId="280" xr:uid="{00000000-0005-0000-0000-000018010000}"/>
    <cellStyle name="Normal 2 2 2 2 2 2 3" xfId="281" xr:uid="{00000000-0005-0000-0000-000019010000}"/>
    <cellStyle name="Normal 2 2 2 2 2 2 4" xfId="282" xr:uid="{00000000-0005-0000-0000-00001A010000}"/>
    <cellStyle name="Normal 2 2 2 2 2 2 5" xfId="283" xr:uid="{00000000-0005-0000-0000-00001B010000}"/>
    <cellStyle name="Normal 2 2 2 2 2 2 6" xfId="284" xr:uid="{00000000-0005-0000-0000-00001C010000}"/>
    <cellStyle name="Normal 2 2 2 2 2 2 7" xfId="285" xr:uid="{00000000-0005-0000-0000-00001D010000}"/>
    <cellStyle name="Normal 2 2 2 2 2 2 8" xfId="286" xr:uid="{00000000-0005-0000-0000-00001E010000}"/>
    <cellStyle name="Normal 2 2 2 2 2 2 8 2" xfId="287" xr:uid="{00000000-0005-0000-0000-00001F010000}"/>
    <cellStyle name="Normal 2 2 2 2 2 2 9" xfId="288" xr:uid="{00000000-0005-0000-0000-000020010000}"/>
    <cellStyle name="Normal 2 2 2 2 2 20" xfId="289" xr:uid="{00000000-0005-0000-0000-000021010000}"/>
    <cellStyle name="Normal 2 2 2 2 2 21" xfId="290" xr:uid="{00000000-0005-0000-0000-000022010000}"/>
    <cellStyle name="Normal 2 2 2 2 2 21 2" xfId="291" xr:uid="{00000000-0005-0000-0000-000023010000}"/>
    <cellStyle name="Normal 2 2 2 2 2 22" xfId="292" xr:uid="{00000000-0005-0000-0000-000024010000}"/>
    <cellStyle name="Normal 2 2 2 2 2 23" xfId="293" xr:uid="{00000000-0005-0000-0000-000025010000}"/>
    <cellStyle name="Normal 2 2 2 2 2 24" xfId="294" xr:uid="{00000000-0005-0000-0000-000026010000}"/>
    <cellStyle name="Normal 2 2 2 2 2 25" xfId="295" xr:uid="{00000000-0005-0000-0000-000027010000}"/>
    <cellStyle name="Normal 2 2 2 2 2 26" xfId="296" xr:uid="{00000000-0005-0000-0000-000028010000}"/>
    <cellStyle name="Normal 2 2 2 2 2 27" xfId="297" xr:uid="{00000000-0005-0000-0000-000029010000}"/>
    <cellStyle name="Normal 2 2 2 2 2 3" xfId="298" xr:uid="{00000000-0005-0000-0000-00002A010000}"/>
    <cellStyle name="Normal 2 2 2 2 2 4" xfId="299" xr:uid="{00000000-0005-0000-0000-00002B010000}"/>
    <cellStyle name="Normal 2 2 2 2 2 5" xfId="300" xr:uid="{00000000-0005-0000-0000-00002C010000}"/>
    <cellStyle name="Normal 2 2 2 2 2 6" xfId="301" xr:uid="{00000000-0005-0000-0000-00002D010000}"/>
    <cellStyle name="Normal 2 2 2 2 2 7" xfId="302" xr:uid="{00000000-0005-0000-0000-00002E010000}"/>
    <cellStyle name="Normal 2 2 2 2 2 8" xfId="303" xr:uid="{00000000-0005-0000-0000-00002F010000}"/>
    <cellStyle name="Normal 2 2 2 2 2 9" xfId="304" xr:uid="{00000000-0005-0000-0000-000030010000}"/>
    <cellStyle name="Normal 2 2 2 2 20" xfId="305" xr:uid="{00000000-0005-0000-0000-000031010000}"/>
    <cellStyle name="Normal 2 2 2 2 21" xfId="306" xr:uid="{00000000-0005-0000-0000-000032010000}"/>
    <cellStyle name="Normal 2 2 2 2 22" xfId="307" xr:uid="{00000000-0005-0000-0000-000033010000}"/>
    <cellStyle name="Normal 2 2 2 2 23" xfId="308" xr:uid="{00000000-0005-0000-0000-000034010000}"/>
    <cellStyle name="Normal 2 2 2 2 24" xfId="309" xr:uid="{00000000-0005-0000-0000-000035010000}"/>
    <cellStyle name="Normal 2 2 2 2 25" xfId="310" xr:uid="{00000000-0005-0000-0000-000036010000}"/>
    <cellStyle name="Normal 2 2 2 2 26" xfId="311" xr:uid="{00000000-0005-0000-0000-000037010000}"/>
    <cellStyle name="Normal 2 2 2 2 27" xfId="312" xr:uid="{00000000-0005-0000-0000-000038010000}"/>
    <cellStyle name="Normal 2 2 2 2 28" xfId="313" xr:uid="{00000000-0005-0000-0000-000039010000}"/>
    <cellStyle name="Normal 2 2 2 2 29" xfId="314" xr:uid="{00000000-0005-0000-0000-00003A010000}"/>
    <cellStyle name="Normal 2 2 2 2 3" xfId="315" xr:uid="{00000000-0005-0000-0000-00003B010000}"/>
    <cellStyle name="Normal 2 2 2 2 30" xfId="316" xr:uid="{00000000-0005-0000-0000-00003C010000}"/>
    <cellStyle name="Normal 2 2 2 2 30 2" xfId="317" xr:uid="{00000000-0005-0000-0000-00003D010000}"/>
    <cellStyle name="Normal 2 2 2 2 31" xfId="318" xr:uid="{00000000-0005-0000-0000-00003E010000}"/>
    <cellStyle name="Normal 2 2 2 2 32" xfId="319" xr:uid="{00000000-0005-0000-0000-00003F010000}"/>
    <cellStyle name="Normal 2 2 2 2 33" xfId="320" xr:uid="{00000000-0005-0000-0000-000040010000}"/>
    <cellStyle name="Normal 2 2 2 2 34" xfId="321" xr:uid="{00000000-0005-0000-0000-000041010000}"/>
    <cellStyle name="Normal 2 2 2 2 35" xfId="322" xr:uid="{00000000-0005-0000-0000-000042010000}"/>
    <cellStyle name="Normal 2 2 2 2 36" xfId="323" xr:uid="{00000000-0005-0000-0000-000043010000}"/>
    <cellStyle name="Normal 2 2 2 2 4" xfId="324" xr:uid="{00000000-0005-0000-0000-000044010000}"/>
    <cellStyle name="Normal 2 2 2 2 5" xfId="325" xr:uid="{00000000-0005-0000-0000-000045010000}"/>
    <cellStyle name="Normal 2 2 2 2 6" xfId="326" xr:uid="{00000000-0005-0000-0000-000046010000}"/>
    <cellStyle name="Normal 2 2 2 2 7" xfId="327" xr:uid="{00000000-0005-0000-0000-000047010000}"/>
    <cellStyle name="Normal 2 2 2 2 8" xfId="328" xr:uid="{00000000-0005-0000-0000-000048010000}"/>
    <cellStyle name="Normal 2 2 2 2 9" xfId="329" xr:uid="{00000000-0005-0000-0000-000049010000}"/>
    <cellStyle name="Normal 2 2 2 20" xfId="330" xr:uid="{00000000-0005-0000-0000-00004A010000}"/>
    <cellStyle name="Normal 2 2 2 21" xfId="331" xr:uid="{00000000-0005-0000-0000-00004B010000}"/>
    <cellStyle name="Normal 2 2 2 22" xfId="332" xr:uid="{00000000-0005-0000-0000-00004C010000}"/>
    <cellStyle name="Normal 2 2 2 23" xfId="333" xr:uid="{00000000-0005-0000-0000-00004D010000}"/>
    <cellStyle name="Normal 2 2 2 24" xfId="334" xr:uid="{00000000-0005-0000-0000-00004E010000}"/>
    <cellStyle name="Normal 2 2 2 25" xfId="335" xr:uid="{00000000-0005-0000-0000-00004F010000}"/>
    <cellStyle name="Normal 2 2 2 26" xfId="336" xr:uid="{00000000-0005-0000-0000-000050010000}"/>
    <cellStyle name="Normal 2 2 2 27" xfId="337" xr:uid="{00000000-0005-0000-0000-000051010000}"/>
    <cellStyle name="Normal 2 2 2 28" xfId="338" xr:uid="{00000000-0005-0000-0000-000052010000}"/>
    <cellStyle name="Normal 2 2 2 29" xfId="339" xr:uid="{00000000-0005-0000-0000-000053010000}"/>
    <cellStyle name="Normal 2 2 2 3" xfId="340" xr:uid="{00000000-0005-0000-0000-000054010000}"/>
    <cellStyle name="Normal 2 2 2 30" xfId="341" xr:uid="{00000000-0005-0000-0000-000055010000}"/>
    <cellStyle name="Normal 2 2 2 31" xfId="342" xr:uid="{00000000-0005-0000-0000-000056010000}"/>
    <cellStyle name="Normal 2 2 2 32" xfId="343" xr:uid="{00000000-0005-0000-0000-000057010000}"/>
    <cellStyle name="Normal 2 2 2 32 2" xfId="344" xr:uid="{00000000-0005-0000-0000-000058010000}"/>
    <cellStyle name="Normal 2 2 2 33" xfId="345" xr:uid="{00000000-0005-0000-0000-000059010000}"/>
    <cellStyle name="Normal 2 2 2 34" xfId="346" xr:uid="{00000000-0005-0000-0000-00005A010000}"/>
    <cellStyle name="Normal 2 2 2 35" xfId="347" xr:uid="{00000000-0005-0000-0000-00005B010000}"/>
    <cellStyle name="Normal 2 2 2 36" xfId="348" xr:uid="{00000000-0005-0000-0000-00005C010000}"/>
    <cellStyle name="Normal 2 2 2 37" xfId="349" xr:uid="{00000000-0005-0000-0000-00005D010000}"/>
    <cellStyle name="Normal 2 2 2 38" xfId="350" xr:uid="{00000000-0005-0000-0000-00005E010000}"/>
    <cellStyle name="Normal 2 2 2 4" xfId="351" xr:uid="{00000000-0005-0000-0000-00005F010000}"/>
    <cellStyle name="Normal 2 2 2 5" xfId="352" xr:uid="{00000000-0005-0000-0000-000060010000}"/>
    <cellStyle name="Normal 2 2 2 6" xfId="353" xr:uid="{00000000-0005-0000-0000-000061010000}"/>
    <cellStyle name="Normal 2 2 2 7" xfId="354" xr:uid="{00000000-0005-0000-0000-000062010000}"/>
    <cellStyle name="Normal 2 2 2 8" xfId="355" xr:uid="{00000000-0005-0000-0000-000063010000}"/>
    <cellStyle name="Normal 2 2 2 9" xfId="356" xr:uid="{00000000-0005-0000-0000-000064010000}"/>
    <cellStyle name="Normal 2 2 20" xfId="357" xr:uid="{00000000-0005-0000-0000-000065010000}"/>
    <cellStyle name="Normal 2 2 21" xfId="358" xr:uid="{00000000-0005-0000-0000-000066010000}"/>
    <cellStyle name="Normal 2 2 22" xfId="359" xr:uid="{00000000-0005-0000-0000-000067010000}"/>
    <cellStyle name="Normal 2 2 23" xfId="360" xr:uid="{00000000-0005-0000-0000-000068010000}"/>
    <cellStyle name="Normal 2 2 24" xfId="361" xr:uid="{00000000-0005-0000-0000-000069010000}"/>
    <cellStyle name="Normal 2 2 25" xfId="362" xr:uid="{00000000-0005-0000-0000-00006A010000}"/>
    <cellStyle name="Normal 2 2 26" xfId="363" xr:uid="{00000000-0005-0000-0000-00006B010000}"/>
    <cellStyle name="Normal 2 2 27" xfId="364" xr:uid="{00000000-0005-0000-0000-00006C010000}"/>
    <cellStyle name="Normal 2 2 28" xfId="365" xr:uid="{00000000-0005-0000-0000-00006D010000}"/>
    <cellStyle name="Normal 2 2 29" xfId="366" xr:uid="{00000000-0005-0000-0000-00006E010000}"/>
    <cellStyle name="Normal 2 2 3" xfId="367" xr:uid="{00000000-0005-0000-0000-00006F010000}"/>
    <cellStyle name="Normal 2 2 3 10" xfId="368" xr:uid="{00000000-0005-0000-0000-000070010000}"/>
    <cellStyle name="Normal 2 2 3 11" xfId="369" xr:uid="{00000000-0005-0000-0000-000071010000}"/>
    <cellStyle name="Normal 2 2 3 2" xfId="370" xr:uid="{00000000-0005-0000-0000-000072010000}"/>
    <cellStyle name="Normal 2 2 3 3" xfId="371" xr:uid="{00000000-0005-0000-0000-000073010000}"/>
    <cellStyle name="Normal 2 2 3 4" xfId="372" xr:uid="{00000000-0005-0000-0000-000074010000}"/>
    <cellStyle name="Normal 2 2 3 5" xfId="373" xr:uid="{00000000-0005-0000-0000-000075010000}"/>
    <cellStyle name="Normal 2 2 3 6" xfId="374" xr:uid="{00000000-0005-0000-0000-000076010000}"/>
    <cellStyle name="Normal 2 2 3 7" xfId="375" xr:uid="{00000000-0005-0000-0000-000077010000}"/>
    <cellStyle name="Normal 2 2 3 8" xfId="376" xr:uid="{00000000-0005-0000-0000-000078010000}"/>
    <cellStyle name="Normal 2 2 3 9" xfId="377" xr:uid="{00000000-0005-0000-0000-000079010000}"/>
    <cellStyle name="Normal 2 2 30" xfId="378" xr:uid="{00000000-0005-0000-0000-00007A010000}"/>
    <cellStyle name="Normal 2 2 31" xfId="379" xr:uid="{00000000-0005-0000-0000-00007B010000}"/>
    <cellStyle name="Normal 2 2 32" xfId="380" xr:uid="{00000000-0005-0000-0000-00007C010000}"/>
    <cellStyle name="Normal 2 2 32 2" xfId="381" xr:uid="{00000000-0005-0000-0000-00007D010000}"/>
    <cellStyle name="Normal 2 2 33" xfId="382" xr:uid="{00000000-0005-0000-0000-00007E010000}"/>
    <cellStyle name="Normal 2 2 34" xfId="383" xr:uid="{00000000-0005-0000-0000-00007F010000}"/>
    <cellStyle name="Normal 2 2 35" xfId="384" xr:uid="{00000000-0005-0000-0000-000080010000}"/>
    <cellStyle name="Normal 2 2 36" xfId="385" xr:uid="{00000000-0005-0000-0000-000081010000}"/>
    <cellStyle name="Normal 2 2 37" xfId="386" xr:uid="{00000000-0005-0000-0000-000082010000}"/>
    <cellStyle name="Normal 2 2 38" xfId="387" xr:uid="{00000000-0005-0000-0000-000083010000}"/>
    <cellStyle name="Normal 2 2 4" xfId="388" xr:uid="{00000000-0005-0000-0000-000084010000}"/>
    <cellStyle name="Normal 2 2 5" xfId="389" xr:uid="{00000000-0005-0000-0000-000085010000}"/>
    <cellStyle name="Normal 2 2 6" xfId="390" xr:uid="{00000000-0005-0000-0000-000086010000}"/>
    <cellStyle name="Normal 2 2 7" xfId="391" xr:uid="{00000000-0005-0000-0000-000087010000}"/>
    <cellStyle name="Normal 2 2 8" xfId="392" xr:uid="{00000000-0005-0000-0000-000088010000}"/>
    <cellStyle name="Normal 2 2 9" xfId="393" xr:uid="{00000000-0005-0000-0000-000089010000}"/>
    <cellStyle name="Normal 2 20" xfId="394" xr:uid="{00000000-0005-0000-0000-00008A010000}"/>
    <cellStyle name="Normal 2 21" xfId="395" xr:uid="{00000000-0005-0000-0000-00008B010000}"/>
    <cellStyle name="Normal 2 22" xfId="396" xr:uid="{00000000-0005-0000-0000-00008C010000}"/>
    <cellStyle name="Normal 2 23" xfId="397" xr:uid="{00000000-0005-0000-0000-00008D010000}"/>
    <cellStyle name="Normal 2 24" xfId="398" xr:uid="{00000000-0005-0000-0000-00008E010000}"/>
    <cellStyle name="Normal 2 25" xfId="399" xr:uid="{00000000-0005-0000-0000-00008F010000}"/>
    <cellStyle name="Normal 2 26" xfId="400" xr:uid="{00000000-0005-0000-0000-000090010000}"/>
    <cellStyle name="Normal 2 27" xfId="401" xr:uid="{00000000-0005-0000-0000-000091010000}"/>
    <cellStyle name="Normal 2 28" xfId="402" xr:uid="{00000000-0005-0000-0000-000092010000}"/>
    <cellStyle name="Normal 2 29" xfId="403" xr:uid="{00000000-0005-0000-0000-000093010000}"/>
    <cellStyle name="Normal 2 3" xfId="404" xr:uid="{00000000-0005-0000-0000-000094010000}"/>
    <cellStyle name="Normal 2 3 10" xfId="405" xr:uid="{00000000-0005-0000-0000-000095010000}"/>
    <cellStyle name="Normal 2 3 11" xfId="406" xr:uid="{00000000-0005-0000-0000-000096010000}"/>
    <cellStyle name="Normal 2 3 12" xfId="407" xr:uid="{00000000-0005-0000-0000-000097010000}"/>
    <cellStyle name="Normal 2 3 13" xfId="408" xr:uid="{00000000-0005-0000-0000-000098010000}"/>
    <cellStyle name="Normal 2 3 14" xfId="409" xr:uid="{00000000-0005-0000-0000-000099010000}"/>
    <cellStyle name="Normal 2 3 15" xfId="410" xr:uid="{00000000-0005-0000-0000-00009A010000}"/>
    <cellStyle name="Normal 2 3 16" xfId="411" xr:uid="{00000000-0005-0000-0000-00009B010000}"/>
    <cellStyle name="Normal 2 3 17" xfId="412" xr:uid="{00000000-0005-0000-0000-00009C010000}"/>
    <cellStyle name="Normal 2 3 18" xfId="413" xr:uid="{00000000-0005-0000-0000-00009D010000}"/>
    <cellStyle name="Normal 2 3 19" xfId="414" xr:uid="{00000000-0005-0000-0000-00009E010000}"/>
    <cellStyle name="Normal 2 3 2" xfId="415" xr:uid="{00000000-0005-0000-0000-00009F010000}"/>
    <cellStyle name="Normal 2 3 3" xfId="416" xr:uid="{00000000-0005-0000-0000-0000A0010000}"/>
    <cellStyle name="Normal 2 3 4" xfId="417" xr:uid="{00000000-0005-0000-0000-0000A1010000}"/>
    <cellStyle name="Normal 2 3 5" xfId="418" xr:uid="{00000000-0005-0000-0000-0000A2010000}"/>
    <cellStyle name="Normal 2 3 6" xfId="419" xr:uid="{00000000-0005-0000-0000-0000A3010000}"/>
    <cellStyle name="Normal 2 3 7" xfId="420" xr:uid="{00000000-0005-0000-0000-0000A4010000}"/>
    <cellStyle name="Normal 2 3 8" xfId="421" xr:uid="{00000000-0005-0000-0000-0000A5010000}"/>
    <cellStyle name="Normal 2 3 9" xfId="422" xr:uid="{00000000-0005-0000-0000-0000A6010000}"/>
    <cellStyle name="Normal 2 30" xfId="423" xr:uid="{00000000-0005-0000-0000-0000A7010000}"/>
    <cellStyle name="Normal 2 31" xfId="424" xr:uid="{00000000-0005-0000-0000-0000A8010000}"/>
    <cellStyle name="Normal 2 32" xfId="425" xr:uid="{00000000-0005-0000-0000-0000A9010000}"/>
    <cellStyle name="Normal 2 33" xfId="426" xr:uid="{00000000-0005-0000-0000-0000AA010000}"/>
    <cellStyle name="Normal 2 4" xfId="427" xr:uid="{00000000-0005-0000-0000-0000AB010000}"/>
    <cellStyle name="Normal 2 5" xfId="428" xr:uid="{00000000-0005-0000-0000-0000AC010000}"/>
    <cellStyle name="Normal 2 6" xfId="429" xr:uid="{00000000-0005-0000-0000-0000AD010000}"/>
    <cellStyle name="Normal 2 6 2" xfId="430" xr:uid="{00000000-0005-0000-0000-0000AE010000}"/>
    <cellStyle name="Normal 2 6 3" xfId="431" xr:uid="{00000000-0005-0000-0000-0000AF010000}"/>
    <cellStyle name="Normal 2 6 4" xfId="432" xr:uid="{00000000-0005-0000-0000-0000B0010000}"/>
    <cellStyle name="Normal 2 6 5" xfId="433" xr:uid="{00000000-0005-0000-0000-0000B1010000}"/>
    <cellStyle name="Normal 2 6 6" xfId="434" xr:uid="{00000000-0005-0000-0000-0000B2010000}"/>
    <cellStyle name="Normal 2 6 7" xfId="435" xr:uid="{00000000-0005-0000-0000-0000B3010000}"/>
    <cellStyle name="Normal 2 6 8" xfId="436" xr:uid="{00000000-0005-0000-0000-0000B4010000}"/>
    <cellStyle name="Normal 2 6 9" xfId="437" xr:uid="{00000000-0005-0000-0000-0000B5010000}"/>
    <cellStyle name="Normal 2 7" xfId="438" xr:uid="{00000000-0005-0000-0000-0000B6010000}"/>
    <cellStyle name="Normal 2 7 2" xfId="439" xr:uid="{00000000-0005-0000-0000-0000B7010000}"/>
    <cellStyle name="Normal 2 7 3" xfId="440" xr:uid="{00000000-0005-0000-0000-0000B8010000}"/>
    <cellStyle name="Normal 2 7 4" xfId="441" xr:uid="{00000000-0005-0000-0000-0000B9010000}"/>
    <cellStyle name="Normal 2 7 5" xfId="442" xr:uid="{00000000-0005-0000-0000-0000BA010000}"/>
    <cellStyle name="Normal 2 7 6" xfId="443" xr:uid="{00000000-0005-0000-0000-0000BB010000}"/>
    <cellStyle name="Normal 2 7 7" xfId="444" xr:uid="{00000000-0005-0000-0000-0000BC010000}"/>
    <cellStyle name="Normal 2 7 8" xfId="445" xr:uid="{00000000-0005-0000-0000-0000BD010000}"/>
    <cellStyle name="Normal 2 7 9" xfId="446" xr:uid="{00000000-0005-0000-0000-0000BE010000}"/>
    <cellStyle name="Normal 2 8" xfId="447" xr:uid="{00000000-0005-0000-0000-0000BF010000}"/>
    <cellStyle name="Normal 2 8 2" xfId="448" xr:uid="{00000000-0005-0000-0000-0000C0010000}"/>
    <cellStyle name="Normal 2 8 3" xfId="449" xr:uid="{00000000-0005-0000-0000-0000C1010000}"/>
    <cellStyle name="Normal 2 8 4" xfId="450" xr:uid="{00000000-0005-0000-0000-0000C2010000}"/>
    <cellStyle name="Normal 2 8 5" xfId="451" xr:uid="{00000000-0005-0000-0000-0000C3010000}"/>
    <cellStyle name="Normal 2 8 6" xfId="452" xr:uid="{00000000-0005-0000-0000-0000C4010000}"/>
    <cellStyle name="Normal 2 8 7" xfId="453" xr:uid="{00000000-0005-0000-0000-0000C5010000}"/>
    <cellStyle name="Normal 2 8 8" xfId="454" xr:uid="{00000000-0005-0000-0000-0000C6010000}"/>
    <cellStyle name="Normal 2 8 9" xfId="455" xr:uid="{00000000-0005-0000-0000-0000C7010000}"/>
    <cellStyle name="Normal 2 9" xfId="456" xr:uid="{00000000-0005-0000-0000-0000C8010000}"/>
    <cellStyle name="Normal 2 9 2" xfId="457" xr:uid="{00000000-0005-0000-0000-0000C9010000}"/>
    <cellStyle name="Normal 2 9 3" xfId="458" xr:uid="{00000000-0005-0000-0000-0000CA010000}"/>
    <cellStyle name="Normal 2 9 4" xfId="459" xr:uid="{00000000-0005-0000-0000-0000CB010000}"/>
    <cellStyle name="Normal 2 9 5" xfId="460" xr:uid="{00000000-0005-0000-0000-0000CC010000}"/>
    <cellStyle name="Normal 2 9 6" xfId="461" xr:uid="{00000000-0005-0000-0000-0000CD010000}"/>
    <cellStyle name="Normal 2 9 7" xfId="462" xr:uid="{00000000-0005-0000-0000-0000CE010000}"/>
    <cellStyle name="Normal 2 9 8" xfId="463" xr:uid="{00000000-0005-0000-0000-0000CF010000}"/>
    <cellStyle name="Normal 2 9 9" xfId="464" xr:uid="{00000000-0005-0000-0000-0000D0010000}"/>
    <cellStyle name="Normal 20" xfId="465" xr:uid="{00000000-0005-0000-0000-0000D1010000}"/>
    <cellStyle name="Normal 21" xfId="466" xr:uid="{00000000-0005-0000-0000-0000D2010000}"/>
    <cellStyle name="Normal 22" xfId="467" xr:uid="{00000000-0005-0000-0000-0000D3010000}"/>
    <cellStyle name="Normal 23" xfId="468" xr:uid="{00000000-0005-0000-0000-0000D4010000}"/>
    <cellStyle name="Normal 24" xfId="469" xr:uid="{00000000-0005-0000-0000-0000D5010000}"/>
    <cellStyle name="Normal 25" xfId="470" xr:uid="{00000000-0005-0000-0000-0000D6010000}"/>
    <cellStyle name="Normal 26" xfId="471" xr:uid="{00000000-0005-0000-0000-0000D7010000}"/>
    <cellStyle name="Normal 27" xfId="472" xr:uid="{00000000-0005-0000-0000-0000D8010000}"/>
    <cellStyle name="Normal 28" xfId="473" xr:uid="{00000000-0005-0000-0000-0000D9010000}"/>
    <cellStyle name="Normal 28 2" xfId="474" xr:uid="{00000000-0005-0000-0000-0000DA010000}"/>
    <cellStyle name="Normal 28 3" xfId="475" xr:uid="{00000000-0005-0000-0000-0000DB010000}"/>
    <cellStyle name="Normal 28 4" xfId="476" xr:uid="{00000000-0005-0000-0000-0000DC010000}"/>
    <cellStyle name="Normal 28 5" xfId="477" xr:uid="{00000000-0005-0000-0000-0000DD010000}"/>
    <cellStyle name="Normal 28 6" xfId="478" xr:uid="{00000000-0005-0000-0000-0000DE010000}"/>
    <cellStyle name="Normal 28 7" xfId="479" xr:uid="{00000000-0005-0000-0000-0000DF010000}"/>
    <cellStyle name="Normal 28 8" xfId="480" xr:uid="{00000000-0005-0000-0000-0000E0010000}"/>
    <cellStyle name="Normal 28 9" xfId="481" xr:uid="{00000000-0005-0000-0000-0000E1010000}"/>
    <cellStyle name="Normal 29 2" xfId="482" xr:uid="{00000000-0005-0000-0000-0000E2010000}"/>
    <cellStyle name="Normal 29 3" xfId="483" xr:uid="{00000000-0005-0000-0000-0000E3010000}"/>
    <cellStyle name="Normal 29 4" xfId="484" xr:uid="{00000000-0005-0000-0000-0000E4010000}"/>
    <cellStyle name="Normal 29 5" xfId="485" xr:uid="{00000000-0005-0000-0000-0000E5010000}"/>
    <cellStyle name="Normal 29 6" xfId="486" xr:uid="{00000000-0005-0000-0000-0000E6010000}"/>
    <cellStyle name="Normal 29 7" xfId="487" xr:uid="{00000000-0005-0000-0000-0000E7010000}"/>
    <cellStyle name="Normal 29 8" xfId="488" xr:uid="{00000000-0005-0000-0000-0000E8010000}"/>
    <cellStyle name="Normal 3 10" xfId="489" xr:uid="{00000000-0005-0000-0000-0000E9010000}"/>
    <cellStyle name="Normal 3 11" xfId="490" xr:uid="{00000000-0005-0000-0000-0000EA010000}"/>
    <cellStyle name="Normal 3 12" xfId="491" xr:uid="{00000000-0005-0000-0000-0000EB010000}"/>
    <cellStyle name="Normal 3 13" xfId="492" xr:uid="{00000000-0005-0000-0000-0000EC010000}"/>
    <cellStyle name="Normal 3 14" xfId="493" xr:uid="{00000000-0005-0000-0000-0000ED010000}"/>
    <cellStyle name="Normal 3 15" xfId="494" xr:uid="{00000000-0005-0000-0000-0000EE010000}"/>
    <cellStyle name="Normal 3 16" xfId="495" xr:uid="{00000000-0005-0000-0000-0000EF010000}"/>
    <cellStyle name="Normal 3 17" xfId="496" xr:uid="{00000000-0005-0000-0000-0000F0010000}"/>
    <cellStyle name="Normal 3 18" xfId="497" xr:uid="{00000000-0005-0000-0000-0000F1010000}"/>
    <cellStyle name="Normal 3 2" xfId="498" xr:uid="{00000000-0005-0000-0000-0000F2010000}"/>
    <cellStyle name="Normal 3 3" xfId="499" xr:uid="{00000000-0005-0000-0000-0000F3010000}"/>
    <cellStyle name="Normal 3 4" xfId="500" xr:uid="{00000000-0005-0000-0000-0000F4010000}"/>
    <cellStyle name="Normal 3 5" xfId="501" xr:uid="{00000000-0005-0000-0000-0000F5010000}"/>
    <cellStyle name="Normal 3 6" xfId="502" xr:uid="{00000000-0005-0000-0000-0000F6010000}"/>
    <cellStyle name="Normal 3 7" xfId="503" xr:uid="{00000000-0005-0000-0000-0000F7010000}"/>
    <cellStyle name="Normal 3 8" xfId="504" xr:uid="{00000000-0005-0000-0000-0000F8010000}"/>
    <cellStyle name="Normal 3 9" xfId="505" xr:uid="{00000000-0005-0000-0000-0000F9010000}"/>
    <cellStyle name="Normal 30 2" xfId="506" xr:uid="{00000000-0005-0000-0000-0000FA010000}"/>
    <cellStyle name="Normal 30 3" xfId="507" xr:uid="{00000000-0005-0000-0000-0000FB010000}"/>
    <cellStyle name="Normal 30 4" xfId="508" xr:uid="{00000000-0005-0000-0000-0000FC010000}"/>
    <cellStyle name="Normal 30 5" xfId="509" xr:uid="{00000000-0005-0000-0000-0000FD010000}"/>
    <cellStyle name="Normal 30 6" xfId="510" xr:uid="{00000000-0005-0000-0000-0000FE010000}"/>
    <cellStyle name="Normal 30 7" xfId="511" xr:uid="{00000000-0005-0000-0000-0000FF010000}"/>
    <cellStyle name="Normal 30 8" xfId="512" xr:uid="{00000000-0005-0000-0000-000000020000}"/>
    <cellStyle name="Normal 31 2" xfId="513" xr:uid="{00000000-0005-0000-0000-000001020000}"/>
    <cellStyle name="Normal 31 3" xfId="514" xr:uid="{00000000-0005-0000-0000-000002020000}"/>
    <cellStyle name="Normal 31 4" xfId="515" xr:uid="{00000000-0005-0000-0000-000003020000}"/>
    <cellStyle name="Normal 31 5" xfId="516" xr:uid="{00000000-0005-0000-0000-000004020000}"/>
    <cellStyle name="Normal 31 6" xfId="517" xr:uid="{00000000-0005-0000-0000-000005020000}"/>
    <cellStyle name="Normal 31 7" xfId="518" xr:uid="{00000000-0005-0000-0000-000006020000}"/>
    <cellStyle name="Normal 31 8" xfId="519" xr:uid="{00000000-0005-0000-0000-000007020000}"/>
    <cellStyle name="Normal 32 2" xfId="520" xr:uid="{00000000-0005-0000-0000-000008020000}"/>
    <cellStyle name="Normal 32 3" xfId="521" xr:uid="{00000000-0005-0000-0000-000009020000}"/>
    <cellStyle name="Normal 32 4" xfId="522" xr:uid="{00000000-0005-0000-0000-00000A020000}"/>
    <cellStyle name="Normal 32 5" xfId="523" xr:uid="{00000000-0005-0000-0000-00000B020000}"/>
    <cellStyle name="Normal 32 6" xfId="524" xr:uid="{00000000-0005-0000-0000-00000C020000}"/>
    <cellStyle name="Normal 32 7" xfId="525" xr:uid="{00000000-0005-0000-0000-00000D020000}"/>
    <cellStyle name="Normal 32 8" xfId="526" xr:uid="{00000000-0005-0000-0000-00000E020000}"/>
    <cellStyle name="Normal 33 2" xfId="527" xr:uid="{00000000-0005-0000-0000-00000F020000}"/>
    <cellStyle name="Normal 33 3" xfId="528" xr:uid="{00000000-0005-0000-0000-000010020000}"/>
    <cellStyle name="Normal 33 4" xfId="529" xr:uid="{00000000-0005-0000-0000-000011020000}"/>
    <cellStyle name="Normal 33 5" xfId="530" xr:uid="{00000000-0005-0000-0000-000012020000}"/>
    <cellStyle name="Normal 33 6" xfId="531" xr:uid="{00000000-0005-0000-0000-000013020000}"/>
    <cellStyle name="Normal 33 7" xfId="532" xr:uid="{00000000-0005-0000-0000-000014020000}"/>
    <cellStyle name="Normal 33 8" xfId="533" xr:uid="{00000000-0005-0000-0000-000015020000}"/>
    <cellStyle name="Normal 34 2" xfId="534" xr:uid="{00000000-0005-0000-0000-000016020000}"/>
    <cellStyle name="Normal 34 3" xfId="535" xr:uid="{00000000-0005-0000-0000-000017020000}"/>
    <cellStyle name="Normal 34 4" xfId="536" xr:uid="{00000000-0005-0000-0000-000018020000}"/>
    <cellStyle name="Normal 34 5" xfId="537" xr:uid="{00000000-0005-0000-0000-000019020000}"/>
    <cellStyle name="Normal 34 6" xfId="538" xr:uid="{00000000-0005-0000-0000-00001A020000}"/>
    <cellStyle name="Normal 34 7" xfId="539" xr:uid="{00000000-0005-0000-0000-00001B020000}"/>
    <cellStyle name="Normal 35 2" xfId="540" xr:uid="{00000000-0005-0000-0000-00001C020000}"/>
    <cellStyle name="Normal 35 3" xfId="541" xr:uid="{00000000-0005-0000-0000-00001D020000}"/>
    <cellStyle name="Normal 35 4" xfId="542" xr:uid="{00000000-0005-0000-0000-00001E020000}"/>
    <cellStyle name="Normal 35 5" xfId="543" xr:uid="{00000000-0005-0000-0000-00001F020000}"/>
    <cellStyle name="Normal 35 6" xfId="544" xr:uid="{00000000-0005-0000-0000-000020020000}"/>
    <cellStyle name="Normal 35 7" xfId="545" xr:uid="{00000000-0005-0000-0000-000021020000}"/>
    <cellStyle name="Normal 37 2" xfId="546" xr:uid="{00000000-0005-0000-0000-000022020000}"/>
    <cellStyle name="Normal 37 3" xfId="547" xr:uid="{00000000-0005-0000-0000-000023020000}"/>
    <cellStyle name="Normal 37 4" xfId="548" xr:uid="{00000000-0005-0000-0000-000024020000}"/>
    <cellStyle name="Normal 37 5" xfId="549" xr:uid="{00000000-0005-0000-0000-000025020000}"/>
    <cellStyle name="Normal 37 6" xfId="550" xr:uid="{00000000-0005-0000-0000-000026020000}"/>
    <cellStyle name="Normal 37 7" xfId="551" xr:uid="{00000000-0005-0000-0000-000027020000}"/>
    <cellStyle name="Normal 38 2" xfId="552" xr:uid="{00000000-0005-0000-0000-000028020000}"/>
    <cellStyle name="Normal 38 3" xfId="553" xr:uid="{00000000-0005-0000-0000-000029020000}"/>
    <cellStyle name="Normal 38 4" xfId="554" xr:uid="{00000000-0005-0000-0000-00002A020000}"/>
    <cellStyle name="Normal 38 5" xfId="555" xr:uid="{00000000-0005-0000-0000-00002B020000}"/>
    <cellStyle name="Normal 38 6" xfId="556" xr:uid="{00000000-0005-0000-0000-00002C020000}"/>
    <cellStyle name="Normal 38 7" xfId="557" xr:uid="{00000000-0005-0000-0000-00002D020000}"/>
    <cellStyle name="Normal 39" xfId="558" xr:uid="{00000000-0005-0000-0000-00002E020000}"/>
    <cellStyle name="Normal 4 10" xfId="559" xr:uid="{00000000-0005-0000-0000-00002F020000}"/>
    <cellStyle name="Normal 4 11" xfId="560" xr:uid="{00000000-0005-0000-0000-000030020000}"/>
    <cellStyle name="Normal 4 12" xfId="561" xr:uid="{00000000-0005-0000-0000-000031020000}"/>
    <cellStyle name="Normal 4 13" xfId="562" xr:uid="{00000000-0005-0000-0000-000032020000}"/>
    <cellStyle name="Normal 4 14" xfId="563" xr:uid="{00000000-0005-0000-0000-000033020000}"/>
    <cellStyle name="Normal 4 15" xfId="564" xr:uid="{00000000-0005-0000-0000-000034020000}"/>
    <cellStyle name="Normal 4 16" xfId="565" xr:uid="{00000000-0005-0000-0000-000035020000}"/>
    <cellStyle name="Normal 4 17" xfId="566" xr:uid="{00000000-0005-0000-0000-000036020000}"/>
    <cellStyle name="Normal 4 18" xfId="567" xr:uid="{00000000-0005-0000-0000-000037020000}"/>
    <cellStyle name="Normal 4 2" xfId="568" xr:uid="{00000000-0005-0000-0000-000038020000}"/>
    <cellStyle name="Normal 4 3" xfId="569" xr:uid="{00000000-0005-0000-0000-000039020000}"/>
    <cellStyle name="Normal 4 4" xfId="570" xr:uid="{00000000-0005-0000-0000-00003A020000}"/>
    <cellStyle name="Normal 4 5" xfId="571" xr:uid="{00000000-0005-0000-0000-00003B020000}"/>
    <cellStyle name="Normal 4 6" xfId="572" xr:uid="{00000000-0005-0000-0000-00003C020000}"/>
    <cellStyle name="Normal 4 7" xfId="573" xr:uid="{00000000-0005-0000-0000-00003D020000}"/>
    <cellStyle name="Normal 4 8" xfId="574" xr:uid="{00000000-0005-0000-0000-00003E020000}"/>
    <cellStyle name="Normal 4 9" xfId="575" xr:uid="{00000000-0005-0000-0000-00003F020000}"/>
    <cellStyle name="Normal 40" xfId="576" xr:uid="{00000000-0005-0000-0000-000040020000}"/>
    <cellStyle name="Normal 5" xfId="577" xr:uid="{00000000-0005-0000-0000-000041020000}"/>
    <cellStyle name="Normal 6" xfId="578" xr:uid="{00000000-0005-0000-0000-000042020000}"/>
    <cellStyle name="Normal 7" xfId="579" xr:uid="{00000000-0005-0000-0000-000043020000}"/>
    <cellStyle name="Normal 8 10" xfId="580" xr:uid="{00000000-0005-0000-0000-000044020000}"/>
    <cellStyle name="Normal 8 10 2" xfId="581" xr:uid="{00000000-0005-0000-0000-000045020000}"/>
    <cellStyle name="Normal 8 10 3" xfId="582" xr:uid="{00000000-0005-0000-0000-000046020000}"/>
    <cellStyle name="Normal 8 10 4" xfId="583" xr:uid="{00000000-0005-0000-0000-000047020000}"/>
    <cellStyle name="Normal 8 10 5" xfId="584" xr:uid="{00000000-0005-0000-0000-000048020000}"/>
    <cellStyle name="Normal 8 10 6" xfId="585" xr:uid="{00000000-0005-0000-0000-000049020000}"/>
    <cellStyle name="Normal 8 10 7" xfId="586" xr:uid="{00000000-0005-0000-0000-00004A020000}"/>
    <cellStyle name="Normal 8 10 8" xfId="587" xr:uid="{00000000-0005-0000-0000-00004B020000}"/>
    <cellStyle name="Normal 8 10 9" xfId="588" xr:uid="{00000000-0005-0000-0000-00004C020000}"/>
    <cellStyle name="Normal 8 11" xfId="589" xr:uid="{00000000-0005-0000-0000-00004D020000}"/>
    <cellStyle name="Normal 8 11 2" xfId="590" xr:uid="{00000000-0005-0000-0000-00004E020000}"/>
    <cellStyle name="Normal 8 11 3" xfId="591" xr:uid="{00000000-0005-0000-0000-00004F020000}"/>
    <cellStyle name="Normal 8 11 4" xfId="592" xr:uid="{00000000-0005-0000-0000-000050020000}"/>
    <cellStyle name="Normal 8 11 5" xfId="593" xr:uid="{00000000-0005-0000-0000-000051020000}"/>
    <cellStyle name="Normal 8 11 6" xfId="594" xr:uid="{00000000-0005-0000-0000-000052020000}"/>
    <cellStyle name="Normal 8 11 7" xfId="595" xr:uid="{00000000-0005-0000-0000-000053020000}"/>
    <cellStyle name="Normal 8 11 8" xfId="596" xr:uid="{00000000-0005-0000-0000-000054020000}"/>
    <cellStyle name="Normal 8 11 9" xfId="597" xr:uid="{00000000-0005-0000-0000-000055020000}"/>
    <cellStyle name="Normal 8 12" xfId="598" xr:uid="{00000000-0005-0000-0000-000056020000}"/>
    <cellStyle name="Normal 8 13" xfId="599" xr:uid="{00000000-0005-0000-0000-000057020000}"/>
    <cellStyle name="Normal 8 14" xfId="600" xr:uid="{00000000-0005-0000-0000-000058020000}"/>
    <cellStyle name="Normal 8 15" xfId="601" xr:uid="{00000000-0005-0000-0000-000059020000}"/>
    <cellStyle name="Normal 8 16" xfId="602" xr:uid="{00000000-0005-0000-0000-00005A020000}"/>
    <cellStyle name="Normal 8 17" xfId="603" xr:uid="{00000000-0005-0000-0000-00005B020000}"/>
    <cellStyle name="Normal 8 18" xfId="604" xr:uid="{00000000-0005-0000-0000-00005C020000}"/>
    <cellStyle name="Normal 8 2" xfId="605" xr:uid="{00000000-0005-0000-0000-00005D020000}"/>
    <cellStyle name="Normal 8 2 2" xfId="606" xr:uid="{00000000-0005-0000-0000-00005E020000}"/>
    <cellStyle name="Normal 8 2 3" xfId="607" xr:uid="{00000000-0005-0000-0000-00005F020000}"/>
    <cellStyle name="Normal 8 2 4" xfId="608" xr:uid="{00000000-0005-0000-0000-000060020000}"/>
    <cellStyle name="Normal 8 2 5" xfId="609" xr:uid="{00000000-0005-0000-0000-000061020000}"/>
    <cellStyle name="Normal 8 2 6" xfId="610" xr:uid="{00000000-0005-0000-0000-000062020000}"/>
    <cellStyle name="Normal 8 2 7" xfId="611" xr:uid="{00000000-0005-0000-0000-000063020000}"/>
    <cellStyle name="Normal 8 2 8" xfId="612" xr:uid="{00000000-0005-0000-0000-000064020000}"/>
    <cellStyle name="Normal 8 2 9" xfId="613" xr:uid="{00000000-0005-0000-0000-000065020000}"/>
    <cellStyle name="Normal 8 3" xfId="614" xr:uid="{00000000-0005-0000-0000-000066020000}"/>
    <cellStyle name="Normal 8 3 2" xfId="615" xr:uid="{00000000-0005-0000-0000-000067020000}"/>
    <cellStyle name="Normal 8 3 3" xfId="616" xr:uid="{00000000-0005-0000-0000-000068020000}"/>
    <cellStyle name="Normal 8 3 4" xfId="617" xr:uid="{00000000-0005-0000-0000-000069020000}"/>
    <cellStyle name="Normal 8 3 5" xfId="618" xr:uid="{00000000-0005-0000-0000-00006A020000}"/>
    <cellStyle name="Normal 8 3 6" xfId="619" xr:uid="{00000000-0005-0000-0000-00006B020000}"/>
    <cellStyle name="Normal 8 3 7" xfId="620" xr:uid="{00000000-0005-0000-0000-00006C020000}"/>
    <cellStyle name="Normal 8 3 8" xfId="621" xr:uid="{00000000-0005-0000-0000-00006D020000}"/>
    <cellStyle name="Normal 8 3 9" xfId="622" xr:uid="{00000000-0005-0000-0000-00006E020000}"/>
    <cellStyle name="Normal 8 4" xfId="623" xr:uid="{00000000-0005-0000-0000-00006F020000}"/>
    <cellStyle name="Normal 8 4 2" xfId="624" xr:uid="{00000000-0005-0000-0000-000070020000}"/>
    <cellStyle name="Normal 8 4 3" xfId="625" xr:uid="{00000000-0005-0000-0000-000071020000}"/>
    <cellStyle name="Normal 8 4 4" xfId="626" xr:uid="{00000000-0005-0000-0000-000072020000}"/>
    <cellStyle name="Normal 8 4 5" xfId="627" xr:uid="{00000000-0005-0000-0000-000073020000}"/>
    <cellStyle name="Normal 8 4 6" xfId="628" xr:uid="{00000000-0005-0000-0000-000074020000}"/>
    <cellStyle name="Normal 8 4 7" xfId="629" xr:uid="{00000000-0005-0000-0000-000075020000}"/>
    <cellStyle name="Normal 8 4 8" xfId="630" xr:uid="{00000000-0005-0000-0000-000076020000}"/>
    <cellStyle name="Normal 8 4 9" xfId="631" xr:uid="{00000000-0005-0000-0000-000077020000}"/>
    <cellStyle name="Normal 8 5" xfId="632" xr:uid="{00000000-0005-0000-0000-000078020000}"/>
    <cellStyle name="Normal 8 5 2" xfId="633" xr:uid="{00000000-0005-0000-0000-000079020000}"/>
    <cellStyle name="Normal 8 5 3" xfId="634" xr:uid="{00000000-0005-0000-0000-00007A020000}"/>
    <cellStyle name="Normal 8 5 4" xfId="635" xr:uid="{00000000-0005-0000-0000-00007B020000}"/>
    <cellStyle name="Normal 8 5 5" xfId="636" xr:uid="{00000000-0005-0000-0000-00007C020000}"/>
    <cellStyle name="Normal 8 5 6" xfId="637" xr:uid="{00000000-0005-0000-0000-00007D020000}"/>
    <cellStyle name="Normal 8 5 7" xfId="638" xr:uid="{00000000-0005-0000-0000-00007E020000}"/>
    <cellStyle name="Normal 8 5 8" xfId="639" xr:uid="{00000000-0005-0000-0000-00007F020000}"/>
    <cellStyle name="Normal 8 5 9" xfId="640" xr:uid="{00000000-0005-0000-0000-000080020000}"/>
    <cellStyle name="Normal 8 6" xfId="641" xr:uid="{00000000-0005-0000-0000-000081020000}"/>
    <cellStyle name="Normal 8 6 2" xfId="642" xr:uid="{00000000-0005-0000-0000-000082020000}"/>
    <cellStyle name="Normal 8 6 3" xfId="643" xr:uid="{00000000-0005-0000-0000-000083020000}"/>
    <cellStyle name="Normal 8 6 4" xfId="644" xr:uid="{00000000-0005-0000-0000-000084020000}"/>
    <cellStyle name="Normal 8 6 5" xfId="645" xr:uid="{00000000-0005-0000-0000-000085020000}"/>
    <cellStyle name="Normal 8 6 6" xfId="646" xr:uid="{00000000-0005-0000-0000-000086020000}"/>
    <cellStyle name="Normal 8 6 7" xfId="647" xr:uid="{00000000-0005-0000-0000-000087020000}"/>
    <cellStyle name="Normal 8 6 8" xfId="648" xr:uid="{00000000-0005-0000-0000-000088020000}"/>
    <cellStyle name="Normal 8 6 9" xfId="649" xr:uid="{00000000-0005-0000-0000-000089020000}"/>
    <cellStyle name="Normal 8 7" xfId="650" xr:uid="{00000000-0005-0000-0000-00008A020000}"/>
    <cellStyle name="Normal 8 7 2" xfId="651" xr:uid="{00000000-0005-0000-0000-00008B020000}"/>
    <cellStyle name="Normal 8 7 3" xfId="652" xr:uid="{00000000-0005-0000-0000-00008C020000}"/>
    <cellStyle name="Normal 8 7 4" xfId="653" xr:uid="{00000000-0005-0000-0000-00008D020000}"/>
    <cellStyle name="Normal 8 7 5" xfId="654" xr:uid="{00000000-0005-0000-0000-00008E020000}"/>
    <cellStyle name="Normal 8 7 6" xfId="655" xr:uid="{00000000-0005-0000-0000-00008F020000}"/>
    <cellStyle name="Normal 8 7 7" xfId="656" xr:uid="{00000000-0005-0000-0000-000090020000}"/>
    <cellStyle name="Normal 8 7 8" xfId="657" xr:uid="{00000000-0005-0000-0000-000091020000}"/>
    <cellStyle name="Normal 8 7 9" xfId="658" xr:uid="{00000000-0005-0000-0000-000092020000}"/>
    <cellStyle name="Normal 8 8" xfId="659" xr:uid="{00000000-0005-0000-0000-000093020000}"/>
    <cellStyle name="Normal 8 8 2" xfId="660" xr:uid="{00000000-0005-0000-0000-000094020000}"/>
    <cellStyle name="Normal 8 8 3" xfId="661" xr:uid="{00000000-0005-0000-0000-000095020000}"/>
    <cellStyle name="Normal 8 8 4" xfId="662" xr:uid="{00000000-0005-0000-0000-000096020000}"/>
    <cellStyle name="Normal 8 8 5" xfId="663" xr:uid="{00000000-0005-0000-0000-000097020000}"/>
    <cellStyle name="Normal 8 8 6" xfId="664" xr:uid="{00000000-0005-0000-0000-000098020000}"/>
    <cellStyle name="Normal 8 8 7" xfId="665" xr:uid="{00000000-0005-0000-0000-000099020000}"/>
    <cellStyle name="Normal 8 8 8" xfId="666" xr:uid="{00000000-0005-0000-0000-00009A020000}"/>
    <cellStyle name="Normal 8 8 9" xfId="667" xr:uid="{00000000-0005-0000-0000-00009B020000}"/>
    <cellStyle name="Normal 8 9" xfId="668" xr:uid="{00000000-0005-0000-0000-00009C020000}"/>
    <cellStyle name="Normal 8 9 2" xfId="669" xr:uid="{00000000-0005-0000-0000-00009D020000}"/>
    <cellStyle name="Normal 8 9 3" xfId="670" xr:uid="{00000000-0005-0000-0000-00009E020000}"/>
    <cellStyle name="Normal 8 9 4" xfId="671" xr:uid="{00000000-0005-0000-0000-00009F020000}"/>
    <cellStyle name="Normal 8 9 5" xfId="672" xr:uid="{00000000-0005-0000-0000-0000A0020000}"/>
    <cellStyle name="Normal 8 9 6" xfId="673" xr:uid="{00000000-0005-0000-0000-0000A1020000}"/>
    <cellStyle name="Normal 8 9 7" xfId="674" xr:uid="{00000000-0005-0000-0000-0000A2020000}"/>
    <cellStyle name="Normal 8 9 8" xfId="675" xr:uid="{00000000-0005-0000-0000-0000A3020000}"/>
    <cellStyle name="Normal 8 9 9" xfId="676" xr:uid="{00000000-0005-0000-0000-0000A4020000}"/>
    <cellStyle name="Normal 9" xfId="677" xr:uid="{00000000-0005-0000-0000-0000A5020000}"/>
    <cellStyle name="Normal_Sheet2" xfId="678" xr:uid="{00000000-0005-0000-0000-0000A60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8A3CC4"/>
  </sheetPr>
  <dimension ref="A1:M100"/>
  <sheetViews>
    <sheetView zoomScale="115" zoomScaleNormal="115" workbookViewId="0">
      <selection activeCell="I17" sqref="I17"/>
    </sheetView>
  </sheetViews>
  <sheetFormatPr defaultRowHeight="12.75" x14ac:dyDescent="0.2"/>
  <cols>
    <col min="1" max="1" width="6.42578125" style="430" customWidth="1"/>
    <col min="2" max="2" width="6" style="439" customWidth="1"/>
    <col min="3" max="3" width="10.42578125" style="386" customWidth="1"/>
    <col min="4" max="4" width="36.85546875" style="430" customWidth="1"/>
    <col min="5" max="5" width="9.28515625" style="439" customWidth="1"/>
    <col min="6" max="6" width="12.140625" style="431" customWidth="1"/>
    <col min="7" max="7" width="14.85546875" style="430" customWidth="1"/>
    <col min="8" max="8" width="11.28515625" style="1" bestFit="1" customWidth="1"/>
    <col min="9" max="9" width="19.140625" style="430" customWidth="1"/>
    <col min="10" max="10" width="12.85546875" style="430" bestFit="1" customWidth="1"/>
    <col min="11" max="11" width="11.5703125" style="430" customWidth="1"/>
    <col min="12" max="12" width="11.7109375" style="430" customWidth="1"/>
    <col min="13" max="13" width="10.7109375" style="430" customWidth="1"/>
    <col min="14" max="14" width="9.28515625" style="430" bestFit="1" customWidth="1"/>
    <col min="15" max="15" width="10.42578125" style="430" bestFit="1" customWidth="1"/>
    <col min="16" max="16" width="9.28515625" style="430" bestFit="1" customWidth="1"/>
    <col min="17" max="17" width="10.28515625" style="430" bestFit="1" customWidth="1"/>
    <col min="18" max="19" width="9.140625" style="430"/>
    <col min="20" max="21" width="9.28515625" style="430" bestFit="1" customWidth="1"/>
    <col min="22" max="22" width="11.28515625" style="430" customWidth="1"/>
    <col min="23" max="16384" width="9.140625" style="430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891" t="s">
        <v>49</v>
      </c>
      <c r="B3" s="892"/>
      <c r="C3" s="892"/>
      <c r="D3" s="892"/>
      <c r="E3" s="892"/>
      <c r="F3" s="892"/>
      <c r="G3" s="893"/>
    </row>
    <row r="4" spans="1:7" x14ac:dyDescent="0.2">
      <c r="A4" s="387"/>
      <c r="B4" s="388"/>
      <c r="C4" s="389"/>
      <c r="D4" s="390"/>
      <c r="E4" s="388"/>
      <c r="F4" s="391"/>
      <c r="G4" s="392" t="s">
        <v>20</v>
      </c>
    </row>
    <row r="5" spans="1:7" x14ac:dyDescent="0.2">
      <c r="A5" s="393" t="s">
        <v>1</v>
      </c>
      <c r="B5" s="394"/>
      <c r="C5" s="14" t="s">
        <v>1097</v>
      </c>
      <c r="D5" s="394"/>
      <c r="E5" s="362" t="s">
        <v>2538</v>
      </c>
      <c r="F5" s="395"/>
      <c r="G5" s="363" t="s">
        <v>2529</v>
      </c>
    </row>
    <row r="6" spans="1:7" x14ac:dyDescent="0.2">
      <c r="A6" s="361" t="s">
        <v>8</v>
      </c>
      <c r="B6" s="396"/>
      <c r="C6" s="19"/>
      <c r="D6" s="386"/>
      <c r="E6" s="894"/>
      <c r="F6" s="895"/>
      <c r="G6" s="397"/>
    </row>
    <row r="7" spans="1:7" x14ac:dyDescent="0.2">
      <c r="A7" s="373" t="s">
        <v>37</v>
      </c>
      <c r="B7" s="377"/>
      <c r="C7" s="377"/>
      <c r="D7" s="377"/>
      <c r="E7" s="398" t="s">
        <v>46</v>
      </c>
      <c r="F7" s="399"/>
      <c r="G7" s="397" t="s">
        <v>50</v>
      </c>
    </row>
    <row r="8" spans="1:7" x14ac:dyDescent="0.2">
      <c r="A8" s="387"/>
      <c r="B8" s="388"/>
      <c r="C8" s="389"/>
      <c r="D8" s="389"/>
      <c r="E8" s="896"/>
      <c r="F8" s="897"/>
      <c r="G8" s="400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364">
        <v>1</v>
      </c>
      <c r="B10" s="401"/>
      <c r="C10" s="371" t="s">
        <v>889</v>
      </c>
      <c r="D10" s="376" t="s">
        <v>2530</v>
      </c>
      <c r="E10" s="402">
        <v>75</v>
      </c>
      <c r="F10" s="403">
        <v>1400</v>
      </c>
      <c r="G10" s="372">
        <f>F10*E10</f>
        <v>105000</v>
      </c>
    </row>
    <row r="11" spans="1:7" x14ac:dyDescent="0.2">
      <c r="A11" s="364"/>
      <c r="B11" s="401"/>
      <c r="C11" s="371"/>
      <c r="D11" s="370" t="s">
        <v>2531</v>
      </c>
      <c r="E11" s="407"/>
      <c r="F11" s="403"/>
      <c r="G11" s="372"/>
    </row>
    <row r="12" spans="1:7" x14ac:dyDescent="0.2">
      <c r="A12" s="364"/>
      <c r="B12" s="401"/>
      <c r="C12" s="371"/>
      <c r="D12" s="370" t="s">
        <v>2532</v>
      </c>
      <c r="E12" s="407"/>
      <c r="F12" s="406"/>
      <c r="G12" s="372"/>
    </row>
    <row r="13" spans="1:7" x14ac:dyDescent="0.2">
      <c r="A13" s="364"/>
      <c r="B13" s="401"/>
      <c r="C13" s="371"/>
      <c r="D13" s="370" t="s">
        <v>2533</v>
      </c>
      <c r="E13" s="407"/>
      <c r="F13" s="403"/>
      <c r="G13" s="372"/>
    </row>
    <row r="14" spans="1:7" x14ac:dyDescent="0.2">
      <c r="A14" s="364"/>
      <c r="B14" s="408"/>
      <c r="C14" s="371"/>
      <c r="D14" s="376" t="s">
        <v>2534</v>
      </c>
      <c r="E14" s="409"/>
      <c r="F14" s="403"/>
      <c r="G14" s="372"/>
    </row>
    <row r="15" spans="1:7" x14ac:dyDescent="0.2">
      <c r="A15" s="364"/>
      <c r="B15" s="408"/>
      <c r="C15" s="371"/>
      <c r="D15" s="376" t="s">
        <v>2535</v>
      </c>
      <c r="E15" s="409"/>
      <c r="F15" s="403"/>
      <c r="G15" s="372"/>
    </row>
    <row r="16" spans="1:7" x14ac:dyDescent="0.2">
      <c r="A16" s="364"/>
      <c r="B16" s="410"/>
      <c r="C16" s="385"/>
      <c r="D16" s="376" t="s">
        <v>237</v>
      </c>
      <c r="E16" s="407"/>
      <c r="F16" s="411"/>
      <c r="G16" s="372"/>
    </row>
    <row r="17" spans="1:7" x14ac:dyDescent="0.2">
      <c r="A17" s="364"/>
      <c r="B17" s="410"/>
      <c r="C17" s="385"/>
      <c r="D17" s="383" t="s">
        <v>2536</v>
      </c>
      <c r="E17" s="407"/>
      <c r="F17" s="411"/>
      <c r="G17" s="372"/>
    </row>
    <row r="18" spans="1:7" x14ac:dyDescent="0.2">
      <c r="A18" s="364"/>
      <c r="B18" s="401"/>
      <c r="C18" s="371"/>
      <c r="D18" s="383" t="s">
        <v>1889</v>
      </c>
      <c r="E18" s="412"/>
      <c r="F18" s="403"/>
      <c r="G18" s="372"/>
    </row>
    <row r="19" spans="1:7" x14ac:dyDescent="0.2">
      <c r="A19" s="364"/>
      <c r="B19" s="413"/>
      <c r="C19" s="371"/>
      <c r="D19" s="376"/>
      <c r="E19" s="414"/>
      <c r="F19" s="403"/>
      <c r="G19" s="372"/>
    </row>
    <row r="20" spans="1:7" x14ac:dyDescent="0.2">
      <c r="A20" s="364"/>
      <c r="B20" s="408"/>
      <c r="C20" s="371"/>
      <c r="D20" s="376"/>
      <c r="E20" s="407"/>
      <c r="F20" s="415"/>
      <c r="G20" s="372"/>
    </row>
    <row r="21" spans="1:7" x14ac:dyDescent="0.2">
      <c r="A21" s="364"/>
      <c r="B21" s="416"/>
      <c r="C21" s="371"/>
      <c r="D21" s="376"/>
      <c r="E21" s="417"/>
      <c r="F21" s="403"/>
      <c r="G21" s="372"/>
    </row>
    <row r="22" spans="1:7" x14ac:dyDescent="0.2">
      <c r="A22" s="364"/>
      <c r="B22" s="416"/>
      <c r="C22" s="371"/>
      <c r="D22" s="384"/>
      <c r="E22" s="417"/>
      <c r="F22" s="403"/>
      <c r="G22" s="372"/>
    </row>
    <row r="23" spans="1:7" x14ac:dyDescent="0.2">
      <c r="A23" s="364"/>
      <c r="B23" s="401"/>
      <c r="C23" s="371"/>
      <c r="D23" s="384"/>
      <c r="E23" s="407"/>
      <c r="F23" s="403"/>
      <c r="G23" s="372"/>
    </row>
    <row r="24" spans="1:7" x14ac:dyDescent="0.2">
      <c r="A24" s="364"/>
      <c r="B24" s="401"/>
      <c r="C24" s="371"/>
      <c r="D24" s="384"/>
      <c r="E24" s="417"/>
      <c r="F24" s="403"/>
      <c r="G24" s="372"/>
    </row>
    <row r="25" spans="1:7" x14ac:dyDescent="0.2">
      <c r="A25" s="364"/>
      <c r="B25" s="413"/>
      <c r="C25" s="371"/>
      <c r="D25" s="384"/>
      <c r="E25" s="414"/>
      <c r="F25" s="418"/>
      <c r="G25" s="372"/>
    </row>
    <row r="26" spans="1:7" x14ac:dyDescent="0.2">
      <c r="A26" s="364"/>
      <c r="B26" s="408"/>
      <c r="C26" s="371"/>
      <c r="D26" s="419"/>
      <c r="E26" s="414"/>
      <c r="F26" s="418"/>
      <c r="G26" s="372"/>
    </row>
    <row r="27" spans="1:7" x14ac:dyDescent="0.2">
      <c r="A27" s="364"/>
      <c r="B27" s="408"/>
      <c r="C27" s="371"/>
      <c r="D27" s="384"/>
      <c r="E27" s="414"/>
      <c r="F27" s="418"/>
      <c r="G27" s="372"/>
    </row>
    <row r="28" spans="1:7" x14ac:dyDescent="0.2">
      <c r="A28" s="364"/>
      <c r="B28" s="401"/>
      <c r="C28" s="371"/>
      <c r="D28" s="384"/>
      <c r="E28" s="414"/>
      <c r="F28" s="418"/>
      <c r="G28" s="372"/>
    </row>
    <row r="29" spans="1:7" x14ac:dyDescent="0.2">
      <c r="A29" s="364"/>
      <c r="B29" s="401"/>
      <c r="C29" s="371"/>
      <c r="D29" s="376"/>
      <c r="E29" s="414"/>
      <c r="F29" s="418"/>
      <c r="G29" s="372"/>
    </row>
    <row r="30" spans="1:7" x14ac:dyDescent="0.2">
      <c r="A30" s="364"/>
      <c r="B30" s="401"/>
      <c r="C30" s="371"/>
      <c r="D30" s="376"/>
      <c r="E30" s="414"/>
      <c r="F30" s="418"/>
      <c r="G30" s="372"/>
    </row>
    <row r="31" spans="1:7" x14ac:dyDescent="0.2">
      <c r="A31" s="364"/>
      <c r="B31" s="401"/>
      <c r="C31" s="371"/>
      <c r="D31" s="420"/>
      <c r="E31" s="414"/>
      <c r="F31" s="418"/>
      <c r="G31" s="372"/>
    </row>
    <row r="32" spans="1:7" x14ac:dyDescent="0.2">
      <c r="A32" s="364"/>
      <c r="B32" s="401"/>
      <c r="C32" s="371"/>
      <c r="D32" s="384"/>
      <c r="E32" s="414"/>
      <c r="F32" s="418"/>
      <c r="G32" s="372"/>
    </row>
    <row r="33" spans="1:13" x14ac:dyDescent="0.2">
      <c r="A33" s="364"/>
      <c r="B33" s="401"/>
      <c r="C33" s="371"/>
      <c r="D33" s="421"/>
      <c r="E33" s="414"/>
      <c r="F33" s="418"/>
      <c r="G33" s="372"/>
    </row>
    <row r="34" spans="1:13" x14ac:dyDescent="0.2">
      <c r="A34" s="364"/>
      <c r="B34" s="401"/>
      <c r="C34" s="371"/>
      <c r="D34" s="160"/>
      <c r="E34" s="407"/>
      <c r="F34" s="403"/>
      <c r="G34" s="372"/>
    </row>
    <row r="35" spans="1:13" x14ac:dyDescent="0.2">
      <c r="A35" s="364"/>
      <c r="B35" s="401"/>
      <c r="C35" s="371"/>
      <c r="D35" s="160"/>
      <c r="E35" s="407"/>
      <c r="F35" s="403"/>
      <c r="G35" s="372"/>
    </row>
    <row r="36" spans="1:13" x14ac:dyDescent="0.2">
      <c r="A36" s="364"/>
      <c r="B36" s="401"/>
      <c r="C36" s="371"/>
      <c r="D36" s="160"/>
      <c r="E36" s="407"/>
      <c r="F36" s="403"/>
      <c r="G36" s="372"/>
    </row>
    <row r="37" spans="1:13" x14ac:dyDescent="0.2">
      <c r="A37" s="364"/>
      <c r="B37" s="401"/>
      <c r="C37" s="371"/>
      <c r="D37" s="160"/>
      <c r="E37" s="407"/>
      <c r="F37" s="403"/>
      <c r="G37" s="372"/>
    </row>
    <row r="38" spans="1:13" x14ac:dyDescent="0.2">
      <c r="A38" s="364"/>
      <c r="B38" s="401"/>
      <c r="C38" s="371"/>
      <c r="D38" s="160"/>
      <c r="E38" s="407"/>
      <c r="F38" s="403"/>
      <c r="G38" s="372"/>
    </row>
    <row r="39" spans="1:13" x14ac:dyDescent="0.2">
      <c r="A39" s="364"/>
      <c r="B39" s="401"/>
      <c r="C39" s="371"/>
      <c r="D39" s="376"/>
      <c r="E39" s="417"/>
      <c r="F39" s="403"/>
      <c r="G39" s="372"/>
    </row>
    <row r="40" spans="1:13" x14ac:dyDescent="0.2">
      <c r="A40" s="364"/>
      <c r="B40" s="401"/>
      <c r="C40" s="371"/>
      <c r="D40" s="376"/>
      <c r="E40" s="409"/>
      <c r="F40" s="403"/>
      <c r="G40" s="372"/>
      <c r="K40" s="430">
        <v>45</v>
      </c>
      <c r="L40" s="430">
        <v>150</v>
      </c>
      <c r="M40" s="437">
        <f>L40*K40</f>
        <v>6750</v>
      </c>
    </row>
    <row r="41" spans="1:13" x14ac:dyDescent="0.2">
      <c r="A41" s="364"/>
      <c r="B41" s="401"/>
      <c r="C41" s="422"/>
      <c r="D41" s="384"/>
      <c r="E41" s="423"/>
      <c r="F41" s="424"/>
      <c r="G41" s="372"/>
      <c r="K41" s="430">
        <v>45</v>
      </c>
      <c r="L41" s="430">
        <v>250</v>
      </c>
      <c r="M41" s="437">
        <f>L41*K41</f>
        <v>11250</v>
      </c>
    </row>
    <row r="42" spans="1:13" x14ac:dyDescent="0.2">
      <c r="A42" s="364"/>
      <c r="B42" s="401"/>
      <c r="C42" s="371"/>
      <c r="D42" s="425"/>
      <c r="E42" s="407"/>
      <c r="F42" s="406"/>
      <c r="G42" s="372"/>
      <c r="K42" s="430">
        <v>45</v>
      </c>
      <c r="L42" s="430">
        <v>150</v>
      </c>
      <c r="M42" s="437">
        <f>L42*K42</f>
        <v>6750</v>
      </c>
    </row>
    <row r="43" spans="1:13" x14ac:dyDescent="0.2">
      <c r="A43" s="364"/>
      <c r="B43" s="401"/>
      <c r="C43" s="371"/>
      <c r="D43" s="383"/>
      <c r="E43" s="407"/>
      <c r="F43" s="406"/>
      <c r="G43" s="372"/>
    </row>
    <row r="44" spans="1:13" ht="13.5" thickBot="1" x14ac:dyDescent="0.25">
      <c r="A44" s="426"/>
      <c r="B44" s="427"/>
      <c r="C44" s="428"/>
      <c r="D44" s="428"/>
      <c r="E44" s="427"/>
      <c r="F44" s="49" t="s">
        <v>15</v>
      </c>
      <c r="G44" s="50">
        <f>SUM(G10:G43)</f>
        <v>105000</v>
      </c>
      <c r="M44" s="438">
        <f>SUM(M40:M43)</f>
        <v>24750</v>
      </c>
    </row>
    <row r="45" spans="1:13" ht="13.5" thickTop="1" x14ac:dyDescent="0.2">
      <c r="A45" s="875" t="s">
        <v>2539</v>
      </c>
      <c r="B45" s="876"/>
      <c r="C45" s="876"/>
      <c r="D45" s="876"/>
      <c r="E45" s="876"/>
      <c r="F45" s="876"/>
      <c r="G45" s="877"/>
    </row>
    <row r="46" spans="1:13" ht="13.5" thickBot="1" x14ac:dyDescent="0.25">
      <c r="A46" s="378"/>
      <c r="B46" s="374"/>
      <c r="C46" s="374" t="s">
        <v>2537</v>
      </c>
      <c r="D46" s="379"/>
      <c r="E46" s="374"/>
      <c r="F46" s="380"/>
      <c r="G46" s="381"/>
      <c r="K46" s="437"/>
    </row>
    <row r="47" spans="1:13" ht="13.5" thickTop="1" x14ac:dyDescent="0.2">
      <c r="A47" s="878"/>
      <c r="B47" s="879"/>
      <c r="C47" s="879"/>
      <c r="D47" s="433" t="s">
        <v>11</v>
      </c>
      <c r="E47" s="880" t="s">
        <v>12</v>
      </c>
      <c r="F47" s="880"/>
      <c r="G47" s="881"/>
      <c r="K47" s="437"/>
    </row>
    <row r="48" spans="1:13" x14ac:dyDescent="0.2">
      <c r="A48" s="866" t="s">
        <v>17</v>
      </c>
      <c r="B48" s="867"/>
      <c r="C48" s="867"/>
      <c r="D48" s="434"/>
      <c r="E48" s="882"/>
      <c r="F48" s="883"/>
      <c r="G48" s="884"/>
      <c r="K48" s="437"/>
    </row>
    <row r="49" spans="1:11" x14ac:dyDescent="0.2">
      <c r="A49" s="866" t="s">
        <v>38</v>
      </c>
      <c r="B49" s="867"/>
      <c r="C49" s="867"/>
      <c r="D49" s="58" t="s">
        <v>1098</v>
      </c>
      <c r="E49" s="868" t="s">
        <v>69</v>
      </c>
      <c r="F49" s="868"/>
      <c r="G49" s="869"/>
    </row>
    <row r="50" spans="1:11" ht="13.5" thickBot="1" x14ac:dyDescent="0.25">
      <c r="A50" s="870" t="s">
        <v>39</v>
      </c>
      <c r="B50" s="871"/>
      <c r="C50" s="871"/>
      <c r="D50" s="375" t="s">
        <v>1099</v>
      </c>
      <c r="E50" s="872" t="s">
        <v>33</v>
      </c>
      <c r="F50" s="873"/>
      <c r="G50" s="874"/>
      <c r="K50" s="438"/>
    </row>
    <row r="51" spans="1:11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11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11" x14ac:dyDescent="0.2">
      <c r="A53" s="891" t="s">
        <v>49</v>
      </c>
      <c r="B53" s="892"/>
      <c r="C53" s="892"/>
      <c r="D53" s="892"/>
      <c r="E53" s="892"/>
      <c r="F53" s="892"/>
      <c r="G53" s="893"/>
    </row>
    <row r="54" spans="1:11" x14ac:dyDescent="0.2">
      <c r="A54" s="387"/>
      <c r="B54" s="388"/>
      <c r="C54" s="389"/>
      <c r="D54" s="390"/>
      <c r="E54" s="388"/>
      <c r="F54" s="391"/>
      <c r="G54" s="392" t="s">
        <v>20</v>
      </c>
    </row>
    <row r="55" spans="1:11" x14ac:dyDescent="0.2">
      <c r="A55" s="393" t="s">
        <v>1</v>
      </c>
      <c r="B55" s="394"/>
      <c r="C55" s="14" t="s">
        <v>1097</v>
      </c>
      <c r="D55" s="394"/>
      <c r="E55" s="362" t="s">
        <v>2540</v>
      </c>
      <c r="F55" s="395"/>
      <c r="G55" s="363" t="s">
        <v>2529</v>
      </c>
    </row>
    <row r="56" spans="1:11" x14ac:dyDescent="0.2">
      <c r="A56" s="361" t="s">
        <v>8</v>
      </c>
      <c r="B56" s="396"/>
      <c r="C56" s="19"/>
      <c r="D56" s="386"/>
      <c r="E56" s="894"/>
      <c r="F56" s="895"/>
      <c r="G56" s="397"/>
    </row>
    <row r="57" spans="1:11" x14ac:dyDescent="0.2">
      <c r="A57" s="373" t="s">
        <v>37</v>
      </c>
      <c r="B57" s="377"/>
      <c r="C57" s="377"/>
      <c r="D57" s="377"/>
      <c r="E57" s="398" t="s">
        <v>46</v>
      </c>
      <c r="F57" s="399"/>
      <c r="G57" s="397" t="s">
        <v>50</v>
      </c>
    </row>
    <row r="58" spans="1:11" x14ac:dyDescent="0.2">
      <c r="A58" s="387"/>
      <c r="B58" s="388"/>
      <c r="C58" s="389"/>
      <c r="D58" s="389"/>
      <c r="E58" s="896"/>
      <c r="F58" s="897"/>
      <c r="G58" s="400"/>
    </row>
    <row r="59" spans="1:11" ht="26.25" customHeight="1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11" ht="13.5" thickTop="1" x14ac:dyDescent="0.2">
      <c r="A60" s="364">
        <v>1</v>
      </c>
      <c r="B60" s="401"/>
      <c r="C60" s="371" t="s">
        <v>279</v>
      </c>
      <c r="D60" s="376" t="s">
        <v>2541</v>
      </c>
      <c r="E60" s="402">
        <v>50</v>
      </c>
      <c r="F60" s="403">
        <v>4000</v>
      </c>
      <c r="G60" s="372">
        <f>F60*E60</f>
        <v>200000</v>
      </c>
    </row>
    <row r="61" spans="1:11" x14ac:dyDescent="0.2">
      <c r="A61" s="364"/>
      <c r="B61" s="401"/>
      <c r="C61" s="371"/>
      <c r="D61" s="370" t="s">
        <v>2542</v>
      </c>
      <c r="E61" s="407"/>
      <c r="F61" s="403"/>
      <c r="G61" s="372"/>
    </row>
    <row r="62" spans="1:11" x14ac:dyDescent="0.2">
      <c r="A62" s="364"/>
      <c r="B62" s="401"/>
      <c r="C62" s="371"/>
      <c r="D62" s="370" t="s">
        <v>2543</v>
      </c>
      <c r="E62" s="407"/>
      <c r="F62" s="406"/>
      <c r="G62" s="372"/>
    </row>
    <row r="63" spans="1:11" x14ac:dyDescent="0.2">
      <c r="A63" s="364"/>
      <c r="B63" s="401"/>
      <c r="C63" s="371"/>
      <c r="D63" s="370" t="s">
        <v>2544</v>
      </c>
      <c r="E63" s="407"/>
      <c r="F63" s="403"/>
      <c r="G63" s="372"/>
    </row>
    <row r="64" spans="1:11" x14ac:dyDescent="0.2">
      <c r="A64" s="364"/>
      <c r="B64" s="408"/>
      <c r="C64" s="371"/>
      <c r="D64" s="376"/>
      <c r="E64" s="409"/>
      <c r="F64" s="403"/>
      <c r="G64" s="372"/>
    </row>
    <row r="65" spans="1:7" x14ac:dyDescent="0.2">
      <c r="A65" s="364"/>
      <c r="B65" s="408"/>
      <c r="C65" s="371"/>
      <c r="D65" s="376"/>
      <c r="E65" s="409"/>
      <c r="F65" s="403"/>
      <c r="G65" s="372"/>
    </row>
    <row r="66" spans="1:7" x14ac:dyDescent="0.2">
      <c r="A66" s="364"/>
      <c r="B66" s="410"/>
      <c r="C66" s="385"/>
      <c r="D66" s="376"/>
      <c r="E66" s="407"/>
      <c r="F66" s="411"/>
      <c r="G66" s="372"/>
    </row>
    <row r="67" spans="1:7" x14ac:dyDescent="0.2">
      <c r="A67" s="364"/>
      <c r="B67" s="410"/>
      <c r="C67" s="385"/>
      <c r="D67" s="383"/>
      <c r="E67" s="407"/>
      <c r="F67" s="411"/>
      <c r="G67" s="372"/>
    </row>
    <row r="68" spans="1:7" x14ac:dyDescent="0.2">
      <c r="A68" s="364"/>
      <c r="B68" s="401"/>
      <c r="C68" s="371"/>
      <c r="D68" s="383"/>
      <c r="E68" s="412"/>
      <c r="F68" s="403"/>
      <c r="G68" s="372"/>
    </row>
    <row r="69" spans="1:7" x14ac:dyDescent="0.2">
      <c r="A69" s="364"/>
      <c r="B69" s="413"/>
      <c r="C69" s="371"/>
      <c r="D69" s="376"/>
      <c r="E69" s="414"/>
      <c r="F69" s="403"/>
      <c r="G69" s="372"/>
    </row>
    <row r="70" spans="1:7" x14ac:dyDescent="0.2">
      <c r="A70" s="364"/>
      <c r="B70" s="408"/>
      <c r="C70" s="371"/>
      <c r="D70" s="376"/>
      <c r="E70" s="407"/>
      <c r="F70" s="415"/>
      <c r="G70" s="372"/>
    </row>
    <row r="71" spans="1:7" x14ac:dyDescent="0.2">
      <c r="A71" s="364"/>
      <c r="B71" s="416"/>
      <c r="C71" s="371"/>
      <c r="D71" s="376"/>
      <c r="E71" s="417"/>
      <c r="F71" s="403"/>
      <c r="G71" s="372"/>
    </row>
    <row r="72" spans="1:7" x14ac:dyDescent="0.2">
      <c r="A72" s="364"/>
      <c r="B72" s="416"/>
      <c r="C72" s="371"/>
      <c r="D72" s="384"/>
      <c r="E72" s="417"/>
      <c r="F72" s="403"/>
      <c r="G72" s="372"/>
    </row>
    <row r="73" spans="1:7" x14ac:dyDescent="0.2">
      <c r="A73" s="364"/>
      <c r="B73" s="401"/>
      <c r="C73" s="371"/>
      <c r="D73" s="384"/>
      <c r="E73" s="407"/>
      <c r="F73" s="403"/>
      <c r="G73" s="372"/>
    </row>
    <row r="74" spans="1:7" x14ac:dyDescent="0.2">
      <c r="A74" s="364"/>
      <c r="B74" s="401"/>
      <c r="C74" s="371"/>
      <c r="D74" s="384"/>
      <c r="E74" s="417"/>
      <c r="F74" s="403"/>
      <c r="G74" s="372"/>
    </row>
    <row r="75" spans="1:7" x14ac:dyDescent="0.2">
      <c r="A75" s="364"/>
      <c r="B75" s="413"/>
      <c r="C75" s="371"/>
      <c r="D75" s="384"/>
      <c r="E75" s="414"/>
      <c r="F75" s="418"/>
      <c r="G75" s="372"/>
    </row>
    <row r="76" spans="1:7" x14ac:dyDescent="0.2">
      <c r="A76" s="364"/>
      <c r="B76" s="408"/>
      <c r="C76" s="371"/>
      <c r="D76" s="419"/>
      <c r="E76" s="414"/>
      <c r="F76" s="418"/>
      <c r="G76" s="372"/>
    </row>
    <row r="77" spans="1:7" x14ac:dyDescent="0.2">
      <c r="A77" s="364"/>
      <c r="B77" s="408"/>
      <c r="C77" s="371"/>
      <c r="D77" s="384"/>
      <c r="E77" s="414"/>
      <c r="F77" s="418"/>
      <c r="G77" s="372"/>
    </row>
    <row r="78" spans="1:7" x14ac:dyDescent="0.2">
      <c r="A78" s="364"/>
      <c r="B78" s="401"/>
      <c r="C78" s="371"/>
      <c r="D78" s="384"/>
      <c r="E78" s="414"/>
      <c r="F78" s="418"/>
      <c r="G78" s="372"/>
    </row>
    <row r="79" spans="1:7" x14ac:dyDescent="0.2">
      <c r="A79" s="364"/>
      <c r="B79" s="401"/>
      <c r="C79" s="371"/>
      <c r="D79" s="376"/>
      <c r="E79" s="414"/>
      <c r="F79" s="418"/>
      <c r="G79" s="372"/>
    </row>
    <row r="80" spans="1:7" x14ac:dyDescent="0.2">
      <c r="A80" s="364"/>
      <c r="B80" s="401"/>
      <c r="C80" s="371"/>
      <c r="D80" s="376"/>
      <c r="E80" s="414"/>
      <c r="F80" s="418"/>
      <c r="G80" s="372"/>
    </row>
    <row r="81" spans="1:13" x14ac:dyDescent="0.2">
      <c r="A81" s="364"/>
      <c r="B81" s="401"/>
      <c r="C81" s="371"/>
      <c r="D81" s="420"/>
      <c r="E81" s="414"/>
      <c r="F81" s="418"/>
      <c r="G81" s="372"/>
    </row>
    <row r="82" spans="1:13" x14ac:dyDescent="0.2">
      <c r="A82" s="364"/>
      <c r="B82" s="401"/>
      <c r="C82" s="371"/>
      <c r="D82" s="384"/>
      <c r="E82" s="414"/>
      <c r="F82" s="418"/>
      <c r="G82" s="372"/>
    </row>
    <row r="83" spans="1:13" x14ac:dyDescent="0.2">
      <c r="A83" s="364"/>
      <c r="B83" s="401"/>
      <c r="C83" s="371"/>
      <c r="D83" s="421"/>
      <c r="E83" s="414"/>
      <c r="F83" s="418"/>
      <c r="G83" s="372"/>
    </row>
    <row r="84" spans="1:13" x14ac:dyDescent="0.2">
      <c r="A84" s="364"/>
      <c r="B84" s="401"/>
      <c r="C84" s="371"/>
      <c r="D84" s="160"/>
      <c r="E84" s="407"/>
      <c r="F84" s="403"/>
      <c r="G84" s="372"/>
    </row>
    <row r="85" spans="1:13" x14ac:dyDescent="0.2">
      <c r="A85" s="364"/>
      <c r="B85" s="401"/>
      <c r="C85" s="371"/>
      <c r="D85" s="160"/>
      <c r="E85" s="407"/>
      <c r="F85" s="403"/>
      <c r="G85" s="372"/>
    </row>
    <row r="86" spans="1:13" x14ac:dyDescent="0.2">
      <c r="A86" s="364"/>
      <c r="B86" s="401"/>
      <c r="C86" s="371"/>
      <c r="D86" s="160"/>
      <c r="E86" s="407"/>
      <c r="F86" s="403"/>
      <c r="G86" s="372"/>
    </row>
    <row r="87" spans="1:13" x14ac:dyDescent="0.2">
      <c r="A87" s="364"/>
      <c r="B87" s="401"/>
      <c r="C87" s="371"/>
      <c r="D87" s="160"/>
      <c r="E87" s="407"/>
      <c r="F87" s="403"/>
      <c r="G87" s="372"/>
    </row>
    <row r="88" spans="1:13" x14ac:dyDescent="0.2">
      <c r="A88" s="364"/>
      <c r="B88" s="401"/>
      <c r="C88" s="371"/>
      <c r="D88" s="160"/>
      <c r="E88" s="407"/>
      <c r="F88" s="403"/>
      <c r="G88" s="372"/>
    </row>
    <row r="89" spans="1:13" x14ac:dyDescent="0.2">
      <c r="A89" s="364"/>
      <c r="B89" s="401"/>
      <c r="C89" s="371"/>
      <c r="D89" s="376"/>
      <c r="E89" s="417"/>
      <c r="F89" s="403"/>
      <c r="G89" s="372"/>
    </row>
    <row r="90" spans="1:13" x14ac:dyDescent="0.2">
      <c r="A90" s="364"/>
      <c r="B90" s="401"/>
      <c r="C90" s="371"/>
      <c r="D90" s="376"/>
      <c r="E90" s="409"/>
      <c r="F90" s="403"/>
      <c r="G90" s="372"/>
      <c r="K90" s="430">
        <v>45</v>
      </c>
      <c r="L90" s="430">
        <v>150</v>
      </c>
      <c r="M90" s="437">
        <f>L90*K90</f>
        <v>6750</v>
      </c>
    </row>
    <row r="91" spans="1:13" x14ac:dyDescent="0.2">
      <c r="A91" s="364"/>
      <c r="B91" s="401"/>
      <c r="C91" s="422"/>
      <c r="D91" s="384"/>
      <c r="E91" s="423"/>
      <c r="F91" s="424"/>
      <c r="G91" s="372"/>
      <c r="K91" s="430">
        <v>45</v>
      </c>
      <c r="L91" s="430">
        <v>250</v>
      </c>
      <c r="M91" s="437">
        <f>L91*K91</f>
        <v>11250</v>
      </c>
    </row>
    <row r="92" spans="1:13" x14ac:dyDescent="0.2">
      <c r="A92" s="364"/>
      <c r="B92" s="401"/>
      <c r="C92" s="371"/>
      <c r="D92" s="425"/>
      <c r="E92" s="407"/>
      <c r="F92" s="406"/>
      <c r="G92" s="372"/>
      <c r="K92" s="430">
        <v>45</v>
      </c>
      <c r="L92" s="430">
        <v>150</v>
      </c>
      <c r="M92" s="437">
        <f>L92*K92</f>
        <v>6750</v>
      </c>
    </row>
    <row r="93" spans="1:13" x14ac:dyDescent="0.2">
      <c r="A93" s="364"/>
      <c r="B93" s="401"/>
      <c r="C93" s="371"/>
      <c r="D93" s="383"/>
      <c r="E93" s="407"/>
      <c r="F93" s="406"/>
      <c r="G93" s="372"/>
    </row>
    <row r="94" spans="1:13" ht="13.5" thickBot="1" x14ac:dyDescent="0.25">
      <c r="A94" s="426"/>
      <c r="B94" s="427"/>
      <c r="C94" s="428"/>
      <c r="D94" s="428"/>
      <c r="E94" s="427"/>
      <c r="F94" s="49" t="s">
        <v>15</v>
      </c>
      <c r="G94" s="50">
        <f>SUM(G60:G93)</f>
        <v>200000</v>
      </c>
      <c r="M94" s="438">
        <f>SUM(M90:M93)</f>
        <v>24750</v>
      </c>
    </row>
    <row r="95" spans="1:13" ht="13.5" thickTop="1" x14ac:dyDescent="0.2">
      <c r="A95" s="875" t="s">
        <v>2546</v>
      </c>
      <c r="B95" s="876"/>
      <c r="C95" s="876"/>
      <c r="D95" s="876"/>
      <c r="E95" s="876"/>
      <c r="F95" s="876"/>
      <c r="G95" s="877"/>
    </row>
    <row r="96" spans="1:13" ht="13.5" thickBot="1" x14ac:dyDescent="0.25">
      <c r="A96" s="378"/>
      <c r="B96" s="374"/>
      <c r="C96" s="374" t="s">
        <v>2545</v>
      </c>
      <c r="D96" s="379"/>
      <c r="E96" s="374"/>
      <c r="F96" s="380"/>
      <c r="G96" s="381"/>
      <c r="K96" s="437"/>
    </row>
    <row r="97" spans="1:11" ht="13.5" thickTop="1" x14ac:dyDescent="0.2">
      <c r="A97" s="878"/>
      <c r="B97" s="879"/>
      <c r="C97" s="879"/>
      <c r="D97" s="433" t="s">
        <v>11</v>
      </c>
      <c r="E97" s="880" t="s">
        <v>12</v>
      </c>
      <c r="F97" s="880"/>
      <c r="G97" s="881"/>
      <c r="K97" s="437"/>
    </row>
    <row r="98" spans="1:11" x14ac:dyDescent="0.2">
      <c r="A98" s="866" t="s">
        <v>17</v>
      </c>
      <c r="B98" s="867"/>
      <c r="C98" s="867"/>
      <c r="D98" s="434"/>
      <c r="E98" s="882"/>
      <c r="F98" s="883"/>
      <c r="G98" s="884"/>
      <c r="K98" s="437"/>
    </row>
    <row r="99" spans="1:11" x14ac:dyDescent="0.2">
      <c r="A99" s="866" t="s">
        <v>38</v>
      </c>
      <c r="B99" s="867"/>
      <c r="C99" s="867"/>
      <c r="D99" s="58" t="s">
        <v>1098</v>
      </c>
      <c r="E99" s="868" t="s">
        <v>69</v>
      </c>
      <c r="F99" s="868"/>
      <c r="G99" s="869"/>
    </row>
    <row r="100" spans="1:11" ht="13.5" thickBot="1" x14ac:dyDescent="0.25">
      <c r="A100" s="870" t="s">
        <v>39</v>
      </c>
      <c r="B100" s="871"/>
      <c r="C100" s="871"/>
      <c r="D100" s="375" t="s">
        <v>1099</v>
      </c>
      <c r="E100" s="872" t="s">
        <v>33</v>
      </c>
      <c r="F100" s="873"/>
      <c r="G100" s="874"/>
      <c r="K100" s="438"/>
    </row>
  </sheetData>
  <mergeCells count="28">
    <mergeCell ref="A1:G1"/>
    <mergeCell ref="A2:G2"/>
    <mergeCell ref="A3:G3"/>
    <mergeCell ref="E6:F6"/>
    <mergeCell ref="E8:F8"/>
    <mergeCell ref="A50:C50"/>
    <mergeCell ref="E50:G50"/>
    <mergeCell ref="A45:G45"/>
    <mergeCell ref="A47:C47"/>
    <mergeCell ref="E47:G47"/>
    <mergeCell ref="A48:C48"/>
    <mergeCell ref="E48:G48"/>
    <mergeCell ref="A49:C49"/>
    <mergeCell ref="E49:G49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</mergeCells>
  <phoneticPr fontId="3" type="noConversion"/>
  <pageMargins left="0.5" right="0.5" top="1" bottom="1" header="0.3" footer="0.3"/>
  <pageSetup fitToWidth="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3CC4"/>
  </sheetPr>
  <dimension ref="A1:M647"/>
  <sheetViews>
    <sheetView topLeftCell="A2" zoomScale="115" zoomScaleNormal="115" workbookViewId="0">
      <selection activeCell="D11" sqref="D1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891" t="s">
        <v>49</v>
      </c>
      <c r="B3" s="892"/>
      <c r="C3" s="892"/>
      <c r="D3" s="892"/>
      <c r="E3" s="892"/>
      <c r="F3" s="892"/>
      <c r="G3" s="893"/>
    </row>
    <row r="4" spans="1:7" x14ac:dyDescent="0.2">
      <c r="A4" s="387"/>
      <c r="B4" s="388"/>
      <c r="C4" s="389"/>
      <c r="D4" s="390"/>
      <c r="E4" s="388"/>
      <c r="F4" s="391"/>
      <c r="G4" s="392" t="s">
        <v>20</v>
      </c>
    </row>
    <row r="5" spans="1:7" x14ac:dyDescent="0.2">
      <c r="A5" s="393" t="s">
        <v>1</v>
      </c>
      <c r="B5" s="394"/>
      <c r="C5" s="14" t="s">
        <v>32</v>
      </c>
      <c r="D5" s="394"/>
      <c r="E5" s="362" t="s">
        <v>1074</v>
      </c>
      <c r="F5" s="395"/>
      <c r="G5" s="363" t="s">
        <v>1051</v>
      </c>
    </row>
    <row r="6" spans="1:7" x14ac:dyDescent="0.2">
      <c r="A6" s="361" t="s">
        <v>8</v>
      </c>
      <c r="B6" s="396"/>
      <c r="C6" s="19"/>
      <c r="D6" s="386"/>
      <c r="E6" s="894"/>
      <c r="F6" s="895"/>
      <c r="G6" s="397"/>
    </row>
    <row r="7" spans="1:7" x14ac:dyDescent="0.2">
      <c r="A7" s="373" t="s">
        <v>37</v>
      </c>
      <c r="B7" s="377"/>
      <c r="C7" s="377"/>
      <c r="D7" s="377"/>
      <c r="E7" s="398" t="s">
        <v>46</v>
      </c>
      <c r="F7" s="399"/>
      <c r="G7" s="397" t="s">
        <v>50</v>
      </c>
    </row>
    <row r="8" spans="1:7" x14ac:dyDescent="0.2">
      <c r="A8" s="387"/>
      <c r="B8" s="388"/>
      <c r="C8" s="389"/>
      <c r="D8" s="389"/>
      <c r="E8" s="896"/>
      <c r="F8" s="897"/>
      <c r="G8" s="400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364">
        <v>1</v>
      </c>
      <c r="B10" s="401"/>
      <c r="C10" s="371" t="s">
        <v>242</v>
      </c>
      <c r="D10" s="376" t="s">
        <v>1061</v>
      </c>
      <c r="E10" s="402">
        <v>25</v>
      </c>
      <c r="F10" s="403">
        <v>450</v>
      </c>
      <c r="G10" s="372">
        <f>F10*E10</f>
        <v>11250</v>
      </c>
    </row>
    <row r="11" spans="1:7" x14ac:dyDescent="0.2">
      <c r="A11" s="364"/>
      <c r="B11" s="401"/>
      <c r="C11" s="371"/>
      <c r="D11" s="370" t="s">
        <v>1062</v>
      </c>
      <c r="E11" s="404"/>
      <c r="F11" s="403"/>
      <c r="G11" s="372"/>
    </row>
    <row r="12" spans="1:7" x14ac:dyDescent="0.2">
      <c r="A12" s="364"/>
      <c r="B12" s="401"/>
      <c r="C12" s="371"/>
      <c r="D12" s="370"/>
      <c r="E12" s="405"/>
      <c r="F12" s="406"/>
      <c r="G12" s="372"/>
    </row>
    <row r="13" spans="1:7" x14ac:dyDescent="0.2">
      <c r="A13" s="364"/>
      <c r="B13" s="401"/>
      <c r="C13" s="371"/>
      <c r="D13" s="370"/>
      <c r="E13" s="407"/>
      <c r="F13" s="403"/>
      <c r="G13" s="372"/>
    </row>
    <row r="14" spans="1:7" x14ac:dyDescent="0.2">
      <c r="A14" s="364"/>
      <c r="B14" s="408"/>
      <c r="C14" s="371"/>
      <c r="D14" s="376"/>
      <c r="E14" s="409"/>
      <c r="F14" s="403"/>
      <c r="G14" s="372"/>
    </row>
    <row r="15" spans="1:7" x14ac:dyDescent="0.2">
      <c r="A15" s="364"/>
      <c r="B15" s="408"/>
      <c r="C15" s="371"/>
      <c r="D15" s="376"/>
      <c r="E15" s="409"/>
      <c r="F15" s="403"/>
      <c r="G15" s="372"/>
    </row>
    <row r="16" spans="1:7" x14ac:dyDescent="0.2">
      <c r="A16" s="364"/>
      <c r="B16" s="410"/>
      <c r="C16" s="385"/>
      <c r="D16" s="376"/>
      <c r="E16" s="407"/>
      <c r="F16" s="411"/>
      <c r="G16" s="372"/>
    </row>
    <row r="17" spans="1:7" x14ac:dyDescent="0.2">
      <c r="A17" s="364"/>
      <c r="B17" s="410"/>
      <c r="C17" s="385"/>
      <c r="D17" s="383"/>
      <c r="E17" s="407"/>
      <c r="F17" s="411"/>
      <c r="G17" s="372"/>
    </row>
    <row r="18" spans="1:7" x14ac:dyDescent="0.2">
      <c r="A18" s="364"/>
      <c r="B18" s="401"/>
      <c r="C18" s="371"/>
      <c r="D18" s="383"/>
      <c r="E18" s="412"/>
      <c r="F18" s="403"/>
      <c r="G18" s="372"/>
    </row>
    <row r="19" spans="1:7" x14ac:dyDescent="0.2">
      <c r="A19" s="364"/>
      <c r="B19" s="413"/>
      <c r="C19" s="371"/>
      <c r="D19" s="376"/>
      <c r="E19" s="414"/>
      <c r="F19" s="403"/>
      <c r="G19" s="372"/>
    </row>
    <row r="20" spans="1:7" x14ac:dyDescent="0.2">
      <c r="A20" s="364"/>
      <c r="B20" s="408"/>
      <c r="C20" s="371"/>
      <c r="D20" s="376"/>
      <c r="E20" s="407"/>
      <c r="F20" s="415"/>
      <c r="G20" s="372"/>
    </row>
    <row r="21" spans="1:7" x14ac:dyDescent="0.2">
      <c r="A21" s="364"/>
      <c r="B21" s="416"/>
      <c r="C21" s="371"/>
      <c r="D21" s="376"/>
      <c r="E21" s="417"/>
      <c r="F21" s="403"/>
      <c r="G21" s="372"/>
    </row>
    <row r="22" spans="1:7" x14ac:dyDescent="0.2">
      <c r="A22" s="364"/>
      <c r="B22" s="416"/>
      <c r="C22" s="371"/>
      <c r="D22" s="384"/>
      <c r="E22" s="417"/>
      <c r="F22" s="403"/>
      <c r="G22" s="372"/>
    </row>
    <row r="23" spans="1:7" x14ac:dyDescent="0.2">
      <c r="A23" s="364"/>
      <c r="B23" s="401"/>
      <c r="C23" s="371"/>
      <c r="D23" s="384"/>
      <c r="E23" s="407"/>
      <c r="F23" s="403"/>
      <c r="G23" s="372"/>
    </row>
    <row r="24" spans="1:7" x14ac:dyDescent="0.2">
      <c r="A24" s="364"/>
      <c r="B24" s="401"/>
      <c r="C24" s="371"/>
      <c r="D24" s="384"/>
      <c r="E24" s="417"/>
      <c r="F24" s="403"/>
      <c r="G24" s="372"/>
    </row>
    <row r="25" spans="1:7" x14ac:dyDescent="0.2">
      <c r="A25" s="364"/>
      <c r="B25" s="413"/>
      <c r="C25" s="371"/>
      <c r="D25" s="384"/>
      <c r="E25" s="414"/>
      <c r="F25" s="418"/>
      <c r="G25" s="372"/>
    </row>
    <row r="26" spans="1:7" x14ac:dyDescent="0.2">
      <c r="A26" s="364"/>
      <c r="B26" s="408"/>
      <c r="C26" s="371"/>
      <c r="D26" s="419"/>
      <c r="E26" s="414"/>
      <c r="F26" s="418"/>
      <c r="G26" s="372"/>
    </row>
    <row r="27" spans="1:7" x14ac:dyDescent="0.2">
      <c r="A27" s="364"/>
      <c r="B27" s="408"/>
      <c r="C27" s="371"/>
      <c r="D27" s="384"/>
      <c r="E27" s="414"/>
      <c r="F27" s="418"/>
      <c r="G27" s="372"/>
    </row>
    <row r="28" spans="1:7" x14ac:dyDescent="0.2">
      <c r="A28" s="364"/>
      <c r="B28" s="401"/>
      <c r="C28" s="371"/>
      <c r="D28" s="384"/>
      <c r="E28" s="414"/>
      <c r="F28" s="418"/>
      <c r="G28" s="372"/>
    </row>
    <row r="29" spans="1:7" x14ac:dyDescent="0.2">
      <c r="A29" s="364"/>
      <c r="B29" s="401"/>
      <c r="C29" s="371"/>
      <c r="D29" s="384"/>
      <c r="E29" s="414"/>
      <c r="F29" s="418"/>
      <c r="G29" s="372"/>
    </row>
    <row r="30" spans="1:7" x14ac:dyDescent="0.2">
      <c r="A30" s="364"/>
      <c r="B30" s="401"/>
      <c r="C30" s="371"/>
      <c r="D30" s="384"/>
      <c r="E30" s="414"/>
      <c r="F30" s="418"/>
      <c r="G30" s="372"/>
    </row>
    <row r="31" spans="1:7" x14ac:dyDescent="0.2">
      <c r="A31" s="364"/>
      <c r="B31" s="401"/>
      <c r="C31" s="371"/>
      <c r="D31" s="376"/>
      <c r="E31" s="414"/>
      <c r="F31" s="418"/>
      <c r="G31" s="372"/>
    </row>
    <row r="32" spans="1:7" x14ac:dyDescent="0.2">
      <c r="A32" s="364"/>
      <c r="B32" s="401"/>
      <c r="C32" s="371"/>
      <c r="D32" s="376"/>
      <c r="E32" s="414"/>
      <c r="F32" s="418"/>
      <c r="G32" s="372"/>
    </row>
    <row r="33" spans="1:13" x14ac:dyDescent="0.2">
      <c r="A33" s="364"/>
      <c r="B33" s="401"/>
      <c r="C33" s="371"/>
      <c r="D33" s="420"/>
      <c r="E33" s="414"/>
      <c r="F33" s="418"/>
      <c r="G33" s="372"/>
    </row>
    <row r="34" spans="1:13" x14ac:dyDescent="0.2">
      <c r="A34" s="364"/>
      <c r="B34" s="401"/>
      <c r="C34" s="371"/>
      <c r="D34" s="384"/>
      <c r="E34" s="414"/>
      <c r="F34" s="418"/>
      <c r="G34" s="372"/>
    </row>
    <row r="35" spans="1:13" x14ac:dyDescent="0.2">
      <c r="A35" s="364"/>
      <c r="B35" s="401"/>
      <c r="C35" s="371"/>
      <c r="D35" s="421"/>
      <c r="E35" s="414"/>
      <c r="F35" s="418"/>
      <c r="G35" s="372"/>
    </row>
    <row r="36" spans="1:13" x14ac:dyDescent="0.2">
      <c r="A36" s="364"/>
      <c r="B36" s="401"/>
      <c r="C36" s="371"/>
      <c r="D36" s="421"/>
      <c r="E36" s="414"/>
      <c r="F36" s="418"/>
      <c r="G36" s="372"/>
    </row>
    <row r="37" spans="1:13" x14ac:dyDescent="0.2">
      <c r="A37" s="364"/>
      <c r="B37" s="401"/>
      <c r="C37" s="371"/>
      <c r="D37" s="160"/>
      <c r="E37" s="407"/>
      <c r="F37" s="403"/>
      <c r="G37" s="372"/>
      <c r="M37" s="211"/>
    </row>
    <row r="38" spans="1:13" x14ac:dyDescent="0.2">
      <c r="A38" s="364"/>
      <c r="B38" s="401"/>
      <c r="C38" s="371"/>
      <c r="D38" s="376"/>
      <c r="E38" s="417"/>
      <c r="F38" s="403"/>
      <c r="G38" s="372"/>
      <c r="M38" s="211"/>
    </row>
    <row r="39" spans="1:13" x14ac:dyDescent="0.2">
      <c r="A39" s="364"/>
      <c r="B39" s="401"/>
      <c r="C39" s="371"/>
      <c r="D39" s="376"/>
      <c r="E39" s="409"/>
      <c r="F39" s="403"/>
      <c r="G39" s="372"/>
      <c r="M39" s="211"/>
    </row>
    <row r="40" spans="1:13" x14ac:dyDescent="0.2">
      <c r="A40" s="364"/>
      <c r="B40" s="401"/>
      <c r="C40" s="422"/>
      <c r="D40" s="384"/>
      <c r="E40" s="423"/>
      <c r="F40" s="424"/>
      <c r="G40" s="372"/>
    </row>
    <row r="41" spans="1:13" x14ac:dyDescent="0.2">
      <c r="A41" s="364"/>
      <c r="B41" s="401"/>
      <c r="C41" s="371"/>
      <c r="D41" s="425"/>
      <c r="E41" s="407"/>
      <c r="F41" s="406"/>
      <c r="G41" s="372"/>
      <c r="M41" s="212"/>
    </row>
    <row r="42" spans="1:13" x14ac:dyDescent="0.2">
      <c r="A42" s="364"/>
      <c r="B42" s="401"/>
      <c r="C42" s="371"/>
      <c r="D42" s="383"/>
      <c r="E42" s="407"/>
      <c r="F42" s="406"/>
      <c r="G42" s="372"/>
    </row>
    <row r="43" spans="1:13" ht="13.5" thickBot="1" x14ac:dyDescent="0.25">
      <c r="A43" s="426"/>
      <c r="B43" s="427"/>
      <c r="C43" s="428"/>
      <c r="D43" s="428"/>
      <c r="E43" s="427"/>
      <c r="F43" s="49" t="s">
        <v>15</v>
      </c>
      <c r="G43" s="50">
        <f>SUM(G10:G42)</f>
        <v>11250</v>
      </c>
      <c r="K43" s="211"/>
    </row>
    <row r="44" spans="1:13" ht="13.5" thickTop="1" x14ac:dyDescent="0.2">
      <c r="A44" s="361" t="s">
        <v>1063</v>
      </c>
      <c r="B44" s="429"/>
      <c r="C44" s="386"/>
      <c r="D44" s="430"/>
      <c r="E44" s="429"/>
      <c r="F44" s="431"/>
      <c r="G44" s="397"/>
      <c r="K44" s="211"/>
    </row>
    <row r="45" spans="1:13" ht="13.5" thickBot="1" x14ac:dyDescent="0.25">
      <c r="A45" s="378"/>
      <c r="B45" s="432"/>
      <c r="C45" s="432" t="s">
        <v>1073</v>
      </c>
      <c r="D45" s="379"/>
      <c r="E45" s="432"/>
      <c r="F45" s="380"/>
      <c r="G45" s="381"/>
      <c r="K45" s="211"/>
    </row>
    <row r="46" spans="1:13" ht="13.5" thickTop="1" x14ac:dyDescent="0.2">
      <c r="A46" s="878"/>
      <c r="B46" s="879"/>
      <c r="C46" s="879"/>
      <c r="D46" s="433" t="s">
        <v>11</v>
      </c>
      <c r="E46" s="880" t="s">
        <v>12</v>
      </c>
      <c r="F46" s="880"/>
      <c r="G46" s="881"/>
    </row>
    <row r="47" spans="1:13" x14ac:dyDescent="0.2">
      <c r="A47" s="866" t="s">
        <v>17</v>
      </c>
      <c r="B47" s="867"/>
      <c r="C47" s="867"/>
      <c r="D47" s="434"/>
      <c r="E47" s="882"/>
      <c r="F47" s="883"/>
      <c r="G47" s="884"/>
      <c r="K47" s="212"/>
    </row>
    <row r="48" spans="1:13" x14ac:dyDescent="0.2">
      <c r="A48" s="866" t="s">
        <v>38</v>
      </c>
      <c r="B48" s="867"/>
      <c r="C48" s="867"/>
      <c r="D48" s="58" t="s">
        <v>299</v>
      </c>
      <c r="E48" s="868" t="s">
        <v>69</v>
      </c>
      <c r="F48" s="868"/>
      <c r="G48" s="869"/>
    </row>
    <row r="49" spans="1:7" ht="13.5" thickBot="1" x14ac:dyDescent="0.25">
      <c r="A49" s="870" t="s">
        <v>39</v>
      </c>
      <c r="B49" s="871"/>
      <c r="C49" s="871"/>
      <c r="D49" s="375" t="s">
        <v>300</v>
      </c>
      <c r="E49" s="872" t="s">
        <v>33</v>
      </c>
      <c r="F49" s="873"/>
      <c r="G49" s="874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891" t="s">
        <v>49</v>
      </c>
      <c r="B52" s="892"/>
      <c r="C52" s="892"/>
      <c r="D52" s="892"/>
      <c r="E52" s="892"/>
      <c r="F52" s="892"/>
      <c r="G52" s="893"/>
    </row>
    <row r="53" spans="1:7" x14ac:dyDescent="0.2">
      <c r="A53" s="387"/>
      <c r="B53" s="388"/>
      <c r="C53" s="389"/>
      <c r="D53" s="390"/>
      <c r="E53" s="388"/>
      <c r="F53" s="391"/>
      <c r="G53" s="392" t="s">
        <v>20</v>
      </c>
    </row>
    <row r="54" spans="1:7" x14ac:dyDescent="0.2">
      <c r="A54" s="393" t="s">
        <v>1</v>
      </c>
      <c r="B54" s="394"/>
      <c r="C54" s="14" t="s">
        <v>32</v>
      </c>
      <c r="D54" s="394"/>
      <c r="E54" s="362" t="s">
        <v>1131</v>
      </c>
      <c r="F54" s="395"/>
      <c r="G54" s="363" t="s">
        <v>1100</v>
      </c>
    </row>
    <row r="55" spans="1:7" x14ac:dyDescent="0.2">
      <c r="A55" s="361" t="s">
        <v>8</v>
      </c>
      <c r="B55" s="396"/>
      <c r="C55" s="19"/>
      <c r="D55" s="386"/>
      <c r="E55" s="894"/>
      <c r="F55" s="895"/>
      <c r="G55" s="397"/>
    </row>
    <row r="56" spans="1:7" x14ac:dyDescent="0.2">
      <c r="A56" s="373" t="s">
        <v>37</v>
      </c>
      <c r="B56" s="377"/>
      <c r="C56" s="377"/>
      <c r="D56" s="377"/>
      <c r="E56" s="398" t="s">
        <v>46</v>
      </c>
      <c r="F56" s="399"/>
      <c r="G56" s="397" t="s">
        <v>50</v>
      </c>
    </row>
    <row r="57" spans="1:7" x14ac:dyDescent="0.2">
      <c r="A57" s="387"/>
      <c r="B57" s="388"/>
      <c r="C57" s="389"/>
      <c r="D57" s="389"/>
      <c r="E57" s="896"/>
      <c r="F57" s="897"/>
      <c r="G57" s="400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364">
        <v>1</v>
      </c>
      <c r="B59" s="401"/>
      <c r="C59" s="371" t="s">
        <v>242</v>
      </c>
      <c r="D59" s="376" t="s">
        <v>1061</v>
      </c>
      <c r="E59" s="402">
        <v>25</v>
      </c>
      <c r="F59" s="403">
        <v>450</v>
      </c>
      <c r="G59" s="372">
        <f>F59*E59</f>
        <v>11250</v>
      </c>
    </row>
    <row r="60" spans="1:7" x14ac:dyDescent="0.2">
      <c r="A60" s="364"/>
      <c r="B60" s="401"/>
      <c r="C60" s="371"/>
      <c r="D60" s="370" t="s">
        <v>1062</v>
      </c>
      <c r="E60" s="404"/>
      <c r="F60" s="403"/>
      <c r="G60" s="372"/>
    </row>
    <row r="61" spans="1:7" x14ac:dyDescent="0.2">
      <c r="A61" s="364"/>
      <c r="B61" s="401"/>
      <c r="C61" s="371"/>
      <c r="D61" s="370"/>
      <c r="E61" s="405"/>
      <c r="F61" s="406"/>
      <c r="G61" s="372"/>
    </row>
    <row r="62" spans="1:7" x14ac:dyDescent="0.2">
      <c r="A62" s="364"/>
      <c r="B62" s="401"/>
      <c r="C62" s="371"/>
      <c r="D62" s="370"/>
      <c r="E62" s="407"/>
      <c r="F62" s="403"/>
      <c r="G62" s="372"/>
    </row>
    <row r="63" spans="1:7" x14ac:dyDescent="0.2">
      <c r="A63" s="364"/>
      <c r="B63" s="408"/>
      <c r="C63" s="371"/>
      <c r="D63" s="376"/>
      <c r="E63" s="409"/>
      <c r="F63" s="403"/>
      <c r="G63" s="372"/>
    </row>
    <row r="64" spans="1:7" x14ac:dyDescent="0.2">
      <c r="A64" s="364"/>
      <c r="B64" s="408"/>
      <c r="C64" s="371"/>
      <c r="D64" s="376"/>
      <c r="E64" s="409"/>
      <c r="F64" s="403"/>
      <c r="G64" s="372"/>
    </row>
    <row r="65" spans="1:7" x14ac:dyDescent="0.2">
      <c r="A65" s="364"/>
      <c r="B65" s="410"/>
      <c r="C65" s="385"/>
      <c r="D65" s="376"/>
      <c r="E65" s="407"/>
      <c r="F65" s="411"/>
      <c r="G65" s="372"/>
    </row>
    <row r="66" spans="1:7" x14ac:dyDescent="0.2">
      <c r="A66" s="364"/>
      <c r="B66" s="410"/>
      <c r="C66" s="385"/>
      <c r="D66" s="383"/>
      <c r="E66" s="407"/>
      <c r="F66" s="411"/>
      <c r="G66" s="372"/>
    </row>
    <row r="67" spans="1:7" x14ac:dyDescent="0.2">
      <c r="A67" s="364"/>
      <c r="B67" s="401"/>
      <c r="C67" s="371"/>
      <c r="D67" s="383"/>
      <c r="E67" s="412"/>
      <c r="F67" s="403"/>
      <c r="G67" s="372"/>
    </row>
    <row r="68" spans="1:7" x14ac:dyDescent="0.2">
      <c r="A68" s="364"/>
      <c r="B68" s="413"/>
      <c r="C68" s="371"/>
      <c r="D68" s="376"/>
      <c r="E68" s="414"/>
      <c r="F68" s="403"/>
      <c r="G68" s="372"/>
    </row>
    <row r="69" spans="1:7" x14ac:dyDescent="0.2">
      <c r="A69" s="364"/>
      <c r="B69" s="408"/>
      <c r="C69" s="371"/>
      <c r="D69" s="376"/>
      <c r="E69" s="407"/>
      <c r="F69" s="415"/>
      <c r="G69" s="372"/>
    </row>
    <row r="70" spans="1:7" x14ac:dyDescent="0.2">
      <c r="A70" s="364"/>
      <c r="B70" s="416"/>
      <c r="C70" s="371"/>
      <c r="D70" s="376"/>
      <c r="E70" s="417"/>
      <c r="F70" s="403"/>
      <c r="G70" s="372"/>
    </row>
    <row r="71" spans="1:7" x14ac:dyDescent="0.2">
      <c r="A71" s="364"/>
      <c r="B71" s="416"/>
      <c r="C71" s="371"/>
      <c r="D71" s="384"/>
      <c r="E71" s="417"/>
      <c r="F71" s="403"/>
      <c r="G71" s="372"/>
    </row>
    <row r="72" spans="1:7" x14ac:dyDescent="0.2">
      <c r="A72" s="364"/>
      <c r="B72" s="401"/>
      <c r="C72" s="371"/>
      <c r="D72" s="384"/>
      <c r="E72" s="407"/>
      <c r="F72" s="403"/>
      <c r="G72" s="372"/>
    </row>
    <row r="73" spans="1:7" x14ac:dyDescent="0.2">
      <c r="A73" s="364"/>
      <c r="B73" s="401"/>
      <c r="C73" s="371"/>
      <c r="D73" s="384"/>
      <c r="E73" s="417"/>
      <c r="F73" s="403"/>
      <c r="G73" s="372"/>
    </row>
    <row r="74" spans="1:7" x14ac:dyDescent="0.2">
      <c r="A74" s="364"/>
      <c r="B74" s="413"/>
      <c r="C74" s="371"/>
      <c r="D74" s="384"/>
      <c r="E74" s="414"/>
      <c r="F74" s="418"/>
      <c r="G74" s="372"/>
    </row>
    <row r="75" spans="1:7" x14ac:dyDescent="0.2">
      <c r="A75" s="364"/>
      <c r="B75" s="408"/>
      <c r="C75" s="371"/>
      <c r="D75" s="419"/>
      <c r="E75" s="414"/>
      <c r="F75" s="418"/>
      <c r="G75" s="372"/>
    </row>
    <row r="76" spans="1:7" x14ac:dyDescent="0.2">
      <c r="A76" s="364"/>
      <c r="B76" s="408"/>
      <c r="C76" s="371"/>
      <c r="D76" s="384"/>
      <c r="E76" s="414"/>
      <c r="F76" s="418"/>
      <c r="G76" s="372"/>
    </row>
    <row r="77" spans="1:7" x14ac:dyDescent="0.2">
      <c r="A77" s="364"/>
      <c r="B77" s="401"/>
      <c r="C77" s="371"/>
      <c r="D77" s="384"/>
      <c r="E77" s="414"/>
      <c r="F77" s="418"/>
      <c r="G77" s="372"/>
    </row>
    <row r="78" spans="1:7" x14ac:dyDescent="0.2">
      <c r="A78" s="364"/>
      <c r="B78" s="401"/>
      <c r="C78" s="371"/>
      <c r="D78" s="384"/>
      <c r="E78" s="414"/>
      <c r="F78" s="418"/>
      <c r="G78" s="372"/>
    </row>
    <row r="79" spans="1:7" x14ac:dyDescent="0.2">
      <c r="A79" s="364"/>
      <c r="B79" s="401"/>
      <c r="C79" s="371"/>
      <c r="D79" s="384"/>
      <c r="E79" s="414"/>
      <c r="F79" s="418"/>
      <c r="G79" s="372"/>
    </row>
    <row r="80" spans="1:7" x14ac:dyDescent="0.2">
      <c r="A80" s="364"/>
      <c r="B80" s="401"/>
      <c r="C80" s="371"/>
      <c r="D80" s="376"/>
      <c r="E80" s="414"/>
      <c r="F80" s="418"/>
      <c r="G80" s="372"/>
    </row>
    <row r="81" spans="1:7" x14ac:dyDescent="0.2">
      <c r="A81" s="364"/>
      <c r="B81" s="401"/>
      <c r="C81" s="371"/>
      <c r="D81" s="376"/>
      <c r="E81" s="414"/>
      <c r="F81" s="418"/>
      <c r="G81" s="372"/>
    </row>
    <row r="82" spans="1:7" x14ac:dyDescent="0.2">
      <c r="A82" s="364"/>
      <c r="B82" s="401"/>
      <c r="C82" s="371"/>
      <c r="D82" s="420"/>
      <c r="E82" s="414"/>
      <c r="F82" s="418"/>
      <c r="G82" s="372"/>
    </row>
    <row r="83" spans="1:7" x14ac:dyDescent="0.2">
      <c r="A83" s="364"/>
      <c r="B83" s="401"/>
      <c r="C83" s="371"/>
      <c r="D83" s="384"/>
      <c r="E83" s="414"/>
      <c r="F83" s="418"/>
      <c r="G83" s="372"/>
    </row>
    <row r="84" spans="1:7" x14ac:dyDescent="0.2">
      <c r="A84" s="364"/>
      <c r="B84" s="401"/>
      <c r="C84" s="371"/>
      <c r="D84" s="384"/>
      <c r="E84" s="414"/>
      <c r="F84" s="418"/>
      <c r="G84" s="372"/>
    </row>
    <row r="85" spans="1:7" x14ac:dyDescent="0.2">
      <c r="A85" s="364"/>
      <c r="B85" s="401"/>
      <c r="C85" s="371"/>
      <c r="D85" s="421"/>
      <c r="E85" s="414"/>
      <c r="F85" s="418"/>
      <c r="G85" s="372"/>
    </row>
    <row r="86" spans="1:7" x14ac:dyDescent="0.2">
      <c r="A86" s="364"/>
      <c r="B86" s="401"/>
      <c r="C86" s="371"/>
      <c r="D86" s="160"/>
      <c r="E86" s="407"/>
      <c r="F86" s="403"/>
      <c r="G86" s="372"/>
    </row>
    <row r="87" spans="1:7" x14ac:dyDescent="0.2">
      <c r="A87" s="364"/>
      <c r="B87" s="401"/>
      <c r="C87" s="371"/>
      <c r="D87" s="376"/>
      <c r="E87" s="417"/>
      <c r="F87" s="403"/>
      <c r="G87" s="372"/>
    </row>
    <row r="88" spans="1:7" x14ac:dyDescent="0.2">
      <c r="A88" s="364"/>
      <c r="B88" s="401"/>
      <c r="C88" s="371"/>
      <c r="D88" s="376"/>
      <c r="E88" s="409"/>
      <c r="F88" s="403"/>
      <c r="G88" s="372"/>
    </row>
    <row r="89" spans="1:7" x14ac:dyDescent="0.2">
      <c r="A89" s="364"/>
      <c r="B89" s="401"/>
      <c r="C89" s="422"/>
      <c r="D89" s="384"/>
      <c r="E89" s="423"/>
      <c r="F89" s="424"/>
      <c r="G89" s="372"/>
    </row>
    <row r="90" spans="1:7" x14ac:dyDescent="0.2">
      <c r="A90" s="364"/>
      <c r="B90" s="401"/>
      <c r="C90" s="371"/>
      <c r="D90" s="425"/>
      <c r="E90" s="407"/>
      <c r="F90" s="406"/>
      <c r="G90" s="372"/>
    </row>
    <row r="91" spans="1:7" x14ac:dyDescent="0.2">
      <c r="A91" s="364"/>
      <c r="B91" s="401"/>
      <c r="C91" s="371"/>
      <c r="D91" s="383"/>
      <c r="E91" s="407"/>
      <c r="F91" s="406"/>
      <c r="G91" s="372"/>
    </row>
    <row r="92" spans="1:7" ht="13.5" thickBot="1" x14ac:dyDescent="0.25">
      <c r="A92" s="426"/>
      <c r="B92" s="427"/>
      <c r="C92" s="428"/>
      <c r="D92" s="428"/>
      <c r="E92" s="427"/>
      <c r="F92" s="49" t="s">
        <v>15</v>
      </c>
      <c r="G92" s="50">
        <f>SUM(G59:G91)</f>
        <v>11250</v>
      </c>
    </row>
    <row r="93" spans="1:7" ht="13.5" thickTop="1" x14ac:dyDescent="0.2">
      <c r="A93" s="361" t="s">
        <v>1063</v>
      </c>
      <c r="B93" s="429"/>
      <c r="C93" s="386"/>
      <c r="D93" s="430"/>
      <c r="E93" s="429"/>
      <c r="F93" s="431"/>
      <c r="G93" s="397"/>
    </row>
    <row r="94" spans="1:7" ht="13.5" thickBot="1" x14ac:dyDescent="0.25">
      <c r="A94" s="378"/>
      <c r="B94" s="432"/>
      <c r="C94" s="432" t="s">
        <v>1072</v>
      </c>
      <c r="D94" s="379"/>
      <c r="E94" s="432"/>
      <c r="F94" s="380"/>
      <c r="G94" s="381"/>
    </row>
    <row r="95" spans="1:7" ht="13.5" thickTop="1" x14ac:dyDescent="0.2">
      <c r="A95" s="878"/>
      <c r="B95" s="879"/>
      <c r="C95" s="879"/>
      <c r="D95" s="433" t="s">
        <v>11</v>
      </c>
      <c r="E95" s="880" t="s">
        <v>12</v>
      </c>
      <c r="F95" s="880"/>
      <c r="G95" s="881"/>
    </row>
    <row r="96" spans="1:7" x14ac:dyDescent="0.2">
      <c r="A96" s="866" t="s">
        <v>17</v>
      </c>
      <c r="B96" s="867"/>
      <c r="C96" s="867"/>
      <c r="D96" s="434"/>
      <c r="E96" s="882"/>
      <c r="F96" s="883"/>
      <c r="G96" s="884"/>
    </row>
    <row r="97" spans="1:7" x14ac:dyDescent="0.2">
      <c r="A97" s="866" t="s">
        <v>38</v>
      </c>
      <c r="B97" s="867"/>
      <c r="C97" s="867"/>
      <c r="D97" s="58" t="s">
        <v>299</v>
      </c>
      <c r="E97" s="868" t="s">
        <v>69</v>
      </c>
      <c r="F97" s="868"/>
      <c r="G97" s="869"/>
    </row>
    <row r="98" spans="1:7" ht="13.5" thickBot="1" x14ac:dyDescent="0.25">
      <c r="A98" s="870" t="s">
        <v>39</v>
      </c>
      <c r="B98" s="871"/>
      <c r="C98" s="871"/>
      <c r="D98" s="375" t="s">
        <v>300</v>
      </c>
      <c r="E98" s="872" t="s">
        <v>33</v>
      </c>
      <c r="F98" s="873"/>
      <c r="G98" s="874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891" t="s">
        <v>49</v>
      </c>
      <c r="B101" s="892"/>
      <c r="C101" s="892"/>
      <c r="D101" s="892"/>
      <c r="E101" s="892"/>
      <c r="F101" s="892"/>
      <c r="G101" s="893"/>
    </row>
    <row r="102" spans="1:7" x14ac:dyDescent="0.2">
      <c r="A102" s="387"/>
      <c r="B102" s="388"/>
      <c r="C102" s="389"/>
      <c r="D102" s="390"/>
      <c r="E102" s="388"/>
      <c r="F102" s="391"/>
      <c r="G102" s="392" t="s">
        <v>20</v>
      </c>
    </row>
    <row r="103" spans="1:7" x14ac:dyDescent="0.2">
      <c r="A103" s="393" t="s">
        <v>1</v>
      </c>
      <c r="B103" s="394"/>
      <c r="C103" s="14" t="s">
        <v>32</v>
      </c>
      <c r="D103" s="394"/>
      <c r="E103" s="362" t="s">
        <v>1132</v>
      </c>
      <c r="F103" s="395"/>
      <c r="G103" s="363" t="s">
        <v>1100</v>
      </c>
    </row>
    <row r="104" spans="1:7" x14ac:dyDescent="0.2">
      <c r="A104" s="361" t="s">
        <v>8</v>
      </c>
      <c r="B104" s="396"/>
      <c r="C104" s="19"/>
      <c r="D104" s="386"/>
      <c r="E104" s="894"/>
      <c r="F104" s="895"/>
      <c r="G104" s="397"/>
    </row>
    <row r="105" spans="1:7" x14ac:dyDescent="0.2">
      <c r="A105" s="373" t="s">
        <v>37</v>
      </c>
      <c r="B105" s="377"/>
      <c r="C105" s="377"/>
      <c r="D105" s="377"/>
      <c r="E105" s="398" t="s">
        <v>46</v>
      </c>
      <c r="F105" s="399"/>
      <c r="G105" s="397" t="s">
        <v>50</v>
      </c>
    </row>
    <row r="106" spans="1:7" x14ac:dyDescent="0.2">
      <c r="A106" s="387"/>
      <c r="B106" s="388"/>
      <c r="C106" s="389"/>
      <c r="D106" s="389"/>
      <c r="E106" s="896"/>
      <c r="F106" s="897"/>
      <c r="G106" s="400"/>
    </row>
    <row r="107" spans="1:7" ht="26.25" thickBot="1" x14ac:dyDescent="0.25">
      <c r="A107" s="26" t="s">
        <v>47</v>
      </c>
      <c r="B107" s="26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364">
        <v>1</v>
      </c>
      <c r="B108" s="401"/>
      <c r="C108" s="371" t="s">
        <v>242</v>
      </c>
      <c r="D108" s="376" t="s">
        <v>1061</v>
      </c>
      <c r="E108" s="402">
        <v>25</v>
      </c>
      <c r="F108" s="403">
        <v>450</v>
      </c>
      <c r="G108" s="372">
        <f>F108*E108</f>
        <v>11250</v>
      </c>
    </row>
    <row r="109" spans="1:7" x14ac:dyDescent="0.2">
      <c r="A109" s="364"/>
      <c r="B109" s="401"/>
      <c r="C109" s="371"/>
      <c r="D109" s="370" t="s">
        <v>1062</v>
      </c>
      <c r="E109" s="404"/>
      <c r="F109" s="403"/>
      <c r="G109" s="372"/>
    </row>
    <row r="110" spans="1:7" x14ac:dyDescent="0.2">
      <c r="A110" s="364"/>
      <c r="B110" s="401"/>
      <c r="C110" s="371"/>
      <c r="D110" s="370"/>
      <c r="E110" s="405"/>
      <c r="F110" s="406"/>
      <c r="G110" s="372"/>
    </row>
    <row r="111" spans="1:7" x14ac:dyDescent="0.2">
      <c r="A111" s="364"/>
      <c r="B111" s="401"/>
      <c r="C111" s="371"/>
      <c r="D111" s="370"/>
      <c r="E111" s="407"/>
      <c r="F111" s="403"/>
      <c r="G111" s="372"/>
    </row>
    <row r="112" spans="1:7" x14ac:dyDescent="0.2">
      <c r="A112" s="364"/>
      <c r="B112" s="408"/>
      <c r="C112" s="371"/>
      <c r="D112" s="376"/>
      <c r="E112" s="409"/>
      <c r="F112" s="403"/>
      <c r="G112" s="372"/>
    </row>
    <row r="113" spans="1:7" x14ac:dyDescent="0.2">
      <c r="A113" s="364"/>
      <c r="B113" s="408"/>
      <c r="C113" s="371"/>
      <c r="D113" s="376"/>
      <c r="E113" s="409"/>
      <c r="F113" s="403"/>
      <c r="G113" s="372"/>
    </row>
    <row r="114" spans="1:7" x14ac:dyDescent="0.2">
      <c r="A114" s="364"/>
      <c r="B114" s="410"/>
      <c r="C114" s="385"/>
      <c r="D114" s="376"/>
      <c r="E114" s="407"/>
      <c r="F114" s="411"/>
      <c r="G114" s="372"/>
    </row>
    <row r="115" spans="1:7" x14ac:dyDescent="0.2">
      <c r="A115" s="364"/>
      <c r="B115" s="410"/>
      <c r="C115" s="385"/>
      <c r="D115" s="383"/>
      <c r="E115" s="407"/>
      <c r="F115" s="411"/>
      <c r="G115" s="372"/>
    </row>
    <row r="116" spans="1:7" x14ac:dyDescent="0.2">
      <c r="A116" s="364"/>
      <c r="B116" s="401"/>
      <c r="C116" s="371"/>
      <c r="D116" s="383"/>
      <c r="E116" s="412"/>
      <c r="F116" s="403"/>
      <c r="G116" s="372"/>
    </row>
    <row r="117" spans="1:7" x14ac:dyDescent="0.2">
      <c r="A117" s="364"/>
      <c r="B117" s="413"/>
      <c r="C117" s="371"/>
      <c r="D117" s="376"/>
      <c r="E117" s="414"/>
      <c r="F117" s="403"/>
      <c r="G117" s="372"/>
    </row>
    <row r="118" spans="1:7" x14ac:dyDescent="0.2">
      <c r="A118" s="364"/>
      <c r="B118" s="408"/>
      <c r="C118" s="371"/>
      <c r="D118" s="376"/>
      <c r="E118" s="407"/>
      <c r="F118" s="415"/>
      <c r="G118" s="372"/>
    </row>
    <row r="119" spans="1:7" x14ac:dyDescent="0.2">
      <c r="A119" s="364"/>
      <c r="B119" s="416"/>
      <c r="C119" s="371"/>
      <c r="D119" s="376"/>
      <c r="E119" s="417"/>
      <c r="F119" s="403"/>
      <c r="G119" s="372"/>
    </row>
    <row r="120" spans="1:7" x14ac:dyDescent="0.2">
      <c r="A120" s="364"/>
      <c r="B120" s="416"/>
      <c r="C120" s="371"/>
      <c r="D120" s="384"/>
      <c r="E120" s="417"/>
      <c r="F120" s="403"/>
      <c r="G120" s="372"/>
    </row>
    <row r="121" spans="1:7" x14ac:dyDescent="0.2">
      <c r="A121" s="364"/>
      <c r="B121" s="401"/>
      <c r="C121" s="371"/>
      <c r="D121" s="384"/>
      <c r="E121" s="407"/>
      <c r="F121" s="403"/>
      <c r="G121" s="372"/>
    </row>
    <row r="122" spans="1:7" x14ac:dyDescent="0.2">
      <c r="A122" s="364"/>
      <c r="B122" s="401"/>
      <c r="C122" s="371"/>
      <c r="D122" s="384"/>
      <c r="E122" s="417"/>
      <c r="F122" s="403"/>
      <c r="G122" s="372"/>
    </row>
    <row r="123" spans="1:7" x14ac:dyDescent="0.2">
      <c r="A123" s="364"/>
      <c r="B123" s="413"/>
      <c r="C123" s="371"/>
      <c r="D123" s="384"/>
      <c r="E123" s="414"/>
      <c r="F123" s="418"/>
      <c r="G123" s="372"/>
    </row>
    <row r="124" spans="1:7" x14ac:dyDescent="0.2">
      <c r="A124" s="364"/>
      <c r="B124" s="408"/>
      <c r="C124" s="371"/>
      <c r="D124" s="419"/>
      <c r="E124" s="414"/>
      <c r="F124" s="418"/>
      <c r="G124" s="372"/>
    </row>
    <row r="125" spans="1:7" x14ac:dyDescent="0.2">
      <c r="A125" s="364"/>
      <c r="B125" s="408"/>
      <c r="C125" s="371"/>
      <c r="D125" s="384"/>
      <c r="E125" s="414"/>
      <c r="F125" s="418"/>
      <c r="G125" s="372"/>
    </row>
    <row r="126" spans="1:7" x14ac:dyDescent="0.2">
      <c r="A126" s="364"/>
      <c r="B126" s="401"/>
      <c r="C126" s="371"/>
      <c r="D126" s="384"/>
      <c r="E126" s="414"/>
      <c r="F126" s="418"/>
      <c r="G126" s="372"/>
    </row>
    <row r="127" spans="1:7" x14ac:dyDescent="0.2">
      <c r="A127" s="364"/>
      <c r="B127" s="401"/>
      <c r="C127" s="371"/>
      <c r="D127" s="384"/>
      <c r="E127" s="414"/>
      <c r="F127" s="418"/>
      <c r="G127" s="372"/>
    </row>
    <row r="128" spans="1:7" x14ac:dyDescent="0.2">
      <c r="A128" s="364"/>
      <c r="B128" s="401"/>
      <c r="C128" s="371"/>
      <c r="D128" s="384"/>
      <c r="E128" s="414"/>
      <c r="F128" s="418"/>
      <c r="G128" s="372"/>
    </row>
    <row r="129" spans="1:7" x14ac:dyDescent="0.2">
      <c r="A129" s="364"/>
      <c r="B129" s="401"/>
      <c r="C129" s="371"/>
      <c r="D129" s="376"/>
      <c r="E129" s="414"/>
      <c r="F129" s="418"/>
      <c r="G129" s="372"/>
    </row>
    <row r="130" spans="1:7" x14ac:dyDescent="0.2">
      <c r="A130" s="364"/>
      <c r="B130" s="401"/>
      <c r="C130" s="371"/>
      <c r="D130" s="376"/>
      <c r="E130" s="414"/>
      <c r="F130" s="418"/>
      <c r="G130" s="372"/>
    </row>
    <row r="131" spans="1:7" x14ac:dyDescent="0.2">
      <c r="A131" s="364"/>
      <c r="B131" s="401"/>
      <c r="C131" s="371"/>
      <c r="D131" s="420"/>
      <c r="E131" s="414"/>
      <c r="F131" s="418"/>
      <c r="G131" s="372"/>
    </row>
    <row r="132" spans="1:7" x14ac:dyDescent="0.2">
      <c r="A132" s="364"/>
      <c r="B132" s="401"/>
      <c r="C132" s="371"/>
      <c r="D132" s="420"/>
      <c r="E132" s="414"/>
      <c r="F132" s="418"/>
      <c r="G132" s="372"/>
    </row>
    <row r="133" spans="1:7" x14ac:dyDescent="0.2">
      <c r="A133" s="364"/>
      <c r="B133" s="401"/>
      <c r="C133" s="371"/>
      <c r="D133" s="384"/>
      <c r="E133" s="414"/>
      <c r="F133" s="418"/>
      <c r="G133" s="372"/>
    </row>
    <row r="134" spans="1:7" x14ac:dyDescent="0.2">
      <c r="A134" s="364"/>
      <c r="B134" s="401"/>
      <c r="C134" s="371"/>
      <c r="D134" s="421"/>
      <c r="E134" s="414"/>
      <c r="F134" s="418"/>
      <c r="G134" s="372"/>
    </row>
    <row r="135" spans="1:7" x14ac:dyDescent="0.2">
      <c r="A135" s="364"/>
      <c r="B135" s="401"/>
      <c r="C135" s="371"/>
      <c r="D135" s="160"/>
      <c r="E135" s="407"/>
      <c r="F135" s="403"/>
      <c r="G135" s="372"/>
    </row>
    <row r="136" spans="1:7" x14ac:dyDescent="0.2">
      <c r="A136" s="364"/>
      <c r="B136" s="401"/>
      <c r="C136" s="371"/>
      <c r="D136" s="376"/>
      <c r="E136" s="417"/>
      <c r="F136" s="403"/>
      <c r="G136" s="372"/>
    </row>
    <row r="137" spans="1:7" x14ac:dyDescent="0.2">
      <c r="A137" s="364"/>
      <c r="B137" s="401"/>
      <c r="C137" s="371"/>
      <c r="D137" s="376"/>
      <c r="E137" s="409"/>
      <c r="F137" s="403"/>
      <c r="G137" s="372"/>
    </row>
    <row r="138" spans="1:7" x14ac:dyDescent="0.2">
      <c r="A138" s="364"/>
      <c r="B138" s="401"/>
      <c r="C138" s="422"/>
      <c r="D138" s="384"/>
      <c r="E138" s="423"/>
      <c r="F138" s="424"/>
      <c r="G138" s="372"/>
    </row>
    <row r="139" spans="1:7" x14ac:dyDescent="0.2">
      <c r="A139" s="364"/>
      <c r="B139" s="401"/>
      <c r="C139" s="371"/>
      <c r="D139" s="425"/>
      <c r="E139" s="407"/>
      <c r="F139" s="406"/>
      <c r="G139" s="372"/>
    </row>
    <row r="140" spans="1:7" x14ac:dyDescent="0.2">
      <c r="A140" s="364"/>
      <c r="B140" s="401"/>
      <c r="C140" s="371"/>
      <c r="D140" s="383"/>
      <c r="E140" s="407"/>
      <c r="F140" s="406"/>
      <c r="G140" s="372"/>
    </row>
    <row r="141" spans="1:7" ht="13.5" thickBot="1" x14ac:dyDescent="0.25">
      <c r="A141" s="426"/>
      <c r="B141" s="427"/>
      <c r="C141" s="428"/>
      <c r="D141" s="428"/>
      <c r="E141" s="427"/>
      <c r="F141" s="49" t="s">
        <v>15</v>
      </c>
      <c r="G141" s="50">
        <f>SUM(G108:G140)</f>
        <v>11250</v>
      </c>
    </row>
    <row r="142" spans="1:7" ht="13.5" thickTop="1" x14ac:dyDescent="0.2">
      <c r="A142" s="361" t="s">
        <v>1063</v>
      </c>
      <c r="B142" s="429"/>
      <c r="C142" s="386"/>
      <c r="D142" s="430"/>
      <c r="E142" s="429"/>
      <c r="F142" s="431"/>
      <c r="G142" s="397"/>
    </row>
    <row r="143" spans="1:7" ht="13.5" thickBot="1" x14ac:dyDescent="0.25">
      <c r="A143" s="378"/>
      <c r="B143" s="432"/>
      <c r="C143" s="432" t="s">
        <v>1071</v>
      </c>
      <c r="D143" s="379"/>
      <c r="E143" s="432"/>
      <c r="F143" s="380"/>
      <c r="G143" s="381"/>
    </row>
    <row r="144" spans="1:7" ht="13.5" thickTop="1" x14ac:dyDescent="0.2">
      <c r="A144" s="878"/>
      <c r="B144" s="879"/>
      <c r="C144" s="879"/>
      <c r="D144" s="433" t="s">
        <v>11</v>
      </c>
      <c r="E144" s="880" t="s">
        <v>12</v>
      </c>
      <c r="F144" s="880"/>
      <c r="G144" s="881"/>
    </row>
    <row r="145" spans="1:7" x14ac:dyDescent="0.2">
      <c r="A145" s="866" t="s">
        <v>17</v>
      </c>
      <c r="B145" s="867"/>
      <c r="C145" s="867"/>
      <c r="D145" s="434"/>
      <c r="E145" s="882"/>
      <c r="F145" s="883"/>
      <c r="G145" s="884"/>
    </row>
    <row r="146" spans="1:7" x14ac:dyDescent="0.2">
      <c r="A146" s="866" t="s">
        <v>38</v>
      </c>
      <c r="B146" s="867"/>
      <c r="C146" s="867"/>
      <c r="D146" s="58" t="s">
        <v>299</v>
      </c>
      <c r="E146" s="868" t="s">
        <v>69</v>
      </c>
      <c r="F146" s="868"/>
      <c r="G146" s="869"/>
    </row>
    <row r="147" spans="1:7" ht="13.5" thickBot="1" x14ac:dyDescent="0.25">
      <c r="A147" s="870" t="s">
        <v>39</v>
      </c>
      <c r="B147" s="871"/>
      <c r="C147" s="871"/>
      <c r="D147" s="375" t="s">
        <v>300</v>
      </c>
      <c r="E147" s="872" t="s">
        <v>33</v>
      </c>
      <c r="F147" s="873"/>
      <c r="G147" s="874"/>
    </row>
    <row r="148" spans="1:7" ht="16.5" x14ac:dyDescent="0.25">
      <c r="A148" s="885" t="s">
        <v>29</v>
      </c>
      <c r="B148" s="886"/>
      <c r="C148" s="886"/>
      <c r="D148" s="886"/>
      <c r="E148" s="886"/>
      <c r="F148" s="886"/>
      <c r="G148" s="887"/>
    </row>
    <row r="149" spans="1:7" x14ac:dyDescent="0.2">
      <c r="A149" s="888" t="s">
        <v>48</v>
      </c>
      <c r="B149" s="889"/>
      <c r="C149" s="889"/>
      <c r="D149" s="889"/>
      <c r="E149" s="889"/>
      <c r="F149" s="889"/>
      <c r="G149" s="890"/>
    </row>
    <row r="150" spans="1:7" x14ac:dyDescent="0.2">
      <c r="A150" s="891" t="s">
        <v>49</v>
      </c>
      <c r="B150" s="892"/>
      <c r="C150" s="892"/>
      <c r="D150" s="892"/>
      <c r="E150" s="892"/>
      <c r="F150" s="892"/>
      <c r="G150" s="893"/>
    </row>
    <row r="151" spans="1:7" x14ac:dyDescent="0.2">
      <c r="A151" s="387"/>
      <c r="B151" s="388"/>
      <c r="C151" s="389"/>
      <c r="D151" s="390"/>
      <c r="E151" s="388"/>
      <c r="F151" s="391"/>
      <c r="G151" s="392" t="s">
        <v>20</v>
      </c>
    </row>
    <row r="152" spans="1:7" x14ac:dyDescent="0.2">
      <c r="A152" s="393" t="s">
        <v>1</v>
      </c>
      <c r="B152" s="394"/>
      <c r="C152" s="14" t="s">
        <v>32</v>
      </c>
      <c r="D152" s="394"/>
      <c r="E152" s="362" t="s">
        <v>1135</v>
      </c>
      <c r="F152" s="395"/>
      <c r="G152" s="363" t="s">
        <v>1100</v>
      </c>
    </row>
    <row r="153" spans="1:7" x14ac:dyDescent="0.2">
      <c r="A153" s="361" t="s">
        <v>8</v>
      </c>
      <c r="B153" s="396"/>
      <c r="C153" s="19"/>
      <c r="D153" s="386"/>
      <c r="E153" s="894"/>
      <c r="F153" s="895"/>
      <c r="G153" s="397"/>
    </row>
    <row r="154" spans="1:7" x14ac:dyDescent="0.2">
      <c r="A154" s="373" t="s">
        <v>37</v>
      </c>
      <c r="B154" s="377"/>
      <c r="C154" s="377"/>
      <c r="D154" s="377"/>
      <c r="E154" s="398" t="s">
        <v>46</v>
      </c>
      <c r="F154" s="399"/>
      <c r="G154" s="397" t="s">
        <v>50</v>
      </c>
    </row>
    <row r="155" spans="1:7" x14ac:dyDescent="0.2">
      <c r="A155" s="387"/>
      <c r="B155" s="388"/>
      <c r="C155" s="389"/>
      <c r="D155" s="389"/>
      <c r="E155" s="896"/>
      <c r="F155" s="897"/>
      <c r="G155" s="400"/>
    </row>
    <row r="156" spans="1:7" ht="26.25" thickBot="1" x14ac:dyDescent="0.25">
      <c r="A156" s="26" t="s">
        <v>47</v>
      </c>
      <c r="B156" s="26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364">
        <v>1</v>
      </c>
      <c r="B157" s="401"/>
      <c r="C157" s="371" t="s">
        <v>242</v>
      </c>
      <c r="D157" s="376" t="s">
        <v>1061</v>
      </c>
      <c r="E157" s="402">
        <v>25</v>
      </c>
      <c r="F157" s="403">
        <v>450</v>
      </c>
      <c r="G157" s="372">
        <f>F157*E157</f>
        <v>11250</v>
      </c>
    </row>
    <row r="158" spans="1:7" x14ac:dyDescent="0.2">
      <c r="A158" s="364"/>
      <c r="B158" s="401"/>
      <c r="C158" s="371"/>
      <c r="D158" s="370" t="s">
        <v>1062</v>
      </c>
      <c r="E158" s="404"/>
      <c r="F158" s="403"/>
      <c r="G158" s="372"/>
    </row>
    <row r="159" spans="1:7" x14ac:dyDescent="0.2">
      <c r="A159" s="364"/>
      <c r="B159" s="401"/>
      <c r="C159" s="371"/>
      <c r="D159" s="370"/>
      <c r="E159" s="405"/>
      <c r="F159" s="406"/>
      <c r="G159" s="372"/>
    </row>
    <row r="160" spans="1:7" x14ac:dyDescent="0.2">
      <c r="A160" s="364"/>
      <c r="B160" s="401"/>
      <c r="C160" s="371"/>
      <c r="D160" s="370"/>
      <c r="E160" s="407"/>
      <c r="F160" s="403"/>
      <c r="G160" s="372"/>
    </row>
    <row r="161" spans="1:7" x14ac:dyDescent="0.2">
      <c r="A161" s="364"/>
      <c r="B161" s="408"/>
      <c r="C161" s="371"/>
      <c r="D161" s="376"/>
      <c r="E161" s="409"/>
      <c r="F161" s="403"/>
      <c r="G161" s="372"/>
    </row>
    <row r="162" spans="1:7" x14ac:dyDescent="0.2">
      <c r="A162" s="364"/>
      <c r="B162" s="408"/>
      <c r="C162" s="371"/>
      <c r="D162" s="376"/>
      <c r="E162" s="409"/>
      <c r="F162" s="403"/>
      <c r="G162" s="372"/>
    </row>
    <row r="163" spans="1:7" x14ac:dyDescent="0.2">
      <c r="A163" s="364"/>
      <c r="B163" s="410"/>
      <c r="C163" s="385"/>
      <c r="D163" s="376"/>
      <c r="E163" s="407"/>
      <c r="F163" s="411"/>
      <c r="G163" s="372"/>
    </row>
    <row r="164" spans="1:7" x14ac:dyDescent="0.2">
      <c r="A164" s="364"/>
      <c r="B164" s="410"/>
      <c r="C164" s="385"/>
      <c r="D164" s="383"/>
      <c r="E164" s="407"/>
      <c r="F164" s="411"/>
      <c r="G164" s="372"/>
    </row>
    <row r="165" spans="1:7" x14ac:dyDescent="0.2">
      <c r="A165" s="364"/>
      <c r="B165" s="401"/>
      <c r="C165" s="371"/>
      <c r="D165" s="383"/>
      <c r="E165" s="412"/>
      <c r="F165" s="403"/>
      <c r="G165" s="372"/>
    </row>
    <row r="166" spans="1:7" x14ac:dyDescent="0.2">
      <c r="A166" s="364"/>
      <c r="B166" s="413"/>
      <c r="C166" s="371"/>
      <c r="D166" s="376"/>
      <c r="E166" s="414"/>
      <c r="F166" s="403"/>
      <c r="G166" s="372"/>
    </row>
    <row r="167" spans="1:7" x14ac:dyDescent="0.2">
      <c r="A167" s="364"/>
      <c r="B167" s="408"/>
      <c r="C167" s="371"/>
      <c r="D167" s="376"/>
      <c r="E167" s="407"/>
      <c r="F167" s="415"/>
      <c r="G167" s="372"/>
    </row>
    <row r="168" spans="1:7" x14ac:dyDescent="0.2">
      <c r="A168" s="364"/>
      <c r="B168" s="416"/>
      <c r="C168" s="371"/>
      <c r="D168" s="376"/>
      <c r="E168" s="417"/>
      <c r="F168" s="403"/>
      <c r="G168" s="372"/>
    </row>
    <row r="169" spans="1:7" x14ac:dyDescent="0.2">
      <c r="A169" s="364"/>
      <c r="B169" s="416"/>
      <c r="C169" s="371"/>
      <c r="D169" s="384"/>
      <c r="E169" s="417"/>
      <c r="F169" s="403"/>
      <c r="G169" s="372"/>
    </row>
    <row r="170" spans="1:7" x14ac:dyDescent="0.2">
      <c r="A170" s="364"/>
      <c r="B170" s="401"/>
      <c r="C170" s="371"/>
      <c r="D170" s="384"/>
      <c r="E170" s="407"/>
      <c r="F170" s="403"/>
      <c r="G170" s="372"/>
    </row>
    <row r="171" spans="1:7" x14ac:dyDescent="0.2">
      <c r="A171" s="364"/>
      <c r="B171" s="401"/>
      <c r="C171" s="371"/>
      <c r="D171" s="384"/>
      <c r="E171" s="417"/>
      <c r="F171" s="403"/>
      <c r="G171" s="372"/>
    </row>
    <row r="172" spans="1:7" x14ac:dyDescent="0.2">
      <c r="A172" s="364"/>
      <c r="B172" s="413"/>
      <c r="C172" s="371"/>
      <c r="D172" s="384"/>
      <c r="E172" s="414"/>
      <c r="F172" s="418"/>
      <c r="G172" s="372"/>
    </row>
    <row r="173" spans="1:7" x14ac:dyDescent="0.2">
      <c r="A173" s="364"/>
      <c r="B173" s="408"/>
      <c r="C173" s="371"/>
      <c r="D173" s="419"/>
      <c r="E173" s="414"/>
      <c r="F173" s="418"/>
      <c r="G173" s="372"/>
    </row>
    <row r="174" spans="1:7" x14ac:dyDescent="0.2">
      <c r="A174" s="364"/>
      <c r="B174" s="408"/>
      <c r="C174" s="371"/>
      <c r="D174" s="384"/>
      <c r="E174" s="414"/>
      <c r="F174" s="418"/>
      <c r="G174" s="372"/>
    </row>
    <row r="175" spans="1:7" x14ac:dyDescent="0.2">
      <c r="A175" s="364"/>
      <c r="B175" s="401"/>
      <c r="C175" s="371"/>
      <c r="D175" s="384"/>
      <c r="E175" s="414"/>
      <c r="F175" s="418"/>
      <c r="G175" s="372"/>
    </row>
    <row r="176" spans="1:7" x14ac:dyDescent="0.2">
      <c r="A176" s="364"/>
      <c r="B176" s="401"/>
      <c r="C176" s="371"/>
      <c r="D176" s="384"/>
      <c r="E176" s="414"/>
      <c r="F176" s="418"/>
      <c r="G176" s="372"/>
    </row>
    <row r="177" spans="1:7" x14ac:dyDescent="0.2">
      <c r="A177" s="364"/>
      <c r="B177" s="401"/>
      <c r="C177" s="371"/>
      <c r="D177" s="384"/>
      <c r="E177" s="414"/>
      <c r="F177" s="418"/>
      <c r="G177" s="372"/>
    </row>
    <row r="178" spans="1:7" x14ac:dyDescent="0.2">
      <c r="A178" s="364"/>
      <c r="B178" s="401"/>
      <c r="C178" s="371"/>
      <c r="D178" s="376"/>
      <c r="E178" s="414"/>
      <c r="F178" s="418"/>
      <c r="G178" s="372"/>
    </row>
    <row r="179" spans="1:7" x14ac:dyDescent="0.2">
      <c r="A179" s="364"/>
      <c r="B179" s="401"/>
      <c r="C179" s="371"/>
      <c r="D179" s="376"/>
      <c r="E179" s="414"/>
      <c r="F179" s="418"/>
      <c r="G179" s="372"/>
    </row>
    <row r="180" spans="1:7" x14ac:dyDescent="0.2">
      <c r="A180" s="364"/>
      <c r="B180" s="401"/>
      <c r="C180" s="371"/>
      <c r="D180" s="420"/>
      <c r="E180" s="414"/>
      <c r="F180" s="418"/>
      <c r="G180" s="372"/>
    </row>
    <row r="181" spans="1:7" x14ac:dyDescent="0.2">
      <c r="A181" s="364"/>
      <c r="B181" s="401"/>
      <c r="C181" s="371"/>
      <c r="D181" s="384"/>
      <c r="E181" s="414"/>
      <c r="F181" s="418"/>
      <c r="G181" s="372"/>
    </row>
    <row r="182" spans="1:7" x14ac:dyDescent="0.2">
      <c r="A182" s="364"/>
      <c r="B182" s="401"/>
      <c r="C182" s="371"/>
      <c r="D182" s="384"/>
      <c r="E182" s="414"/>
      <c r="F182" s="418"/>
      <c r="G182" s="372"/>
    </row>
    <row r="183" spans="1:7" x14ac:dyDescent="0.2">
      <c r="A183" s="364"/>
      <c r="B183" s="401"/>
      <c r="C183" s="371"/>
      <c r="D183" s="384"/>
      <c r="E183" s="414"/>
      <c r="F183" s="418"/>
      <c r="G183" s="372"/>
    </row>
    <row r="184" spans="1:7" x14ac:dyDescent="0.2">
      <c r="A184" s="364"/>
      <c r="B184" s="401"/>
      <c r="C184" s="371"/>
      <c r="D184" s="421"/>
      <c r="E184" s="414"/>
      <c r="F184" s="418"/>
      <c r="G184" s="372"/>
    </row>
    <row r="185" spans="1:7" x14ac:dyDescent="0.2">
      <c r="A185" s="364"/>
      <c r="B185" s="401"/>
      <c r="C185" s="371"/>
      <c r="D185" s="160"/>
      <c r="E185" s="407"/>
      <c r="F185" s="403"/>
      <c r="G185" s="372"/>
    </row>
    <row r="186" spans="1:7" x14ac:dyDescent="0.2">
      <c r="A186" s="364"/>
      <c r="B186" s="401"/>
      <c r="C186" s="371"/>
      <c r="D186" s="376"/>
      <c r="E186" s="417"/>
      <c r="F186" s="403"/>
      <c r="G186" s="372"/>
    </row>
    <row r="187" spans="1:7" x14ac:dyDescent="0.2">
      <c r="A187" s="364"/>
      <c r="B187" s="401"/>
      <c r="C187" s="371"/>
      <c r="D187" s="376"/>
      <c r="E187" s="409"/>
      <c r="F187" s="403"/>
      <c r="G187" s="372"/>
    </row>
    <row r="188" spans="1:7" x14ac:dyDescent="0.2">
      <c r="A188" s="364"/>
      <c r="B188" s="401"/>
      <c r="C188" s="422"/>
      <c r="D188" s="384"/>
      <c r="E188" s="423"/>
      <c r="F188" s="424"/>
      <c r="G188" s="372"/>
    </row>
    <row r="189" spans="1:7" x14ac:dyDescent="0.2">
      <c r="A189" s="364"/>
      <c r="B189" s="401"/>
      <c r="C189" s="371"/>
      <c r="D189" s="425"/>
      <c r="E189" s="407"/>
      <c r="F189" s="406"/>
      <c r="G189" s="372"/>
    </row>
    <row r="190" spans="1:7" x14ac:dyDescent="0.2">
      <c r="A190" s="364"/>
      <c r="B190" s="401"/>
      <c r="C190" s="371"/>
      <c r="D190" s="383"/>
      <c r="E190" s="407"/>
      <c r="F190" s="406"/>
      <c r="G190" s="372"/>
    </row>
    <row r="191" spans="1:7" ht="13.5" thickBot="1" x14ac:dyDescent="0.25">
      <c r="A191" s="426"/>
      <c r="B191" s="427"/>
      <c r="C191" s="428"/>
      <c r="D191" s="428"/>
      <c r="E191" s="427"/>
      <c r="F191" s="49" t="s">
        <v>15</v>
      </c>
      <c r="G191" s="50">
        <f>SUM(G157:G190)</f>
        <v>11250</v>
      </c>
    </row>
    <row r="192" spans="1:7" ht="13.5" thickTop="1" x14ac:dyDescent="0.2">
      <c r="A192" s="361" t="s">
        <v>1063</v>
      </c>
      <c r="B192" s="429"/>
      <c r="C192" s="386"/>
      <c r="D192" s="430"/>
      <c r="E192" s="429"/>
      <c r="F192" s="431"/>
      <c r="G192" s="397"/>
    </row>
    <row r="193" spans="1:7" ht="13.5" thickBot="1" x14ac:dyDescent="0.25">
      <c r="A193" s="378"/>
      <c r="B193" s="432"/>
      <c r="C193" s="432" t="s">
        <v>1070</v>
      </c>
      <c r="D193" s="379"/>
      <c r="E193" s="432"/>
      <c r="F193" s="380"/>
      <c r="G193" s="381"/>
    </row>
    <row r="194" spans="1:7" ht="13.5" thickTop="1" x14ac:dyDescent="0.2">
      <c r="A194" s="878"/>
      <c r="B194" s="879"/>
      <c r="C194" s="879"/>
      <c r="D194" s="433" t="s">
        <v>11</v>
      </c>
      <c r="E194" s="880" t="s">
        <v>12</v>
      </c>
      <c r="F194" s="880"/>
      <c r="G194" s="881"/>
    </row>
    <row r="195" spans="1:7" x14ac:dyDescent="0.2">
      <c r="A195" s="866" t="s">
        <v>17</v>
      </c>
      <c r="B195" s="867"/>
      <c r="C195" s="867"/>
      <c r="D195" s="434"/>
      <c r="E195" s="882"/>
      <c r="F195" s="883"/>
      <c r="G195" s="884"/>
    </row>
    <row r="196" spans="1:7" x14ac:dyDescent="0.2">
      <c r="A196" s="866" t="s">
        <v>38</v>
      </c>
      <c r="B196" s="867"/>
      <c r="C196" s="867"/>
      <c r="D196" s="58" t="s">
        <v>299</v>
      </c>
      <c r="E196" s="868" t="s">
        <v>69</v>
      </c>
      <c r="F196" s="868"/>
      <c r="G196" s="869"/>
    </row>
    <row r="197" spans="1:7" ht="13.5" thickBot="1" x14ac:dyDescent="0.25">
      <c r="A197" s="870" t="s">
        <v>39</v>
      </c>
      <c r="B197" s="871"/>
      <c r="C197" s="871"/>
      <c r="D197" s="375" t="s">
        <v>300</v>
      </c>
      <c r="E197" s="872" t="s">
        <v>33</v>
      </c>
      <c r="F197" s="873"/>
      <c r="G197" s="874"/>
    </row>
    <row r="198" spans="1:7" ht="16.5" x14ac:dyDescent="0.25">
      <c r="A198" s="885" t="s">
        <v>29</v>
      </c>
      <c r="B198" s="886"/>
      <c r="C198" s="886"/>
      <c r="D198" s="886"/>
      <c r="E198" s="886"/>
      <c r="F198" s="886"/>
      <c r="G198" s="887"/>
    </row>
    <row r="199" spans="1:7" x14ac:dyDescent="0.2">
      <c r="A199" s="888" t="s">
        <v>48</v>
      </c>
      <c r="B199" s="889"/>
      <c r="C199" s="889"/>
      <c r="D199" s="889"/>
      <c r="E199" s="889"/>
      <c r="F199" s="889"/>
      <c r="G199" s="890"/>
    </row>
    <row r="200" spans="1:7" x14ac:dyDescent="0.2">
      <c r="A200" s="891" t="s">
        <v>49</v>
      </c>
      <c r="B200" s="892"/>
      <c r="C200" s="892"/>
      <c r="D200" s="892"/>
      <c r="E200" s="892"/>
      <c r="F200" s="892"/>
      <c r="G200" s="893"/>
    </row>
    <row r="201" spans="1:7" x14ac:dyDescent="0.2">
      <c r="A201" s="387"/>
      <c r="B201" s="388"/>
      <c r="C201" s="389"/>
      <c r="D201" s="390"/>
      <c r="E201" s="388"/>
      <c r="F201" s="391"/>
      <c r="G201" s="392" t="s">
        <v>20</v>
      </c>
    </row>
    <row r="202" spans="1:7" x14ac:dyDescent="0.2">
      <c r="A202" s="393" t="s">
        <v>1</v>
      </c>
      <c r="B202" s="394"/>
      <c r="C202" s="14" t="s">
        <v>32</v>
      </c>
      <c r="D202" s="394"/>
      <c r="E202" s="362" t="s">
        <v>2335</v>
      </c>
      <c r="F202" s="395"/>
      <c r="G202" s="363" t="s">
        <v>2322</v>
      </c>
    </row>
    <row r="203" spans="1:7" x14ac:dyDescent="0.2">
      <c r="A203" s="361" t="s">
        <v>8</v>
      </c>
      <c r="B203" s="396"/>
      <c r="C203" s="19"/>
      <c r="D203" s="386"/>
      <c r="E203" s="894"/>
      <c r="F203" s="895"/>
      <c r="G203" s="397"/>
    </row>
    <row r="204" spans="1:7" x14ac:dyDescent="0.2">
      <c r="A204" s="373" t="s">
        <v>37</v>
      </c>
      <c r="B204" s="377"/>
      <c r="C204" s="377"/>
      <c r="D204" s="377"/>
      <c r="E204" s="398" t="s">
        <v>46</v>
      </c>
      <c r="F204" s="399"/>
      <c r="G204" s="397" t="s">
        <v>50</v>
      </c>
    </row>
    <row r="205" spans="1:7" x14ac:dyDescent="0.2">
      <c r="A205" s="387"/>
      <c r="B205" s="388"/>
      <c r="C205" s="389"/>
      <c r="D205" s="389"/>
      <c r="E205" s="896"/>
      <c r="F205" s="897"/>
      <c r="G205" s="400"/>
    </row>
    <row r="206" spans="1:7" ht="26.25" thickBot="1" x14ac:dyDescent="0.25">
      <c r="A206" s="26" t="s">
        <v>47</v>
      </c>
      <c r="B206" s="26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7" ht="13.5" thickTop="1" x14ac:dyDescent="0.2">
      <c r="A207" s="364">
        <v>1</v>
      </c>
      <c r="B207" s="401"/>
      <c r="C207" s="371" t="s">
        <v>242</v>
      </c>
      <c r="D207" s="376" t="s">
        <v>1061</v>
      </c>
      <c r="E207" s="402">
        <v>25</v>
      </c>
      <c r="F207" s="403">
        <v>450</v>
      </c>
      <c r="G207" s="372">
        <f>F207*E207</f>
        <v>11250</v>
      </c>
    </row>
    <row r="208" spans="1:7" x14ac:dyDescent="0.2">
      <c r="A208" s="364"/>
      <c r="B208" s="401"/>
      <c r="C208" s="371"/>
      <c r="D208" s="370" t="s">
        <v>1062</v>
      </c>
      <c r="E208" s="404"/>
      <c r="F208" s="403"/>
      <c r="G208" s="372"/>
    </row>
    <row r="209" spans="1:7" x14ac:dyDescent="0.2">
      <c r="A209" s="364"/>
      <c r="B209" s="401"/>
      <c r="C209" s="371"/>
      <c r="D209" s="370"/>
      <c r="E209" s="405"/>
      <c r="F209" s="406"/>
      <c r="G209" s="372"/>
    </row>
    <row r="210" spans="1:7" x14ac:dyDescent="0.2">
      <c r="A210" s="364"/>
      <c r="B210" s="401"/>
      <c r="C210" s="371"/>
      <c r="D210" s="370"/>
      <c r="E210" s="407"/>
      <c r="F210" s="403"/>
      <c r="G210" s="372"/>
    </row>
    <row r="211" spans="1:7" x14ac:dyDescent="0.2">
      <c r="A211" s="364"/>
      <c r="B211" s="408"/>
      <c r="C211" s="371"/>
      <c r="D211" s="376"/>
      <c r="E211" s="409"/>
      <c r="F211" s="403"/>
      <c r="G211" s="372"/>
    </row>
    <row r="212" spans="1:7" x14ac:dyDescent="0.2">
      <c r="A212" s="364"/>
      <c r="B212" s="408"/>
      <c r="C212" s="371"/>
      <c r="D212" s="376"/>
      <c r="E212" s="409"/>
      <c r="F212" s="403"/>
      <c r="G212" s="372"/>
    </row>
    <row r="213" spans="1:7" x14ac:dyDescent="0.2">
      <c r="A213" s="364"/>
      <c r="B213" s="410"/>
      <c r="C213" s="385"/>
      <c r="D213" s="376"/>
      <c r="E213" s="407"/>
      <c r="F213" s="411"/>
      <c r="G213" s="372"/>
    </row>
    <row r="214" spans="1:7" x14ac:dyDescent="0.2">
      <c r="A214" s="364"/>
      <c r="B214" s="410"/>
      <c r="C214" s="385"/>
      <c r="D214" s="383"/>
      <c r="E214" s="407"/>
      <c r="F214" s="411"/>
      <c r="G214" s="372"/>
    </row>
    <row r="215" spans="1:7" x14ac:dyDescent="0.2">
      <c r="A215" s="364"/>
      <c r="B215" s="401"/>
      <c r="C215" s="371"/>
      <c r="D215" s="383"/>
      <c r="E215" s="412"/>
      <c r="F215" s="403"/>
      <c r="G215" s="372"/>
    </row>
    <row r="216" spans="1:7" x14ac:dyDescent="0.2">
      <c r="A216" s="364"/>
      <c r="B216" s="413"/>
      <c r="C216" s="371"/>
      <c r="D216" s="376"/>
      <c r="E216" s="414"/>
      <c r="F216" s="403"/>
      <c r="G216" s="372"/>
    </row>
    <row r="217" spans="1:7" x14ac:dyDescent="0.2">
      <c r="A217" s="364"/>
      <c r="B217" s="408"/>
      <c r="C217" s="371"/>
      <c r="D217" s="376"/>
      <c r="E217" s="407"/>
      <c r="F217" s="415"/>
      <c r="G217" s="372"/>
    </row>
    <row r="218" spans="1:7" x14ac:dyDescent="0.2">
      <c r="A218" s="364"/>
      <c r="B218" s="416"/>
      <c r="C218" s="371"/>
      <c r="D218" s="376"/>
      <c r="E218" s="417"/>
      <c r="F218" s="403"/>
      <c r="G218" s="372"/>
    </row>
    <row r="219" spans="1:7" x14ac:dyDescent="0.2">
      <c r="A219" s="364"/>
      <c r="B219" s="416"/>
      <c r="C219" s="371"/>
      <c r="D219" s="384"/>
      <c r="E219" s="417"/>
      <c r="F219" s="403"/>
      <c r="G219" s="372"/>
    </row>
    <row r="220" spans="1:7" x14ac:dyDescent="0.2">
      <c r="A220" s="364"/>
      <c r="B220" s="401"/>
      <c r="C220" s="371"/>
      <c r="D220" s="384"/>
      <c r="E220" s="407"/>
      <c r="F220" s="403"/>
      <c r="G220" s="372"/>
    </row>
    <row r="221" spans="1:7" x14ac:dyDescent="0.2">
      <c r="A221" s="364"/>
      <c r="B221" s="401"/>
      <c r="C221" s="371"/>
      <c r="D221" s="384"/>
      <c r="E221" s="417"/>
      <c r="F221" s="403"/>
      <c r="G221" s="372"/>
    </row>
    <row r="222" spans="1:7" x14ac:dyDescent="0.2">
      <c r="A222" s="364"/>
      <c r="B222" s="413"/>
      <c r="C222" s="371"/>
      <c r="D222" s="384"/>
      <c r="E222" s="414"/>
      <c r="F222" s="418"/>
      <c r="G222" s="372"/>
    </row>
    <row r="223" spans="1:7" x14ac:dyDescent="0.2">
      <c r="A223" s="364"/>
      <c r="B223" s="408"/>
      <c r="C223" s="371"/>
      <c r="D223" s="419"/>
      <c r="E223" s="414"/>
      <c r="F223" s="418"/>
      <c r="G223" s="372"/>
    </row>
    <row r="224" spans="1:7" x14ac:dyDescent="0.2">
      <c r="A224" s="364"/>
      <c r="B224" s="408"/>
      <c r="C224" s="371"/>
      <c r="D224" s="384"/>
      <c r="E224" s="414"/>
      <c r="F224" s="418"/>
      <c r="G224" s="372"/>
    </row>
    <row r="225" spans="1:7" x14ac:dyDescent="0.2">
      <c r="A225" s="364"/>
      <c r="B225" s="401"/>
      <c r="C225" s="371"/>
      <c r="D225" s="384"/>
      <c r="E225" s="414"/>
      <c r="F225" s="418"/>
      <c r="G225" s="372"/>
    </row>
    <row r="226" spans="1:7" x14ac:dyDescent="0.2">
      <c r="A226" s="364"/>
      <c r="B226" s="401"/>
      <c r="C226" s="371"/>
      <c r="D226" s="384"/>
      <c r="E226" s="414"/>
      <c r="F226" s="418"/>
      <c r="G226" s="372"/>
    </row>
    <row r="227" spans="1:7" x14ac:dyDescent="0.2">
      <c r="A227" s="364"/>
      <c r="B227" s="401"/>
      <c r="C227" s="371"/>
      <c r="D227" s="384"/>
      <c r="E227" s="414"/>
      <c r="F227" s="418"/>
      <c r="G227" s="372"/>
    </row>
    <row r="228" spans="1:7" x14ac:dyDescent="0.2">
      <c r="A228" s="364"/>
      <c r="B228" s="401"/>
      <c r="C228" s="371"/>
      <c r="D228" s="376"/>
      <c r="E228" s="414"/>
      <c r="F228" s="418"/>
      <c r="G228" s="372"/>
    </row>
    <row r="229" spans="1:7" x14ac:dyDescent="0.2">
      <c r="A229" s="364"/>
      <c r="B229" s="401"/>
      <c r="C229" s="371"/>
      <c r="D229" s="376"/>
      <c r="E229" s="414"/>
      <c r="F229" s="418"/>
      <c r="G229" s="372"/>
    </row>
    <row r="230" spans="1:7" x14ac:dyDescent="0.2">
      <c r="A230" s="364"/>
      <c r="B230" s="401"/>
      <c r="C230" s="371"/>
      <c r="D230" s="420"/>
      <c r="E230" s="414"/>
      <c r="F230" s="418"/>
      <c r="G230" s="372"/>
    </row>
    <row r="231" spans="1:7" x14ac:dyDescent="0.2">
      <c r="A231" s="364"/>
      <c r="B231" s="401"/>
      <c r="C231" s="371"/>
      <c r="D231" s="384"/>
      <c r="E231" s="414"/>
      <c r="F231" s="418"/>
      <c r="G231" s="372"/>
    </row>
    <row r="232" spans="1:7" x14ac:dyDescent="0.2">
      <c r="A232" s="364"/>
      <c r="B232" s="401"/>
      <c r="C232" s="371"/>
      <c r="D232" s="384"/>
      <c r="E232" s="414"/>
      <c r="F232" s="418"/>
      <c r="G232" s="372"/>
    </row>
    <row r="233" spans="1:7" x14ac:dyDescent="0.2">
      <c r="A233" s="364"/>
      <c r="B233" s="401"/>
      <c r="C233" s="371"/>
      <c r="D233" s="384"/>
      <c r="E233" s="414"/>
      <c r="F233" s="418"/>
      <c r="G233" s="372"/>
    </row>
    <row r="234" spans="1:7" x14ac:dyDescent="0.2">
      <c r="A234" s="364"/>
      <c r="B234" s="401"/>
      <c r="C234" s="371"/>
      <c r="D234" s="421"/>
      <c r="E234" s="414"/>
      <c r="F234" s="418"/>
      <c r="G234" s="372"/>
    </row>
    <row r="235" spans="1:7" x14ac:dyDescent="0.2">
      <c r="A235" s="364"/>
      <c r="B235" s="401"/>
      <c r="C235" s="371"/>
      <c r="D235" s="160"/>
      <c r="E235" s="407"/>
      <c r="F235" s="403"/>
      <c r="G235" s="372"/>
    </row>
    <row r="236" spans="1:7" x14ac:dyDescent="0.2">
      <c r="A236" s="364"/>
      <c r="B236" s="401"/>
      <c r="C236" s="371"/>
      <c r="D236" s="376"/>
      <c r="E236" s="417"/>
      <c r="F236" s="403"/>
      <c r="G236" s="372"/>
    </row>
    <row r="237" spans="1:7" x14ac:dyDescent="0.2">
      <c r="A237" s="364"/>
      <c r="B237" s="401"/>
      <c r="C237" s="371"/>
      <c r="D237" s="376"/>
      <c r="E237" s="409"/>
      <c r="F237" s="403"/>
      <c r="G237" s="372"/>
    </row>
    <row r="238" spans="1:7" x14ac:dyDescent="0.2">
      <c r="A238" s="364"/>
      <c r="B238" s="401"/>
      <c r="C238" s="422"/>
      <c r="D238" s="384"/>
      <c r="E238" s="423"/>
      <c r="F238" s="424"/>
      <c r="G238" s="372"/>
    </row>
    <row r="239" spans="1:7" x14ac:dyDescent="0.2">
      <c r="A239" s="364"/>
      <c r="B239" s="401"/>
      <c r="C239" s="371"/>
      <c r="D239" s="425"/>
      <c r="E239" s="407"/>
      <c r="F239" s="406"/>
      <c r="G239" s="372"/>
    </row>
    <row r="240" spans="1:7" x14ac:dyDescent="0.2">
      <c r="A240" s="364"/>
      <c r="B240" s="401"/>
      <c r="C240" s="371"/>
      <c r="D240" s="383"/>
      <c r="E240" s="407"/>
      <c r="F240" s="406"/>
      <c r="G240" s="372"/>
    </row>
    <row r="241" spans="1:7" ht="13.5" thickBot="1" x14ac:dyDescent="0.25">
      <c r="A241" s="426"/>
      <c r="B241" s="427"/>
      <c r="C241" s="428"/>
      <c r="D241" s="428"/>
      <c r="E241" s="427"/>
      <c r="F241" s="49" t="s">
        <v>15</v>
      </c>
      <c r="G241" s="50">
        <f>SUM(G207:G240)</f>
        <v>11250</v>
      </c>
    </row>
    <row r="242" spans="1:7" ht="13.5" thickTop="1" x14ac:dyDescent="0.2">
      <c r="A242" s="361" t="s">
        <v>1063</v>
      </c>
      <c r="B242" s="429"/>
      <c r="C242" s="386"/>
      <c r="D242" s="430"/>
      <c r="E242" s="429"/>
      <c r="F242" s="431"/>
      <c r="G242" s="397"/>
    </row>
    <row r="243" spans="1:7" ht="13.5" thickBot="1" x14ac:dyDescent="0.25">
      <c r="A243" s="378"/>
      <c r="B243" s="432"/>
      <c r="C243" s="432" t="s">
        <v>2323</v>
      </c>
      <c r="D243" s="379"/>
      <c r="E243" s="432"/>
      <c r="F243" s="380"/>
      <c r="G243" s="381"/>
    </row>
    <row r="244" spans="1:7" ht="13.5" thickTop="1" x14ac:dyDescent="0.2">
      <c r="A244" s="878"/>
      <c r="B244" s="879"/>
      <c r="C244" s="879"/>
      <c r="D244" s="433" t="s">
        <v>11</v>
      </c>
      <c r="E244" s="880" t="s">
        <v>12</v>
      </c>
      <c r="F244" s="880"/>
      <c r="G244" s="881"/>
    </row>
    <row r="245" spans="1:7" x14ac:dyDescent="0.2">
      <c r="A245" s="866" t="s">
        <v>17</v>
      </c>
      <c r="B245" s="867"/>
      <c r="C245" s="867"/>
      <c r="D245" s="434"/>
      <c r="E245" s="882"/>
      <c r="F245" s="883"/>
      <c r="G245" s="884"/>
    </row>
    <row r="246" spans="1:7" x14ac:dyDescent="0.2">
      <c r="A246" s="866" t="s">
        <v>38</v>
      </c>
      <c r="B246" s="867"/>
      <c r="C246" s="867"/>
      <c r="D246" s="58" t="s">
        <v>299</v>
      </c>
      <c r="E246" s="868" t="s">
        <v>69</v>
      </c>
      <c r="F246" s="868"/>
      <c r="G246" s="869"/>
    </row>
    <row r="247" spans="1:7" ht="13.5" thickBot="1" x14ac:dyDescent="0.25">
      <c r="A247" s="870" t="s">
        <v>39</v>
      </c>
      <c r="B247" s="871"/>
      <c r="C247" s="871"/>
      <c r="D247" s="375" t="s">
        <v>300</v>
      </c>
      <c r="E247" s="872" t="s">
        <v>33</v>
      </c>
      <c r="F247" s="873"/>
      <c r="G247" s="874"/>
    </row>
    <row r="248" spans="1:7" ht="16.5" x14ac:dyDescent="0.25">
      <c r="A248" s="885" t="s">
        <v>29</v>
      </c>
      <c r="B248" s="886"/>
      <c r="C248" s="886"/>
      <c r="D248" s="886"/>
      <c r="E248" s="886"/>
      <c r="F248" s="886"/>
      <c r="G248" s="887"/>
    </row>
    <row r="249" spans="1:7" x14ac:dyDescent="0.2">
      <c r="A249" s="888" t="s">
        <v>48</v>
      </c>
      <c r="B249" s="889"/>
      <c r="C249" s="889"/>
      <c r="D249" s="889"/>
      <c r="E249" s="889"/>
      <c r="F249" s="889"/>
      <c r="G249" s="890"/>
    </row>
    <row r="250" spans="1:7" x14ac:dyDescent="0.2">
      <c r="A250" s="891" t="s">
        <v>49</v>
      </c>
      <c r="B250" s="892"/>
      <c r="C250" s="892"/>
      <c r="D250" s="892"/>
      <c r="E250" s="892"/>
      <c r="F250" s="892"/>
      <c r="G250" s="893"/>
    </row>
    <row r="251" spans="1:7" x14ac:dyDescent="0.2">
      <c r="A251" s="387"/>
      <c r="B251" s="388"/>
      <c r="C251" s="389"/>
      <c r="D251" s="390"/>
      <c r="E251" s="388"/>
      <c r="F251" s="391"/>
      <c r="G251" s="392" t="s">
        <v>20</v>
      </c>
    </row>
    <row r="252" spans="1:7" x14ac:dyDescent="0.2">
      <c r="A252" s="393" t="s">
        <v>1</v>
      </c>
      <c r="B252" s="394"/>
      <c r="C252" s="14" t="s">
        <v>32</v>
      </c>
      <c r="D252" s="394"/>
      <c r="E252" s="362" t="s">
        <v>2336</v>
      </c>
      <c r="F252" s="395"/>
      <c r="G252" s="363" t="s">
        <v>2322</v>
      </c>
    </row>
    <row r="253" spans="1:7" x14ac:dyDescent="0.2">
      <c r="A253" s="361" t="s">
        <v>8</v>
      </c>
      <c r="B253" s="396"/>
      <c r="C253" s="19"/>
      <c r="D253" s="386"/>
      <c r="E253" s="894"/>
      <c r="F253" s="895"/>
      <c r="G253" s="397"/>
    </row>
    <row r="254" spans="1:7" x14ac:dyDescent="0.2">
      <c r="A254" s="373" t="s">
        <v>37</v>
      </c>
      <c r="B254" s="377"/>
      <c r="C254" s="377"/>
      <c r="D254" s="377"/>
      <c r="E254" s="398" t="s">
        <v>46</v>
      </c>
      <c r="F254" s="399"/>
      <c r="G254" s="397" t="s">
        <v>50</v>
      </c>
    </row>
    <row r="255" spans="1:7" x14ac:dyDescent="0.2">
      <c r="A255" s="387"/>
      <c r="B255" s="388"/>
      <c r="C255" s="389"/>
      <c r="D255" s="389"/>
      <c r="E255" s="896"/>
      <c r="F255" s="897"/>
      <c r="G255" s="400"/>
    </row>
    <row r="256" spans="1:7" ht="26.25" thickBot="1" x14ac:dyDescent="0.25">
      <c r="A256" s="26" t="s">
        <v>47</v>
      </c>
      <c r="B256" s="26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</row>
    <row r="257" spans="1:7" ht="13.5" thickTop="1" x14ac:dyDescent="0.2">
      <c r="A257" s="364">
        <v>1</v>
      </c>
      <c r="B257" s="401"/>
      <c r="C257" s="371" t="s">
        <v>242</v>
      </c>
      <c r="D257" s="376" t="s">
        <v>1061</v>
      </c>
      <c r="E257" s="402">
        <v>25</v>
      </c>
      <c r="F257" s="403">
        <v>450</v>
      </c>
      <c r="G257" s="372">
        <f>F257*E257</f>
        <v>11250</v>
      </c>
    </row>
    <row r="258" spans="1:7" x14ac:dyDescent="0.2">
      <c r="A258" s="364"/>
      <c r="B258" s="401"/>
      <c r="C258" s="371"/>
      <c r="D258" s="370" t="s">
        <v>1062</v>
      </c>
      <c r="E258" s="404"/>
      <c r="F258" s="403"/>
      <c r="G258" s="372"/>
    </row>
    <row r="259" spans="1:7" x14ac:dyDescent="0.2">
      <c r="A259" s="364"/>
      <c r="B259" s="401"/>
      <c r="C259" s="371"/>
      <c r="D259" s="370"/>
      <c r="E259" s="405"/>
      <c r="F259" s="406"/>
      <c r="G259" s="372"/>
    </row>
    <row r="260" spans="1:7" x14ac:dyDescent="0.2">
      <c r="A260" s="364"/>
      <c r="B260" s="401"/>
      <c r="C260" s="371"/>
      <c r="D260" s="370"/>
      <c r="E260" s="407"/>
      <c r="F260" s="403"/>
      <c r="G260" s="372"/>
    </row>
    <row r="261" spans="1:7" x14ac:dyDescent="0.2">
      <c r="A261" s="364"/>
      <c r="B261" s="408"/>
      <c r="C261" s="371"/>
      <c r="D261" s="376"/>
      <c r="E261" s="409"/>
      <c r="F261" s="403"/>
      <c r="G261" s="372"/>
    </row>
    <row r="262" spans="1:7" x14ac:dyDescent="0.2">
      <c r="A262" s="364"/>
      <c r="B262" s="408"/>
      <c r="C262" s="371"/>
      <c r="D262" s="376"/>
      <c r="E262" s="409"/>
      <c r="F262" s="403"/>
      <c r="G262" s="372"/>
    </row>
    <row r="263" spans="1:7" x14ac:dyDescent="0.2">
      <c r="A263" s="364"/>
      <c r="B263" s="410"/>
      <c r="C263" s="385"/>
      <c r="D263" s="376"/>
      <c r="E263" s="407"/>
      <c r="F263" s="411"/>
      <c r="G263" s="372"/>
    </row>
    <row r="264" spans="1:7" x14ac:dyDescent="0.2">
      <c r="A264" s="364"/>
      <c r="B264" s="410"/>
      <c r="C264" s="385"/>
      <c r="D264" s="383"/>
      <c r="E264" s="407"/>
      <c r="F264" s="411"/>
      <c r="G264" s="372"/>
    </row>
    <row r="265" spans="1:7" x14ac:dyDescent="0.2">
      <c r="A265" s="364"/>
      <c r="B265" s="401"/>
      <c r="C265" s="371"/>
      <c r="D265" s="383"/>
      <c r="E265" s="412"/>
      <c r="F265" s="403"/>
      <c r="G265" s="372"/>
    </row>
    <row r="266" spans="1:7" x14ac:dyDescent="0.2">
      <c r="A266" s="364"/>
      <c r="B266" s="413"/>
      <c r="C266" s="371"/>
      <c r="D266" s="376"/>
      <c r="E266" s="414"/>
      <c r="F266" s="403"/>
      <c r="G266" s="372"/>
    </row>
    <row r="267" spans="1:7" x14ac:dyDescent="0.2">
      <c r="A267" s="364"/>
      <c r="B267" s="408"/>
      <c r="C267" s="371"/>
      <c r="D267" s="376"/>
      <c r="E267" s="407"/>
      <c r="F267" s="415"/>
      <c r="G267" s="372"/>
    </row>
    <row r="268" spans="1:7" x14ac:dyDescent="0.2">
      <c r="A268" s="364"/>
      <c r="B268" s="416"/>
      <c r="C268" s="371"/>
      <c r="D268" s="376"/>
      <c r="E268" s="417"/>
      <c r="F268" s="403"/>
      <c r="G268" s="372"/>
    </row>
    <row r="269" spans="1:7" x14ac:dyDescent="0.2">
      <c r="A269" s="364"/>
      <c r="B269" s="416"/>
      <c r="C269" s="371"/>
      <c r="D269" s="384"/>
      <c r="E269" s="417"/>
      <c r="F269" s="403"/>
      <c r="G269" s="372"/>
    </row>
    <row r="270" spans="1:7" x14ac:dyDescent="0.2">
      <c r="A270" s="364"/>
      <c r="B270" s="401"/>
      <c r="C270" s="371"/>
      <c r="D270" s="384"/>
      <c r="E270" s="407"/>
      <c r="F270" s="403"/>
      <c r="G270" s="372"/>
    </row>
    <row r="271" spans="1:7" x14ac:dyDescent="0.2">
      <c r="A271" s="364"/>
      <c r="B271" s="401"/>
      <c r="C271" s="371"/>
      <c r="D271" s="384"/>
      <c r="E271" s="417"/>
      <c r="F271" s="403"/>
      <c r="G271" s="372"/>
    </row>
    <row r="272" spans="1:7" x14ac:dyDescent="0.2">
      <c r="A272" s="364"/>
      <c r="B272" s="413"/>
      <c r="C272" s="371"/>
      <c r="D272" s="384"/>
      <c r="E272" s="414"/>
      <c r="F272" s="418"/>
      <c r="G272" s="372"/>
    </row>
    <row r="273" spans="1:7" x14ac:dyDescent="0.2">
      <c r="A273" s="364"/>
      <c r="B273" s="408"/>
      <c r="C273" s="371"/>
      <c r="D273" s="419"/>
      <c r="E273" s="414"/>
      <c r="F273" s="418"/>
      <c r="G273" s="372"/>
    </row>
    <row r="274" spans="1:7" x14ac:dyDescent="0.2">
      <c r="A274" s="364"/>
      <c r="B274" s="408"/>
      <c r="C274" s="371"/>
      <c r="D274" s="384"/>
      <c r="E274" s="414"/>
      <c r="F274" s="418"/>
      <c r="G274" s="372"/>
    </row>
    <row r="275" spans="1:7" x14ac:dyDescent="0.2">
      <c r="A275" s="364"/>
      <c r="B275" s="401"/>
      <c r="C275" s="371"/>
      <c r="D275" s="384"/>
      <c r="E275" s="414"/>
      <c r="F275" s="418"/>
      <c r="G275" s="372"/>
    </row>
    <row r="276" spans="1:7" x14ac:dyDescent="0.2">
      <c r="A276" s="364"/>
      <c r="B276" s="401"/>
      <c r="C276" s="371"/>
      <c r="D276" s="384"/>
      <c r="E276" s="414"/>
      <c r="F276" s="418"/>
      <c r="G276" s="372"/>
    </row>
    <row r="277" spans="1:7" x14ac:dyDescent="0.2">
      <c r="A277" s="364"/>
      <c r="B277" s="401"/>
      <c r="C277" s="371"/>
      <c r="D277" s="384"/>
      <c r="E277" s="414"/>
      <c r="F277" s="418"/>
      <c r="G277" s="372"/>
    </row>
    <row r="278" spans="1:7" x14ac:dyDescent="0.2">
      <c r="A278" s="364"/>
      <c r="B278" s="401"/>
      <c r="C278" s="371"/>
      <c r="D278" s="376"/>
      <c r="E278" s="414"/>
      <c r="F278" s="418"/>
      <c r="G278" s="372"/>
    </row>
    <row r="279" spans="1:7" x14ac:dyDescent="0.2">
      <c r="A279" s="364"/>
      <c r="B279" s="401"/>
      <c r="C279" s="371"/>
      <c r="D279" s="376"/>
      <c r="E279" s="414"/>
      <c r="F279" s="418"/>
      <c r="G279" s="372"/>
    </row>
    <row r="280" spans="1:7" x14ac:dyDescent="0.2">
      <c r="A280" s="364"/>
      <c r="B280" s="401"/>
      <c r="C280" s="371"/>
      <c r="D280" s="420"/>
      <c r="E280" s="414"/>
      <c r="F280" s="418"/>
      <c r="G280" s="372"/>
    </row>
    <row r="281" spans="1:7" x14ac:dyDescent="0.2">
      <c r="A281" s="364"/>
      <c r="B281" s="401"/>
      <c r="C281" s="371"/>
      <c r="D281" s="384"/>
      <c r="E281" s="414"/>
      <c r="F281" s="418"/>
      <c r="G281" s="372"/>
    </row>
    <row r="282" spans="1:7" x14ac:dyDescent="0.2">
      <c r="A282" s="364"/>
      <c r="B282" s="401"/>
      <c r="C282" s="371"/>
      <c r="D282" s="384"/>
      <c r="E282" s="414"/>
      <c r="F282" s="418"/>
      <c r="G282" s="372"/>
    </row>
    <row r="283" spans="1:7" x14ac:dyDescent="0.2">
      <c r="A283" s="364"/>
      <c r="B283" s="401"/>
      <c r="C283" s="371"/>
      <c r="D283" s="384"/>
      <c r="E283" s="414"/>
      <c r="F283" s="418"/>
      <c r="G283" s="372"/>
    </row>
    <row r="284" spans="1:7" x14ac:dyDescent="0.2">
      <c r="A284" s="364"/>
      <c r="B284" s="401"/>
      <c r="C284" s="371"/>
      <c r="D284" s="421"/>
      <c r="E284" s="414"/>
      <c r="F284" s="418"/>
      <c r="G284" s="372"/>
    </row>
    <row r="285" spans="1:7" x14ac:dyDescent="0.2">
      <c r="A285" s="364"/>
      <c r="B285" s="401"/>
      <c r="C285" s="371"/>
      <c r="D285" s="160"/>
      <c r="E285" s="407"/>
      <c r="F285" s="403"/>
      <c r="G285" s="372"/>
    </row>
    <row r="286" spans="1:7" x14ac:dyDescent="0.2">
      <c r="A286" s="364"/>
      <c r="B286" s="401"/>
      <c r="C286" s="371"/>
      <c r="D286" s="376"/>
      <c r="E286" s="417"/>
      <c r="F286" s="403"/>
      <c r="G286" s="372"/>
    </row>
    <row r="287" spans="1:7" x14ac:dyDescent="0.2">
      <c r="A287" s="364"/>
      <c r="B287" s="401"/>
      <c r="C287" s="371"/>
      <c r="D287" s="376"/>
      <c r="E287" s="409"/>
      <c r="F287" s="403"/>
      <c r="G287" s="372"/>
    </row>
    <row r="288" spans="1:7" x14ac:dyDescent="0.2">
      <c r="A288" s="364"/>
      <c r="B288" s="401"/>
      <c r="C288" s="422"/>
      <c r="D288" s="384"/>
      <c r="E288" s="423"/>
      <c r="F288" s="424"/>
      <c r="G288" s="372"/>
    </row>
    <row r="289" spans="1:7" x14ac:dyDescent="0.2">
      <c r="A289" s="364"/>
      <c r="B289" s="401"/>
      <c r="C289" s="371"/>
      <c r="D289" s="425"/>
      <c r="E289" s="407"/>
      <c r="F289" s="406"/>
      <c r="G289" s="372"/>
    </row>
    <row r="290" spans="1:7" x14ac:dyDescent="0.2">
      <c r="A290" s="364"/>
      <c r="B290" s="401"/>
      <c r="C290" s="371"/>
      <c r="D290" s="383"/>
      <c r="E290" s="407"/>
      <c r="F290" s="406"/>
      <c r="G290" s="372"/>
    </row>
    <row r="291" spans="1:7" ht="13.5" thickBot="1" x14ac:dyDescent="0.25">
      <c r="A291" s="426"/>
      <c r="B291" s="427"/>
      <c r="C291" s="428"/>
      <c r="D291" s="428"/>
      <c r="E291" s="427"/>
      <c r="F291" s="49" t="s">
        <v>15</v>
      </c>
      <c r="G291" s="50">
        <f>SUM(G257:G290)</f>
        <v>11250</v>
      </c>
    </row>
    <row r="292" spans="1:7" ht="13.5" thickTop="1" x14ac:dyDescent="0.2">
      <c r="A292" s="361" t="s">
        <v>1063</v>
      </c>
      <c r="B292" s="429"/>
      <c r="C292" s="386"/>
      <c r="D292" s="430"/>
      <c r="E292" s="429"/>
      <c r="F292" s="431"/>
      <c r="G292" s="397"/>
    </row>
    <row r="293" spans="1:7" ht="13.5" thickBot="1" x14ac:dyDescent="0.25">
      <c r="A293" s="378"/>
      <c r="B293" s="432"/>
      <c r="C293" s="432" t="s">
        <v>2324</v>
      </c>
      <c r="D293" s="379"/>
      <c r="E293" s="432"/>
      <c r="F293" s="380"/>
      <c r="G293" s="381"/>
    </row>
    <row r="294" spans="1:7" ht="13.5" thickTop="1" x14ac:dyDescent="0.2">
      <c r="A294" s="878"/>
      <c r="B294" s="879"/>
      <c r="C294" s="879"/>
      <c r="D294" s="433" t="s">
        <v>11</v>
      </c>
      <c r="E294" s="880" t="s">
        <v>12</v>
      </c>
      <c r="F294" s="880"/>
      <c r="G294" s="881"/>
    </row>
    <row r="295" spans="1:7" x14ac:dyDescent="0.2">
      <c r="A295" s="866" t="s">
        <v>17</v>
      </c>
      <c r="B295" s="867"/>
      <c r="C295" s="867"/>
      <c r="D295" s="434"/>
      <c r="E295" s="882"/>
      <c r="F295" s="883"/>
      <c r="G295" s="884"/>
    </row>
    <row r="296" spans="1:7" x14ac:dyDescent="0.2">
      <c r="A296" s="866" t="s">
        <v>38</v>
      </c>
      <c r="B296" s="867"/>
      <c r="C296" s="867"/>
      <c r="D296" s="58" t="s">
        <v>299</v>
      </c>
      <c r="E296" s="868" t="s">
        <v>69</v>
      </c>
      <c r="F296" s="868"/>
      <c r="G296" s="869"/>
    </row>
    <row r="297" spans="1:7" ht="13.5" thickBot="1" x14ac:dyDescent="0.25">
      <c r="A297" s="870" t="s">
        <v>39</v>
      </c>
      <c r="B297" s="871"/>
      <c r="C297" s="871"/>
      <c r="D297" s="375" t="s">
        <v>300</v>
      </c>
      <c r="E297" s="872" t="s">
        <v>33</v>
      </c>
      <c r="F297" s="873"/>
      <c r="G297" s="874"/>
    </row>
    <row r="298" spans="1:7" ht="16.5" x14ac:dyDescent="0.25">
      <c r="A298" s="885" t="s">
        <v>29</v>
      </c>
      <c r="B298" s="886"/>
      <c r="C298" s="886"/>
      <c r="D298" s="886"/>
      <c r="E298" s="886"/>
      <c r="F298" s="886"/>
      <c r="G298" s="887"/>
    </row>
    <row r="299" spans="1:7" x14ac:dyDescent="0.2">
      <c r="A299" s="888" t="s">
        <v>48</v>
      </c>
      <c r="B299" s="889"/>
      <c r="C299" s="889"/>
      <c r="D299" s="889"/>
      <c r="E299" s="889"/>
      <c r="F299" s="889"/>
      <c r="G299" s="890"/>
    </row>
    <row r="300" spans="1:7" x14ac:dyDescent="0.2">
      <c r="A300" s="891" t="s">
        <v>49</v>
      </c>
      <c r="B300" s="892"/>
      <c r="C300" s="892"/>
      <c r="D300" s="892"/>
      <c r="E300" s="892"/>
      <c r="F300" s="892"/>
      <c r="G300" s="893"/>
    </row>
    <row r="301" spans="1:7" x14ac:dyDescent="0.2">
      <c r="A301" s="387"/>
      <c r="B301" s="388"/>
      <c r="C301" s="389"/>
      <c r="D301" s="390"/>
      <c r="E301" s="388"/>
      <c r="F301" s="391"/>
      <c r="G301" s="392" t="s">
        <v>20</v>
      </c>
    </row>
    <row r="302" spans="1:7" x14ac:dyDescent="0.2">
      <c r="A302" s="393" t="s">
        <v>1</v>
      </c>
      <c r="B302" s="394"/>
      <c r="C302" s="14" t="s">
        <v>32</v>
      </c>
      <c r="D302" s="394"/>
      <c r="E302" s="362" t="s">
        <v>2337</v>
      </c>
      <c r="F302" s="395"/>
      <c r="G302" s="363" t="s">
        <v>2322</v>
      </c>
    </row>
    <row r="303" spans="1:7" x14ac:dyDescent="0.2">
      <c r="A303" s="361" t="s">
        <v>8</v>
      </c>
      <c r="B303" s="396"/>
      <c r="C303" s="19"/>
      <c r="D303" s="386"/>
      <c r="E303" s="894"/>
      <c r="F303" s="895"/>
      <c r="G303" s="397"/>
    </row>
    <row r="304" spans="1:7" x14ac:dyDescent="0.2">
      <c r="A304" s="373" t="s">
        <v>37</v>
      </c>
      <c r="B304" s="377"/>
      <c r="C304" s="377"/>
      <c r="D304" s="377"/>
      <c r="E304" s="398" t="s">
        <v>46</v>
      </c>
      <c r="F304" s="399"/>
      <c r="G304" s="397" t="s">
        <v>50</v>
      </c>
    </row>
    <row r="305" spans="1:7" x14ac:dyDescent="0.2">
      <c r="A305" s="387"/>
      <c r="B305" s="388"/>
      <c r="C305" s="389"/>
      <c r="D305" s="389"/>
      <c r="E305" s="896"/>
      <c r="F305" s="897"/>
      <c r="G305" s="400"/>
    </row>
    <row r="306" spans="1:7" ht="26.25" thickBot="1" x14ac:dyDescent="0.25">
      <c r="A306" s="26" t="s">
        <v>47</v>
      </c>
      <c r="B306" s="26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364">
        <v>1</v>
      </c>
      <c r="B307" s="401"/>
      <c r="C307" s="371" t="s">
        <v>242</v>
      </c>
      <c r="D307" s="376" t="s">
        <v>1061</v>
      </c>
      <c r="E307" s="402">
        <v>25</v>
      </c>
      <c r="F307" s="403">
        <v>450</v>
      </c>
      <c r="G307" s="372">
        <f>F307*E307</f>
        <v>11250</v>
      </c>
    </row>
    <row r="308" spans="1:7" x14ac:dyDescent="0.2">
      <c r="A308" s="364"/>
      <c r="B308" s="401"/>
      <c r="C308" s="371"/>
      <c r="D308" s="370" t="s">
        <v>1062</v>
      </c>
      <c r="E308" s="404"/>
      <c r="F308" s="403"/>
      <c r="G308" s="372"/>
    </row>
    <row r="309" spans="1:7" x14ac:dyDescent="0.2">
      <c r="A309" s="364"/>
      <c r="B309" s="401"/>
      <c r="C309" s="371"/>
      <c r="D309" s="370"/>
      <c r="E309" s="405"/>
      <c r="F309" s="406"/>
      <c r="G309" s="372"/>
    </row>
    <row r="310" spans="1:7" x14ac:dyDescent="0.2">
      <c r="A310" s="364"/>
      <c r="B310" s="401"/>
      <c r="C310" s="371"/>
      <c r="D310" s="370"/>
      <c r="E310" s="407"/>
      <c r="F310" s="403"/>
      <c r="G310" s="372"/>
    </row>
    <row r="311" spans="1:7" x14ac:dyDescent="0.2">
      <c r="A311" s="364"/>
      <c r="B311" s="408"/>
      <c r="C311" s="371"/>
      <c r="D311" s="376"/>
      <c r="E311" s="409"/>
      <c r="F311" s="403"/>
      <c r="G311" s="372"/>
    </row>
    <row r="312" spans="1:7" x14ac:dyDescent="0.2">
      <c r="A312" s="364"/>
      <c r="B312" s="408"/>
      <c r="C312" s="371"/>
      <c r="D312" s="376"/>
      <c r="E312" s="409"/>
      <c r="F312" s="403"/>
      <c r="G312" s="372"/>
    </row>
    <row r="313" spans="1:7" x14ac:dyDescent="0.2">
      <c r="A313" s="364"/>
      <c r="B313" s="410"/>
      <c r="C313" s="385"/>
      <c r="D313" s="376"/>
      <c r="E313" s="407"/>
      <c r="F313" s="411"/>
      <c r="G313" s="372"/>
    </row>
    <row r="314" spans="1:7" x14ac:dyDescent="0.2">
      <c r="A314" s="364"/>
      <c r="B314" s="410"/>
      <c r="C314" s="385"/>
      <c r="D314" s="383"/>
      <c r="E314" s="407"/>
      <c r="F314" s="411"/>
      <c r="G314" s="372"/>
    </row>
    <row r="315" spans="1:7" x14ac:dyDescent="0.2">
      <c r="A315" s="364"/>
      <c r="B315" s="401"/>
      <c r="C315" s="371"/>
      <c r="D315" s="383"/>
      <c r="E315" s="412"/>
      <c r="F315" s="403"/>
      <c r="G315" s="372"/>
    </row>
    <row r="316" spans="1:7" x14ac:dyDescent="0.2">
      <c r="A316" s="364"/>
      <c r="B316" s="413"/>
      <c r="C316" s="371"/>
      <c r="D316" s="376"/>
      <c r="E316" s="414"/>
      <c r="F316" s="403"/>
      <c r="G316" s="372"/>
    </row>
    <row r="317" spans="1:7" x14ac:dyDescent="0.2">
      <c r="A317" s="364"/>
      <c r="B317" s="408"/>
      <c r="C317" s="371"/>
      <c r="D317" s="376"/>
      <c r="E317" s="407"/>
      <c r="F317" s="415"/>
      <c r="G317" s="372"/>
    </row>
    <row r="318" spans="1:7" x14ac:dyDescent="0.2">
      <c r="A318" s="364"/>
      <c r="B318" s="416"/>
      <c r="C318" s="371"/>
      <c r="D318" s="376"/>
      <c r="E318" s="417"/>
      <c r="F318" s="403"/>
      <c r="G318" s="372"/>
    </row>
    <row r="319" spans="1:7" x14ac:dyDescent="0.2">
      <c r="A319" s="364"/>
      <c r="B319" s="416"/>
      <c r="C319" s="371"/>
      <c r="D319" s="384"/>
      <c r="E319" s="417"/>
      <c r="F319" s="403"/>
      <c r="G319" s="372"/>
    </row>
    <row r="320" spans="1:7" x14ac:dyDescent="0.2">
      <c r="A320" s="364"/>
      <c r="B320" s="401"/>
      <c r="C320" s="371"/>
      <c r="D320" s="384"/>
      <c r="E320" s="407"/>
      <c r="F320" s="403"/>
      <c r="G320" s="372"/>
    </row>
    <row r="321" spans="1:7" x14ac:dyDescent="0.2">
      <c r="A321" s="364"/>
      <c r="B321" s="401"/>
      <c r="C321" s="371"/>
      <c r="D321" s="384"/>
      <c r="E321" s="417"/>
      <c r="F321" s="403"/>
      <c r="G321" s="372"/>
    </row>
    <row r="322" spans="1:7" x14ac:dyDescent="0.2">
      <c r="A322" s="364"/>
      <c r="B322" s="413"/>
      <c r="C322" s="371"/>
      <c r="D322" s="384"/>
      <c r="E322" s="414"/>
      <c r="F322" s="418"/>
      <c r="G322" s="372"/>
    </row>
    <row r="323" spans="1:7" x14ac:dyDescent="0.2">
      <c r="A323" s="364"/>
      <c r="B323" s="408"/>
      <c r="C323" s="371"/>
      <c r="D323" s="419"/>
      <c r="E323" s="414"/>
      <c r="F323" s="418"/>
      <c r="G323" s="372"/>
    </row>
    <row r="324" spans="1:7" x14ac:dyDescent="0.2">
      <c r="A324" s="364"/>
      <c r="B324" s="408"/>
      <c r="C324" s="371"/>
      <c r="D324" s="384"/>
      <c r="E324" s="414"/>
      <c r="F324" s="418"/>
      <c r="G324" s="372"/>
    </row>
    <row r="325" spans="1:7" x14ac:dyDescent="0.2">
      <c r="A325" s="364"/>
      <c r="B325" s="401"/>
      <c r="C325" s="371"/>
      <c r="D325" s="384"/>
      <c r="E325" s="414"/>
      <c r="F325" s="418"/>
      <c r="G325" s="372"/>
    </row>
    <row r="326" spans="1:7" x14ac:dyDescent="0.2">
      <c r="A326" s="364"/>
      <c r="B326" s="401"/>
      <c r="C326" s="371"/>
      <c r="D326" s="384"/>
      <c r="E326" s="414"/>
      <c r="F326" s="418"/>
      <c r="G326" s="372"/>
    </row>
    <row r="327" spans="1:7" x14ac:dyDescent="0.2">
      <c r="A327" s="364"/>
      <c r="B327" s="401"/>
      <c r="C327" s="371"/>
      <c r="D327" s="384"/>
      <c r="E327" s="414"/>
      <c r="F327" s="418"/>
      <c r="G327" s="372"/>
    </row>
    <row r="328" spans="1:7" x14ac:dyDescent="0.2">
      <c r="A328" s="364"/>
      <c r="B328" s="401"/>
      <c r="C328" s="371"/>
      <c r="D328" s="376"/>
      <c r="E328" s="414"/>
      <c r="F328" s="418"/>
      <c r="G328" s="372"/>
    </row>
    <row r="329" spans="1:7" x14ac:dyDescent="0.2">
      <c r="A329" s="364"/>
      <c r="B329" s="401"/>
      <c r="C329" s="371"/>
      <c r="D329" s="376"/>
      <c r="E329" s="414"/>
      <c r="F329" s="418"/>
      <c r="G329" s="372"/>
    </row>
    <row r="330" spans="1:7" x14ac:dyDescent="0.2">
      <c r="A330" s="364"/>
      <c r="B330" s="401"/>
      <c r="C330" s="371"/>
      <c r="D330" s="420"/>
      <c r="E330" s="414"/>
      <c r="F330" s="418"/>
      <c r="G330" s="372"/>
    </row>
    <row r="331" spans="1:7" x14ac:dyDescent="0.2">
      <c r="A331" s="364"/>
      <c r="B331" s="401"/>
      <c r="C331" s="371"/>
      <c r="D331" s="384"/>
      <c r="E331" s="414"/>
      <c r="F331" s="418"/>
      <c r="G331" s="372"/>
    </row>
    <row r="332" spans="1:7" x14ac:dyDescent="0.2">
      <c r="A332" s="364"/>
      <c r="B332" s="401"/>
      <c r="C332" s="371"/>
      <c r="D332" s="384"/>
      <c r="E332" s="414"/>
      <c r="F332" s="418"/>
      <c r="G332" s="372"/>
    </row>
    <row r="333" spans="1:7" x14ac:dyDescent="0.2">
      <c r="A333" s="364"/>
      <c r="B333" s="401"/>
      <c r="C333" s="371"/>
      <c r="D333" s="384"/>
      <c r="E333" s="414"/>
      <c r="F333" s="418"/>
      <c r="G333" s="372"/>
    </row>
    <row r="334" spans="1:7" x14ac:dyDescent="0.2">
      <c r="A334" s="364"/>
      <c r="B334" s="401"/>
      <c r="C334" s="371"/>
      <c r="D334" s="421"/>
      <c r="E334" s="414"/>
      <c r="F334" s="418"/>
      <c r="G334" s="372"/>
    </row>
    <row r="335" spans="1:7" x14ac:dyDescent="0.2">
      <c r="A335" s="364"/>
      <c r="B335" s="401"/>
      <c r="C335" s="371"/>
      <c r="D335" s="160"/>
      <c r="E335" s="407"/>
      <c r="F335" s="403"/>
      <c r="G335" s="372"/>
    </row>
    <row r="336" spans="1:7" x14ac:dyDescent="0.2">
      <c r="A336" s="364"/>
      <c r="B336" s="401"/>
      <c r="C336" s="371"/>
      <c r="D336" s="376"/>
      <c r="E336" s="417"/>
      <c r="F336" s="403"/>
      <c r="G336" s="372"/>
    </row>
    <row r="337" spans="1:7" x14ac:dyDescent="0.2">
      <c r="A337" s="364"/>
      <c r="B337" s="401"/>
      <c r="C337" s="371"/>
      <c r="D337" s="376"/>
      <c r="E337" s="409"/>
      <c r="F337" s="403"/>
      <c r="G337" s="372"/>
    </row>
    <row r="338" spans="1:7" x14ac:dyDescent="0.2">
      <c r="A338" s="364"/>
      <c r="B338" s="401"/>
      <c r="C338" s="422"/>
      <c r="D338" s="384"/>
      <c r="E338" s="423"/>
      <c r="F338" s="424"/>
      <c r="G338" s="372"/>
    </row>
    <row r="339" spans="1:7" x14ac:dyDescent="0.2">
      <c r="A339" s="364"/>
      <c r="B339" s="401"/>
      <c r="C339" s="371"/>
      <c r="D339" s="425"/>
      <c r="E339" s="407"/>
      <c r="F339" s="406"/>
      <c r="G339" s="372"/>
    </row>
    <row r="340" spans="1:7" x14ac:dyDescent="0.2">
      <c r="A340" s="364"/>
      <c r="B340" s="401"/>
      <c r="C340" s="371"/>
      <c r="D340" s="383"/>
      <c r="E340" s="407"/>
      <c r="F340" s="406"/>
      <c r="G340" s="372"/>
    </row>
    <row r="341" spans="1:7" ht="13.5" thickBot="1" x14ac:dyDescent="0.25">
      <c r="A341" s="426"/>
      <c r="B341" s="427"/>
      <c r="C341" s="428"/>
      <c r="D341" s="428"/>
      <c r="E341" s="427"/>
      <c r="F341" s="49" t="s">
        <v>15</v>
      </c>
      <c r="G341" s="50">
        <f>SUM(G307:G340)</f>
        <v>11250</v>
      </c>
    </row>
    <row r="342" spans="1:7" ht="13.5" thickTop="1" x14ac:dyDescent="0.2">
      <c r="A342" s="361" t="s">
        <v>1063</v>
      </c>
      <c r="B342" s="429"/>
      <c r="C342" s="386"/>
      <c r="D342" s="430"/>
      <c r="E342" s="429"/>
      <c r="F342" s="431"/>
      <c r="G342" s="397"/>
    </row>
    <row r="343" spans="1:7" ht="13.5" thickBot="1" x14ac:dyDescent="0.25">
      <c r="A343" s="378"/>
      <c r="B343" s="432"/>
      <c r="C343" s="432" t="s">
        <v>2326</v>
      </c>
      <c r="D343" s="379"/>
      <c r="E343" s="432"/>
      <c r="F343" s="380"/>
      <c r="G343" s="381"/>
    </row>
    <row r="344" spans="1:7" ht="13.5" thickTop="1" x14ac:dyDescent="0.2">
      <c r="A344" s="878"/>
      <c r="B344" s="879"/>
      <c r="C344" s="879"/>
      <c r="D344" s="433" t="s">
        <v>11</v>
      </c>
      <c r="E344" s="880" t="s">
        <v>12</v>
      </c>
      <c r="F344" s="880"/>
      <c r="G344" s="881"/>
    </row>
    <row r="345" spans="1:7" x14ac:dyDescent="0.2">
      <c r="A345" s="866" t="s">
        <v>17</v>
      </c>
      <c r="B345" s="867"/>
      <c r="C345" s="867"/>
      <c r="D345" s="434"/>
      <c r="E345" s="882"/>
      <c r="F345" s="883"/>
      <c r="G345" s="884"/>
    </row>
    <row r="346" spans="1:7" x14ac:dyDescent="0.2">
      <c r="A346" s="866" t="s">
        <v>38</v>
      </c>
      <c r="B346" s="867"/>
      <c r="C346" s="867"/>
      <c r="D346" s="58" t="s">
        <v>299</v>
      </c>
      <c r="E346" s="868" t="s">
        <v>69</v>
      </c>
      <c r="F346" s="868"/>
      <c r="G346" s="869"/>
    </row>
    <row r="347" spans="1:7" ht="13.5" thickBot="1" x14ac:dyDescent="0.25">
      <c r="A347" s="870" t="s">
        <v>39</v>
      </c>
      <c r="B347" s="871"/>
      <c r="C347" s="871"/>
      <c r="D347" s="375" t="s">
        <v>300</v>
      </c>
      <c r="E347" s="872" t="s">
        <v>33</v>
      </c>
      <c r="F347" s="873"/>
      <c r="G347" s="874"/>
    </row>
    <row r="348" spans="1:7" ht="16.5" x14ac:dyDescent="0.25">
      <c r="A348" s="885" t="s">
        <v>29</v>
      </c>
      <c r="B348" s="886"/>
      <c r="C348" s="886"/>
      <c r="D348" s="886"/>
      <c r="E348" s="886"/>
      <c r="F348" s="886"/>
      <c r="G348" s="887"/>
    </row>
    <row r="349" spans="1:7" x14ac:dyDescent="0.2">
      <c r="A349" s="888" t="s">
        <v>48</v>
      </c>
      <c r="B349" s="889"/>
      <c r="C349" s="889"/>
      <c r="D349" s="889"/>
      <c r="E349" s="889"/>
      <c r="F349" s="889"/>
      <c r="G349" s="890"/>
    </row>
    <row r="350" spans="1:7" x14ac:dyDescent="0.2">
      <c r="A350" s="891" t="s">
        <v>49</v>
      </c>
      <c r="B350" s="892"/>
      <c r="C350" s="892"/>
      <c r="D350" s="892"/>
      <c r="E350" s="892"/>
      <c r="F350" s="892"/>
      <c r="G350" s="893"/>
    </row>
    <row r="351" spans="1:7" x14ac:dyDescent="0.2">
      <c r="A351" s="387"/>
      <c r="B351" s="388"/>
      <c r="C351" s="389"/>
      <c r="D351" s="390"/>
      <c r="E351" s="388"/>
      <c r="F351" s="391"/>
      <c r="G351" s="392" t="s">
        <v>20</v>
      </c>
    </row>
    <row r="352" spans="1:7" x14ac:dyDescent="0.2">
      <c r="A352" s="393" t="s">
        <v>1</v>
      </c>
      <c r="B352" s="394"/>
      <c r="C352" s="14" t="s">
        <v>32</v>
      </c>
      <c r="D352" s="394"/>
      <c r="E352" s="362" t="s">
        <v>2338</v>
      </c>
      <c r="F352" s="395"/>
      <c r="G352" s="363" t="s">
        <v>2322</v>
      </c>
    </row>
    <row r="353" spans="1:7" x14ac:dyDescent="0.2">
      <c r="A353" s="361" t="s">
        <v>8</v>
      </c>
      <c r="B353" s="396"/>
      <c r="C353" s="19"/>
      <c r="D353" s="386"/>
      <c r="E353" s="894"/>
      <c r="F353" s="895"/>
      <c r="G353" s="397"/>
    </row>
    <row r="354" spans="1:7" x14ac:dyDescent="0.2">
      <c r="A354" s="373" t="s">
        <v>37</v>
      </c>
      <c r="B354" s="377"/>
      <c r="C354" s="377"/>
      <c r="D354" s="377"/>
      <c r="E354" s="398" t="s">
        <v>46</v>
      </c>
      <c r="F354" s="399"/>
      <c r="G354" s="397" t="s">
        <v>50</v>
      </c>
    </row>
    <row r="355" spans="1:7" x14ac:dyDescent="0.2">
      <c r="A355" s="387"/>
      <c r="B355" s="388"/>
      <c r="C355" s="389"/>
      <c r="D355" s="389"/>
      <c r="E355" s="896"/>
      <c r="F355" s="897"/>
      <c r="G355" s="400"/>
    </row>
    <row r="356" spans="1:7" ht="26.25" thickBot="1" x14ac:dyDescent="0.25">
      <c r="A356" s="26" t="s">
        <v>47</v>
      </c>
      <c r="B356" s="26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364">
        <v>1</v>
      </c>
      <c r="B357" s="401"/>
      <c r="C357" s="371" t="s">
        <v>242</v>
      </c>
      <c r="D357" s="376" t="s">
        <v>1061</v>
      </c>
      <c r="E357" s="402">
        <v>25</v>
      </c>
      <c r="F357" s="403">
        <v>450</v>
      </c>
      <c r="G357" s="372">
        <f>F357*E357</f>
        <v>11250</v>
      </c>
    </row>
    <row r="358" spans="1:7" x14ac:dyDescent="0.2">
      <c r="A358" s="364"/>
      <c r="B358" s="401"/>
      <c r="C358" s="371"/>
      <c r="D358" s="370" t="s">
        <v>1062</v>
      </c>
      <c r="E358" s="404"/>
      <c r="F358" s="403"/>
      <c r="G358" s="372"/>
    </row>
    <row r="359" spans="1:7" x14ac:dyDescent="0.2">
      <c r="A359" s="364"/>
      <c r="B359" s="401"/>
      <c r="C359" s="371"/>
      <c r="D359" s="370"/>
      <c r="E359" s="405"/>
      <c r="F359" s="406"/>
      <c r="G359" s="372"/>
    </row>
    <row r="360" spans="1:7" x14ac:dyDescent="0.2">
      <c r="A360" s="364"/>
      <c r="B360" s="401"/>
      <c r="C360" s="371"/>
      <c r="D360" s="370"/>
      <c r="E360" s="407"/>
      <c r="F360" s="403"/>
      <c r="G360" s="372"/>
    </row>
    <row r="361" spans="1:7" x14ac:dyDescent="0.2">
      <c r="A361" s="364"/>
      <c r="B361" s="408"/>
      <c r="C361" s="371"/>
      <c r="D361" s="376"/>
      <c r="E361" s="409"/>
      <c r="F361" s="403"/>
      <c r="G361" s="372"/>
    </row>
    <row r="362" spans="1:7" x14ac:dyDescent="0.2">
      <c r="A362" s="364"/>
      <c r="B362" s="408"/>
      <c r="C362" s="371"/>
      <c r="D362" s="376"/>
      <c r="E362" s="409"/>
      <c r="F362" s="403"/>
      <c r="G362" s="372"/>
    </row>
    <row r="363" spans="1:7" x14ac:dyDescent="0.2">
      <c r="A363" s="364"/>
      <c r="B363" s="410"/>
      <c r="C363" s="385"/>
      <c r="D363" s="376"/>
      <c r="E363" s="407"/>
      <c r="F363" s="411"/>
      <c r="G363" s="372"/>
    </row>
    <row r="364" spans="1:7" x14ac:dyDescent="0.2">
      <c r="A364" s="364"/>
      <c r="B364" s="410"/>
      <c r="C364" s="385"/>
      <c r="D364" s="383"/>
      <c r="E364" s="407"/>
      <c r="F364" s="411"/>
      <c r="G364" s="372"/>
    </row>
    <row r="365" spans="1:7" x14ac:dyDescent="0.2">
      <c r="A365" s="364"/>
      <c r="B365" s="401"/>
      <c r="C365" s="371"/>
      <c r="D365" s="383"/>
      <c r="E365" s="412"/>
      <c r="F365" s="403"/>
      <c r="G365" s="372"/>
    </row>
    <row r="366" spans="1:7" x14ac:dyDescent="0.2">
      <c r="A366" s="364"/>
      <c r="B366" s="413"/>
      <c r="C366" s="371"/>
      <c r="D366" s="376"/>
      <c r="E366" s="414"/>
      <c r="F366" s="403"/>
      <c r="G366" s="372"/>
    </row>
    <row r="367" spans="1:7" x14ac:dyDescent="0.2">
      <c r="A367" s="364"/>
      <c r="B367" s="408"/>
      <c r="C367" s="371"/>
      <c r="D367" s="376"/>
      <c r="E367" s="407"/>
      <c r="F367" s="415"/>
      <c r="G367" s="372"/>
    </row>
    <row r="368" spans="1:7" x14ac:dyDescent="0.2">
      <c r="A368" s="364"/>
      <c r="B368" s="416"/>
      <c r="C368" s="371"/>
      <c r="D368" s="376"/>
      <c r="E368" s="417"/>
      <c r="F368" s="403"/>
      <c r="G368" s="372"/>
    </row>
    <row r="369" spans="1:7" x14ac:dyDescent="0.2">
      <c r="A369" s="364"/>
      <c r="B369" s="416"/>
      <c r="C369" s="371"/>
      <c r="D369" s="384"/>
      <c r="E369" s="417"/>
      <c r="F369" s="403"/>
      <c r="G369" s="372"/>
    </row>
    <row r="370" spans="1:7" x14ac:dyDescent="0.2">
      <c r="A370" s="364"/>
      <c r="B370" s="401"/>
      <c r="C370" s="371"/>
      <c r="D370" s="384"/>
      <c r="E370" s="407"/>
      <c r="F370" s="403"/>
      <c r="G370" s="372"/>
    </row>
    <row r="371" spans="1:7" x14ac:dyDescent="0.2">
      <c r="A371" s="364"/>
      <c r="B371" s="401"/>
      <c r="C371" s="371"/>
      <c r="D371" s="384"/>
      <c r="E371" s="417"/>
      <c r="F371" s="403"/>
      <c r="G371" s="372"/>
    </row>
    <row r="372" spans="1:7" x14ac:dyDescent="0.2">
      <c r="A372" s="364"/>
      <c r="B372" s="413"/>
      <c r="C372" s="371"/>
      <c r="D372" s="384"/>
      <c r="E372" s="414"/>
      <c r="F372" s="418"/>
      <c r="G372" s="372"/>
    </row>
    <row r="373" spans="1:7" x14ac:dyDescent="0.2">
      <c r="A373" s="364"/>
      <c r="B373" s="408"/>
      <c r="C373" s="371"/>
      <c r="D373" s="419"/>
      <c r="E373" s="414"/>
      <c r="F373" s="418"/>
      <c r="G373" s="372"/>
    </row>
    <row r="374" spans="1:7" x14ac:dyDescent="0.2">
      <c r="A374" s="364"/>
      <c r="B374" s="408"/>
      <c r="C374" s="371"/>
      <c r="D374" s="384"/>
      <c r="E374" s="414"/>
      <c r="F374" s="418"/>
      <c r="G374" s="372"/>
    </row>
    <row r="375" spans="1:7" x14ac:dyDescent="0.2">
      <c r="A375" s="364"/>
      <c r="B375" s="401"/>
      <c r="C375" s="371"/>
      <c r="D375" s="384"/>
      <c r="E375" s="414"/>
      <c r="F375" s="418"/>
      <c r="G375" s="372"/>
    </row>
    <row r="376" spans="1:7" x14ac:dyDescent="0.2">
      <c r="A376" s="364"/>
      <c r="B376" s="401"/>
      <c r="C376" s="371"/>
      <c r="D376" s="384"/>
      <c r="E376" s="414"/>
      <c r="F376" s="418"/>
      <c r="G376" s="372"/>
    </row>
    <row r="377" spans="1:7" x14ac:dyDescent="0.2">
      <c r="A377" s="364"/>
      <c r="B377" s="401"/>
      <c r="C377" s="371"/>
      <c r="D377" s="384"/>
      <c r="E377" s="414"/>
      <c r="F377" s="418"/>
      <c r="G377" s="372"/>
    </row>
    <row r="378" spans="1:7" x14ac:dyDescent="0.2">
      <c r="A378" s="364"/>
      <c r="B378" s="401"/>
      <c r="C378" s="371"/>
      <c r="D378" s="376"/>
      <c r="E378" s="414"/>
      <c r="F378" s="418"/>
      <c r="G378" s="372"/>
    </row>
    <row r="379" spans="1:7" x14ac:dyDescent="0.2">
      <c r="A379" s="364"/>
      <c r="B379" s="401"/>
      <c r="C379" s="371"/>
      <c r="D379" s="376"/>
      <c r="E379" s="414"/>
      <c r="F379" s="418"/>
      <c r="G379" s="372"/>
    </row>
    <row r="380" spans="1:7" x14ac:dyDescent="0.2">
      <c r="A380" s="364"/>
      <c r="B380" s="401"/>
      <c r="C380" s="371"/>
      <c r="D380" s="420"/>
      <c r="E380" s="414"/>
      <c r="F380" s="418"/>
      <c r="G380" s="372"/>
    </row>
    <row r="381" spans="1:7" x14ac:dyDescent="0.2">
      <c r="A381" s="364"/>
      <c r="B381" s="401"/>
      <c r="C381" s="371"/>
      <c r="D381" s="384"/>
      <c r="E381" s="414"/>
      <c r="F381" s="418"/>
      <c r="G381" s="372"/>
    </row>
    <row r="382" spans="1:7" x14ac:dyDescent="0.2">
      <c r="A382" s="364"/>
      <c r="B382" s="401"/>
      <c r="C382" s="371"/>
      <c r="D382" s="384"/>
      <c r="E382" s="414"/>
      <c r="F382" s="418"/>
      <c r="G382" s="372"/>
    </row>
    <row r="383" spans="1:7" x14ac:dyDescent="0.2">
      <c r="A383" s="364"/>
      <c r="B383" s="401"/>
      <c r="C383" s="371"/>
      <c r="D383" s="384"/>
      <c r="E383" s="414"/>
      <c r="F383" s="418"/>
      <c r="G383" s="372"/>
    </row>
    <row r="384" spans="1:7" x14ac:dyDescent="0.2">
      <c r="A384" s="364"/>
      <c r="B384" s="401"/>
      <c r="C384" s="371"/>
      <c r="D384" s="421"/>
      <c r="E384" s="414"/>
      <c r="F384" s="418"/>
      <c r="G384" s="372"/>
    </row>
    <row r="385" spans="1:7" x14ac:dyDescent="0.2">
      <c r="A385" s="364"/>
      <c r="B385" s="401"/>
      <c r="C385" s="371"/>
      <c r="D385" s="160"/>
      <c r="E385" s="407"/>
      <c r="F385" s="403"/>
      <c r="G385" s="372"/>
    </row>
    <row r="386" spans="1:7" x14ac:dyDescent="0.2">
      <c r="A386" s="364"/>
      <c r="B386" s="401"/>
      <c r="C386" s="371"/>
      <c r="D386" s="376"/>
      <c r="E386" s="417"/>
      <c r="F386" s="403"/>
      <c r="G386" s="372"/>
    </row>
    <row r="387" spans="1:7" x14ac:dyDescent="0.2">
      <c r="A387" s="364"/>
      <c r="B387" s="401"/>
      <c r="C387" s="371"/>
      <c r="D387" s="376"/>
      <c r="E387" s="409"/>
      <c r="F387" s="403"/>
      <c r="G387" s="372"/>
    </row>
    <row r="388" spans="1:7" x14ac:dyDescent="0.2">
      <c r="A388" s="364"/>
      <c r="B388" s="401"/>
      <c r="C388" s="422"/>
      <c r="D388" s="384"/>
      <c r="E388" s="423"/>
      <c r="F388" s="424"/>
      <c r="G388" s="372"/>
    </row>
    <row r="389" spans="1:7" x14ac:dyDescent="0.2">
      <c r="A389" s="364"/>
      <c r="B389" s="401"/>
      <c r="C389" s="371"/>
      <c r="D389" s="425"/>
      <c r="E389" s="407"/>
      <c r="F389" s="406"/>
      <c r="G389" s="372"/>
    </row>
    <row r="390" spans="1:7" x14ac:dyDescent="0.2">
      <c r="A390" s="364"/>
      <c r="B390" s="401"/>
      <c r="C390" s="371"/>
      <c r="D390" s="383"/>
      <c r="E390" s="407"/>
      <c r="F390" s="406"/>
      <c r="G390" s="372"/>
    </row>
    <row r="391" spans="1:7" ht="13.5" thickBot="1" x14ac:dyDescent="0.25">
      <c r="A391" s="426"/>
      <c r="B391" s="427"/>
      <c r="C391" s="428"/>
      <c r="D391" s="428"/>
      <c r="E391" s="427"/>
      <c r="F391" s="49" t="s">
        <v>15</v>
      </c>
      <c r="G391" s="50">
        <f>SUM(G357:G390)</f>
        <v>11250</v>
      </c>
    </row>
    <row r="392" spans="1:7" ht="13.5" thickTop="1" x14ac:dyDescent="0.2">
      <c r="A392" s="361" t="s">
        <v>1063</v>
      </c>
      <c r="B392" s="429"/>
      <c r="C392" s="386"/>
      <c r="D392" s="430"/>
      <c r="E392" s="429"/>
      <c r="F392" s="431"/>
      <c r="G392" s="397"/>
    </row>
    <row r="393" spans="1:7" ht="13.5" thickBot="1" x14ac:dyDescent="0.25">
      <c r="A393" s="378"/>
      <c r="B393" s="432"/>
      <c r="C393" s="432" t="s">
        <v>2325</v>
      </c>
      <c r="D393" s="379"/>
      <c r="E393" s="432"/>
      <c r="F393" s="380"/>
      <c r="G393" s="381"/>
    </row>
    <row r="394" spans="1:7" ht="13.5" thickTop="1" x14ac:dyDescent="0.2">
      <c r="A394" s="878"/>
      <c r="B394" s="879"/>
      <c r="C394" s="879"/>
      <c r="D394" s="433" t="s">
        <v>11</v>
      </c>
      <c r="E394" s="880" t="s">
        <v>12</v>
      </c>
      <c r="F394" s="880"/>
      <c r="G394" s="881"/>
    </row>
    <row r="395" spans="1:7" x14ac:dyDescent="0.2">
      <c r="A395" s="866" t="s">
        <v>17</v>
      </c>
      <c r="B395" s="867"/>
      <c r="C395" s="867"/>
      <c r="D395" s="434"/>
      <c r="E395" s="882"/>
      <c r="F395" s="883"/>
      <c r="G395" s="884"/>
    </row>
    <row r="396" spans="1:7" x14ac:dyDescent="0.2">
      <c r="A396" s="866" t="s">
        <v>38</v>
      </c>
      <c r="B396" s="867"/>
      <c r="C396" s="867"/>
      <c r="D396" s="58" t="s">
        <v>299</v>
      </c>
      <c r="E396" s="868" t="s">
        <v>69</v>
      </c>
      <c r="F396" s="868"/>
      <c r="G396" s="869"/>
    </row>
    <row r="397" spans="1:7" ht="13.5" thickBot="1" x14ac:dyDescent="0.25">
      <c r="A397" s="870" t="s">
        <v>39</v>
      </c>
      <c r="B397" s="871"/>
      <c r="C397" s="871"/>
      <c r="D397" s="375" t="s">
        <v>300</v>
      </c>
      <c r="E397" s="872" t="s">
        <v>33</v>
      </c>
      <c r="F397" s="873"/>
      <c r="G397" s="874"/>
    </row>
    <row r="398" spans="1:7" ht="16.5" x14ac:dyDescent="0.25">
      <c r="A398" s="885" t="s">
        <v>29</v>
      </c>
      <c r="B398" s="886"/>
      <c r="C398" s="886"/>
      <c r="D398" s="886"/>
      <c r="E398" s="886"/>
      <c r="F398" s="886"/>
      <c r="G398" s="887"/>
    </row>
    <row r="399" spans="1:7" x14ac:dyDescent="0.2">
      <c r="A399" s="888" t="s">
        <v>48</v>
      </c>
      <c r="B399" s="889"/>
      <c r="C399" s="889"/>
      <c r="D399" s="889"/>
      <c r="E399" s="889"/>
      <c r="F399" s="889"/>
      <c r="G399" s="890"/>
    </row>
    <row r="400" spans="1:7" x14ac:dyDescent="0.2">
      <c r="A400" s="891" t="s">
        <v>49</v>
      </c>
      <c r="B400" s="892"/>
      <c r="C400" s="892"/>
      <c r="D400" s="892"/>
      <c r="E400" s="892"/>
      <c r="F400" s="892"/>
      <c r="G400" s="893"/>
    </row>
    <row r="401" spans="1:7" x14ac:dyDescent="0.2">
      <c r="A401" s="387"/>
      <c r="B401" s="388"/>
      <c r="C401" s="389"/>
      <c r="D401" s="390"/>
      <c r="E401" s="388"/>
      <c r="F401" s="391"/>
      <c r="G401" s="392" t="s">
        <v>20</v>
      </c>
    </row>
    <row r="402" spans="1:7" x14ac:dyDescent="0.2">
      <c r="A402" s="393" t="s">
        <v>1</v>
      </c>
      <c r="B402" s="394"/>
      <c r="C402" s="14" t="s">
        <v>32</v>
      </c>
      <c r="D402" s="394"/>
      <c r="E402" s="362" t="s">
        <v>2339</v>
      </c>
      <c r="F402" s="395"/>
      <c r="G402" s="363" t="s">
        <v>2322</v>
      </c>
    </row>
    <row r="403" spans="1:7" x14ac:dyDescent="0.2">
      <c r="A403" s="361" t="s">
        <v>8</v>
      </c>
      <c r="B403" s="396"/>
      <c r="C403" s="19"/>
      <c r="D403" s="386"/>
      <c r="E403" s="894"/>
      <c r="F403" s="895"/>
      <c r="G403" s="397"/>
    </row>
    <row r="404" spans="1:7" x14ac:dyDescent="0.2">
      <c r="A404" s="373" t="s">
        <v>37</v>
      </c>
      <c r="B404" s="377"/>
      <c r="C404" s="377"/>
      <c r="D404" s="377"/>
      <c r="E404" s="398" t="s">
        <v>46</v>
      </c>
      <c r="F404" s="399"/>
      <c r="G404" s="397" t="s">
        <v>50</v>
      </c>
    </row>
    <row r="405" spans="1:7" x14ac:dyDescent="0.2">
      <c r="A405" s="387"/>
      <c r="B405" s="388"/>
      <c r="C405" s="389"/>
      <c r="D405" s="389"/>
      <c r="E405" s="896"/>
      <c r="F405" s="897"/>
      <c r="G405" s="400"/>
    </row>
    <row r="406" spans="1:7" ht="26.25" thickBot="1" x14ac:dyDescent="0.25">
      <c r="A406" s="26" t="s">
        <v>47</v>
      </c>
      <c r="B406" s="26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3.5" thickTop="1" x14ac:dyDescent="0.2">
      <c r="A407" s="364">
        <v>1</v>
      </c>
      <c r="B407" s="401"/>
      <c r="C407" s="371" t="s">
        <v>242</v>
      </c>
      <c r="D407" s="376" t="s">
        <v>1061</v>
      </c>
      <c r="E407" s="402">
        <v>25</v>
      </c>
      <c r="F407" s="403">
        <v>450</v>
      </c>
      <c r="G407" s="372">
        <f>F407*E407</f>
        <v>11250</v>
      </c>
    </row>
    <row r="408" spans="1:7" x14ac:dyDescent="0.2">
      <c r="A408" s="364"/>
      <c r="B408" s="401"/>
      <c r="C408" s="371"/>
      <c r="D408" s="370" t="s">
        <v>1062</v>
      </c>
      <c r="E408" s="404"/>
      <c r="F408" s="403"/>
      <c r="G408" s="372"/>
    </row>
    <row r="409" spans="1:7" x14ac:dyDescent="0.2">
      <c r="A409" s="364"/>
      <c r="B409" s="401"/>
      <c r="C409" s="371"/>
      <c r="D409" s="370"/>
      <c r="E409" s="405"/>
      <c r="F409" s="406"/>
      <c r="G409" s="372"/>
    </row>
    <row r="410" spans="1:7" x14ac:dyDescent="0.2">
      <c r="A410" s="364"/>
      <c r="B410" s="401"/>
      <c r="C410" s="371"/>
      <c r="D410" s="370"/>
      <c r="E410" s="407"/>
      <c r="F410" s="403"/>
      <c r="G410" s="372"/>
    </row>
    <row r="411" spans="1:7" x14ac:dyDescent="0.2">
      <c r="A411" s="364"/>
      <c r="B411" s="408"/>
      <c r="C411" s="371"/>
      <c r="D411" s="376"/>
      <c r="E411" s="409"/>
      <c r="F411" s="403"/>
      <c r="G411" s="372"/>
    </row>
    <row r="412" spans="1:7" x14ac:dyDescent="0.2">
      <c r="A412" s="364"/>
      <c r="B412" s="408"/>
      <c r="C412" s="371"/>
      <c r="D412" s="376"/>
      <c r="E412" s="409"/>
      <c r="F412" s="403"/>
      <c r="G412" s="372"/>
    </row>
    <row r="413" spans="1:7" x14ac:dyDescent="0.2">
      <c r="A413" s="364"/>
      <c r="B413" s="410"/>
      <c r="C413" s="385"/>
      <c r="D413" s="376"/>
      <c r="E413" s="407"/>
      <c r="F413" s="411"/>
      <c r="G413" s="372"/>
    </row>
    <row r="414" spans="1:7" x14ac:dyDescent="0.2">
      <c r="A414" s="364"/>
      <c r="B414" s="410"/>
      <c r="C414" s="385"/>
      <c r="D414" s="383"/>
      <c r="E414" s="407"/>
      <c r="F414" s="411"/>
      <c r="G414" s="372"/>
    </row>
    <row r="415" spans="1:7" x14ac:dyDescent="0.2">
      <c r="A415" s="364"/>
      <c r="B415" s="401"/>
      <c r="C415" s="371"/>
      <c r="D415" s="383"/>
      <c r="E415" s="412"/>
      <c r="F415" s="403"/>
      <c r="G415" s="372"/>
    </row>
    <row r="416" spans="1:7" x14ac:dyDescent="0.2">
      <c r="A416" s="364"/>
      <c r="B416" s="413"/>
      <c r="C416" s="371"/>
      <c r="D416" s="376"/>
      <c r="E416" s="414"/>
      <c r="F416" s="403"/>
      <c r="G416" s="372"/>
    </row>
    <row r="417" spans="1:7" x14ac:dyDescent="0.2">
      <c r="A417" s="364"/>
      <c r="B417" s="408"/>
      <c r="C417" s="371"/>
      <c r="D417" s="376"/>
      <c r="E417" s="407"/>
      <c r="F417" s="415"/>
      <c r="G417" s="372"/>
    </row>
    <row r="418" spans="1:7" x14ac:dyDescent="0.2">
      <c r="A418" s="364"/>
      <c r="B418" s="416"/>
      <c r="C418" s="371"/>
      <c r="D418" s="376"/>
      <c r="E418" s="417"/>
      <c r="F418" s="403"/>
      <c r="G418" s="372"/>
    </row>
    <row r="419" spans="1:7" x14ac:dyDescent="0.2">
      <c r="A419" s="364"/>
      <c r="B419" s="416"/>
      <c r="C419" s="371"/>
      <c r="D419" s="384"/>
      <c r="E419" s="417"/>
      <c r="F419" s="403"/>
      <c r="G419" s="372"/>
    </row>
    <row r="420" spans="1:7" x14ac:dyDescent="0.2">
      <c r="A420" s="364"/>
      <c r="B420" s="401"/>
      <c r="C420" s="371"/>
      <c r="D420" s="384"/>
      <c r="E420" s="407"/>
      <c r="F420" s="403"/>
      <c r="G420" s="372"/>
    </row>
    <row r="421" spans="1:7" x14ac:dyDescent="0.2">
      <c r="A421" s="364"/>
      <c r="B421" s="401"/>
      <c r="C421" s="371"/>
      <c r="D421" s="384"/>
      <c r="E421" s="417"/>
      <c r="F421" s="403"/>
      <c r="G421" s="372"/>
    </row>
    <row r="422" spans="1:7" x14ac:dyDescent="0.2">
      <c r="A422" s="364"/>
      <c r="B422" s="413"/>
      <c r="C422" s="371"/>
      <c r="D422" s="384"/>
      <c r="E422" s="414"/>
      <c r="F422" s="418"/>
      <c r="G422" s="372"/>
    </row>
    <row r="423" spans="1:7" x14ac:dyDescent="0.2">
      <c r="A423" s="364"/>
      <c r="B423" s="408"/>
      <c r="C423" s="371"/>
      <c r="D423" s="419"/>
      <c r="E423" s="414"/>
      <c r="F423" s="418"/>
      <c r="G423" s="372"/>
    </row>
    <row r="424" spans="1:7" x14ac:dyDescent="0.2">
      <c r="A424" s="364"/>
      <c r="B424" s="408"/>
      <c r="C424" s="371"/>
      <c r="D424" s="384"/>
      <c r="E424" s="414"/>
      <c r="F424" s="418"/>
      <c r="G424" s="372"/>
    </row>
    <row r="425" spans="1:7" x14ac:dyDescent="0.2">
      <c r="A425" s="364"/>
      <c r="B425" s="401"/>
      <c r="C425" s="371"/>
      <c r="D425" s="384"/>
      <c r="E425" s="414"/>
      <c r="F425" s="418"/>
      <c r="G425" s="372"/>
    </row>
    <row r="426" spans="1:7" x14ac:dyDescent="0.2">
      <c r="A426" s="364"/>
      <c r="B426" s="401"/>
      <c r="C426" s="371"/>
      <c r="D426" s="384"/>
      <c r="E426" s="414"/>
      <c r="F426" s="418"/>
      <c r="G426" s="372"/>
    </row>
    <row r="427" spans="1:7" x14ac:dyDescent="0.2">
      <c r="A427" s="364"/>
      <c r="B427" s="401"/>
      <c r="C427" s="371"/>
      <c r="D427" s="384"/>
      <c r="E427" s="414"/>
      <c r="F427" s="418"/>
      <c r="G427" s="372"/>
    </row>
    <row r="428" spans="1:7" x14ac:dyDescent="0.2">
      <c r="A428" s="364"/>
      <c r="B428" s="401"/>
      <c r="C428" s="371"/>
      <c r="D428" s="376"/>
      <c r="E428" s="414"/>
      <c r="F428" s="418"/>
      <c r="G428" s="372"/>
    </row>
    <row r="429" spans="1:7" x14ac:dyDescent="0.2">
      <c r="A429" s="364"/>
      <c r="B429" s="401"/>
      <c r="C429" s="371"/>
      <c r="D429" s="376"/>
      <c r="E429" s="414"/>
      <c r="F429" s="418"/>
      <c r="G429" s="372"/>
    </row>
    <row r="430" spans="1:7" x14ac:dyDescent="0.2">
      <c r="A430" s="364"/>
      <c r="B430" s="401"/>
      <c r="C430" s="371"/>
      <c r="D430" s="420"/>
      <c r="E430" s="414"/>
      <c r="F430" s="418"/>
      <c r="G430" s="372"/>
    </row>
    <row r="431" spans="1:7" x14ac:dyDescent="0.2">
      <c r="A431" s="364"/>
      <c r="B431" s="401"/>
      <c r="C431" s="371"/>
      <c r="D431" s="384"/>
      <c r="E431" s="414"/>
      <c r="F431" s="418"/>
      <c r="G431" s="372"/>
    </row>
    <row r="432" spans="1:7" x14ac:dyDescent="0.2">
      <c r="A432" s="364"/>
      <c r="B432" s="401"/>
      <c r="C432" s="371"/>
      <c r="D432" s="384"/>
      <c r="E432" s="414"/>
      <c r="F432" s="418"/>
      <c r="G432" s="372"/>
    </row>
    <row r="433" spans="1:7" x14ac:dyDescent="0.2">
      <c r="A433" s="364"/>
      <c r="B433" s="401"/>
      <c r="C433" s="371"/>
      <c r="D433" s="384"/>
      <c r="E433" s="414"/>
      <c r="F433" s="418"/>
      <c r="G433" s="372"/>
    </row>
    <row r="434" spans="1:7" x14ac:dyDescent="0.2">
      <c r="A434" s="364"/>
      <c r="B434" s="401"/>
      <c r="C434" s="371"/>
      <c r="D434" s="421"/>
      <c r="E434" s="414"/>
      <c r="F434" s="418"/>
      <c r="G434" s="372"/>
    </row>
    <row r="435" spans="1:7" x14ac:dyDescent="0.2">
      <c r="A435" s="364"/>
      <c r="B435" s="401"/>
      <c r="C435" s="371"/>
      <c r="D435" s="160"/>
      <c r="E435" s="407"/>
      <c r="F435" s="403"/>
      <c r="G435" s="372"/>
    </row>
    <row r="436" spans="1:7" x14ac:dyDescent="0.2">
      <c r="A436" s="364"/>
      <c r="B436" s="401"/>
      <c r="C436" s="371"/>
      <c r="D436" s="376"/>
      <c r="E436" s="417"/>
      <c r="F436" s="403"/>
      <c r="G436" s="372"/>
    </row>
    <row r="437" spans="1:7" x14ac:dyDescent="0.2">
      <c r="A437" s="364"/>
      <c r="B437" s="401"/>
      <c r="C437" s="371"/>
      <c r="D437" s="376"/>
      <c r="E437" s="409"/>
      <c r="F437" s="403"/>
      <c r="G437" s="372"/>
    </row>
    <row r="438" spans="1:7" x14ac:dyDescent="0.2">
      <c r="A438" s="364"/>
      <c r="B438" s="401"/>
      <c r="C438" s="422"/>
      <c r="D438" s="384"/>
      <c r="E438" s="423"/>
      <c r="F438" s="424"/>
      <c r="G438" s="372"/>
    </row>
    <row r="439" spans="1:7" x14ac:dyDescent="0.2">
      <c r="A439" s="364"/>
      <c r="B439" s="401"/>
      <c r="C439" s="371"/>
      <c r="D439" s="425"/>
      <c r="E439" s="407"/>
      <c r="F439" s="406"/>
      <c r="G439" s="372"/>
    </row>
    <row r="440" spans="1:7" x14ac:dyDescent="0.2">
      <c r="A440" s="364"/>
      <c r="B440" s="401"/>
      <c r="C440" s="371"/>
      <c r="D440" s="383"/>
      <c r="E440" s="407"/>
      <c r="F440" s="406"/>
      <c r="G440" s="372"/>
    </row>
    <row r="441" spans="1:7" ht="13.5" thickBot="1" x14ac:dyDescent="0.25">
      <c r="A441" s="426"/>
      <c r="B441" s="427"/>
      <c r="C441" s="428"/>
      <c r="D441" s="428"/>
      <c r="E441" s="427"/>
      <c r="F441" s="49" t="s">
        <v>15</v>
      </c>
      <c r="G441" s="50">
        <f>SUM(G407:G440)</f>
        <v>11250</v>
      </c>
    </row>
    <row r="442" spans="1:7" ht="13.5" thickTop="1" x14ac:dyDescent="0.2">
      <c r="A442" s="361" t="s">
        <v>1063</v>
      </c>
      <c r="B442" s="429"/>
      <c r="C442" s="386"/>
      <c r="D442" s="430"/>
      <c r="E442" s="429"/>
      <c r="F442" s="431"/>
      <c r="G442" s="397"/>
    </row>
    <row r="443" spans="1:7" ht="13.5" thickBot="1" x14ac:dyDescent="0.25">
      <c r="A443" s="378"/>
      <c r="B443" s="432"/>
      <c r="C443" s="432" t="s">
        <v>2327</v>
      </c>
      <c r="D443" s="379"/>
      <c r="E443" s="432"/>
      <c r="F443" s="380"/>
      <c r="G443" s="381"/>
    </row>
    <row r="444" spans="1:7" ht="13.5" thickTop="1" x14ac:dyDescent="0.2">
      <c r="A444" s="878"/>
      <c r="B444" s="879"/>
      <c r="C444" s="879"/>
      <c r="D444" s="433" t="s">
        <v>11</v>
      </c>
      <c r="E444" s="880" t="s">
        <v>12</v>
      </c>
      <c r="F444" s="880"/>
      <c r="G444" s="881"/>
    </row>
    <row r="445" spans="1:7" x14ac:dyDescent="0.2">
      <c r="A445" s="866" t="s">
        <v>17</v>
      </c>
      <c r="B445" s="867"/>
      <c r="C445" s="867"/>
      <c r="D445" s="434"/>
      <c r="E445" s="882"/>
      <c r="F445" s="883"/>
      <c r="G445" s="884"/>
    </row>
    <row r="446" spans="1:7" x14ac:dyDescent="0.2">
      <c r="A446" s="866" t="s">
        <v>38</v>
      </c>
      <c r="B446" s="867"/>
      <c r="C446" s="867"/>
      <c r="D446" s="58" t="s">
        <v>299</v>
      </c>
      <c r="E446" s="868" t="s">
        <v>69</v>
      </c>
      <c r="F446" s="868"/>
      <c r="G446" s="869"/>
    </row>
    <row r="447" spans="1:7" ht="13.5" thickBot="1" x14ac:dyDescent="0.25">
      <c r="A447" s="870" t="s">
        <v>39</v>
      </c>
      <c r="B447" s="871"/>
      <c r="C447" s="871"/>
      <c r="D447" s="375" t="s">
        <v>300</v>
      </c>
      <c r="E447" s="872" t="s">
        <v>33</v>
      </c>
      <c r="F447" s="873"/>
      <c r="G447" s="874"/>
    </row>
    <row r="448" spans="1:7" ht="16.5" x14ac:dyDescent="0.25">
      <c r="A448" s="885" t="s">
        <v>29</v>
      </c>
      <c r="B448" s="886"/>
      <c r="C448" s="886"/>
      <c r="D448" s="886"/>
      <c r="E448" s="886"/>
      <c r="F448" s="886"/>
      <c r="G448" s="887"/>
    </row>
    <row r="449" spans="1:7" x14ac:dyDescent="0.2">
      <c r="A449" s="888" t="s">
        <v>48</v>
      </c>
      <c r="B449" s="889"/>
      <c r="C449" s="889"/>
      <c r="D449" s="889"/>
      <c r="E449" s="889"/>
      <c r="F449" s="889"/>
      <c r="G449" s="890"/>
    </row>
    <row r="450" spans="1:7" x14ac:dyDescent="0.2">
      <c r="A450" s="891" t="s">
        <v>49</v>
      </c>
      <c r="B450" s="892"/>
      <c r="C450" s="892"/>
      <c r="D450" s="892"/>
      <c r="E450" s="892"/>
      <c r="F450" s="892"/>
      <c r="G450" s="893"/>
    </row>
    <row r="451" spans="1:7" x14ac:dyDescent="0.2">
      <c r="A451" s="387"/>
      <c r="B451" s="388"/>
      <c r="C451" s="389"/>
      <c r="D451" s="390"/>
      <c r="E451" s="388"/>
      <c r="F451" s="391"/>
      <c r="G451" s="392" t="s">
        <v>20</v>
      </c>
    </row>
    <row r="452" spans="1:7" x14ac:dyDescent="0.2">
      <c r="A452" s="393" t="s">
        <v>1</v>
      </c>
      <c r="B452" s="394"/>
      <c r="C452" s="14" t="s">
        <v>32</v>
      </c>
      <c r="D452" s="394"/>
      <c r="E452" s="362" t="s">
        <v>2566</v>
      </c>
      <c r="F452" s="395"/>
      <c r="G452" s="363" t="s">
        <v>2562</v>
      </c>
    </row>
    <row r="453" spans="1:7" x14ac:dyDescent="0.2">
      <c r="A453" s="361" t="s">
        <v>8</v>
      </c>
      <c r="B453" s="396"/>
      <c r="C453" s="19"/>
      <c r="D453" s="386"/>
      <c r="E453" s="894"/>
      <c r="F453" s="895"/>
      <c r="G453" s="397"/>
    </row>
    <row r="454" spans="1:7" x14ac:dyDescent="0.2">
      <c r="A454" s="373" t="s">
        <v>37</v>
      </c>
      <c r="B454" s="377"/>
      <c r="C454" s="377"/>
      <c r="D454" s="377"/>
      <c r="E454" s="398" t="s">
        <v>46</v>
      </c>
      <c r="F454" s="399"/>
      <c r="G454" s="397" t="s">
        <v>50</v>
      </c>
    </row>
    <row r="455" spans="1:7" x14ac:dyDescent="0.2">
      <c r="A455" s="387"/>
      <c r="B455" s="388"/>
      <c r="C455" s="389"/>
      <c r="D455" s="389"/>
      <c r="E455" s="896"/>
      <c r="F455" s="897"/>
      <c r="G455" s="400"/>
    </row>
    <row r="456" spans="1:7" ht="26.25" thickBot="1" x14ac:dyDescent="0.25">
      <c r="A456" s="26" t="s">
        <v>47</v>
      </c>
      <c r="B456" s="26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</row>
    <row r="457" spans="1:7" ht="13.5" thickTop="1" x14ac:dyDescent="0.2">
      <c r="A457" s="364">
        <v>1</v>
      </c>
      <c r="B457" s="401"/>
      <c r="C457" s="371" t="s">
        <v>242</v>
      </c>
      <c r="D457" s="376" t="s">
        <v>1061</v>
      </c>
      <c r="E457" s="402">
        <v>25</v>
      </c>
      <c r="F457" s="403">
        <v>450</v>
      </c>
      <c r="G457" s="372">
        <f>F457*E457</f>
        <v>11250</v>
      </c>
    </row>
    <row r="458" spans="1:7" x14ac:dyDescent="0.2">
      <c r="A458" s="364"/>
      <c r="B458" s="401"/>
      <c r="C458" s="371"/>
      <c r="D458" s="370" t="s">
        <v>1062</v>
      </c>
      <c r="E458" s="404"/>
      <c r="F458" s="403"/>
      <c r="G458" s="372"/>
    </row>
    <row r="459" spans="1:7" x14ac:dyDescent="0.2">
      <c r="A459" s="364"/>
      <c r="B459" s="401"/>
      <c r="C459" s="371"/>
      <c r="D459" s="370"/>
      <c r="E459" s="405"/>
      <c r="F459" s="406"/>
      <c r="G459" s="372"/>
    </row>
    <row r="460" spans="1:7" x14ac:dyDescent="0.2">
      <c r="A460" s="364"/>
      <c r="B460" s="401"/>
      <c r="C460" s="371"/>
      <c r="D460" s="370"/>
      <c r="E460" s="407"/>
      <c r="F460" s="403"/>
      <c r="G460" s="372"/>
    </row>
    <row r="461" spans="1:7" x14ac:dyDescent="0.2">
      <c r="A461" s="364"/>
      <c r="B461" s="408"/>
      <c r="C461" s="371"/>
      <c r="D461" s="376"/>
      <c r="E461" s="409"/>
      <c r="F461" s="403"/>
      <c r="G461" s="372"/>
    </row>
    <row r="462" spans="1:7" x14ac:dyDescent="0.2">
      <c r="A462" s="364"/>
      <c r="B462" s="408"/>
      <c r="C462" s="371"/>
      <c r="D462" s="376"/>
      <c r="E462" s="409"/>
      <c r="F462" s="403"/>
      <c r="G462" s="372"/>
    </row>
    <row r="463" spans="1:7" x14ac:dyDescent="0.2">
      <c r="A463" s="364"/>
      <c r="B463" s="410"/>
      <c r="C463" s="385"/>
      <c r="D463" s="376"/>
      <c r="E463" s="407"/>
      <c r="F463" s="411"/>
      <c r="G463" s="372"/>
    </row>
    <row r="464" spans="1:7" x14ac:dyDescent="0.2">
      <c r="A464" s="364"/>
      <c r="B464" s="410"/>
      <c r="C464" s="385"/>
      <c r="D464" s="383"/>
      <c r="E464" s="407"/>
      <c r="F464" s="411"/>
      <c r="G464" s="372"/>
    </row>
    <row r="465" spans="1:7" x14ac:dyDescent="0.2">
      <c r="A465" s="364"/>
      <c r="B465" s="401"/>
      <c r="C465" s="371"/>
      <c r="D465" s="383"/>
      <c r="E465" s="412"/>
      <c r="F465" s="403"/>
      <c r="G465" s="372"/>
    </row>
    <row r="466" spans="1:7" x14ac:dyDescent="0.2">
      <c r="A466" s="364"/>
      <c r="B466" s="413"/>
      <c r="C466" s="371"/>
      <c r="D466" s="376"/>
      <c r="E466" s="414"/>
      <c r="F466" s="403"/>
      <c r="G466" s="372"/>
    </row>
    <row r="467" spans="1:7" x14ac:dyDescent="0.2">
      <c r="A467" s="364"/>
      <c r="B467" s="408"/>
      <c r="C467" s="371"/>
      <c r="D467" s="376"/>
      <c r="E467" s="407"/>
      <c r="F467" s="415"/>
      <c r="G467" s="372"/>
    </row>
    <row r="468" spans="1:7" x14ac:dyDescent="0.2">
      <c r="A468" s="364"/>
      <c r="B468" s="416"/>
      <c r="C468" s="371"/>
      <c r="D468" s="376"/>
      <c r="E468" s="417"/>
      <c r="F468" s="403"/>
      <c r="G468" s="372"/>
    </row>
    <row r="469" spans="1:7" x14ac:dyDescent="0.2">
      <c r="A469" s="364"/>
      <c r="B469" s="416"/>
      <c r="C469" s="371"/>
      <c r="D469" s="384"/>
      <c r="E469" s="417"/>
      <c r="F469" s="403"/>
      <c r="G469" s="372"/>
    </row>
    <row r="470" spans="1:7" x14ac:dyDescent="0.2">
      <c r="A470" s="364"/>
      <c r="B470" s="401"/>
      <c r="C470" s="371"/>
      <c r="D470" s="384"/>
      <c r="E470" s="407"/>
      <c r="F470" s="403"/>
      <c r="G470" s="372"/>
    </row>
    <row r="471" spans="1:7" x14ac:dyDescent="0.2">
      <c r="A471" s="364"/>
      <c r="B471" s="401"/>
      <c r="C471" s="371"/>
      <c r="D471" s="384"/>
      <c r="E471" s="417"/>
      <c r="F471" s="403"/>
      <c r="G471" s="372"/>
    </row>
    <row r="472" spans="1:7" x14ac:dyDescent="0.2">
      <c r="A472" s="364"/>
      <c r="B472" s="413"/>
      <c r="C472" s="371"/>
      <c r="D472" s="384"/>
      <c r="E472" s="414"/>
      <c r="F472" s="418"/>
      <c r="G472" s="372"/>
    </row>
    <row r="473" spans="1:7" x14ac:dyDescent="0.2">
      <c r="A473" s="364"/>
      <c r="B473" s="408"/>
      <c r="C473" s="371"/>
      <c r="D473" s="419"/>
      <c r="E473" s="414"/>
      <c r="F473" s="418"/>
      <c r="G473" s="372"/>
    </row>
    <row r="474" spans="1:7" x14ac:dyDescent="0.2">
      <c r="A474" s="364"/>
      <c r="B474" s="408"/>
      <c r="C474" s="371"/>
      <c r="D474" s="384"/>
      <c r="E474" s="414"/>
      <c r="F474" s="418"/>
      <c r="G474" s="372"/>
    </row>
    <row r="475" spans="1:7" x14ac:dyDescent="0.2">
      <c r="A475" s="364"/>
      <c r="B475" s="401"/>
      <c r="C475" s="371"/>
      <c r="D475" s="384"/>
      <c r="E475" s="414"/>
      <c r="F475" s="418"/>
      <c r="G475" s="372"/>
    </row>
    <row r="476" spans="1:7" x14ac:dyDescent="0.2">
      <c r="A476" s="364"/>
      <c r="B476" s="401"/>
      <c r="C476" s="371"/>
      <c r="D476" s="384"/>
      <c r="E476" s="414"/>
      <c r="F476" s="418"/>
      <c r="G476" s="372"/>
    </row>
    <row r="477" spans="1:7" x14ac:dyDescent="0.2">
      <c r="A477" s="364"/>
      <c r="B477" s="401"/>
      <c r="C477" s="371"/>
      <c r="D477" s="384"/>
      <c r="E477" s="414"/>
      <c r="F477" s="418"/>
      <c r="G477" s="372"/>
    </row>
    <row r="478" spans="1:7" x14ac:dyDescent="0.2">
      <c r="A478" s="364"/>
      <c r="B478" s="401"/>
      <c r="C478" s="371"/>
      <c r="D478" s="376"/>
      <c r="E478" s="414"/>
      <c r="F478" s="418"/>
      <c r="G478" s="372"/>
    </row>
    <row r="479" spans="1:7" x14ac:dyDescent="0.2">
      <c r="A479" s="364"/>
      <c r="B479" s="401"/>
      <c r="C479" s="371"/>
      <c r="D479" s="376"/>
      <c r="E479" s="414"/>
      <c r="F479" s="418"/>
      <c r="G479" s="372"/>
    </row>
    <row r="480" spans="1:7" x14ac:dyDescent="0.2">
      <c r="A480" s="364"/>
      <c r="B480" s="401"/>
      <c r="C480" s="371"/>
      <c r="D480" s="420"/>
      <c r="E480" s="414"/>
      <c r="F480" s="418"/>
      <c r="G480" s="372"/>
    </row>
    <row r="481" spans="1:7" x14ac:dyDescent="0.2">
      <c r="A481" s="364"/>
      <c r="B481" s="401"/>
      <c r="C481" s="371"/>
      <c r="D481" s="384"/>
      <c r="E481" s="414"/>
      <c r="F481" s="418"/>
      <c r="G481" s="372"/>
    </row>
    <row r="482" spans="1:7" x14ac:dyDescent="0.2">
      <c r="A482" s="364"/>
      <c r="B482" s="401"/>
      <c r="C482" s="371"/>
      <c r="D482" s="384"/>
      <c r="E482" s="414"/>
      <c r="F482" s="418"/>
      <c r="G482" s="372"/>
    </row>
    <row r="483" spans="1:7" x14ac:dyDescent="0.2">
      <c r="A483" s="364"/>
      <c r="B483" s="401"/>
      <c r="C483" s="371"/>
      <c r="D483" s="384"/>
      <c r="E483" s="414"/>
      <c r="F483" s="418"/>
      <c r="G483" s="372"/>
    </row>
    <row r="484" spans="1:7" x14ac:dyDescent="0.2">
      <c r="A484" s="364"/>
      <c r="B484" s="401"/>
      <c r="C484" s="371"/>
      <c r="D484" s="421"/>
      <c r="E484" s="414"/>
      <c r="F484" s="418"/>
      <c r="G484" s="372"/>
    </row>
    <row r="485" spans="1:7" x14ac:dyDescent="0.2">
      <c r="A485" s="364"/>
      <c r="B485" s="401"/>
      <c r="C485" s="371"/>
      <c r="D485" s="160"/>
      <c r="E485" s="407"/>
      <c r="F485" s="403"/>
      <c r="G485" s="372"/>
    </row>
    <row r="486" spans="1:7" x14ac:dyDescent="0.2">
      <c r="A486" s="364"/>
      <c r="B486" s="401"/>
      <c r="C486" s="371"/>
      <c r="D486" s="376"/>
      <c r="E486" s="417"/>
      <c r="F486" s="403"/>
      <c r="G486" s="372"/>
    </row>
    <row r="487" spans="1:7" x14ac:dyDescent="0.2">
      <c r="A487" s="364"/>
      <c r="B487" s="401"/>
      <c r="C487" s="371"/>
      <c r="D487" s="376"/>
      <c r="E487" s="409"/>
      <c r="F487" s="403"/>
      <c r="G487" s="372"/>
    </row>
    <row r="488" spans="1:7" x14ac:dyDescent="0.2">
      <c r="A488" s="364"/>
      <c r="B488" s="401"/>
      <c r="C488" s="422"/>
      <c r="D488" s="384"/>
      <c r="E488" s="423"/>
      <c r="F488" s="424"/>
      <c r="G488" s="372"/>
    </row>
    <row r="489" spans="1:7" x14ac:dyDescent="0.2">
      <c r="A489" s="364"/>
      <c r="B489" s="401"/>
      <c r="C489" s="371"/>
      <c r="D489" s="425"/>
      <c r="E489" s="407"/>
      <c r="F489" s="406"/>
      <c r="G489" s="372"/>
    </row>
    <row r="490" spans="1:7" x14ac:dyDescent="0.2">
      <c r="A490" s="364"/>
      <c r="B490" s="401"/>
      <c r="C490" s="371"/>
      <c r="D490" s="383"/>
      <c r="E490" s="407"/>
      <c r="F490" s="406"/>
      <c r="G490" s="372"/>
    </row>
    <row r="491" spans="1:7" ht="13.5" thickBot="1" x14ac:dyDescent="0.25">
      <c r="A491" s="426"/>
      <c r="B491" s="427"/>
      <c r="C491" s="428"/>
      <c r="D491" s="428"/>
      <c r="E491" s="427"/>
      <c r="F491" s="49" t="s">
        <v>15</v>
      </c>
      <c r="G491" s="50">
        <f>SUM(G457:G490)</f>
        <v>11250</v>
      </c>
    </row>
    <row r="492" spans="1:7" ht="13.5" thickTop="1" x14ac:dyDescent="0.2">
      <c r="A492" s="361" t="s">
        <v>1063</v>
      </c>
      <c r="B492" s="429"/>
      <c r="C492" s="386"/>
      <c r="D492" s="430"/>
      <c r="E492" s="429"/>
      <c r="F492" s="431"/>
      <c r="G492" s="397"/>
    </row>
    <row r="493" spans="1:7" ht="13.5" thickBot="1" x14ac:dyDescent="0.25">
      <c r="A493" s="378"/>
      <c r="B493" s="432"/>
      <c r="C493" s="432" t="s">
        <v>2567</v>
      </c>
      <c r="D493" s="379"/>
      <c r="E493" s="432"/>
      <c r="F493" s="380"/>
      <c r="G493" s="381"/>
    </row>
    <row r="494" spans="1:7" ht="13.5" thickTop="1" x14ac:dyDescent="0.2">
      <c r="A494" s="878"/>
      <c r="B494" s="879"/>
      <c r="C494" s="879"/>
      <c r="D494" s="433" t="s">
        <v>11</v>
      </c>
      <c r="E494" s="880" t="s">
        <v>12</v>
      </c>
      <c r="F494" s="880"/>
      <c r="G494" s="881"/>
    </row>
    <row r="495" spans="1:7" x14ac:dyDescent="0.2">
      <c r="A495" s="866" t="s">
        <v>17</v>
      </c>
      <c r="B495" s="867"/>
      <c r="C495" s="867"/>
      <c r="D495" s="434"/>
      <c r="E495" s="882"/>
      <c r="F495" s="883"/>
      <c r="G495" s="884"/>
    </row>
    <row r="496" spans="1:7" x14ac:dyDescent="0.2">
      <c r="A496" s="866" t="s">
        <v>38</v>
      </c>
      <c r="B496" s="867"/>
      <c r="C496" s="867"/>
      <c r="D496" s="58" t="s">
        <v>299</v>
      </c>
      <c r="E496" s="868" t="s">
        <v>69</v>
      </c>
      <c r="F496" s="868"/>
      <c r="G496" s="869"/>
    </row>
    <row r="497" spans="1:7" ht="13.5" thickBot="1" x14ac:dyDescent="0.25">
      <c r="A497" s="870" t="s">
        <v>39</v>
      </c>
      <c r="B497" s="871"/>
      <c r="C497" s="871"/>
      <c r="D497" s="375" t="s">
        <v>300</v>
      </c>
      <c r="E497" s="872" t="s">
        <v>33</v>
      </c>
      <c r="F497" s="873"/>
      <c r="G497" s="874"/>
    </row>
    <row r="498" spans="1:7" ht="16.5" x14ac:dyDescent="0.25">
      <c r="A498" s="885" t="s">
        <v>29</v>
      </c>
      <c r="B498" s="886"/>
      <c r="C498" s="886"/>
      <c r="D498" s="886"/>
      <c r="E498" s="886"/>
      <c r="F498" s="886"/>
      <c r="G498" s="887"/>
    </row>
    <row r="499" spans="1:7" x14ac:dyDescent="0.2">
      <c r="A499" s="888" t="s">
        <v>48</v>
      </c>
      <c r="B499" s="889"/>
      <c r="C499" s="889"/>
      <c r="D499" s="889"/>
      <c r="E499" s="889"/>
      <c r="F499" s="889"/>
      <c r="G499" s="890"/>
    </row>
    <row r="500" spans="1:7" x14ac:dyDescent="0.2">
      <c r="A500" s="891" t="s">
        <v>49</v>
      </c>
      <c r="B500" s="892"/>
      <c r="C500" s="892"/>
      <c r="D500" s="892"/>
      <c r="E500" s="892"/>
      <c r="F500" s="892"/>
      <c r="G500" s="893"/>
    </row>
    <row r="501" spans="1:7" x14ac:dyDescent="0.2">
      <c r="A501" s="387"/>
      <c r="B501" s="388"/>
      <c r="C501" s="389"/>
      <c r="D501" s="390"/>
      <c r="E501" s="388"/>
      <c r="F501" s="391"/>
      <c r="G501" s="392" t="s">
        <v>20</v>
      </c>
    </row>
    <row r="502" spans="1:7" x14ac:dyDescent="0.2">
      <c r="A502" s="393" t="s">
        <v>1</v>
      </c>
      <c r="B502" s="394"/>
      <c r="C502" s="14" t="s">
        <v>32</v>
      </c>
      <c r="D502" s="394"/>
      <c r="E502" s="362" t="s">
        <v>2573</v>
      </c>
      <c r="F502" s="395"/>
      <c r="G502" s="363" t="s">
        <v>2562</v>
      </c>
    </row>
    <row r="503" spans="1:7" x14ac:dyDescent="0.2">
      <c r="A503" s="361" t="s">
        <v>8</v>
      </c>
      <c r="B503" s="396"/>
      <c r="C503" s="19"/>
      <c r="D503" s="386"/>
      <c r="E503" s="894"/>
      <c r="F503" s="895"/>
      <c r="G503" s="397"/>
    </row>
    <row r="504" spans="1:7" x14ac:dyDescent="0.2">
      <c r="A504" s="373" t="s">
        <v>37</v>
      </c>
      <c r="B504" s="377"/>
      <c r="C504" s="377"/>
      <c r="D504" s="377"/>
      <c r="E504" s="398" t="s">
        <v>46</v>
      </c>
      <c r="F504" s="399"/>
      <c r="G504" s="397" t="s">
        <v>50</v>
      </c>
    </row>
    <row r="505" spans="1:7" x14ac:dyDescent="0.2">
      <c r="A505" s="387"/>
      <c r="B505" s="388"/>
      <c r="C505" s="389"/>
      <c r="D505" s="389"/>
      <c r="E505" s="896"/>
      <c r="F505" s="897"/>
      <c r="G505" s="400"/>
    </row>
    <row r="506" spans="1:7" ht="26.25" thickBot="1" x14ac:dyDescent="0.25">
      <c r="A506" s="26" t="s">
        <v>47</v>
      </c>
      <c r="B506" s="26" t="s">
        <v>23</v>
      </c>
      <c r="C506" s="28" t="s">
        <v>34</v>
      </c>
      <c r="D506" s="110" t="s">
        <v>53</v>
      </c>
      <c r="E506" s="114" t="s">
        <v>54</v>
      </c>
      <c r="F506" s="111" t="s">
        <v>55</v>
      </c>
      <c r="G506" s="112" t="s">
        <v>35</v>
      </c>
    </row>
    <row r="507" spans="1:7" ht="13.5" thickTop="1" x14ac:dyDescent="0.2">
      <c r="A507" s="364">
        <v>1</v>
      </c>
      <c r="B507" s="401"/>
      <c r="C507" s="371" t="s">
        <v>242</v>
      </c>
      <c r="D507" s="376" t="s">
        <v>1061</v>
      </c>
      <c r="E507" s="402">
        <v>25</v>
      </c>
      <c r="F507" s="403">
        <v>450</v>
      </c>
      <c r="G507" s="372">
        <f>F507*E507</f>
        <v>11250</v>
      </c>
    </row>
    <row r="508" spans="1:7" x14ac:dyDescent="0.2">
      <c r="A508" s="364"/>
      <c r="B508" s="401"/>
      <c r="C508" s="371"/>
      <c r="D508" s="370" t="s">
        <v>1062</v>
      </c>
      <c r="E508" s="404"/>
      <c r="F508" s="403"/>
      <c r="G508" s="372"/>
    </row>
    <row r="509" spans="1:7" x14ac:dyDescent="0.2">
      <c r="A509" s="364"/>
      <c r="B509" s="401"/>
      <c r="C509" s="371"/>
      <c r="D509" s="370"/>
      <c r="E509" s="405"/>
      <c r="F509" s="406"/>
      <c r="G509" s="372"/>
    </row>
    <row r="510" spans="1:7" x14ac:dyDescent="0.2">
      <c r="A510" s="364"/>
      <c r="B510" s="401"/>
      <c r="C510" s="371"/>
      <c r="D510" s="370"/>
      <c r="E510" s="407"/>
      <c r="F510" s="403"/>
      <c r="G510" s="372"/>
    </row>
    <row r="511" spans="1:7" x14ac:dyDescent="0.2">
      <c r="A511" s="364"/>
      <c r="B511" s="408"/>
      <c r="C511" s="371"/>
      <c r="D511" s="376"/>
      <c r="E511" s="409"/>
      <c r="F511" s="403"/>
      <c r="G511" s="372"/>
    </row>
    <row r="512" spans="1:7" x14ac:dyDescent="0.2">
      <c r="A512" s="364"/>
      <c r="B512" s="408"/>
      <c r="C512" s="371"/>
      <c r="D512" s="376"/>
      <c r="E512" s="409"/>
      <c r="F512" s="403"/>
      <c r="G512" s="372"/>
    </row>
    <row r="513" spans="1:7" x14ac:dyDescent="0.2">
      <c r="A513" s="364"/>
      <c r="B513" s="410"/>
      <c r="C513" s="385"/>
      <c r="D513" s="376"/>
      <c r="E513" s="407"/>
      <c r="F513" s="411"/>
      <c r="G513" s="372"/>
    </row>
    <row r="514" spans="1:7" x14ac:dyDescent="0.2">
      <c r="A514" s="364"/>
      <c r="B514" s="410"/>
      <c r="C514" s="385"/>
      <c r="D514" s="383"/>
      <c r="E514" s="407"/>
      <c r="F514" s="411"/>
      <c r="G514" s="372"/>
    </row>
    <row r="515" spans="1:7" x14ac:dyDescent="0.2">
      <c r="A515" s="364"/>
      <c r="B515" s="401"/>
      <c r="C515" s="371"/>
      <c r="D515" s="383"/>
      <c r="E515" s="412"/>
      <c r="F515" s="403"/>
      <c r="G515" s="372"/>
    </row>
    <row r="516" spans="1:7" x14ac:dyDescent="0.2">
      <c r="A516" s="364"/>
      <c r="B516" s="413"/>
      <c r="C516" s="371"/>
      <c r="D516" s="376"/>
      <c r="E516" s="414"/>
      <c r="F516" s="403"/>
      <c r="G516" s="372"/>
    </row>
    <row r="517" spans="1:7" x14ac:dyDescent="0.2">
      <c r="A517" s="364"/>
      <c r="B517" s="408"/>
      <c r="C517" s="371"/>
      <c r="D517" s="376"/>
      <c r="E517" s="407"/>
      <c r="F517" s="415"/>
      <c r="G517" s="372"/>
    </row>
    <row r="518" spans="1:7" x14ac:dyDescent="0.2">
      <c r="A518" s="364"/>
      <c r="B518" s="416"/>
      <c r="C518" s="371"/>
      <c r="D518" s="376"/>
      <c r="E518" s="417"/>
      <c r="F518" s="403"/>
      <c r="G518" s="372"/>
    </row>
    <row r="519" spans="1:7" x14ac:dyDescent="0.2">
      <c r="A519" s="364"/>
      <c r="B519" s="416"/>
      <c r="C519" s="371"/>
      <c r="D519" s="384"/>
      <c r="E519" s="417"/>
      <c r="F519" s="403"/>
      <c r="G519" s="372"/>
    </row>
    <row r="520" spans="1:7" x14ac:dyDescent="0.2">
      <c r="A520" s="364"/>
      <c r="B520" s="401"/>
      <c r="C520" s="371"/>
      <c r="D520" s="384"/>
      <c r="E520" s="407"/>
      <c r="F520" s="403"/>
      <c r="G520" s="372"/>
    </row>
    <row r="521" spans="1:7" x14ac:dyDescent="0.2">
      <c r="A521" s="364"/>
      <c r="B521" s="401"/>
      <c r="C521" s="371"/>
      <c r="D521" s="384"/>
      <c r="E521" s="417"/>
      <c r="F521" s="403"/>
      <c r="G521" s="372"/>
    </row>
    <row r="522" spans="1:7" x14ac:dyDescent="0.2">
      <c r="A522" s="364"/>
      <c r="B522" s="413"/>
      <c r="C522" s="371"/>
      <c r="D522" s="384"/>
      <c r="E522" s="414"/>
      <c r="F522" s="418"/>
      <c r="G522" s="372"/>
    </row>
    <row r="523" spans="1:7" x14ac:dyDescent="0.2">
      <c r="A523" s="364"/>
      <c r="B523" s="408"/>
      <c r="C523" s="371"/>
      <c r="D523" s="419"/>
      <c r="E523" s="414"/>
      <c r="F523" s="418"/>
      <c r="G523" s="372"/>
    </row>
    <row r="524" spans="1:7" x14ac:dyDescent="0.2">
      <c r="A524" s="364"/>
      <c r="B524" s="408"/>
      <c r="C524" s="371"/>
      <c r="D524" s="384"/>
      <c r="E524" s="414"/>
      <c r="F524" s="418"/>
      <c r="G524" s="372"/>
    </row>
    <row r="525" spans="1:7" x14ac:dyDescent="0.2">
      <c r="A525" s="364"/>
      <c r="B525" s="401"/>
      <c r="C525" s="371"/>
      <c r="D525" s="384"/>
      <c r="E525" s="414"/>
      <c r="F525" s="418"/>
      <c r="G525" s="372"/>
    </row>
    <row r="526" spans="1:7" x14ac:dyDescent="0.2">
      <c r="A526" s="364"/>
      <c r="B526" s="401"/>
      <c r="C526" s="371"/>
      <c r="D526" s="384"/>
      <c r="E526" s="414"/>
      <c r="F526" s="418"/>
      <c r="G526" s="372"/>
    </row>
    <row r="527" spans="1:7" x14ac:dyDescent="0.2">
      <c r="A527" s="364"/>
      <c r="B527" s="401"/>
      <c r="C527" s="371"/>
      <c r="D527" s="384"/>
      <c r="E527" s="414"/>
      <c r="F527" s="418"/>
      <c r="G527" s="372"/>
    </row>
    <row r="528" spans="1:7" x14ac:dyDescent="0.2">
      <c r="A528" s="364"/>
      <c r="B528" s="401"/>
      <c r="C528" s="371"/>
      <c r="D528" s="376"/>
      <c r="E528" s="414"/>
      <c r="F528" s="418"/>
      <c r="G528" s="372"/>
    </row>
    <row r="529" spans="1:7" x14ac:dyDescent="0.2">
      <c r="A529" s="364"/>
      <c r="B529" s="401"/>
      <c r="C529" s="371"/>
      <c r="D529" s="376"/>
      <c r="E529" s="414"/>
      <c r="F529" s="418"/>
      <c r="G529" s="372"/>
    </row>
    <row r="530" spans="1:7" x14ac:dyDescent="0.2">
      <c r="A530" s="364"/>
      <c r="B530" s="401"/>
      <c r="C530" s="371"/>
      <c r="D530" s="420"/>
      <c r="E530" s="414"/>
      <c r="F530" s="418"/>
      <c r="G530" s="372"/>
    </row>
    <row r="531" spans="1:7" x14ac:dyDescent="0.2">
      <c r="A531" s="364"/>
      <c r="B531" s="401"/>
      <c r="C531" s="371"/>
      <c r="D531" s="384"/>
      <c r="E531" s="414"/>
      <c r="F531" s="418"/>
      <c r="G531" s="372"/>
    </row>
    <row r="532" spans="1:7" x14ac:dyDescent="0.2">
      <c r="A532" s="364"/>
      <c r="B532" s="401"/>
      <c r="C532" s="371"/>
      <c r="D532" s="384"/>
      <c r="E532" s="414"/>
      <c r="F532" s="418"/>
      <c r="G532" s="372"/>
    </row>
    <row r="533" spans="1:7" x14ac:dyDescent="0.2">
      <c r="A533" s="364"/>
      <c r="B533" s="401"/>
      <c r="C533" s="371"/>
      <c r="D533" s="384"/>
      <c r="E533" s="414"/>
      <c r="F533" s="418"/>
      <c r="G533" s="372"/>
    </row>
    <row r="534" spans="1:7" x14ac:dyDescent="0.2">
      <c r="A534" s="364"/>
      <c r="B534" s="401"/>
      <c r="C534" s="371"/>
      <c r="D534" s="421"/>
      <c r="E534" s="414"/>
      <c r="F534" s="418"/>
      <c r="G534" s="372"/>
    </row>
    <row r="535" spans="1:7" x14ac:dyDescent="0.2">
      <c r="A535" s="364"/>
      <c r="B535" s="401"/>
      <c r="C535" s="371"/>
      <c r="D535" s="160"/>
      <c r="E535" s="407"/>
      <c r="F535" s="403"/>
      <c r="G535" s="372"/>
    </row>
    <row r="536" spans="1:7" x14ac:dyDescent="0.2">
      <c r="A536" s="364"/>
      <c r="B536" s="401"/>
      <c r="C536" s="371"/>
      <c r="D536" s="376"/>
      <c r="E536" s="417"/>
      <c r="F536" s="403"/>
      <c r="G536" s="372"/>
    </row>
    <row r="537" spans="1:7" x14ac:dyDescent="0.2">
      <c r="A537" s="364"/>
      <c r="B537" s="401"/>
      <c r="C537" s="371"/>
      <c r="D537" s="376"/>
      <c r="E537" s="409"/>
      <c r="F537" s="403"/>
      <c r="G537" s="372"/>
    </row>
    <row r="538" spans="1:7" x14ac:dyDescent="0.2">
      <c r="A538" s="364"/>
      <c r="B538" s="401"/>
      <c r="C538" s="422"/>
      <c r="D538" s="384"/>
      <c r="E538" s="423"/>
      <c r="F538" s="424"/>
      <c r="G538" s="372"/>
    </row>
    <row r="539" spans="1:7" x14ac:dyDescent="0.2">
      <c r="A539" s="364"/>
      <c r="B539" s="401"/>
      <c r="C539" s="371"/>
      <c r="D539" s="425"/>
      <c r="E539" s="407"/>
      <c r="F539" s="406"/>
      <c r="G539" s="372"/>
    </row>
    <row r="540" spans="1:7" x14ac:dyDescent="0.2">
      <c r="A540" s="364"/>
      <c r="B540" s="401"/>
      <c r="C540" s="371"/>
      <c r="D540" s="383"/>
      <c r="E540" s="407"/>
      <c r="F540" s="406"/>
      <c r="G540" s="372"/>
    </row>
    <row r="541" spans="1:7" ht="13.5" thickBot="1" x14ac:dyDescent="0.25">
      <c r="A541" s="426"/>
      <c r="B541" s="427"/>
      <c r="C541" s="428"/>
      <c r="D541" s="428"/>
      <c r="E541" s="427"/>
      <c r="F541" s="49" t="s">
        <v>15</v>
      </c>
      <c r="G541" s="50">
        <f>SUM(G507:G540)</f>
        <v>11250</v>
      </c>
    </row>
    <row r="542" spans="1:7" ht="13.5" thickTop="1" x14ac:dyDescent="0.2">
      <c r="A542" s="361" t="s">
        <v>1063</v>
      </c>
      <c r="B542" s="429"/>
      <c r="C542" s="386"/>
      <c r="D542" s="430"/>
      <c r="E542" s="429"/>
      <c r="F542" s="431"/>
      <c r="G542" s="397"/>
    </row>
    <row r="543" spans="1:7" ht="13.5" thickBot="1" x14ac:dyDescent="0.25">
      <c r="A543" s="378"/>
      <c r="B543" s="432"/>
      <c r="C543" s="432" t="s">
        <v>2570</v>
      </c>
      <c r="D543" s="379"/>
      <c r="E543" s="432"/>
      <c r="F543" s="380"/>
      <c r="G543" s="381"/>
    </row>
    <row r="544" spans="1:7" ht="13.5" thickTop="1" x14ac:dyDescent="0.2">
      <c r="A544" s="878"/>
      <c r="B544" s="879"/>
      <c r="C544" s="879"/>
      <c r="D544" s="433" t="s">
        <v>11</v>
      </c>
      <c r="E544" s="880" t="s">
        <v>12</v>
      </c>
      <c r="F544" s="880"/>
      <c r="G544" s="881"/>
    </row>
    <row r="545" spans="1:7" x14ac:dyDescent="0.2">
      <c r="A545" s="866" t="s">
        <v>17</v>
      </c>
      <c r="B545" s="867"/>
      <c r="C545" s="867"/>
      <c r="D545" s="434"/>
      <c r="E545" s="882"/>
      <c r="F545" s="883"/>
      <c r="G545" s="884"/>
    </row>
    <row r="546" spans="1:7" x14ac:dyDescent="0.2">
      <c r="A546" s="866" t="s">
        <v>38</v>
      </c>
      <c r="B546" s="867"/>
      <c r="C546" s="867"/>
      <c r="D546" s="58" t="s">
        <v>299</v>
      </c>
      <c r="E546" s="868" t="s">
        <v>69</v>
      </c>
      <c r="F546" s="868"/>
      <c r="G546" s="869"/>
    </row>
    <row r="547" spans="1:7" ht="13.5" thickBot="1" x14ac:dyDescent="0.25">
      <c r="A547" s="870" t="s">
        <v>39</v>
      </c>
      <c r="B547" s="871"/>
      <c r="C547" s="871"/>
      <c r="D547" s="375" t="s">
        <v>300</v>
      </c>
      <c r="E547" s="872" t="s">
        <v>33</v>
      </c>
      <c r="F547" s="873"/>
      <c r="G547" s="874"/>
    </row>
    <row r="548" spans="1:7" ht="16.5" x14ac:dyDescent="0.25">
      <c r="A548" s="885" t="s">
        <v>29</v>
      </c>
      <c r="B548" s="886"/>
      <c r="C548" s="886"/>
      <c r="D548" s="886"/>
      <c r="E548" s="886"/>
      <c r="F548" s="886"/>
      <c r="G548" s="887"/>
    </row>
    <row r="549" spans="1:7" x14ac:dyDescent="0.2">
      <c r="A549" s="888" t="s">
        <v>48</v>
      </c>
      <c r="B549" s="889"/>
      <c r="C549" s="889"/>
      <c r="D549" s="889"/>
      <c r="E549" s="889"/>
      <c r="F549" s="889"/>
      <c r="G549" s="890"/>
    </row>
    <row r="550" spans="1:7" x14ac:dyDescent="0.2">
      <c r="A550" s="891" t="s">
        <v>49</v>
      </c>
      <c r="B550" s="892"/>
      <c r="C550" s="892"/>
      <c r="D550" s="892"/>
      <c r="E550" s="892"/>
      <c r="F550" s="892"/>
      <c r="G550" s="893"/>
    </row>
    <row r="551" spans="1:7" x14ac:dyDescent="0.2">
      <c r="A551" s="387"/>
      <c r="B551" s="388"/>
      <c r="C551" s="389"/>
      <c r="D551" s="390"/>
      <c r="E551" s="388"/>
      <c r="F551" s="391"/>
      <c r="G551" s="392" t="s">
        <v>20</v>
      </c>
    </row>
    <row r="552" spans="1:7" x14ac:dyDescent="0.2">
      <c r="A552" s="393" t="s">
        <v>1</v>
      </c>
      <c r="B552" s="394"/>
      <c r="C552" s="14" t="s">
        <v>32</v>
      </c>
      <c r="D552" s="394"/>
      <c r="E552" s="362" t="s">
        <v>2574</v>
      </c>
      <c r="F552" s="395"/>
      <c r="G552" s="363" t="s">
        <v>2562</v>
      </c>
    </row>
    <row r="553" spans="1:7" x14ac:dyDescent="0.2">
      <c r="A553" s="361" t="s">
        <v>8</v>
      </c>
      <c r="B553" s="396"/>
      <c r="C553" s="19"/>
      <c r="D553" s="386"/>
      <c r="E553" s="894"/>
      <c r="F553" s="895"/>
      <c r="G553" s="397"/>
    </row>
    <row r="554" spans="1:7" x14ac:dyDescent="0.2">
      <c r="A554" s="373" t="s">
        <v>37</v>
      </c>
      <c r="B554" s="377"/>
      <c r="C554" s="377"/>
      <c r="D554" s="377"/>
      <c r="E554" s="398" t="s">
        <v>46</v>
      </c>
      <c r="F554" s="399"/>
      <c r="G554" s="397" t="s">
        <v>50</v>
      </c>
    </row>
    <row r="555" spans="1:7" x14ac:dyDescent="0.2">
      <c r="A555" s="387"/>
      <c r="B555" s="388"/>
      <c r="C555" s="389"/>
      <c r="D555" s="389"/>
      <c r="E555" s="896"/>
      <c r="F555" s="897"/>
      <c r="G555" s="400"/>
    </row>
    <row r="556" spans="1:7" ht="26.25" thickBot="1" x14ac:dyDescent="0.25">
      <c r="A556" s="26" t="s">
        <v>47</v>
      </c>
      <c r="B556" s="26" t="s">
        <v>23</v>
      </c>
      <c r="C556" s="28" t="s">
        <v>34</v>
      </c>
      <c r="D556" s="110" t="s">
        <v>53</v>
      </c>
      <c r="E556" s="114" t="s">
        <v>54</v>
      </c>
      <c r="F556" s="111" t="s">
        <v>55</v>
      </c>
      <c r="G556" s="112" t="s">
        <v>35</v>
      </c>
    </row>
    <row r="557" spans="1:7" ht="13.5" thickTop="1" x14ac:dyDescent="0.2">
      <c r="A557" s="364">
        <v>1</v>
      </c>
      <c r="B557" s="401"/>
      <c r="C557" s="371" t="s">
        <v>242</v>
      </c>
      <c r="D557" s="376" t="s">
        <v>1061</v>
      </c>
      <c r="E557" s="402">
        <v>25</v>
      </c>
      <c r="F557" s="403">
        <v>450</v>
      </c>
      <c r="G557" s="372">
        <f>F557*E557</f>
        <v>11250</v>
      </c>
    </row>
    <row r="558" spans="1:7" x14ac:dyDescent="0.2">
      <c r="A558" s="364"/>
      <c r="B558" s="401"/>
      <c r="C558" s="371"/>
      <c r="D558" s="370" t="s">
        <v>1062</v>
      </c>
      <c r="E558" s="404"/>
      <c r="F558" s="403"/>
      <c r="G558" s="372"/>
    </row>
    <row r="559" spans="1:7" x14ac:dyDescent="0.2">
      <c r="A559" s="364"/>
      <c r="B559" s="401"/>
      <c r="C559" s="371"/>
      <c r="D559" s="370"/>
      <c r="E559" s="405"/>
      <c r="F559" s="406"/>
      <c r="G559" s="372"/>
    </row>
    <row r="560" spans="1:7" x14ac:dyDescent="0.2">
      <c r="A560" s="364"/>
      <c r="B560" s="401"/>
      <c r="C560" s="371"/>
      <c r="D560" s="370"/>
      <c r="E560" s="407"/>
      <c r="F560" s="403"/>
      <c r="G560" s="372"/>
    </row>
    <row r="561" spans="1:7" x14ac:dyDescent="0.2">
      <c r="A561" s="364"/>
      <c r="B561" s="408"/>
      <c r="C561" s="371"/>
      <c r="D561" s="376"/>
      <c r="E561" s="409"/>
      <c r="F561" s="403"/>
      <c r="G561" s="372"/>
    </row>
    <row r="562" spans="1:7" x14ac:dyDescent="0.2">
      <c r="A562" s="364"/>
      <c r="B562" s="408"/>
      <c r="C562" s="371"/>
      <c r="D562" s="376"/>
      <c r="E562" s="409"/>
      <c r="F562" s="403"/>
      <c r="G562" s="372"/>
    </row>
    <row r="563" spans="1:7" x14ac:dyDescent="0.2">
      <c r="A563" s="364"/>
      <c r="B563" s="410"/>
      <c r="C563" s="385"/>
      <c r="D563" s="376"/>
      <c r="E563" s="407"/>
      <c r="F563" s="411"/>
      <c r="G563" s="372"/>
    </row>
    <row r="564" spans="1:7" x14ac:dyDescent="0.2">
      <c r="A564" s="364"/>
      <c r="B564" s="410"/>
      <c r="C564" s="385"/>
      <c r="D564" s="383"/>
      <c r="E564" s="407"/>
      <c r="F564" s="411"/>
      <c r="G564" s="372"/>
    </row>
    <row r="565" spans="1:7" x14ac:dyDescent="0.2">
      <c r="A565" s="364"/>
      <c r="B565" s="401"/>
      <c r="C565" s="371"/>
      <c r="D565" s="383"/>
      <c r="E565" s="412"/>
      <c r="F565" s="403"/>
      <c r="G565" s="372"/>
    </row>
    <row r="566" spans="1:7" x14ac:dyDescent="0.2">
      <c r="A566" s="364"/>
      <c r="B566" s="413"/>
      <c r="C566" s="371"/>
      <c r="D566" s="376"/>
      <c r="E566" s="414"/>
      <c r="F566" s="403"/>
      <c r="G566" s="372"/>
    </row>
    <row r="567" spans="1:7" x14ac:dyDescent="0.2">
      <c r="A567" s="364"/>
      <c r="B567" s="408"/>
      <c r="C567" s="371"/>
      <c r="D567" s="376"/>
      <c r="E567" s="407"/>
      <c r="F567" s="415"/>
      <c r="G567" s="372"/>
    </row>
    <row r="568" spans="1:7" x14ac:dyDescent="0.2">
      <c r="A568" s="364"/>
      <c r="B568" s="416"/>
      <c r="C568" s="371"/>
      <c r="D568" s="376"/>
      <c r="E568" s="417"/>
      <c r="F568" s="403"/>
      <c r="G568" s="372"/>
    </row>
    <row r="569" spans="1:7" x14ac:dyDescent="0.2">
      <c r="A569" s="364"/>
      <c r="B569" s="416"/>
      <c r="C569" s="371"/>
      <c r="D569" s="384"/>
      <c r="E569" s="417"/>
      <c r="F569" s="403"/>
      <c r="G569" s="372"/>
    </row>
    <row r="570" spans="1:7" x14ac:dyDescent="0.2">
      <c r="A570" s="364"/>
      <c r="B570" s="401"/>
      <c r="C570" s="371"/>
      <c r="D570" s="384"/>
      <c r="E570" s="407"/>
      <c r="F570" s="403"/>
      <c r="G570" s="372"/>
    </row>
    <row r="571" spans="1:7" x14ac:dyDescent="0.2">
      <c r="A571" s="364"/>
      <c r="B571" s="401"/>
      <c r="C571" s="371"/>
      <c r="D571" s="384"/>
      <c r="E571" s="417"/>
      <c r="F571" s="403"/>
      <c r="G571" s="372"/>
    </row>
    <row r="572" spans="1:7" x14ac:dyDescent="0.2">
      <c r="A572" s="364"/>
      <c r="B572" s="413"/>
      <c r="C572" s="371"/>
      <c r="D572" s="384"/>
      <c r="E572" s="414"/>
      <c r="F572" s="418"/>
      <c r="G572" s="372"/>
    </row>
    <row r="573" spans="1:7" x14ac:dyDescent="0.2">
      <c r="A573" s="364"/>
      <c r="B573" s="408"/>
      <c r="C573" s="371"/>
      <c r="D573" s="419"/>
      <c r="E573" s="414"/>
      <c r="F573" s="418"/>
      <c r="G573" s="372"/>
    </row>
    <row r="574" spans="1:7" x14ac:dyDescent="0.2">
      <c r="A574" s="364"/>
      <c r="B574" s="408"/>
      <c r="C574" s="371"/>
      <c r="D574" s="384"/>
      <c r="E574" s="414"/>
      <c r="F574" s="418"/>
      <c r="G574" s="372"/>
    </row>
    <row r="575" spans="1:7" x14ac:dyDescent="0.2">
      <c r="A575" s="364"/>
      <c r="B575" s="401"/>
      <c r="C575" s="371"/>
      <c r="D575" s="384"/>
      <c r="E575" s="414"/>
      <c r="F575" s="418"/>
      <c r="G575" s="372"/>
    </row>
    <row r="576" spans="1:7" x14ac:dyDescent="0.2">
      <c r="A576" s="364"/>
      <c r="B576" s="401"/>
      <c r="C576" s="371"/>
      <c r="D576" s="384"/>
      <c r="E576" s="414"/>
      <c r="F576" s="418"/>
      <c r="G576" s="372"/>
    </row>
    <row r="577" spans="1:7" x14ac:dyDescent="0.2">
      <c r="A577" s="364"/>
      <c r="B577" s="401"/>
      <c r="C577" s="371"/>
      <c r="D577" s="384"/>
      <c r="E577" s="414"/>
      <c r="F577" s="418"/>
      <c r="G577" s="372"/>
    </row>
    <row r="578" spans="1:7" x14ac:dyDescent="0.2">
      <c r="A578" s="364"/>
      <c r="B578" s="401"/>
      <c r="C578" s="371"/>
      <c r="D578" s="376"/>
      <c r="E578" s="414"/>
      <c r="F578" s="418"/>
      <c r="G578" s="372"/>
    </row>
    <row r="579" spans="1:7" x14ac:dyDescent="0.2">
      <c r="A579" s="364"/>
      <c r="B579" s="401"/>
      <c r="C579" s="371"/>
      <c r="D579" s="376"/>
      <c r="E579" s="414"/>
      <c r="F579" s="418"/>
      <c r="G579" s="372"/>
    </row>
    <row r="580" spans="1:7" x14ac:dyDescent="0.2">
      <c r="A580" s="364"/>
      <c r="B580" s="401"/>
      <c r="C580" s="371"/>
      <c r="D580" s="420"/>
      <c r="E580" s="414"/>
      <c r="F580" s="418"/>
      <c r="G580" s="372"/>
    </row>
    <row r="581" spans="1:7" x14ac:dyDescent="0.2">
      <c r="A581" s="364"/>
      <c r="B581" s="401"/>
      <c r="C581" s="371"/>
      <c r="D581" s="384"/>
      <c r="E581" s="414"/>
      <c r="F581" s="418"/>
      <c r="G581" s="372"/>
    </row>
    <row r="582" spans="1:7" x14ac:dyDescent="0.2">
      <c r="A582" s="364"/>
      <c r="B582" s="401"/>
      <c r="C582" s="371"/>
      <c r="D582" s="384"/>
      <c r="E582" s="414"/>
      <c r="F582" s="418"/>
      <c r="G582" s="372"/>
    </row>
    <row r="583" spans="1:7" x14ac:dyDescent="0.2">
      <c r="A583" s="364"/>
      <c r="B583" s="401"/>
      <c r="C583" s="371"/>
      <c r="D583" s="384"/>
      <c r="E583" s="414"/>
      <c r="F583" s="418"/>
      <c r="G583" s="372"/>
    </row>
    <row r="584" spans="1:7" x14ac:dyDescent="0.2">
      <c r="A584" s="364"/>
      <c r="B584" s="401"/>
      <c r="C584" s="371"/>
      <c r="D584" s="421"/>
      <c r="E584" s="414"/>
      <c r="F584" s="418"/>
      <c r="G584" s="372"/>
    </row>
    <row r="585" spans="1:7" x14ac:dyDescent="0.2">
      <c r="A585" s="364"/>
      <c r="B585" s="401"/>
      <c r="C585" s="371"/>
      <c r="D585" s="160"/>
      <c r="E585" s="407"/>
      <c r="F585" s="403"/>
      <c r="G585" s="372"/>
    </row>
    <row r="586" spans="1:7" x14ac:dyDescent="0.2">
      <c r="A586" s="364"/>
      <c r="B586" s="401"/>
      <c r="C586" s="371"/>
      <c r="D586" s="376"/>
      <c r="E586" s="417"/>
      <c r="F586" s="403"/>
      <c r="G586" s="372"/>
    </row>
    <row r="587" spans="1:7" x14ac:dyDescent="0.2">
      <c r="A587" s="364"/>
      <c r="B587" s="401"/>
      <c r="C587" s="371"/>
      <c r="D587" s="376"/>
      <c r="E587" s="409"/>
      <c r="F587" s="403"/>
      <c r="G587" s="372"/>
    </row>
    <row r="588" spans="1:7" x14ac:dyDescent="0.2">
      <c r="A588" s="364"/>
      <c r="B588" s="401"/>
      <c r="C588" s="422"/>
      <c r="D588" s="384"/>
      <c r="E588" s="423"/>
      <c r="F588" s="424"/>
      <c r="G588" s="372"/>
    </row>
    <row r="589" spans="1:7" x14ac:dyDescent="0.2">
      <c r="A589" s="364"/>
      <c r="B589" s="401"/>
      <c r="C589" s="371"/>
      <c r="D589" s="425"/>
      <c r="E589" s="407"/>
      <c r="F589" s="406"/>
      <c r="G589" s="372"/>
    </row>
    <row r="590" spans="1:7" x14ac:dyDescent="0.2">
      <c r="A590" s="364"/>
      <c r="B590" s="401"/>
      <c r="C590" s="371"/>
      <c r="D590" s="383"/>
      <c r="E590" s="407"/>
      <c r="F590" s="406"/>
      <c r="G590" s="372"/>
    </row>
    <row r="591" spans="1:7" ht="13.5" thickBot="1" x14ac:dyDescent="0.25">
      <c r="A591" s="426"/>
      <c r="B591" s="427"/>
      <c r="C591" s="428"/>
      <c r="D591" s="428"/>
      <c r="E591" s="427"/>
      <c r="F591" s="49" t="s">
        <v>15</v>
      </c>
      <c r="G591" s="50">
        <f>SUM(G557:G590)</f>
        <v>11250</v>
      </c>
    </row>
    <row r="592" spans="1:7" ht="13.5" thickTop="1" x14ac:dyDescent="0.2">
      <c r="A592" s="361" t="s">
        <v>1063</v>
      </c>
      <c r="B592" s="429"/>
      <c r="C592" s="386"/>
      <c r="D592" s="430"/>
      <c r="E592" s="429"/>
      <c r="F592" s="431"/>
      <c r="G592" s="397"/>
    </row>
    <row r="593" spans="1:7" ht="13.5" thickBot="1" x14ac:dyDescent="0.25">
      <c r="A593" s="378"/>
      <c r="B593" s="432"/>
      <c r="C593" s="432" t="s">
        <v>2571</v>
      </c>
      <c r="D593" s="379"/>
      <c r="E593" s="432"/>
      <c r="F593" s="380"/>
      <c r="G593" s="381"/>
    </row>
    <row r="594" spans="1:7" ht="13.5" thickTop="1" x14ac:dyDescent="0.2">
      <c r="A594" s="878"/>
      <c r="B594" s="879"/>
      <c r="C594" s="879"/>
      <c r="D594" s="433" t="s">
        <v>11</v>
      </c>
      <c r="E594" s="880" t="s">
        <v>12</v>
      </c>
      <c r="F594" s="880"/>
      <c r="G594" s="881"/>
    </row>
    <row r="595" spans="1:7" x14ac:dyDescent="0.2">
      <c r="A595" s="866" t="s">
        <v>17</v>
      </c>
      <c r="B595" s="867"/>
      <c r="C595" s="867"/>
      <c r="D595" s="434"/>
      <c r="E595" s="882"/>
      <c r="F595" s="883"/>
      <c r="G595" s="884"/>
    </row>
    <row r="596" spans="1:7" x14ac:dyDescent="0.2">
      <c r="A596" s="866" t="s">
        <v>38</v>
      </c>
      <c r="B596" s="867"/>
      <c r="C596" s="867"/>
      <c r="D596" s="58" t="s">
        <v>299</v>
      </c>
      <c r="E596" s="868" t="s">
        <v>69</v>
      </c>
      <c r="F596" s="868"/>
      <c r="G596" s="869"/>
    </row>
    <row r="597" spans="1:7" ht="13.5" thickBot="1" x14ac:dyDescent="0.25">
      <c r="A597" s="870" t="s">
        <v>39</v>
      </c>
      <c r="B597" s="871"/>
      <c r="C597" s="871"/>
      <c r="D597" s="375" t="s">
        <v>300</v>
      </c>
      <c r="E597" s="872" t="s">
        <v>33</v>
      </c>
      <c r="F597" s="873"/>
      <c r="G597" s="874"/>
    </row>
    <row r="598" spans="1:7" ht="16.5" x14ac:dyDescent="0.25">
      <c r="A598" s="885" t="s">
        <v>29</v>
      </c>
      <c r="B598" s="886"/>
      <c r="C598" s="886"/>
      <c r="D598" s="886"/>
      <c r="E598" s="886"/>
      <c r="F598" s="886"/>
      <c r="G598" s="887"/>
    </row>
    <row r="599" spans="1:7" x14ac:dyDescent="0.2">
      <c r="A599" s="888" t="s">
        <v>48</v>
      </c>
      <c r="B599" s="889"/>
      <c r="C599" s="889"/>
      <c r="D599" s="889"/>
      <c r="E599" s="889"/>
      <c r="F599" s="889"/>
      <c r="G599" s="890"/>
    </row>
    <row r="600" spans="1:7" x14ac:dyDescent="0.2">
      <c r="A600" s="891" t="s">
        <v>49</v>
      </c>
      <c r="B600" s="892"/>
      <c r="C600" s="892"/>
      <c r="D600" s="892"/>
      <c r="E600" s="892"/>
      <c r="F600" s="892"/>
      <c r="G600" s="893"/>
    </row>
    <row r="601" spans="1:7" x14ac:dyDescent="0.2">
      <c r="A601" s="387"/>
      <c r="B601" s="388"/>
      <c r="C601" s="389"/>
      <c r="D601" s="390"/>
      <c r="E601" s="388"/>
      <c r="F601" s="391"/>
      <c r="G601" s="392" t="s">
        <v>20</v>
      </c>
    </row>
    <row r="602" spans="1:7" x14ac:dyDescent="0.2">
      <c r="A602" s="393" t="s">
        <v>1</v>
      </c>
      <c r="B602" s="394"/>
      <c r="C602" s="14" t="s">
        <v>32</v>
      </c>
      <c r="D602" s="394"/>
      <c r="E602" s="362" t="s">
        <v>2575</v>
      </c>
      <c r="F602" s="395"/>
      <c r="G602" s="363" t="s">
        <v>2562</v>
      </c>
    </row>
    <row r="603" spans="1:7" x14ac:dyDescent="0.2">
      <c r="A603" s="361" t="s">
        <v>8</v>
      </c>
      <c r="B603" s="396"/>
      <c r="C603" s="19"/>
      <c r="D603" s="386"/>
      <c r="E603" s="894"/>
      <c r="F603" s="895"/>
      <c r="G603" s="397"/>
    </row>
    <row r="604" spans="1:7" x14ac:dyDescent="0.2">
      <c r="A604" s="373" t="s">
        <v>37</v>
      </c>
      <c r="B604" s="377"/>
      <c r="C604" s="377"/>
      <c r="D604" s="377"/>
      <c r="E604" s="398" t="s">
        <v>46</v>
      </c>
      <c r="F604" s="399"/>
      <c r="G604" s="397" t="s">
        <v>50</v>
      </c>
    </row>
    <row r="605" spans="1:7" x14ac:dyDescent="0.2">
      <c r="A605" s="387"/>
      <c r="B605" s="388"/>
      <c r="C605" s="389"/>
      <c r="D605" s="389"/>
      <c r="E605" s="896"/>
      <c r="F605" s="897"/>
      <c r="G605" s="400"/>
    </row>
    <row r="606" spans="1:7" ht="26.25" thickBot="1" x14ac:dyDescent="0.25">
      <c r="A606" s="26" t="s">
        <v>47</v>
      </c>
      <c r="B606" s="26" t="s">
        <v>23</v>
      </c>
      <c r="C606" s="28" t="s">
        <v>34</v>
      </c>
      <c r="D606" s="110" t="s">
        <v>53</v>
      </c>
      <c r="E606" s="114" t="s">
        <v>54</v>
      </c>
      <c r="F606" s="111" t="s">
        <v>55</v>
      </c>
      <c r="G606" s="112" t="s">
        <v>35</v>
      </c>
    </row>
    <row r="607" spans="1:7" ht="13.5" thickTop="1" x14ac:dyDescent="0.2">
      <c r="A607" s="364">
        <v>1</v>
      </c>
      <c r="B607" s="401"/>
      <c r="C607" s="371" t="s">
        <v>242</v>
      </c>
      <c r="D607" s="376" t="s">
        <v>1061</v>
      </c>
      <c r="E607" s="402">
        <v>25</v>
      </c>
      <c r="F607" s="403">
        <v>450</v>
      </c>
      <c r="G607" s="372">
        <f>F607*E607</f>
        <v>11250</v>
      </c>
    </row>
    <row r="608" spans="1:7" x14ac:dyDescent="0.2">
      <c r="A608" s="364"/>
      <c r="B608" s="401"/>
      <c r="C608" s="371"/>
      <c r="D608" s="370" t="s">
        <v>1062</v>
      </c>
      <c r="E608" s="404"/>
      <c r="F608" s="403"/>
      <c r="G608" s="372"/>
    </row>
    <row r="609" spans="1:7" x14ac:dyDescent="0.2">
      <c r="A609" s="364"/>
      <c r="B609" s="401"/>
      <c r="C609" s="371"/>
      <c r="D609" s="370"/>
      <c r="E609" s="405"/>
      <c r="F609" s="406"/>
      <c r="G609" s="372"/>
    </row>
    <row r="610" spans="1:7" x14ac:dyDescent="0.2">
      <c r="A610" s="364"/>
      <c r="B610" s="401"/>
      <c r="C610" s="371"/>
      <c r="D610" s="370"/>
      <c r="E610" s="407"/>
      <c r="F610" s="403"/>
      <c r="G610" s="372"/>
    </row>
    <row r="611" spans="1:7" x14ac:dyDescent="0.2">
      <c r="A611" s="364"/>
      <c r="B611" s="408"/>
      <c r="C611" s="371"/>
      <c r="D611" s="376"/>
      <c r="E611" s="409"/>
      <c r="F611" s="403"/>
      <c r="G611" s="372"/>
    </row>
    <row r="612" spans="1:7" x14ac:dyDescent="0.2">
      <c r="A612" s="364"/>
      <c r="B612" s="408"/>
      <c r="C612" s="371"/>
      <c r="D612" s="376"/>
      <c r="E612" s="409"/>
      <c r="F612" s="403"/>
      <c r="G612" s="372"/>
    </row>
    <row r="613" spans="1:7" x14ac:dyDescent="0.2">
      <c r="A613" s="364"/>
      <c r="B613" s="410"/>
      <c r="C613" s="385"/>
      <c r="D613" s="376"/>
      <c r="E613" s="407"/>
      <c r="F613" s="411"/>
      <c r="G613" s="372"/>
    </row>
    <row r="614" spans="1:7" x14ac:dyDescent="0.2">
      <c r="A614" s="364"/>
      <c r="B614" s="410"/>
      <c r="C614" s="385"/>
      <c r="D614" s="383"/>
      <c r="E614" s="407"/>
      <c r="F614" s="411"/>
      <c r="G614" s="372"/>
    </row>
    <row r="615" spans="1:7" x14ac:dyDescent="0.2">
      <c r="A615" s="364"/>
      <c r="B615" s="401"/>
      <c r="C615" s="371"/>
      <c r="D615" s="383"/>
      <c r="E615" s="412"/>
      <c r="F615" s="403"/>
      <c r="G615" s="372"/>
    </row>
    <row r="616" spans="1:7" x14ac:dyDescent="0.2">
      <c r="A616" s="364"/>
      <c r="B616" s="413"/>
      <c r="C616" s="371"/>
      <c r="D616" s="376"/>
      <c r="E616" s="414"/>
      <c r="F616" s="403"/>
      <c r="G616" s="372"/>
    </row>
    <row r="617" spans="1:7" x14ac:dyDescent="0.2">
      <c r="A617" s="364"/>
      <c r="B617" s="408"/>
      <c r="C617" s="371"/>
      <c r="D617" s="376"/>
      <c r="E617" s="407"/>
      <c r="F617" s="415"/>
      <c r="G617" s="372"/>
    </row>
    <row r="618" spans="1:7" x14ac:dyDescent="0.2">
      <c r="A618" s="364"/>
      <c r="B618" s="416"/>
      <c r="C618" s="371"/>
      <c r="D618" s="376"/>
      <c r="E618" s="417"/>
      <c r="F618" s="403"/>
      <c r="G618" s="372"/>
    </row>
    <row r="619" spans="1:7" x14ac:dyDescent="0.2">
      <c r="A619" s="364"/>
      <c r="B619" s="416"/>
      <c r="C619" s="371"/>
      <c r="D619" s="384"/>
      <c r="E619" s="417"/>
      <c r="F619" s="403"/>
      <c r="G619" s="372"/>
    </row>
    <row r="620" spans="1:7" x14ac:dyDescent="0.2">
      <c r="A620" s="364"/>
      <c r="B620" s="401"/>
      <c r="C620" s="371"/>
      <c r="D620" s="384"/>
      <c r="E620" s="407"/>
      <c r="F620" s="403"/>
      <c r="G620" s="372"/>
    </row>
    <row r="621" spans="1:7" x14ac:dyDescent="0.2">
      <c r="A621" s="364"/>
      <c r="B621" s="401"/>
      <c r="C621" s="371"/>
      <c r="D621" s="384"/>
      <c r="E621" s="417"/>
      <c r="F621" s="403"/>
      <c r="G621" s="372"/>
    </row>
    <row r="622" spans="1:7" x14ac:dyDescent="0.2">
      <c r="A622" s="364"/>
      <c r="B622" s="413"/>
      <c r="C622" s="371"/>
      <c r="D622" s="384"/>
      <c r="E622" s="414"/>
      <c r="F622" s="418"/>
      <c r="G622" s="372"/>
    </row>
    <row r="623" spans="1:7" x14ac:dyDescent="0.2">
      <c r="A623" s="364"/>
      <c r="B623" s="408"/>
      <c r="C623" s="371"/>
      <c r="D623" s="419"/>
      <c r="E623" s="414"/>
      <c r="F623" s="418"/>
      <c r="G623" s="372"/>
    </row>
    <row r="624" spans="1:7" x14ac:dyDescent="0.2">
      <c r="A624" s="364"/>
      <c r="B624" s="408"/>
      <c r="C624" s="371"/>
      <c r="D624" s="384"/>
      <c r="E624" s="414"/>
      <c r="F624" s="418"/>
      <c r="G624" s="372"/>
    </row>
    <row r="625" spans="1:7" x14ac:dyDescent="0.2">
      <c r="A625" s="364"/>
      <c r="B625" s="401"/>
      <c r="C625" s="371"/>
      <c r="D625" s="384"/>
      <c r="E625" s="414"/>
      <c r="F625" s="418"/>
      <c r="G625" s="372"/>
    </row>
    <row r="626" spans="1:7" x14ac:dyDescent="0.2">
      <c r="A626" s="364"/>
      <c r="B626" s="401"/>
      <c r="C626" s="371"/>
      <c r="D626" s="384"/>
      <c r="E626" s="414"/>
      <c r="F626" s="418"/>
      <c r="G626" s="372"/>
    </row>
    <row r="627" spans="1:7" x14ac:dyDescent="0.2">
      <c r="A627" s="364"/>
      <c r="B627" s="401"/>
      <c r="C627" s="371"/>
      <c r="D627" s="384"/>
      <c r="E627" s="414"/>
      <c r="F627" s="418"/>
      <c r="G627" s="372"/>
    </row>
    <row r="628" spans="1:7" x14ac:dyDescent="0.2">
      <c r="A628" s="364"/>
      <c r="B628" s="401"/>
      <c r="C628" s="371"/>
      <c r="D628" s="376"/>
      <c r="E628" s="414"/>
      <c r="F628" s="418"/>
      <c r="G628" s="372"/>
    </row>
    <row r="629" spans="1:7" x14ac:dyDescent="0.2">
      <c r="A629" s="364"/>
      <c r="B629" s="401"/>
      <c r="C629" s="371"/>
      <c r="D629" s="376"/>
      <c r="E629" s="414"/>
      <c r="F629" s="418"/>
      <c r="G629" s="372"/>
    </row>
    <row r="630" spans="1:7" x14ac:dyDescent="0.2">
      <c r="A630" s="364"/>
      <c r="B630" s="401"/>
      <c r="C630" s="371"/>
      <c r="D630" s="420"/>
      <c r="E630" s="414"/>
      <c r="F630" s="418"/>
      <c r="G630" s="372"/>
    </row>
    <row r="631" spans="1:7" x14ac:dyDescent="0.2">
      <c r="A631" s="364"/>
      <c r="B631" s="401"/>
      <c r="C631" s="371"/>
      <c r="D631" s="384"/>
      <c r="E631" s="414"/>
      <c r="F631" s="418"/>
      <c r="G631" s="372"/>
    </row>
    <row r="632" spans="1:7" x14ac:dyDescent="0.2">
      <c r="A632" s="364"/>
      <c r="B632" s="401"/>
      <c r="C632" s="371"/>
      <c r="D632" s="384"/>
      <c r="E632" s="414"/>
      <c r="F632" s="418"/>
      <c r="G632" s="372"/>
    </row>
    <row r="633" spans="1:7" x14ac:dyDescent="0.2">
      <c r="A633" s="364"/>
      <c r="B633" s="401"/>
      <c r="C633" s="371"/>
      <c r="D633" s="384"/>
      <c r="E633" s="414"/>
      <c r="F633" s="418"/>
      <c r="G633" s="372"/>
    </row>
    <row r="634" spans="1:7" x14ac:dyDescent="0.2">
      <c r="A634" s="364"/>
      <c r="B634" s="401"/>
      <c r="C634" s="371"/>
      <c r="D634" s="421"/>
      <c r="E634" s="414"/>
      <c r="F634" s="418"/>
      <c r="G634" s="372"/>
    </row>
    <row r="635" spans="1:7" x14ac:dyDescent="0.2">
      <c r="A635" s="364"/>
      <c r="B635" s="401"/>
      <c r="C635" s="371"/>
      <c r="D635" s="160"/>
      <c r="E635" s="407"/>
      <c r="F635" s="403"/>
      <c r="G635" s="372"/>
    </row>
    <row r="636" spans="1:7" x14ac:dyDescent="0.2">
      <c r="A636" s="364"/>
      <c r="B636" s="401"/>
      <c r="C636" s="371"/>
      <c r="D636" s="376"/>
      <c r="E636" s="417"/>
      <c r="F636" s="403"/>
      <c r="G636" s="372"/>
    </row>
    <row r="637" spans="1:7" x14ac:dyDescent="0.2">
      <c r="A637" s="364"/>
      <c r="B637" s="401"/>
      <c r="C637" s="371"/>
      <c r="D637" s="376"/>
      <c r="E637" s="409"/>
      <c r="F637" s="403"/>
      <c r="G637" s="372"/>
    </row>
    <row r="638" spans="1:7" x14ac:dyDescent="0.2">
      <c r="A638" s="364"/>
      <c r="B638" s="401"/>
      <c r="C638" s="422"/>
      <c r="D638" s="384"/>
      <c r="E638" s="423"/>
      <c r="F638" s="424"/>
      <c r="G638" s="372"/>
    </row>
    <row r="639" spans="1:7" x14ac:dyDescent="0.2">
      <c r="A639" s="364"/>
      <c r="B639" s="401"/>
      <c r="C639" s="371"/>
      <c r="D639" s="425"/>
      <c r="E639" s="407"/>
      <c r="F639" s="406"/>
      <c r="G639" s="372"/>
    </row>
    <row r="640" spans="1:7" x14ac:dyDescent="0.2">
      <c r="A640" s="364"/>
      <c r="B640" s="401"/>
      <c r="C640" s="371"/>
      <c r="D640" s="383"/>
      <c r="E640" s="407"/>
      <c r="F640" s="406"/>
      <c r="G640" s="372"/>
    </row>
    <row r="641" spans="1:7" ht="13.5" thickBot="1" x14ac:dyDescent="0.25">
      <c r="A641" s="426"/>
      <c r="B641" s="427"/>
      <c r="C641" s="428"/>
      <c r="D641" s="428"/>
      <c r="E641" s="427"/>
      <c r="F641" s="49" t="s">
        <v>15</v>
      </c>
      <c r="G641" s="50">
        <f>SUM(G607:G640)</f>
        <v>11250</v>
      </c>
    </row>
    <row r="642" spans="1:7" ht="13.5" thickTop="1" x14ac:dyDescent="0.2">
      <c r="A642" s="361" t="s">
        <v>1063</v>
      </c>
      <c r="B642" s="429"/>
      <c r="C642" s="386"/>
      <c r="D642" s="430"/>
      <c r="E642" s="429"/>
      <c r="F642" s="431"/>
      <c r="G642" s="397"/>
    </row>
    <row r="643" spans="1:7" ht="13.5" thickBot="1" x14ac:dyDescent="0.25">
      <c r="A643" s="378"/>
      <c r="B643" s="432"/>
      <c r="C643" s="432" t="s">
        <v>2572</v>
      </c>
      <c r="D643" s="379"/>
      <c r="E643" s="432"/>
      <c r="F643" s="380"/>
      <c r="G643" s="381"/>
    </row>
    <row r="644" spans="1:7" ht="13.5" thickTop="1" x14ac:dyDescent="0.2">
      <c r="A644" s="878"/>
      <c r="B644" s="879"/>
      <c r="C644" s="879"/>
      <c r="D644" s="433" t="s">
        <v>11</v>
      </c>
      <c r="E644" s="880" t="s">
        <v>12</v>
      </c>
      <c r="F644" s="880"/>
      <c r="G644" s="881"/>
    </row>
    <row r="645" spans="1:7" x14ac:dyDescent="0.2">
      <c r="A645" s="866" t="s">
        <v>17</v>
      </c>
      <c r="B645" s="867"/>
      <c r="C645" s="867"/>
      <c r="D645" s="434"/>
      <c r="E645" s="882"/>
      <c r="F645" s="883"/>
      <c r="G645" s="884"/>
    </row>
    <row r="646" spans="1:7" x14ac:dyDescent="0.2">
      <c r="A646" s="866" t="s">
        <v>38</v>
      </c>
      <c r="B646" s="867"/>
      <c r="C646" s="867"/>
      <c r="D646" s="58" t="s">
        <v>299</v>
      </c>
      <c r="E646" s="868" t="s">
        <v>69</v>
      </c>
      <c r="F646" s="868"/>
      <c r="G646" s="869"/>
    </row>
    <row r="647" spans="1:7" ht="13.5" thickBot="1" x14ac:dyDescent="0.25">
      <c r="A647" s="870" t="s">
        <v>39</v>
      </c>
      <c r="B647" s="871"/>
      <c r="C647" s="871"/>
      <c r="D647" s="375" t="s">
        <v>300</v>
      </c>
      <c r="E647" s="872" t="s">
        <v>33</v>
      </c>
      <c r="F647" s="873"/>
      <c r="G647" s="874"/>
    </row>
  </sheetData>
  <mergeCells count="169">
    <mergeCell ref="A645:C645"/>
    <mergeCell ref="E645:G645"/>
    <mergeCell ref="A646:C646"/>
    <mergeCell ref="E646:G646"/>
    <mergeCell ref="A647:C647"/>
    <mergeCell ref="E647:G647"/>
    <mergeCell ref="A597:C597"/>
    <mergeCell ref="E597:G597"/>
    <mergeCell ref="A598:G598"/>
    <mergeCell ref="A599:G599"/>
    <mergeCell ref="A600:G600"/>
    <mergeCell ref="E603:F603"/>
    <mergeCell ref="E605:F605"/>
    <mergeCell ref="A644:C644"/>
    <mergeCell ref="E644:G644"/>
    <mergeCell ref="A549:G549"/>
    <mergeCell ref="A550:G550"/>
    <mergeCell ref="E553:F553"/>
    <mergeCell ref="E555:F555"/>
    <mergeCell ref="A594:C594"/>
    <mergeCell ref="E594:G594"/>
    <mergeCell ref="A595:C595"/>
    <mergeCell ref="E595:G595"/>
    <mergeCell ref="A596:C596"/>
    <mergeCell ref="E596:G596"/>
    <mergeCell ref="A544:C544"/>
    <mergeCell ref="E544:G544"/>
    <mergeCell ref="A545:C545"/>
    <mergeCell ref="E545:G545"/>
    <mergeCell ref="A546:C546"/>
    <mergeCell ref="E546:G546"/>
    <mergeCell ref="A547:C547"/>
    <mergeCell ref="E547:G547"/>
    <mergeCell ref="A548:G548"/>
    <mergeCell ref="A496:C496"/>
    <mergeCell ref="E496:G496"/>
    <mergeCell ref="A497:C497"/>
    <mergeCell ref="E497:G497"/>
    <mergeCell ref="A498:G498"/>
    <mergeCell ref="A499:G499"/>
    <mergeCell ref="A500:G500"/>
    <mergeCell ref="E503:F503"/>
    <mergeCell ref="E505:F505"/>
    <mergeCell ref="A448:G448"/>
    <mergeCell ref="A449:G449"/>
    <mergeCell ref="A450:G450"/>
    <mergeCell ref="E453:F453"/>
    <mergeCell ref="E455:F455"/>
    <mergeCell ref="A494:C494"/>
    <mergeCell ref="E494:G494"/>
    <mergeCell ref="A495:C495"/>
    <mergeCell ref="E495:G495"/>
    <mergeCell ref="A49:C49"/>
    <mergeCell ref="E49:G49"/>
    <mergeCell ref="A50:G50"/>
    <mergeCell ref="A51:G51"/>
    <mergeCell ref="A52:G52"/>
    <mergeCell ref="A1:G1"/>
    <mergeCell ref="A2:G2"/>
    <mergeCell ref="A3:G3"/>
    <mergeCell ref="E6:F6"/>
    <mergeCell ref="E8:F8"/>
    <mergeCell ref="A48:C48"/>
    <mergeCell ref="E48:G48"/>
    <mergeCell ref="A46:C46"/>
    <mergeCell ref="E46:G46"/>
    <mergeCell ref="A47:C47"/>
    <mergeCell ref="E47:G47"/>
    <mergeCell ref="A97:C97"/>
    <mergeCell ref="E97:G97"/>
    <mergeCell ref="A98:C98"/>
    <mergeCell ref="E98:G98"/>
    <mergeCell ref="A99:G99"/>
    <mergeCell ref="E55:F55"/>
    <mergeCell ref="E57:F57"/>
    <mergeCell ref="A95:C95"/>
    <mergeCell ref="E95:G95"/>
    <mergeCell ref="A96:C96"/>
    <mergeCell ref="E96:G96"/>
    <mergeCell ref="A145:C145"/>
    <mergeCell ref="E145:G145"/>
    <mergeCell ref="A146:C146"/>
    <mergeCell ref="E146:G146"/>
    <mergeCell ref="A147:C147"/>
    <mergeCell ref="E147:G147"/>
    <mergeCell ref="A100:G100"/>
    <mergeCell ref="A101:G101"/>
    <mergeCell ref="E104:F104"/>
    <mergeCell ref="E106:F106"/>
    <mergeCell ref="A144:C144"/>
    <mergeCell ref="E144:G144"/>
    <mergeCell ref="A197:C197"/>
    <mergeCell ref="E197:G197"/>
    <mergeCell ref="A194:C194"/>
    <mergeCell ref="E194:G194"/>
    <mergeCell ref="A195:C195"/>
    <mergeCell ref="E195:G195"/>
    <mergeCell ref="A196:C196"/>
    <mergeCell ref="E196:G196"/>
    <mergeCell ref="A148:G148"/>
    <mergeCell ref="A149:G149"/>
    <mergeCell ref="A150:G150"/>
    <mergeCell ref="E153:F153"/>
    <mergeCell ref="E155:F155"/>
    <mergeCell ref="A244:C244"/>
    <mergeCell ref="E244:G244"/>
    <mergeCell ref="A245:C245"/>
    <mergeCell ref="E245:G245"/>
    <mergeCell ref="A246:C246"/>
    <mergeCell ref="E246:G246"/>
    <mergeCell ref="A198:G198"/>
    <mergeCell ref="A199:G199"/>
    <mergeCell ref="A200:G200"/>
    <mergeCell ref="E203:F203"/>
    <mergeCell ref="E205:F205"/>
    <mergeCell ref="E253:F253"/>
    <mergeCell ref="E255:F255"/>
    <mergeCell ref="A294:C294"/>
    <mergeCell ref="E294:G294"/>
    <mergeCell ref="A295:C295"/>
    <mergeCell ref="E295:G295"/>
    <mergeCell ref="A247:C247"/>
    <mergeCell ref="E247:G247"/>
    <mergeCell ref="A248:G248"/>
    <mergeCell ref="A249:G249"/>
    <mergeCell ref="A250:G250"/>
    <mergeCell ref="A299:G299"/>
    <mergeCell ref="A300:G300"/>
    <mergeCell ref="E303:F303"/>
    <mergeCell ref="E305:F305"/>
    <mergeCell ref="A344:C344"/>
    <mergeCell ref="E344:G344"/>
    <mergeCell ref="A296:C296"/>
    <mergeCell ref="E296:G296"/>
    <mergeCell ref="A297:C297"/>
    <mergeCell ref="E297:G297"/>
    <mergeCell ref="A298:G298"/>
    <mergeCell ref="A348:G348"/>
    <mergeCell ref="A349:G349"/>
    <mergeCell ref="A350:G350"/>
    <mergeCell ref="E353:F353"/>
    <mergeCell ref="E355:F355"/>
    <mergeCell ref="A345:C345"/>
    <mergeCell ref="E345:G345"/>
    <mergeCell ref="A346:C346"/>
    <mergeCell ref="E346:G346"/>
    <mergeCell ref="A347:C347"/>
    <mergeCell ref="E347:G347"/>
    <mergeCell ref="A397:C397"/>
    <mergeCell ref="E397:G397"/>
    <mergeCell ref="A398:G398"/>
    <mergeCell ref="A399:G399"/>
    <mergeCell ref="A400:G400"/>
    <mergeCell ref="A394:C394"/>
    <mergeCell ref="E394:G394"/>
    <mergeCell ref="A395:C395"/>
    <mergeCell ref="E395:G395"/>
    <mergeCell ref="A396:C396"/>
    <mergeCell ref="E396:G396"/>
    <mergeCell ref="A446:C446"/>
    <mergeCell ref="E446:G446"/>
    <mergeCell ref="A447:C447"/>
    <mergeCell ref="E447:G447"/>
    <mergeCell ref="E403:F403"/>
    <mergeCell ref="E405:F405"/>
    <mergeCell ref="A444:C444"/>
    <mergeCell ref="E444:G444"/>
    <mergeCell ref="A445:C445"/>
    <mergeCell ref="E445:G4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zoomScale="110" zoomScaleNormal="110" workbookViewId="0">
      <selection activeCell="J58" sqref="J58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5.425781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25.7109375" style="1" customWidth="1"/>
    <col min="10" max="10" width="41.85546875" style="2" customWidth="1"/>
    <col min="11" max="11" width="12.85546875" style="2" bestFit="1" customWidth="1"/>
    <col min="12" max="12" width="11.5703125" style="2" customWidth="1"/>
    <col min="13" max="13" width="11.7109375" style="2" customWidth="1"/>
    <col min="14" max="14" width="10.7109375" style="2" customWidth="1"/>
    <col min="15" max="15" width="9.28515625" style="2" bestFit="1" customWidth="1"/>
    <col min="16" max="16" width="10.42578125" style="2" bestFit="1" customWidth="1"/>
    <col min="17" max="17" width="9.28515625" style="2" bestFit="1" customWidth="1"/>
    <col min="18" max="18" width="10.28515625" style="2" bestFit="1" customWidth="1"/>
    <col min="19" max="20" width="9.140625" style="2"/>
    <col min="21" max="22" width="9.28515625" style="2" bestFit="1" customWidth="1"/>
    <col min="23" max="23" width="11.28515625" style="2" customWidth="1"/>
    <col min="24" max="16384" width="9.140625" style="2"/>
  </cols>
  <sheetData>
    <row r="1" spans="1:10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0" x14ac:dyDescent="0.2">
      <c r="A2" s="888" t="s">
        <v>48</v>
      </c>
      <c r="B2" s="889"/>
      <c r="C2" s="889"/>
      <c r="D2" s="889"/>
      <c r="E2" s="889"/>
      <c r="F2" s="889"/>
      <c r="G2" s="890"/>
    </row>
    <row r="3" spans="1:10" x14ac:dyDescent="0.2">
      <c r="A3" s="915" t="s">
        <v>49</v>
      </c>
      <c r="B3" s="916"/>
      <c r="C3" s="916"/>
      <c r="D3" s="916"/>
      <c r="E3" s="916"/>
      <c r="F3" s="916"/>
      <c r="G3" s="917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10" x14ac:dyDescent="0.2">
      <c r="A6" s="17" t="s">
        <v>8</v>
      </c>
      <c r="B6" s="100"/>
      <c r="C6" s="19"/>
      <c r="D6" s="4"/>
      <c r="E6" s="918"/>
      <c r="F6" s="919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920"/>
      <c r="F8" s="921"/>
      <c r="G8" s="25"/>
    </row>
    <row r="9" spans="1:10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J9" s="2" t="s">
        <v>8</v>
      </c>
    </row>
    <row r="10" spans="1:10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10" x14ac:dyDescent="0.2">
      <c r="A11" s="29"/>
      <c r="B11" s="101"/>
      <c r="C11" s="41"/>
      <c r="D11" s="129"/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16" x14ac:dyDescent="0.2">
      <c r="A33" s="29"/>
      <c r="B33" s="101"/>
      <c r="C33" s="41"/>
      <c r="D33" s="62"/>
      <c r="E33" s="104"/>
      <c r="F33" s="154"/>
      <c r="G33" s="35"/>
    </row>
    <row r="34" spans="1:16" x14ac:dyDescent="0.2">
      <c r="A34" s="29"/>
      <c r="B34" s="101"/>
      <c r="C34" s="41"/>
      <c r="D34" s="62"/>
      <c r="E34" s="104"/>
      <c r="F34" s="154"/>
      <c r="G34" s="35"/>
    </row>
    <row r="35" spans="1:16" x14ac:dyDescent="0.2">
      <c r="A35" s="29"/>
      <c r="B35" s="101"/>
      <c r="C35" s="41"/>
      <c r="D35" s="67"/>
      <c r="E35" s="104"/>
      <c r="F35" s="154"/>
      <c r="G35" s="35"/>
    </row>
    <row r="36" spans="1:16" x14ac:dyDescent="0.2">
      <c r="A36" s="29"/>
      <c r="B36" s="101"/>
      <c r="C36" s="41"/>
      <c r="D36" s="159"/>
      <c r="E36" s="104"/>
      <c r="F36" s="154"/>
      <c r="G36" s="35"/>
    </row>
    <row r="37" spans="1:16" x14ac:dyDescent="0.2">
      <c r="A37" s="29"/>
      <c r="B37" s="101"/>
      <c r="C37" s="41"/>
      <c r="D37" s="160"/>
      <c r="E37" s="108"/>
      <c r="F37" s="128"/>
      <c r="G37" s="35"/>
    </row>
    <row r="38" spans="1:16" x14ac:dyDescent="0.2">
      <c r="A38" s="29"/>
      <c r="B38" s="101"/>
      <c r="C38" s="41"/>
      <c r="D38" s="136"/>
      <c r="E38" s="153"/>
      <c r="F38" s="128"/>
      <c r="G38" s="35" t="s">
        <v>151</v>
      </c>
    </row>
    <row r="39" spans="1:16" x14ac:dyDescent="0.2">
      <c r="A39" s="29"/>
      <c r="B39" s="101"/>
      <c r="C39" s="41"/>
      <c r="D39" s="136"/>
      <c r="E39" s="102"/>
      <c r="F39" s="128"/>
      <c r="G39" s="35"/>
    </row>
    <row r="40" spans="1:16" x14ac:dyDescent="0.2">
      <c r="A40" s="29"/>
      <c r="B40" s="101"/>
      <c r="C40" s="31"/>
      <c r="D40" s="67"/>
      <c r="E40" s="131"/>
      <c r="F40" s="117"/>
      <c r="G40" s="35"/>
    </row>
    <row r="41" spans="1:16" x14ac:dyDescent="0.2">
      <c r="A41" s="29"/>
      <c r="B41" s="101"/>
      <c r="C41" s="41"/>
      <c r="D41" s="118"/>
      <c r="E41" s="108"/>
      <c r="F41" s="149"/>
      <c r="G41" s="35"/>
    </row>
    <row r="42" spans="1:16" x14ac:dyDescent="0.2">
      <c r="A42" s="29"/>
      <c r="B42" s="101"/>
      <c r="C42" s="41"/>
      <c r="D42" s="144"/>
      <c r="E42" s="108"/>
      <c r="F42" s="149"/>
      <c r="G42" s="35"/>
    </row>
    <row r="43" spans="1:16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0</v>
      </c>
    </row>
    <row r="44" spans="1:16" ht="13.5" thickTop="1" x14ac:dyDescent="0.2">
      <c r="A44" s="898" t="s">
        <v>1003</v>
      </c>
      <c r="B44" s="899"/>
      <c r="C44" s="899"/>
      <c r="D44" s="899"/>
      <c r="E44" s="899"/>
      <c r="F44" s="899"/>
      <c r="G44" s="900"/>
      <c r="J44" s="17"/>
      <c r="K44" s="176"/>
      <c r="L44" s="4"/>
      <c r="N44" s="176"/>
      <c r="O44" s="5"/>
      <c r="P44" s="20"/>
    </row>
    <row r="45" spans="1:16" ht="13.5" thickBot="1" x14ac:dyDescent="0.25">
      <c r="A45" s="52"/>
      <c r="B45" s="103"/>
      <c r="C45" s="103" t="s">
        <v>8</v>
      </c>
      <c r="D45" s="54"/>
      <c r="E45" s="103"/>
      <c r="F45" s="55"/>
      <c r="G45" s="56"/>
      <c r="J45" s="52"/>
      <c r="K45" s="177"/>
      <c r="L45" s="177"/>
      <c r="M45" s="54"/>
      <c r="N45" s="177"/>
      <c r="O45" s="55"/>
      <c r="P45" s="56"/>
    </row>
    <row r="46" spans="1:16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16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16" x14ac:dyDescent="0.2">
      <c r="A48" s="910" t="s">
        <v>38</v>
      </c>
      <c r="B48" s="911"/>
      <c r="C48" s="911"/>
      <c r="D48" s="58" t="s">
        <v>916</v>
      </c>
      <c r="E48" s="868" t="s">
        <v>69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14</v>
      </c>
      <c r="E49" s="903" t="s">
        <v>33</v>
      </c>
      <c r="F49" s="904"/>
      <c r="G49" s="905"/>
    </row>
  </sheetData>
  <mergeCells count="14"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H46"/>
  <sheetViews>
    <sheetView zoomScale="115" zoomScaleNormal="115" workbookViewId="0">
      <selection activeCell="D30" sqref="D3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139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58" t="s">
        <v>138</v>
      </c>
      <c r="E45" s="868" t="s">
        <v>69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59" t="s">
        <v>14</v>
      </c>
      <c r="E46" s="903" t="s">
        <v>33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O100"/>
  <sheetViews>
    <sheetView topLeftCell="A28" zoomScale="115" zoomScaleNormal="115" workbookViewId="0">
      <selection activeCell="A45" sqref="A45:G4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62" t="s">
        <v>1052</v>
      </c>
      <c r="F5" s="98"/>
      <c r="G5" s="363" t="s">
        <v>1051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324</v>
      </c>
      <c r="E10" s="158">
        <v>30</v>
      </c>
      <c r="F10" s="128">
        <v>200</v>
      </c>
      <c r="G10" s="35">
        <f>F10*E10</f>
        <v>6000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2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59"/>
      <c r="E37" s="104"/>
      <c r="F37" s="154"/>
      <c r="G37" s="35"/>
    </row>
    <row r="38" spans="1:9" x14ac:dyDescent="0.2">
      <c r="A38" s="29"/>
      <c r="B38" s="101"/>
      <c r="C38" s="41"/>
      <c r="D38" s="160"/>
      <c r="E38" s="108"/>
      <c r="F38" s="128"/>
      <c r="G38" s="35"/>
    </row>
    <row r="39" spans="1:9" x14ac:dyDescent="0.2">
      <c r="A39" s="29"/>
      <c r="B39" s="101"/>
      <c r="C39" s="41"/>
      <c r="D39" s="136"/>
      <c r="E39" s="153"/>
      <c r="F39" s="128"/>
      <c r="G39" s="35"/>
    </row>
    <row r="40" spans="1:9" x14ac:dyDescent="0.2">
      <c r="A40" s="29"/>
      <c r="B40" s="101"/>
      <c r="C40" s="41"/>
      <c r="D40" s="136"/>
      <c r="E40" s="102"/>
      <c r="F40" s="128"/>
      <c r="G40" s="35"/>
    </row>
    <row r="41" spans="1:9" x14ac:dyDescent="0.2">
      <c r="A41" s="29"/>
      <c r="B41" s="101"/>
      <c r="C41" s="31"/>
      <c r="D41" s="67"/>
      <c r="E41" s="131"/>
      <c r="F41" s="117"/>
      <c r="G41" s="35"/>
    </row>
    <row r="42" spans="1:9" x14ac:dyDescent="0.2">
      <c r="A42" s="29"/>
      <c r="B42" s="101"/>
      <c r="C42" s="41"/>
      <c r="D42" s="118"/>
      <c r="E42" s="108"/>
      <c r="F42" s="149"/>
      <c r="G42" s="35"/>
    </row>
    <row r="43" spans="1:9" x14ac:dyDescent="0.2">
      <c r="A43" s="29"/>
      <c r="B43" s="101"/>
      <c r="C43" s="41"/>
      <c r="D43" s="144"/>
      <c r="E43" s="108"/>
      <c r="F43" s="149"/>
      <c r="G43" s="35"/>
    </row>
    <row r="44" spans="1:9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6000</v>
      </c>
    </row>
    <row r="45" spans="1:9" ht="13.5" thickTop="1" x14ac:dyDescent="0.2">
      <c r="A45" s="875" t="s">
        <v>1160</v>
      </c>
      <c r="B45" s="876"/>
      <c r="C45" s="876"/>
      <c r="D45" s="876"/>
      <c r="E45" s="876"/>
      <c r="F45" s="876"/>
      <c r="G45" s="877"/>
      <c r="I45" s="430" t="s">
        <v>1159</v>
      </c>
    </row>
    <row r="46" spans="1:9" ht="13.5" thickBot="1" x14ac:dyDescent="0.25">
      <c r="A46" s="378"/>
      <c r="B46" s="374"/>
      <c r="C46" s="374" t="s">
        <v>1161</v>
      </c>
      <c r="D46" s="379"/>
      <c r="E46" s="374"/>
      <c r="F46" s="380"/>
      <c r="G46" s="381"/>
    </row>
    <row r="47" spans="1:9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9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143</v>
      </c>
      <c r="E49" s="868" t="s">
        <v>69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59" t="s">
        <v>14</v>
      </c>
      <c r="E50" s="903" t="s">
        <v>33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62" t="s">
        <v>2390</v>
      </c>
      <c r="F55" s="98"/>
      <c r="G55" s="363" t="s">
        <v>2381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149</v>
      </c>
      <c r="D60" s="376" t="s">
        <v>324</v>
      </c>
      <c r="E60" s="158">
        <v>40</v>
      </c>
      <c r="F60" s="128">
        <v>200</v>
      </c>
      <c r="G60" s="35">
        <f>F60*E60</f>
        <v>8000</v>
      </c>
    </row>
    <row r="61" spans="1:7" x14ac:dyDescent="0.2">
      <c r="A61" s="29"/>
      <c r="B61" s="101"/>
      <c r="C61" s="41"/>
      <c r="D61" s="129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5" x14ac:dyDescent="0.2">
      <c r="A81" s="29"/>
      <c r="B81" s="101"/>
      <c r="C81" s="41"/>
      <c r="D81" s="62"/>
      <c r="E81" s="104"/>
      <c r="F81" s="154"/>
      <c r="G81" s="35"/>
    </row>
    <row r="82" spans="1:15" x14ac:dyDescent="0.2">
      <c r="A82" s="29"/>
      <c r="B82" s="101"/>
      <c r="C82" s="41"/>
      <c r="D82" s="62"/>
      <c r="E82" s="104"/>
      <c r="F82" s="154"/>
      <c r="G82" s="35"/>
      <c r="K82" s="2">
        <v>30</v>
      </c>
      <c r="L82" s="211">
        <v>197</v>
      </c>
      <c r="M82" s="164">
        <f>L82*K82</f>
        <v>5910</v>
      </c>
    </row>
    <row r="83" spans="1:15" x14ac:dyDescent="0.2">
      <c r="A83" s="29"/>
      <c r="B83" s="101"/>
      <c r="C83" s="41"/>
      <c r="D83" s="62"/>
      <c r="E83" s="104"/>
      <c r="F83" s="154"/>
      <c r="G83" s="35"/>
      <c r="K83" s="2">
        <v>30</v>
      </c>
      <c r="L83" s="211">
        <v>447</v>
      </c>
      <c r="M83" s="164">
        <f t="shared" ref="M83:M84" si="0">L83*K83</f>
        <v>13410</v>
      </c>
    </row>
    <row r="84" spans="1:15" x14ac:dyDescent="0.2">
      <c r="A84" s="29"/>
      <c r="B84" s="101"/>
      <c r="C84" s="41"/>
      <c r="D84" s="62"/>
      <c r="E84" s="104"/>
      <c r="F84" s="154"/>
      <c r="G84" s="35"/>
      <c r="K84" s="2">
        <v>30</v>
      </c>
      <c r="L84" s="211">
        <v>197</v>
      </c>
      <c r="M84" s="164">
        <f t="shared" si="0"/>
        <v>5910</v>
      </c>
      <c r="O84" s="430" t="s">
        <v>152</v>
      </c>
    </row>
    <row r="85" spans="1:15" x14ac:dyDescent="0.2">
      <c r="A85" s="29"/>
      <c r="B85" s="101"/>
      <c r="C85" s="41"/>
      <c r="D85" s="67"/>
      <c r="E85" s="104"/>
      <c r="F85" s="154"/>
      <c r="G85" s="35"/>
      <c r="L85" s="211"/>
      <c r="M85" s="164">
        <f>SUM(M82:M84)</f>
        <v>25230</v>
      </c>
    </row>
    <row r="86" spans="1:15" x14ac:dyDescent="0.2">
      <c r="A86" s="29"/>
      <c r="B86" s="101"/>
      <c r="C86" s="41"/>
      <c r="D86" s="159"/>
      <c r="E86" s="104"/>
      <c r="F86" s="154"/>
      <c r="G86" s="35"/>
    </row>
    <row r="87" spans="1:15" x14ac:dyDescent="0.2">
      <c r="A87" s="29"/>
      <c r="B87" s="101"/>
      <c r="C87" s="41"/>
      <c r="D87" s="159"/>
      <c r="E87" s="104"/>
      <c r="F87" s="154"/>
      <c r="G87" s="35"/>
      <c r="K87" s="2">
        <v>30</v>
      </c>
      <c r="L87" s="211">
        <v>198</v>
      </c>
      <c r="M87" s="164">
        <f>L87*K87</f>
        <v>5940</v>
      </c>
    </row>
    <row r="88" spans="1:15" x14ac:dyDescent="0.2">
      <c r="A88" s="29"/>
      <c r="B88" s="101"/>
      <c r="C88" s="41"/>
      <c r="D88" s="160"/>
      <c r="E88" s="108"/>
      <c r="F88" s="128"/>
      <c r="G88" s="35"/>
      <c r="K88" s="2">
        <v>30</v>
      </c>
      <c r="L88" s="211">
        <v>448</v>
      </c>
      <c r="M88" s="164">
        <f t="shared" ref="M88:M89" si="1">L88*K88</f>
        <v>13440</v>
      </c>
    </row>
    <row r="89" spans="1:15" x14ac:dyDescent="0.2">
      <c r="A89" s="29"/>
      <c r="B89" s="101"/>
      <c r="C89" s="41"/>
      <c r="D89" s="136"/>
      <c r="E89" s="417" t="s">
        <v>152</v>
      </c>
      <c r="F89" s="128"/>
      <c r="G89" s="35"/>
      <c r="K89" s="2">
        <v>30</v>
      </c>
      <c r="L89" s="211">
        <v>198</v>
      </c>
      <c r="M89" s="164">
        <f t="shared" si="1"/>
        <v>5940</v>
      </c>
    </row>
    <row r="90" spans="1:15" x14ac:dyDescent="0.2">
      <c r="A90" s="29"/>
      <c r="B90" s="101"/>
      <c r="C90" s="41"/>
      <c r="D90" s="136"/>
      <c r="E90" s="102"/>
      <c r="F90" s="128"/>
      <c r="G90" s="35"/>
      <c r="L90" s="211"/>
      <c r="M90" s="164">
        <f>SUM(M87:M89)</f>
        <v>25320</v>
      </c>
    </row>
    <row r="91" spans="1:15" x14ac:dyDescent="0.2">
      <c r="A91" s="29"/>
      <c r="B91" s="101"/>
      <c r="C91" s="31"/>
      <c r="D91" s="67"/>
      <c r="E91" s="131"/>
      <c r="F91" s="117"/>
      <c r="G91" s="35"/>
    </row>
    <row r="92" spans="1:15" x14ac:dyDescent="0.2">
      <c r="A92" s="29"/>
      <c r="B92" s="101"/>
      <c r="C92" s="41"/>
      <c r="D92" s="118"/>
      <c r="E92" s="108"/>
      <c r="F92" s="149"/>
      <c r="G92" s="35"/>
      <c r="K92" s="2">
        <v>30</v>
      </c>
      <c r="L92" s="211">
        <v>199</v>
      </c>
      <c r="M92" s="164">
        <f>L92*K92</f>
        <v>5970</v>
      </c>
    </row>
    <row r="93" spans="1:15" x14ac:dyDescent="0.2">
      <c r="A93" s="29"/>
      <c r="B93" s="101"/>
      <c r="C93" s="41"/>
      <c r="D93" s="144"/>
      <c r="E93" s="108"/>
      <c r="F93" s="149"/>
      <c r="G93" s="35"/>
      <c r="K93" s="2">
        <v>30</v>
      </c>
      <c r="L93" s="211">
        <v>449</v>
      </c>
      <c r="M93" s="164">
        <f t="shared" ref="M93:M94" si="2">L93*K93</f>
        <v>13470</v>
      </c>
    </row>
    <row r="94" spans="1:15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8000</v>
      </c>
      <c r="K94" s="2">
        <v>30</v>
      </c>
      <c r="L94" s="211">
        <v>199</v>
      </c>
      <c r="M94" s="164">
        <f t="shared" si="2"/>
        <v>5970</v>
      </c>
    </row>
    <row r="95" spans="1:15" ht="13.5" thickTop="1" x14ac:dyDescent="0.2">
      <c r="A95" s="875" t="s">
        <v>2384</v>
      </c>
      <c r="B95" s="876"/>
      <c r="C95" s="876"/>
      <c r="D95" s="876"/>
      <c r="E95" s="876"/>
      <c r="F95" s="876"/>
      <c r="G95" s="877"/>
      <c r="M95" s="164">
        <f>SUM(M92:M94)</f>
        <v>25410</v>
      </c>
    </row>
    <row r="96" spans="1:15" ht="13.5" thickBot="1" x14ac:dyDescent="0.25">
      <c r="A96" s="378"/>
      <c r="B96" s="374"/>
      <c r="C96" s="374" t="s">
        <v>2387</v>
      </c>
      <c r="D96" s="379"/>
      <c r="E96" s="374"/>
      <c r="F96" s="380"/>
      <c r="G96" s="381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143</v>
      </c>
      <c r="E99" s="868" t="s">
        <v>69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59" t="s">
        <v>14</v>
      </c>
      <c r="E100" s="903" t="s">
        <v>33</v>
      </c>
      <c r="F100" s="904"/>
      <c r="G100" s="905"/>
    </row>
  </sheetData>
  <mergeCells count="28"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K100"/>
  <sheetViews>
    <sheetView topLeftCell="A60" zoomScale="115" zoomScaleNormal="115" workbookViewId="0">
      <selection activeCell="A95" sqref="A95:G9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62" t="s">
        <v>1780</v>
      </c>
      <c r="F5" s="98"/>
      <c r="G5" s="363" t="s">
        <v>1731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1535</v>
      </c>
      <c r="E10" s="158">
        <v>40</v>
      </c>
      <c r="F10" s="128">
        <v>200</v>
      </c>
      <c r="G10" s="35">
        <f>F10*E10</f>
        <v>8000</v>
      </c>
    </row>
    <row r="11" spans="1:7" x14ac:dyDescent="0.2">
      <c r="A11" s="29"/>
      <c r="B11" s="101"/>
      <c r="C11" s="41"/>
      <c r="D11" s="370" t="s">
        <v>1774</v>
      </c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  <c r="J19" s="430" t="s">
        <v>8</v>
      </c>
    </row>
    <row r="20" spans="1:10" x14ac:dyDescent="0.2">
      <c r="A20" s="29"/>
      <c r="B20" s="105"/>
      <c r="C20" s="41"/>
      <c r="D20" s="136"/>
      <c r="E20" s="108"/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</row>
    <row r="28" spans="1:10" x14ac:dyDescent="0.2">
      <c r="A28" s="29"/>
      <c r="B28" s="101"/>
      <c r="C28" s="41"/>
      <c r="D28" s="67"/>
      <c r="E28" s="104"/>
      <c r="F28" s="154"/>
      <c r="G28" s="35"/>
    </row>
    <row r="29" spans="1:10" x14ac:dyDescent="0.2">
      <c r="A29" s="29"/>
      <c r="B29" s="101"/>
      <c r="C29" s="41"/>
      <c r="D29" s="136"/>
      <c r="E29" s="104"/>
      <c r="F29" s="154"/>
      <c r="G29" s="35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136"/>
      <c r="E31" s="104"/>
      <c r="F31" s="154"/>
      <c r="G31" s="35"/>
    </row>
    <row r="32" spans="1:10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62"/>
      <c r="E35" s="104"/>
      <c r="F35" s="154"/>
      <c r="G35" s="35"/>
    </row>
    <row r="36" spans="1:7" x14ac:dyDescent="0.2">
      <c r="A36" s="29"/>
      <c r="B36" s="101"/>
      <c r="C36" s="41"/>
      <c r="D36" s="67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8000</v>
      </c>
    </row>
    <row r="45" spans="1:7" ht="13.5" thickTop="1" x14ac:dyDescent="0.2">
      <c r="A45" s="875" t="s">
        <v>1775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374" t="s">
        <v>1776</v>
      </c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885</v>
      </c>
      <c r="E49" s="868" t="s">
        <v>69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59" t="s">
        <v>14</v>
      </c>
      <c r="E50" s="903" t="s">
        <v>33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62" t="s">
        <v>2503</v>
      </c>
      <c r="F55" s="98"/>
      <c r="G55" s="363" t="s">
        <v>2465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149</v>
      </c>
      <c r="D60" s="376" t="s">
        <v>2467</v>
      </c>
      <c r="E60" s="158">
        <v>50</v>
      </c>
      <c r="F60" s="128">
        <v>200</v>
      </c>
      <c r="G60" s="35">
        <f>F60*E60</f>
        <v>10000</v>
      </c>
    </row>
    <row r="61" spans="1:7" x14ac:dyDescent="0.2">
      <c r="A61" s="29"/>
      <c r="B61" s="101"/>
      <c r="C61" s="41"/>
      <c r="D61" s="370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11" x14ac:dyDescent="0.2">
      <c r="A65" s="29"/>
      <c r="B65" s="105"/>
      <c r="C65" s="41"/>
      <c r="D65" s="136"/>
      <c r="E65" s="102"/>
      <c r="F65" s="128"/>
      <c r="G65" s="35"/>
    </row>
    <row r="66" spans="1:11" x14ac:dyDescent="0.2">
      <c r="A66" s="29"/>
      <c r="B66" s="151"/>
      <c r="C66" s="119"/>
      <c r="D66" s="136"/>
      <c r="E66" s="108"/>
      <c r="F66" s="150"/>
      <c r="G66" s="35"/>
    </row>
    <row r="67" spans="1:11" x14ac:dyDescent="0.2">
      <c r="A67" s="29"/>
      <c r="B67" s="151"/>
      <c r="C67" s="119"/>
      <c r="D67" s="144"/>
      <c r="E67" s="108"/>
      <c r="F67" s="150"/>
      <c r="G67" s="35"/>
    </row>
    <row r="68" spans="1:11" x14ac:dyDescent="0.2">
      <c r="A68" s="29"/>
      <c r="B68" s="101"/>
      <c r="C68" s="41"/>
      <c r="D68" s="144"/>
      <c r="E68" s="155"/>
      <c r="F68" s="128"/>
      <c r="G68" s="35"/>
    </row>
    <row r="69" spans="1:11" x14ac:dyDescent="0.2">
      <c r="A69" s="29"/>
      <c r="B69" s="106"/>
      <c r="C69" s="41"/>
      <c r="D69" s="136"/>
      <c r="E69" s="104"/>
      <c r="F69" s="128"/>
      <c r="G69" s="35"/>
    </row>
    <row r="70" spans="1:11" x14ac:dyDescent="0.2">
      <c r="A70" s="29"/>
      <c r="B70" s="105"/>
      <c r="C70" s="41"/>
      <c r="D70" s="136"/>
      <c r="E70" s="108"/>
      <c r="F70" s="152"/>
      <c r="G70" s="35"/>
    </row>
    <row r="71" spans="1:11" x14ac:dyDescent="0.2">
      <c r="A71" s="29"/>
      <c r="B71" s="107"/>
      <c r="C71" s="41"/>
      <c r="D71" s="136"/>
      <c r="E71" s="153"/>
      <c r="F71" s="128"/>
      <c r="G71" s="35"/>
    </row>
    <row r="72" spans="1:11" x14ac:dyDescent="0.2">
      <c r="A72" s="29"/>
      <c r="B72" s="107"/>
      <c r="C72" s="41"/>
      <c r="D72" s="67"/>
      <c r="E72" s="153"/>
      <c r="F72" s="128"/>
      <c r="G72" s="35"/>
    </row>
    <row r="73" spans="1:11" x14ac:dyDescent="0.2">
      <c r="A73" s="29"/>
      <c r="B73" s="101"/>
      <c r="C73" s="41"/>
      <c r="D73" s="67"/>
      <c r="E73" s="108"/>
      <c r="F73" s="128"/>
      <c r="G73" s="35"/>
    </row>
    <row r="74" spans="1:11" x14ac:dyDescent="0.2">
      <c r="A74" s="29"/>
      <c r="B74" s="101"/>
      <c r="C74" s="41"/>
      <c r="D74" s="67"/>
      <c r="E74" s="153"/>
      <c r="F74" s="128"/>
      <c r="G74" s="35"/>
    </row>
    <row r="75" spans="1:11" x14ac:dyDescent="0.2">
      <c r="A75" s="29"/>
      <c r="B75" s="106"/>
      <c r="C75" s="41"/>
      <c r="D75" s="67"/>
      <c r="E75" s="104"/>
      <c r="F75" s="154"/>
      <c r="G75" s="35"/>
    </row>
    <row r="76" spans="1:11" x14ac:dyDescent="0.2">
      <c r="A76" s="29"/>
      <c r="B76" s="105"/>
      <c r="C76" s="41"/>
      <c r="D76" s="130"/>
      <c r="E76" s="104"/>
      <c r="F76" s="154"/>
      <c r="G76" s="35"/>
    </row>
    <row r="77" spans="1:11" x14ac:dyDescent="0.2">
      <c r="A77" s="29"/>
      <c r="B77" s="105"/>
      <c r="C77" s="41"/>
      <c r="D77" s="67"/>
      <c r="E77" s="104"/>
      <c r="F77" s="154"/>
      <c r="G77" s="35"/>
    </row>
    <row r="78" spans="1:11" x14ac:dyDescent="0.2">
      <c r="A78" s="29"/>
      <c r="B78" s="101"/>
      <c r="C78" s="41"/>
      <c r="D78" s="67"/>
      <c r="E78" s="104"/>
      <c r="F78" s="154"/>
      <c r="G78" s="35"/>
      <c r="K78" s="430" t="s">
        <v>8</v>
      </c>
    </row>
    <row r="79" spans="1:11" x14ac:dyDescent="0.2">
      <c r="A79" s="29"/>
      <c r="B79" s="101"/>
      <c r="C79" s="41"/>
      <c r="D79" s="136"/>
      <c r="E79" s="104"/>
      <c r="F79" s="154"/>
      <c r="G79" s="35"/>
    </row>
    <row r="80" spans="1:11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62"/>
      <c r="E85" s="104"/>
      <c r="F85" s="154"/>
      <c r="G85" s="35"/>
    </row>
    <row r="86" spans="1:7" x14ac:dyDescent="0.2">
      <c r="A86" s="29"/>
      <c r="B86" s="101"/>
      <c r="C86" s="41"/>
      <c r="D86" s="67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10000</v>
      </c>
    </row>
    <row r="95" spans="1:7" ht="13.5" thickTop="1" x14ac:dyDescent="0.2">
      <c r="A95" s="875" t="s">
        <v>1775</v>
      </c>
      <c r="B95" s="899"/>
      <c r="C95" s="899"/>
      <c r="D95" s="899"/>
      <c r="E95" s="899"/>
      <c r="F95" s="899"/>
      <c r="G95" s="900"/>
    </row>
    <row r="96" spans="1:7" ht="13.5" thickBot="1" x14ac:dyDescent="0.25">
      <c r="A96" s="52"/>
      <c r="B96" s="103"/>
      <c r="C96" s="374" t="s">
        <v>2468</v>
      </c>
      <c r="D96" s="54"/>
      <c r="E96" s="103"/>
      <c r="F96" s="55"/>
      <c r="G96" s="56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885</v>
      </c>
      <c r="E99" s="868" t="s">
        <v>69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59" t="s">
        <v>14</v>
      </c>
      <c r="E100" s="903" t="s">
        <v>33</v>
      </c>
      <c r="F100" s="904"/>
      <c r="G100" s="905"/>
    </row>
  </sheetData>
  <mergeCells count="28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I48"/>
  <sheetViews>
    <sheetView zoomScale="115" zoomScaleNormal="115" workbookViewId="0">
      <selection sqref="A1:G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40.710937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101"/>
      <c r="C35" s="41"/>
      <c r="D35" s="159"/>
      <c r="E35" s="104"/>
      <c r="F35" s="154"/>
      <c r="G35" s="35"/>
    </row>
    <row r="36" spans="1:9" x14ac:dyDescent="0.2">
      <c r="A36" s="29"/>
      <c r="B36" s="101"/>
      <c r="C36" s="41"/>
      <c r="D36" s="160"/>
      <c r="E36" s="108"/>
      <c r="F36" s="128"/>
      <c r="G36" s="35"/>
    </row>
    <row r="37" spans="1:9" x14ac:dyDescent="0.2">
      <c r="A37" s="29"/>
      <c r="B37" s="101"/>
      <c r="C37" s="41"/>
      <c r="D37" s="136"/>
      <c r="E37" s="153"/>
      <c r="F37" s="128"/>
      <c r="G37" s="35"/>
    </row>
    <row r="38" spans="1:9" x14ac:dyDescent="0.2">
      <c r="A38" s="29"/>
      <c r="B38" s="101"/>
      <c r="C38" s="41"/>
      <c r="D38" s="136"/>
      <c r="E38" s="102"/>
      <c r="F38" s="128"/>
      <c r="G38" s="35"/>
    </row>
    <row r="39" spans="1:9" x14ac:dyDescent="0.2">
      <c r="A39" s="29"/>
      <c r="B39" s="101"/>
      <c r="C39" s="31"/>
      <c r="D39" s="67"/>
      <c r="E39" s="131"/>
      <c r="F39" s="117"/>
      <c r="G39" s="35"/>
    </row>
    <row r="40" spans="1:9" x14ac:dyDescent="0.2">
      <c r="A40" s="29"/>
      <c r="B40" s="101"/>
      <c r="C40" s="41"/>
      <c r="D40" s="118"/>
      <c r="E40" s="108"/>
      <c r="F40" s="149"/>
      <c r="G40" s="35"/>
    </row>
    <row r="41" spans="1:9" x14ac:dyDescent="0.2">
      <c r="A41" s="29"/>
      <c r="B41" s="101"/>
      <c r="C41" s="41"/>
      <c r="D41" s="144"/>
      <c r="E41" s="108"/>
      <c r="F41" s="149"/>
      <c r="G41" s="35"/>
    </row>
    <row r="42" spans="1:9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0</v>
      </c>
    </row>
    <row r="43" spans="1:9" ht="13.5" thickTop="1" x14ac:dyDescent="0.2">
      <c r="A43" s="898" t="s">
        <v>1003</v>
      </c>
      <c r="B43" s="899"/>
      <c r="C43" s="899"/>
      <c r="D43" s="899"/>
      <c r="E43" s="899"/>
      <c r="F43" s="899"/>
      <c r="G43" s="900"/>
    </row>
    <row r="44" spans="1:9" ht="13.5" thickBot="1" x14ac:dyDescent="0.25">
      <c r="A44" s="52"/>
      <c r="B44" s="103"/>
      <c r="C44" s="103"/>
      <c r="D44" s="54"/>
      <c r="E44" s="103"/>
      <c r="F44" s="55"/>
      <c r="G44" s="56"/>
    </row>
    <row r="45" spans="1:9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9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9" x14ac:dyDescent="0.2">
      <c r="A47" s="910" t="s">
        <v>38</v>
      </c>
      <c r="B47" s="911"/>
      <c r="C47" s="911"/>
      <c r="D47" s="58" t="s">
        <v>992</v>
      </c>
      <c r="E47" s="868" t="s">
        <v>69</v>
      </c>
      <c r="F47" s="868"/>
      <c r="G47" s="869"/>
      <c r="I47" s="58" t="s">
        <v>994</v>
      </c>
    </row>
    <row r="48" spans="1:9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  <c r="I48" s="59" t="s">
        <v>993</v>
      </c>
    </row>
  </sheetData>
  <mergeCells count="14">
    <mergeCell ref="A48:C48"/>
    <mergeCell ref="E48:G48"/>
    <mergeCell ref="A45:C45"/>
    <mergeCell ref="E45:G45"/>
    <mergeCell ref="A46:C46"/>
    <mergeCell ref="E46:G46"/>
    <mergeCell ref="A47:C47"/>
    <mergeCell ref="E47:G47"/>
    <mergeCell ref="A43:G43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I148"/>
  <sheetViews>
    <sheetView topLeftCell="A108" zoomScale="115" zoomScaleNormal="115" workbookViewId="0">
      <selection activeCell="A143" sqref="A143:G14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40.710937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62" t="s">
        <v>2553</v>
      </c>
      <c r="F5" s="98"/>
      <c r="G5" s="363" t="s">
        <v>2547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2554</v>
      </c>
      <c r="E10" s="158">
        <v>50</v>
      </c>
      <c r="F10" s="128">
        <v>200</v>
      </c>
      <c r="G10" s="35">
        <f>F10*E10</f>
        <v>10000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101"/>
      <c r="C35" s="41"/>
      <c r="D35" s="159"/>
      <c r="E35" s="104"/>
      <c r="F35" s="154"/>
      <c r="G35" s="35"/>
    </row>
    <row r="36" spans="1:9" x14ac:dyDescent="0.2">
      <c r="A36" s="29"/>
      <c r="B36" s="101"/>
      <c r="C36" s="41"/>
      <c r="D36" s="160"/>
      <c r="E36" s="108"/>
      <c r="F36" s="128"/>
      <c r="G36" s="35"/>
    </row>
    <row r="37" spans="1:9" x14ac:dyDescent="0.2">
      <c r="A37" s="29"/>
      <c r="B37" s="101"/>
      <c r="C37" s="41"/>
      <c r="D37" s="136"/>
      <c r="E37" s="153"/>
      <c r="F37" s="128"/>
      <c r="G37" s="35"/>
    </row>
    <row r="38" spans="1:9" x14ac:dyDescent="0.2">
      <c r="A38" s="29"/>
      <c r="B38" s="101"/>
      <c r="C38" s="41"/>
      <c r="D38" s="136"/>
      <c r="E38" s="102"/>
      <c r="F38" s="128"/>
      <c r="G38" s="35"/>
    </row>
    <row r="39" spans="1:9" x14ac:dyDescent="0.2">
      <c r="A39" s="29"/>
      <c r="B39" s="101"/>
      <c r="C39" s="31"/>
      <c r="D39" s="67"/>
      <c r="E39" s="131"/>
      <c r="F39" s="117"/>
      <c r="G39" s="35"/>
    </row>
    <row r="40" spans="1:9" x14ac:dyDescent="0.2">
      <c r="A40" s="29"/>
      <c r="B40" s="101"/>
      <c r="C40" s="41"/>
      <c r="D40" s="118"/>
      <c r="E40" s="108"/>
      <c r="F40" s="149"/>
      <c r="G40" s="35"/>
    </row>
    <row r="41" spans="1:9" x14ac:dyDescent="0.2">
      <c r="A41" s="29"/>
      <c r="B41" s="101"/>
      <c r="C41" s="41"/>
      <c r="D41" s="144"/>
      <c r="E41" s="108"/>
      <c r="F41" s="149"/>
      <c r="G41" s="35"/>
    </row>
    <row r="42" spans="1:9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10000</v>
      </c>
    </row>
    <row r="43" spans="1:9" ht="13.5" thickTop="1" x14ac:dyDescent="0.2">
      <c r="A43" s="875" t="s">
        <v>2555</v>
      </c>
      <c r="B43" s="876"/>
      <c r="C43" s="876"/>
      <c r="D43" s="876"/>
      <c r="E43" s="876"/>
      <c r="F43" s="876"/>
      <c r="G43" s="877"/>
    </row>
    <row r="44" spans="1:9" x14ac:dyDescent="0.2">
      <c r="A44" s="373"/>
      <c r="B44" s="377"/>
      <c r="C44" s="648" t="s">
        <v>2556</v>
      </c>
      <c r="D44" s="377"/>
      <c r="E44" s="377"/>
      <c r="F44" s="377"/>
      <c r="G44" s="645"/>
    </row>
    <row r="45" spans="1:9" ht="13.5" thickBot="1" x14ac:dyDescent="0.25">
      <c r="A45" s="378"/>
      <c r="B45" s="374"/>
      <c r="C45" s="374" t="s">
        <v>2557</v>
      </c>
      <c r="D45" s="379"/>
      <c r="E45" s="374"/>
      <c r="F45" s="380"/>
      <c r="G45" s="381"/>
    </row>
    <row r="46" spans="1:9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9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9" x14ac:dyDescent="0.2">
      <c r="A48" s="910" t="s">
        <v>38</v>
      </c>
      <c r="B48" s="911"/>
      <c r="C48" s="911"/>
      <c r="D48" s="646" t="s">
        <v>2552</v>
      </c>
      <c r="E48" s="868" t="s">
        <v>69</v>
      </c>
      <c r="F48" s="868"/>
      <c r="G48" s="869"/>
      <c r="I48" s="1"/>
    </row>
    <row r="49" spans="1:9" ht="13.5" thickBot="1" x14ac:dyDescent="0.25">
      <c r="A49" s="901" t="s">
        <v>39</v>
      </c>
      <c r="B49" s="902"/>
      <c r="C49" s="902"/>
      <c r="D49" s="647" t="s">
        <v>14</v>
      </c>
      <c r="E49" s="903" t="s">
        <v>33</v>
      </c>
      <c r="F49" s="904"/>
      <c r="G49" s="905"/>
      <c r="I49" s="4"/>
    </row>
    <row r="50" spans="1:9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9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9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9" x14ac:dyDescent="0.2">
      <c r="A53" s="6"/>
      <c r="B53" s="99"/>
      <c r="C53" s="8"/>
      <c r="D53" s="9"/>
      <c r="E53" s="99"/>
      <c r="F53" s="10"/>
      <c r="G53" s="11" t="s">
        <v>20</v>
      </c>
    </row>
    <row r="54" spans="1:9" x14ac:dyDescent="0.2">
      <c r="A54" s="12" t="s">
        <v>1</v>
      </c>
      <c r="B54" s="13"/>
      <c r="C54" s="14" t="s">
        <v>32</v>
      </c>
      <c r="D54" s="13"/>
      <c r="E54" s="362" t="s">
        <v>2662</v>
      </c>
      <c r="F54" s="98"/>
      <c r="G54" s="363" t="s">
        <v>2640</v>
      </c>
    </row>
    <row r="55" spans="1:9" x14ac:dyDescent="0.2">
      <c r="A55" s="17" t="s">
        <v>8</v>
      </c>
      <c r="B55" s="100"/>
      <c r="C55" s="19"/>
      <c r="D55" s="4"/>
      <c r="E55" s="918"/>
      <c r="F55" s="919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920"/>
      <c r="F57" s="921"/>
      <c r="G57" s="25"/>
    </row>
    <row r="58" spans="1:9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71" t="s">
        <v>149</v>
      </c>
      <c r="D59" s="376" t="s">
        <v>324</v>
      </c>
      <c r="E59" s="158">
        <v>50</v>
      </c>
      <c r="F59" s="128">
        <v>200</v>
      </c>
      <c r="G59" s="35">
        <f>F59*E59</f>
        <v>10000</v>
      </c>
    </row>
    <row r="60" spans="1:9" x14ac:dyDescent="0.2">
      <c r="A60" s="29"/>
      <c r="B60" s="101"/>
      <c r="C60" s="41"/>
      <c r="D60" s="129"/>
      <c r="E60" s="156"/>
      <c r="F60" s="128"/>
      <c r="G60" s="35"/>
    </row>
    <row r="61" spans="1:9" x14ac:dyDescent="0.2">
      <c r="A61" s="29"/>
      <c r="B61" s="101"/>
      <c r="C61" s="41"/>
      <c r="D61" s="129"/>
      <c r="E61" s="157"/>
      <c r="F61" s="149"/>
      <c r="G61" s="35"/>
    </row>
    <row r="62" spans="1:9" x14ac:dyDescent="0.2">
      <c r="A62" s="29"/>
      <c r="B62" s="101"/>
      <c r="C62" s="41"/>
      <c r="D62" s="129"/>
      <c r="E62" s="108"/>
      <c r="F62" s="128"/>
      <c r="G62" s="35"/>
    </row>
    <row r="63" spans="1:9" x14ac:dyDescent="0.2">
      <c r="A63" s="29"/>
      <c r="B63" s="105"/>
      <c r="C63" s="41"/>
      <c r="D63" s="136"/>
      <c r="E63" s="102"/>
      <c r="F63" s="128"/>
      <c r="G63" s="35"/>
    </row>
    <row r="64" spans="1:9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9" x14ac:dyDescent="0.2">
      <c r="A81" s="29"/>
      <c r="B81" s="101"/>
      <c r="C81" s="41"/>
      <c r="D81" s="62"/>
      <c r="E81" s="104"/>
      <c r="F81" s="154"/>
      <c r="G81" s="35"/>
    </row>
    <row r="82" spans="1:9" x14ac:dyDescent="0.2">
      <c r="A82" s="29"/>
      <c r="B82" s="101"/>
      <c r="C82" s="41"/>
      <c r="D82" s="62"/>
      <c r="E82" s="104"/>
      <c r="F82" s="154"/>
      <c r="G82" s="35"/>
    </row>
    <row r="83" spans="1:9" x14ac:dyDescent="0.2">
      <c r="A83" s="29"/>
      <c r="B83" s="101"/>
      <c r="C83" s="41"/>
      <c r="D83" s="67"/>
      <c r="E83" s="104"/>
      <c r="F83" s="154"/>
      <c r="G83" s="35"/>
    </row>
    <row r="84" spans="1:9" x14ac:dyDescent="0.2">
      <c r="A84" s="29"/>
      <c r="B84" s="101"/>
      <c r="C84" s="41"/>
      <c r="D84" s="159"/>
      <c r="E84" s="104"/>
      <c r="F84" s="154"/>
      <c r="G84" s="35"/>
    </row>
    <row r="85" spans="1:9" x14ac:dyDescent="0.2">
      <c r="A85" s="29"/>
      <c r="B85" s="101"/>
      <c r="C85" s="41"/>
      <c r="D85" s="160"/>
      <c r="E85" s="108"/>
      <c r="F85" s="128"/>
      <c r="G85" s="35"/>
    </row>
    <row r="86" spans="1:9" x14ac:dyDescent="0.2">
      <c r="A86" s="29"/>
      <c r="B86" s="101"/>
      <c r="C86" s="41"/>
      <c r="D86" s="136"/>
      <c r="E86" s="153"/>
      <c r="F86" s="128"/>
      <c r="G86" s="35"/>
    </row>
    <row r="87" spans="1:9" x14ac:dyDescent="0.2">
      <c r="A87" s="29"/>
      <c r="B87" s="101"/>
      <c r="C87" s="41"/>
      <c r="D87" s="136"/>
      <c r="E87" s="102"/>
      <c r="F87" s="128"/>
      <c r="G87" s="35"/>
    </row>
    <row r="88" spans="1:9" x14ac:dyDescent="0.2">
      <c r="A88" s="29"/>
      <c r="B88" s="101"/>
      <c r="C88" s="31"/>
      <c r="D88" s="67"/>
      <c r="E88" s="131"/>
      <c r="F88" s="117"/>
      <c r="G88" s="35"/>
    </row>
    <row r="89" spans="1:9" x14ac:dyDescent="0.2">
      <c r="A89" s="29"/>
      <c r="B89" s="101"/>
      <c r="C89" s="41"/>
      <c r="D89" s="118"/>
      <c r="E89" s="108"/>
      <c r="F89" s="149"/>
      <c r="G89" s="35"/>
    </row>
    <row r="90" spans="1:9" x14ac:dyDescent="0.2">
      <c r="A90" s="29"/>
      <c r="B90" s="101"/>
      <c r="C90" s="41"/>
      <c r="D90" s="144"/>
      <c r="E90" s="108"/>
      <c r="F90" s="149"/>
      <c r="G90" s="35"/>
    </row>
    <row r="91" spans="1:9" ht="13.5" thickBot="1" x14ac:dyDescent="0.25">
      <c r="A91" s="45"/>
      <c r="B91" s="132"/>
      <c r="C91" s="115"/>
      <c r="D91" s="115"/>
      <c r="E91" s="132"/>
      <c r="F91" s="49" t="s">
        <v>15</v>
      </c>
      <c r="G91" s="50">
        <f>SUM(G59:G90)</f>
        <v>10000</v>
      </c>
    </row>
    <row r="92" spans="1:9" ht="13.5" thickTop="1" x14ac:dyDescent="0.2">
      <c r="A92" s="875" t="s">
        <v>2660</v>
      </c>
      <c r="B92" s="876"/>
      <c r="C92" s="876"/>
      <c r="D92" s="876"/>
      <c r="E92" s="876"/>
      <c r="F92" s="876"/>
      <c r="G92" s="877"/>
      <c r="I92" s="430" t="s">
        <v>2556</v>
      </c>
    </row>
    <row r="93" spans="1:9" ht="15" x14ac:dyDescent="0.2">
      <c r="A93" s="373"/>
      <c r="B93" s="377"/>
      <c r="C93" s="922" t="s">
        <v>2663</v>
      </c>
      <c r="D93" s="923"/>
      <c r="E93" s="923"/>
      <c r="F93" s="923"/>
      <c r="G93" s="924"/>
    </row>
    <row r="94" spans="1:9" ht="13.5" thickBot="1" x14ac:dyDescent="0.25">
      <c r="A94" s="378"/>
      <c r="B94" s="374"/>
      <c r="C94" s="374" t="s">
        <v>2658</v>
      </c>
      <c r="D94" s="379"/>
      <c r="E94" s="374"/>
      <c r="F94" s="380"/>
      <c r="G94" s="381"/>
    </row>
    <row r="95" spans="1:9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9" x14ac:dyDescent="0.2">
      <c r="A96" s="910" t="s">
        <v>17</v>
      </c>
      <c r="B96" s="911"/>
      <c r="C96" s="911"/>
      <c r="D96" s="39"/>
      <c r="E96" s="912"/>
      <c r="F96" s="913"/>
      <c r="G96" s="914"/>
    </row>
    <row r="97" spans="1:7" x14ac:dyDescent="0.2">
      <c r="A97" s="910" t="s">
        <v>38</v>
      </c>
      <c r="B97" s="911"/>
      <c r="C97" s="911"/>
      <c r="D97" s="646" t="s">
        <v>2552</v>
      </c>
      <c r="E97" s="868" t="s">
        <v>69</v>
      </c>
      <c r="F97" s="868"/>
      <c r="G97" s="869"/>
    </row>
    <row r="98" spans="1:7" ht="13.5" thickBot="1" x14ac:dyDescent="0.25">
      <c r="A98" s="901" t="s">
        <v>39</v>
      </c>
      <c r="B98" s="902"/>
      <c r="C98" s="902"/>
      <c r="D98" s="647" t="s">
        <v>14</v>
      </c>
      <c r="E98" s="903" t="s">
        <v>33</v>
      </c>
      <c r="F98" s="904"/>
      <c r="G98" s="905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32</v>
      </c>
      <c r="D103" s="13"/>
      <c r="E103" s="362" t="s">
        <v>2661</v>
      </c>
      <c r="F103" s="98"/>
      <c r="G103" s="363" t="s">
        <v>2640</v>
      </c>
    </row>
    <row r="104" spans="1:7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920"/>
      <c r="F106" s="921"/>
      <c r="G106" s="25"/>
    </row>
    <row r="107" spans="1:7" ht="26.25" thickBot="1" x14ac:dyDescent="0.25">
      <c r="A107" s="207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71" t="s">
        <v>149</v>
      </c>
      <c r="D108" s="376" t="s">
        <v>324</v>
      </c>
      <c r="E108" s="158">
        <v>50</v>
      </c>
      <c r="F108" s="128">
        <v>200</v>
      </c>
      <c r="G108" s="35">
        <f>F108*E108</f>
        <v>10000</v>
      </c>
    </row>
    <row r="109" spans="1:7" x14ac:dyDescent="0.2">
      <c r="A109" s="29"/>
      <c r="B109" s="101"/>
      <c r="C109" s="41"/>
      <c r="D109" s="129"/>
      <c r="E109" s="156"/>
      <c r="F109" s="128"/>
      <c r="G109" s="35"/>
    </row>
    <row r="110" spans="1:7" x14ac:dyDescent="0.2">
      <c r="A110" s="29"/>
      <c r="B110" s="101"/>
      <c r="C110" s="41"/>
      <c r="D110" s="129"/>
      <c r="E110" s="157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655"/>
      <c r="C132" s="656"/>
      <c r="D132" s="657"/>
      <c r="E132" s="658"/>
      <c r="F132" s="659"/>
      <c r="G132" s="35"/>
    </row>
    <row r="133" spans="1:7" x14ac:dyDescent="0.2">
      <c r="A133" s="29"/>
      <c r="B133" s="655"/>
      <c r="C133" s="656"/>
      <c r="D133" s="657"/>
      <c r="E133" s="658"/>
      <c r="F133" s="659"/>
      <c r="G133" s="35"/>
    </row>
    <row r="134" spans="1:7" x14ac:dyDescent="0.2">
      <c r="A134" s="29"/>
      <c r="B134" s="101"/>
      <c r="C134" s="41"/>
      <c r="D134" s="67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10000</v>
      </c>
    </row>
    <row r="143" spans="1:7" ht="13.5" thickTop="1" x14ac:dyDescent="0.2">
      <c r="A143" s="875" t="s">
        <v>2659</v>
      </c>
      <c r="B143" s="876"/>
      <c r="C143" s="876"/>
      <c r="D143" s="876"/>
      <c r="E143" s="876"/>
      <c r="F143" s="876"/>
      <c r="G143" s="877"/>
    </row>
    <row r="144" spans="1:7" ht="13.5" thickBot="1" x14ac:dyDescent="0.25">
      <c r="A144" s="378"/>
      <c r="B144" s="374"/>
      <c r="C144" s="374" t="s">
        <v>8</v>
      </c>
      <c r="D144" s="379"/>
      <c r="E144" s="374"/>
      <c r="F144" s="380"/>
      <c r="G144" s="381"/>
    </row>
    <row r="145" spans="1:7" ht="13.5" thickTop="1" x14ac:dyDescent="0.2">
      <c r="A145" s="906"/>
      <c r="B145" s="907"/>
      <c r="C145" s="907"/>
      <c r="D145" s="57" t="s">
        <v>11</v>
      </c>
      <c r="E145" s="908" t="s">
        <v>12</v>
      </c>
      <c r="F145" s="908"/>
      <c r="G145" s="909"/>
    </row>
    <row r="146" spans="1:7" x14ac:dyDescent="0.2">
      <c r="A146" s="910" t="s">
        <v>17</v>
      </c>
      <c r="B146" s="911"/>
      <c r="C146" s="911"/>
      <c r="D146" s="39"/>
      <c r="E146" s="912"/>
      <c r="F146" s="913"/>
      <c r="G146" s="914"/>
    </row>
    <row r="147" spans="1:7" x14ac:dyDescent="0.2">
      <c r="A147" s="910" t="s">
        <v>38</v>
      </c>
      <c r="B147" s="911"/>
      <c r="C147" s="911"/>
      <c r="D147" s="646" t="s">
        <v>2552</v>
      </c>
      <c r="E147" s="868" t="s">
        <v>69</v>
      </c>
      <c r="F147" s="868"/>
      <c r="G147" s="869"/>
    </row>
    <row r="148" spans="1:7" ht="13.5" thickBot="1" x14ac:dyDescent="0.25">
      <c r="A148" s="901" t="s">
        <v>39</v>
      </c>
      <c r="B148" s="902"/>
      <c r="C148" s="902"/>
      <c r="D148" s="647" t="s">
        <v>14</v>
      </c>
      <c r="E148" s="903" t="s">
        <v>33</v>
      </c>
      <c r="F148" s="904"/>
      <c r="G148" s="905"/>
    </row>
  </sheetData>
  <mergeCells count="43">
    <mergeCell ref="A148:C148"/>
    <mergeCell ref="E148:G148"/>
    <mergeCell ref="C93:G93"/>
    <mergeCell ref="A145:C145"/>
    <mergeCell ref="E145:G145"/>
    <mergeCell ref="A146:C146"/>
    <mergeCell ref="E146:G146"/>
    <mergeCell ref="A147:C147"/>
    <mergeCell ref="E147:G147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92:G92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43:G43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:H48"/>
  <sheetViews>
    <sheetView zoomScale="115" zoomScaleNormal="115" workbookViewId="0">
      <selection activeCell="D25" sqref="D2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67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0</v>
      </c>
    </row>
    <row r="43" spans="1:7" ht="13.5" thickTop="1" x14ac:dyDescent="0.2">
      <c r="A43" s="898" t="s">
        <v>1012</v>
      </c>
      <c r="B43" s="899"/>
      <c r="C43" s="899"/>
      <c r="D43" s="899"/>
      <c r="E43" s="899"/>
      <c r="F43" s="899"/>
      <c r="G43" s="900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343</v>
      </c>
      <c r="E47" s="868" t="s">
        <v>69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</row>
  </sheetData>
  <mergeCells count="14">
    <mergeCell ref="A48:C48"/>
    <mergeCell ref="E48:G48"/>
    <mergeCell ref="A45:C45"/>
    <mergeCell ref="E45:G45"/>
    <mergeCell ref="A46:C46"/>
    <mergeCell ref="E46:G46"/>
    <mergeCell ref="A47:C47"/>
    <mergeCell ref="E47:G47"/>
    <mergeCell ref="A43:G43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499984740745262"/>
  </sheetPr>
  <dimension ref="A1:H48"/>
  <sheetViews>
    <sheetView zoomScale="115" zoomScaleNormal="115" workbookViewId="0">
      <selection activeCell="E47" sqref="E47:G48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0</v>
      </c>
    </row>
    <row r="43" spans="1:7" ht="13.5" thickTop="1" x14ac:dyDescent="0.2">
      <c r="A43" s="17" t="s">
        <v>905</v>
      </c>
      <c r="B43" s="337"/>
      <c r="E43" s="337"/>
      <c r="G43" s="20"/>
    </row>
    <row r="44" spans="1:7" ht="13.5" thickBot="1" x14ac:dyDescent="0.25">
      <c r="A44" s="52" t="s">
        <v>8</v>
      </c>
      <c r="B44" s="103"/>
      <c r="C44" s="103" t="s">
        <v>1013</v>
      </c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906</v>
      </c>
      <c r="E47" s="868" t="s">
        <v>69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</row>
  </sheetData>
  <mergeCells count="13">
    <mergeCell ref="A48:C48"/>
    <mergeCell ref="E48:G48"/>
    <mergeCell ref="A45:C45"/>
    <mergeCell ref="E45:G45"/>
    <mergeCell ref="A46:C46"/>
    <mergeCell ref="E46:G46"/>
    <mergeCell ref="A47:C47"/>
    <mergeCell ref="E47:G47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"/>
  <sheetViews>
    <sheetView topLeftCell="A64" zoomScale="110" zoomScaleNormal="110" workbookViewId="0">
      <selection activeCell="F83" sqref="F8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2851562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0" x14ac:dyDescent="0.2">
      <c r="A2" s="888" t="s">
        <v>48</v>
      </c>
      <c r="B2" s="889"/>
      <c r="C2" s="889"/>
      <c r="D2" s="889"/>
      <c r="E2" s="889"/>
      <c r="F2" s="889"/>
      <c r="G2" s="890"/>
    </row>
    <row r="3" spans="1:10" x14ac:dyDescent="0.2">
      <c r="A3" s="915" t="s">
        <v>49</v>
      </c>
      <c r="B3" s="916"/>
      <c r="C3" s="916"/>
      <c r="D3" s="916"/>
      <c r="E3" s="916"/>
      <c r="F3" s="916"/>
      <c r="G3" s="917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362" t="s">
        <v>2654</v>
      </c>
      <c r="F5" s="98"/>
      <c r="G5" s="363" t="s">
        <v>2640</v>
      </c>
    </row>
    <row r="6" spans="1:10" x14ac:dyDescent="0.2">
      <c r="A6" s="17" t="s">
        <v>8</v>
      </c>
      <c r="B6" s="100"/>
      <c r="C6" s="19"/>
      <c r="D6" s="4"/>
      <c r="E6" s="918"/>
      <c r="F6" s="919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920"/>
      <c r="F8" s="921"/>
      <c r="G8" s="25"/>
    </row>
    <row r="9" spans="1:10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71" t="s">
        <v>149</v>
      </c>
      <c r="D10" s="376" t="s">
        <v>2641</v>
      </c>
      <c r="E10" s="158">
        <v>85</v>
      </c>
      <c r="F10" s="128">
        <v>200</v>
      </c>
      <c r="G10" s="35">
        <f>F10*E10</f>
        <v>17000</v>
      </c>
      <c r="J10" s="2" t="s">
        <v>152</v>
      </c>
    </row>
    <row r="11" spans="1:10" x14ac:dyDescent="0.2">
      <c r="A11" s="29"/>
      <c r="B11" s="101"/>
      <c r="C11" s="41"/>
      <c r="D11" s="370"/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17000</v>
      </c>
    </row>
    <row r="45" spans="1:7" ht="13.5" thickTop="1" x14ac:dyDescent="0.2">
      <c r="A45" s="875" t="s">
        <v>2642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374" t="s">
        <v>2643</v>
      </c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916</v>
      </c>
      <c r="E49" s="868" t="s">
        <v>69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59" t="s">
        <v>14</v>
      </c>
      <c r="E50" s="903" t="s">
        <v>33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62" t="s">
        <v>2718</v>
      </c>
      <c r="F55" s="98"/>
      <c r="G55" s="363" t="s">
        <v>2719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07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149</v>
      </c>
      <c r="D60" s="376" t="s">
        <v>2739</v>
      </c>
      <c r="E60" s="158">
        <v>110</v>
      </c>
      <c r="F60" s="128">
        <v>200</v>
      </c>
      <c r="G60" s="35">
        <f>F60*E60</f>
        <v>22000</v>
      </c>
    </row>
    <row r="61" spans="1:7" x14ac:dyDescent="0.2">
      <c r="A61" s="29"/>
      <c r="B61" s="101"/>
      <c r="C61" s="41"/>
      <c r="D61" s="370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SUM(G60:G92)</f>
        <v>22000</v>
      </c>
    </row>
    <row r="94" spans="1:7" ht="13.5" thickTop="1" x14ac:dyDescent="0.2">
      <c r="A94" s="875" t="s">
        <v>2642</v>
      </c>
      <c r="B94" s="899"/>
      <c r="C94" s="899"/>
      <c r="D94" s="899"/>
      <c r="E94" s="899"/>
      <c r="F94" s="899"/>
      <c r="G94" s="900"/>
    </row>
    <row r="95" spans="1:7" x14ac:dyDescent="0.2">
      <c r="A95" s="925" t="s">
        <v>2740</v>
      </c>
      <c r="B95" s="880"/>
      <c r="C95" s="880"/>
      <c r="D95" s="880"/>
      <c r="E95" s="880"/>
      <c r="F95" s="880"/>
      <c r="G95" s="881"/>
    </row>
    <row r="96" spans="1:7" ht="13.5" thickBot="1" x14ac:dyDescent="0.25">
      <c r="A96" s="926" t="s">
        <v>2741</v>
      </c>
      <c r="B96" s="927"/>
      <c r="C96" s="927"/>
      <c r="D96" s="927"/>
      <c r="E96" s="927"/>
      <c r="F96" s="927"/>
      <c r="G96" s="928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916</v>
      </c>
      <c r="E99" s="868" t="s">
        <v>69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59" t="s">
        <v>14</v>
      </c>
      <c r="E100" s="903" t="s">
        <v>33</v>
      </c>
      <c r="F100" s="904"/>
      <c r="G100" s="905"/>
    </row>
  </sheetData>
  <mergeCells count="30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4:G94"/>
    <mergeCell ref="A97:C97"/>
    <mergeCell ref="E97:G97"/>
    <mergeCell ref="A98:C98"/>
    <mergeCell ref="E98:G98"/>
    <mergeCell ref="A99:C99"/>
    <mergeCell ref="E99:G99"/>
    <mergeCell ref="A100:C100"/>
    <mergeCell ref="E100:G100"/>
    <mergeCell ref="A95:G95"/>
    <mergeCell ref="A96:G96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A1:J150"/>
  <sheetViews>
    <sheetView topLeftCell="A166" zoomScale="115" zoomScaleNormal="115" workbookViewId="0">
      <selection activeCell="I167" sqref="I16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0" x14ac:dyDescent="0.2">
      <c r="A2" s="888" t="s">
        <v>48</v>
      </c>
      <c r="B2" s="889"/>
      <c r="C2" s="889"/>
      <c r="D2" s="889"/>
      <c r="E2" s="889"/>
      <c r="F2" s="889"/>
      <c r="G2" s="890"/>
    </row>
    <row r="3" spans="1:10" x14ac:dyDescent="0.2">
      <c r="A3" s="915" t="s">
        <v>49</v>
      </c>
      <c r="B3" s="916"/>
      <c r="C3" s="916"/>
      <c r="D3" s="916"/>
      <c r="E3" s="916"/>
      <c r="F3" s="916"/>
      <c r="G3" s="917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362" t="s">
        <v>1049</v>
      </c>
      <c r="F5" s="98"/>
      <c r="G5" s="363" t="s">
        <v>1050</v>
      </c>
    </row>
    <row r="6" spans="1:10" x14ac:dyDescent="0.2">
      <c r="A6" s="17" t="s">
        <v>8</v>
      </c>
      <c r="B6" s="100"/>
      <c r="C6" s="19"/>
      <c r="D6" s="4"/>
      <c r="E6" s="918"/>
      <c r="F6" s="919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920"/>
      <c r="F8" s="921"/>
      <c r="G8" s="25"/>
    </row>
    <row r="9" spans="1:10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71" t="s">
        <v>149</v>
      </c>
      <c r="D10" s="376" t="s">
        <v>305</v>
      </c>
      <c r="E10" s="158">
        <v>150</v>
      </c>
      <c r="F10" s="128">
        <v>450</v>
      </c>
      <c r="G10" s="35">
        <f>F10*E10</f>
        <v>67500</v>
      </c>
      <c r="J10" s="2" t="s">
        <v>152</v>
      </c>
    </row>
    <row r="11" spans="1:10" x14ac:dyDescent="0.2">
      <c r="A11" s="29"/>
      <c r="B11" s="101"/>
      <c r="C11" s="41"/>
      <c r="D11" s="370" t="s">
        <v>301</v>
      </c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67500</v>
      </c>
    </row>
    <row r="45" spans="1:7" ht="13.5" thickTop="1" x14ac:dyDescent="0.2">
      <c r="A45" s="875" t="s">
        <v>1044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374" t="s">
        <v>1045</v>
      </c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136</v>
      </c>
      <c r="E49" s="868" t="s">
        <v>69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59" t="s">
        <v>14</v>
      </c>
      <c r="E50" s="903" t="s">
        <v>33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62" t="s">
        <v>1136</v>
      </c>
      <c r="F55" s="98"/>
      <c r="G55" s="363" t="s">
        <v>1138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07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149</v>
      </c>
      <c r="D60" s="376" t="s">
        <v>305</v>
      </c>
      <c r="E60" s="158">
        <v>150</v>
      </c>
      <c r="F60" s="128">
        <v>450</v>
      </c>
      <c r="G60" s="35">
        <f>F60*E60</f>
        <v>67500</v>
      </c>
    </row>
    <row r="61" spans="1:7" x14ac:dyDescent="0.2">
      <c r="A61" s="29"/>
      <c r="B61" s="101"/>
      <c r="C61" s="41"/>
      <c r="D61" s="370" t="s">
        <v>301</v>
      </c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67500</v>
      </c>
    </row>
    <row r="95" spans="1:7" ht="13.5" thickTop="1" x14ac:dyDescent="0.2">
      <c r="A95" s="875" t="s">
        <v>897</v>
      </c>
      <c r="B95" s="899"/>
      <c r="C95" s="899"/>
      <c r="D95" s="899"/>
      <c r="E95" s="899"/>
      <c r="F95" s="899"/>
      <c r="G95" s="900"/>
    </row>
    <row r="96" spans="1:7" ht="13.5" thickBot="1" x14ac:dyDescent="0.25">
      <c r="A96" s="52"/>
      <c r="B96" s="103"/>
      <c r="C96" s="374" t="s">
        <v>1064</v>
      </c>
      <c r="D96" s="54"/>
      <c r="E96" s="103"/>
      <c r="F96" s="55"/>
      <c r="G96" s="56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136</v>
      </c>
      <c r="E99" s="868" t="s">
        <v>69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59" t="s">
        <v>14</v>
      </c>
      <c r="E100" s="903" t="s">
        <v>33</v>
      </c>
      <c r="F100" s="904"/>
      <c r="G100" s="905"/>
    </row>
    <row r="101" spans="1:7" ht="16.5" x14ac:dyDescent="0.25">
      <c r="A101" s="885" t="s">
        <v>29</v>
      </c>
      <c r="B101" s="886"/>
      <c r="C101" s="886"/>
      <c r="D101" s="886"/>
      <c r="E101" s="886"/>
      <c r="F101" s="886"/>
      <c r="G101" s="887"/>
    </row>
    <row r="102" spans="1:7" x14ac:dyDescent="0.2">
      <c r="A102" s="888" t="s">
        <v>48</v>
      </c>
      <c r="B102" s="889"/>
      <c r="C102" s="889"/>
      <c r="D102" s="889"/>
      <c r="E102" s="889"/>
      <c r="F102" s="889"/>
      <c r="G102" s="890"/>
    </row>
    <row r="103" spans="1:7" x14ac:dyDescent="0.2">
      <c r="A103" s="915" t="s">
        <v>49</v>
      </c>
      <c r="B103" s="916"/>
      <c r="C103" s="916"/>
      <c r="D103" s="916"/>
      <c r="E103" s="916"/>
      <c r="F103" s="916"/>
      <c r="G103" s="917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32</v>
      </c>
      <c r="D105" s="13"/>
      <c r="E105" s="362" t="s">
        <v>1226</v>
      </c>
      <c r="F105" s="98"/>
      <c r="G105" s="363" t="s">
        <v>1202</v>
      </c>
    </row>
    <row r="106" spans="1:7" x14ac:dyDescent="0.2">
      <c r="A106" s="17" t="s">
        <v>8</v>
      </c>
      <c r="B106" s="100"/>
      <c r="C106" s="19"/>
      <c r="D106" s="4"/>
      <c r="E106" s="918"/>
      <c r="F106" s="919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920"/>
      <c r="F108" s="921"/>
      <c r="G108" s="25"/>
    </row>
    <row r="109" spans="1:7" ht="26.25" thickBot="1" x14ac:dyDescent="0.25">
      <c r="A109" s="207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71" t="s">
        <v>149</v>
      </c>
      <c r="D110" s="376" t="s">
        <v>305</v>
      </c>
      <c r="E110" s="158">
        <v>150</v>
      </c>
      <c r="F110" s="128">
        <v>450</v>
      </c>
      <c r="G110" s="35">
        <f>F110*E110</f>
        <v>67500</v>
      </c>
    </row>
    <row r="111" spans="1:7" x14ac:dyDescent="0.2">
      <c r="A111" s="29"/>
      <c r="B111" s="101"/>
      <c r="C111" s="41"/>
      <c r="D111" s="370" t="s">
        <v>301</v>
      </c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67500</v>
      </c>
    </row>
    <row r="145" spans="1:7" ht="13.5" thickTop="1" x14ac:dyDescent="0.2">
      <c r="A145" s="875" t="s">
        <v>1066</v>
      </c>
      <c r="B145" s="899"/>
      <c r="C145" s="899"/>
      <c r="D145" s="899"/>
      <c r="E145" s="899"/>
      <c r="F145" s="899"/>
      <c r="G145" s="900"/>
    </row>
    <row r="146" spans="1:7" ht="13.5" thickBot="1" x14ac:dyDescent="0.25">
      <c r="A146" s="52"/>
      <c r="B146" s="103"/>
      <c r="C146" s="374" t="s">
        <v>1065</v>
      </c>
      <c r="D146" s="54"/>
      <c r="E146" s="103"/>
      <c r="F146" s="55"/>
      <c r="G146" s="56"/>
    </row>
    <row r="147" spans="1:7" ht="13.5" thickTop="1" x14ac:dyDescent="0.2">
      <c r="A147" s="906"/>
      <c r="B147" s="907"/>
      <c r="C147" s="907"/>
      <c r="D147" s="57" t="s">
        <v>11</v>
      </c>
      <c r="E147" s="908" t="s">
        <v>12</v>
      </c>
      <c r="F147" s="908"/>
      <c r="G147" s="909"/>
    </row>
    <row r="148" spans="1:7" x14ac:dyDescent="0.2">
      <c r="A148" s="910" t="s">
        <v>17</v>
      </c>
      <c r="B148" s="911"/>
      <c r="C148" s="911"/>
      <c r="D148" s="39"/>
      <c r="E148" s="912"/>
      <c r="F148" s="913"/>
      <c r="G148" s="914"/>
    </row>
    <row r="149" spans="1:7" x14ac:dyDescent="0.2">
      <c r="A149" s="910" t="s">
        <v>38</v>
      </c>
      <c r="B149" s="911"/>
      <c r="C149" s="911"/>
      <c r="D149" s="58" t="s">
        <v>136</v>
      </c>
      <c r="E149" s="868" t="s">
        <v>69</v>
      </c>
      <c r="F149" s="868"/>
      <c r="G149" s="869"/>
    </row>
    <row r="150" spans="1:7" ht="13.5" thickBot="1" x14ac:dyDescent="0.25">
      <c r="A150" s="901" t="s">
        <v>39</v>
      </c>
      <c r="B150" s="902"/>
      <c r="C150" s="902"/>
      <c r="D150" s="59" t="s">
        <v>14</v>
      </c>
      <c r="E150" s="903" t="s">
        <v>33</v>
      </c>
      <c r="F150" s="904"/>
      <c r="G150" s="905"/>
    </row>
  </sheetData>
  <mergeCells count="42">
    <mergeCell ref="A150:C150"/>
    <mergeCell ref="E150:G150"/>
    <mergeCell ref="A147:C147"/>
    <mergeCell ref="E147:G147"/>
    <mergeCell ref="A148:C148"/>
    <mergeCell ref="E148:G148"/>
    <mergeCell ref="A149:C149"/>
    <mergeCell ref="E149:G149"/>
    <mergeCell ref="A102:G102"/>
    <mergeCell ref="A103:G103"/>
    <mergeCell ref="E106:F106"/>
    <mergeCell ref="E108:F108"/>
    <mergeCell ref="A145:G145"/>
    <mergeCell ref="A99:C99"/>
    <mergeCell ref="E99:G99"/>
    <mergeCell ref="A100:C100"/>
    <mergeCell ref="E100:G100"/>
    <mergeCell ref="A101:G101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 tint="0.499984740745262"/>
  </sheetPr>
  <dimension ref="A1:L144"/>
  <sheetViews>
    <sheetView topLeftCell="A105" zoomScale="115" zoomScaleNormal="115" workbookViewId="0">
      <selection activeCell="A139" sqref="A139:G13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38.425781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32</v>
      </c>
      <c r="D5" s="13"/>
      <c r="E5" s="362" t="s">
        <v>1734</v>
      </c>
      <c r="F5" s="98"/>
      <c r="G5" s="363" t="s">
        <v>1731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50"/>
    </row>
    <row r="10" spans="1:9" ht="13.5" thickTop="1" x14ac:dyDescent="0.2">
      <c r="A10" s="29">
        <v>1</v>
      </c>
      <c r="B10" s="401" t="s">
        <v>150</v>
      </c>
      <c r="C10" s="371" t="s">
        <v>149</v>
      </c>
      <c r="D10" s="376" t="s">
        <v>1695</v>
      </c>
      <c r="E10" s="108">
        <v>30</v>
      </c>
      <c r="F10" s="128">
        <v>200</v>
      </c>
      <c r="G10" s="35">
        <f>F10*E10</f>
        <v>6000</v>
      </c>
    </row>
    <row r="11" spans="1:9" x14ac:dyDescent="0.2">
      <c r="A11" s="29"/>
      <c r="B11" s="101"/>
      <c r="C11" s="41"/>
      <c r="D11" s="129"/>
      <c r="E11" s="108"/>
      <c r="F11" s="128"/>
      <c r="G11" s="35"/>
    </row>
    <row r="12" spans="1:9" x14ac:dyDescent="0.2">
      <c r="A12" s="29"/>
      <c r="B12" s="101"/>
      <c r="C12" s="41"/>
      <c r="D12" s="129"/>
      <c r="E12" s="108"/>
      <c r="F12" s="149"/>
      <c r="G12" s="35"/>
    </row>
    <row r="13" spans="1:9" x14ac:dyDescent="0.2">
      <c r="A13" s="29"/>
      <c r="B13" s="101"/>
      <c r="C13" s="41"/>
      <c r="D13" s="129"/>
      <c r="E13" s="108"/>
      <c r="F13" s="128"/>
      <c r="G13" s="35"/>
    </row>
    <row r="14" spans="1:9" x14ac:dyDescent="0.2">
      <c r="A14" s="29"/>
      <c r="B14" s="105"/>
      <c r="C14" s="41"/>
      <c r="D14" s="136"/>
      <c r="E14" s="102"/>
      <c r="F14" s="128"/>
      <c r="G14" s="35"/>
      <c r="I14" s="2">
        <f>10000/200</f>
        <v>50</v>
      </c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 t="s">
        <v>8</v>
      </c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418" t="s">
        <v>8</v>
      </c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12" x14ac:dyDescent="0.2">
      <c r="A33" s="29"/>
      <c r="B33" s="101"/>
      <c r="C33" s="41"/>
      <c r="D33" s="159"/>
      <c r="E33" s="104"/>
      <c r="F33" s="154"/>
      <c r="G33" s="35"/>
    </row>
    <row r="34" spans="1:12" x14ac:dyDescent="0.2">
      <c r="A34" s="29"/>
      <c r="B34" s="101"/>
      <c r="C34" s="41"/>
      <c r="D34" s="160"/>
      <c r="E34" s="108"/>
      <c r="F34" s="128"/>
      <c r="G34" s="35"/>
    </row>
    <row r="35" spans="1:12" x14ac:dyDescent="0.2">
      <c r="A35" s="29"/>
      <c r="B35" s="101"/>
      <c r="C35" s="41"/>
      <c r="D35" s="160"/>
      <c r="E35" s="108"/>
      <c r="F35" s="128"/>
      <c r="G35" s="35"/>
    </row>
    <row r="36" spans="1:12" x14ac:dyDescent="0.2">
      <c r="A36" s="29"/>
      <c r="B36" s="101"/>
      <c r="C36" s="41"/>
      <c r="D36" s="160"/>
      <c r="E36" s="108"/>
      <c r="F36" s="128"/>
      <c r="G36" s="35"/>
    </row>
    <row r="37" spans="1:12" x14ac:dyDescent="0.2">
      <c r="A37" s="29"/>
      <c r="B37" s="101"/>
      <c r="C37" s="41"/>
      <c r="D37" s="136"/>
      <c r="E37" s="153"/>
      <c r="F37" s="128"/>
      <c r="G37" s="35"/>
    </row>
    <row r="38" spans="1:12" x14ac:dyDescent="0.2">
      <c r="A38" s="29"/>
      <c r="B38" s="101"/>
      <c r="C38" s="41"/>
      <c r="D38" s="136" t="s">
        <v>150</v>
      </c>
      <c r="E38" s="102"/>
      <c r="F38" s="128"/>
      <c r="G38" s="35"/>
    </row>
    <row r="39" spans="1:12" x14ac:dyDescent="0.2">
      <c r="A39" s="29"/>
      <c r="B39" s="101"/>
      <c r="C39" s="31"/>
      <c r="D39" s="67"/>
      <c r="E39" s="131"/>
      <c r="F39" s="117"/>
      <c r="G39" s="35"/>
    </row>
    <row r="40" spans="1:12" x14ac:dyDescent="0.2">
      <c r="A40" s="29"/>
      <c r="B40" s="101"/>
      <c r="C40" s="41"/>
      <c r="D40" s="118"/>
      <c r="E40" s="108"/>
      <c r="F40" s="149"/>
      <c r="G40" s="35"/>
    </row>
    <row r="41" spans="1:12" x14ac:dyDescent="0.2">
      <c r="A41" s="29"/>
      <c r="B41" s="101"/>
      <c r="C41" s="41"/>
      <c r="D41" s="144"/>
      <c r="E41" s="108"/>
      <c r="F41" s="149"/>
      <c r="G41" s="35"/>
    </row>
    <row r="42" spans="1:12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6000</v>
      </c>
      <c r="L42" s="211"/>
    </row>
    <row r="43" spans="1:12" ht="13.5" thickTop="1" x14ac:dyDescent="0.2">
      <c r="A43" s="875" t="s">
        <v>1735</v>
      </c>
      <c r="B43" s="899"/>
      <c r="C43" s="899"/>
      <c r="D43" s="899"/>
      <c r="E43" s="899"/>
      <c r="F43" s="899"/>
      <c r="G43" s="900"/>
      <c r="L43" s="211"/>
    </row>
    <row r="44" spans="1:12" ht="13.5" thickBot="1" x14ac:dyDescent="0.25">
      <c r="A44" s="52"/>
      <c r="B44" s="103"/>
      <c r="C44" s="374" t="s">
        <v>1072</v>
      </c>
      <c r="D44" s="54"/>
      <c r="E44" s="103"/>
      <c r="F44" s="55"/>
      <c r="G44" s="56"/>
      <c r="L44" s="211"/>
    </row>
    <row r="45" spans="1:12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  <c r="L45" s="212"/>
    </row>
    <row r="46" spans="1:12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12" x14ac:dyDescent="0.2">
      <c r="A47" s="910" t="s">
        <v>38</v>
      </c>
      <c r="B47" s="911"/>
      <c r="C47" s="911"/>
      <c r="D47" s="58" t="s">
        <v>1694</v>
      </c>
      <c r="E47" s="868" t="s">
        <v>69</v>
      </c>
      <c r="F47" s="868"/>
      <c r="G47" s="869"/>
    </row>
    <row r="48" spans="1:12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</row>
    <row r="49" spans="1:7" ht="16.5" x14ac:dyDescent="0.25">
      <c r="A49" s="885" t="s">
        <v>29</v>
      </c>
      <c r="B49" s="886"/>
      <c r="C49" s="886"/>
      <c r="D49" s="886"/>
      <c r="E49" s="886"/>
      <c r="F49" s="886"/>
      <c r="G49" s="887"/>
    </row>
    <row r="50" spans="1:7" x14ac:dyDescent="0.2">
      <c r="A50" s="888" t="s">
        <v>48</v>
      </c>
      <c r="B50" s="889"/>
      <c r="C50" s="889"/>
      <c r="D50" s="889"/>
      <c r="E50" s="889"/>
      <c r="F50" s="889"/>
      <c r="G50" s="890"/>
    </row>
    <row r="51" spans="1:7" x14ac:dyDescent="0.2">
      <c r="A51" s="915" t="s">
        <v>49</v>
      </c>
      <c r="B51" s="916"/>
      <c r="C51" s="916"/>
      <c r="D51" s="916"/>
      <c r="E51" s="916"/>
      <c r="F51" s="916"/>
      <c r="G51" s="917"/>
    </row>
    <row r="52" spans="1:7" x14ac:dyDescent="0.2">
      <c r="A52" s="6"/>
      <c r="B52" s="99"/>
      <c r="C52" s="8"/>
      <c r="D52" s="9"/>
      <c r="E52" s="99"/>
      <c r="F52" s="10"/>
      <c r="G52" s="11" t="s">
        <v>20</v>
      </c>
    </row>
    <row r="53" spans="1:7" x14ac:dyDescent="0.2">
      <c r="A53" s="12" t="s">
        <v>1</v>
      </c>
      <c r="B53" s="13"/>
      <c r="C53" s="14" t="s">
        <v>32</v>
      </c>
      <c r="D53" s="13"/>
      <c r="E53" s="362" t="s">
        <v>2394</v>
      </c>
      <c r="F53" s="98"/>
      <c r="G53" s="363" t="s">
        <v>2393</v>
      </c>
    </row>
    <row r="54" spans="1:7" x14ac:dyDescent="0.2">
      <c r="A54" s="17" t="s">
        <v>8</v>
      </c>
      <c r="B54" s="100"/>
      <c r="C54" s="19"/>
      <c r="D54" s="4"/>
      <c r="E54" s="918"/>
      <c r="F54" s="919"/>
      <c r="G54" s="20"/>
    </row>
    <row r="55" spans="1:7" x14ac:dyDescent="0.2">
      <c r="A55" s="21" t="s">
        <v>37</v>
      </c>
      <c r="B55" s="22"/>
      <c r="C55" s="22"/>
      <c r="D55" s="22"/>
      <c r="E55" s="23" t="s">
        <v>46</v>
      </c>
      <c r="F55" s="24"/>
      <c r="G55" s="20" t="s">
        <v>50</v>
      </c>
    </row>
    <row r="56" spans="1:7" x14ac:dyDescent="0.2">
      <c r="A56" s="6"/>
      <c r="B56" s="99"/>
      <c r="C56" s="8"/>
      <c r="D56" s="8"/>
      <c r="E56" s="920"/>
      <c r="F56" s="921"/>
      <c r="G56" s="25"/>
    </row>
    <row r="57" spans="1:7" ht="26.25" thickBot="1" x14ac:dyDescent="0.25">
      <c r="A57" s="207" t="s">
        <v>47</v>
      </c>
      <c r="B57" s="28" t="s">
        <v>23</v>
      </c>
      <c r="C57" s="28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29">
        <v>1</v>
      </c>
      <c r="B58" s="401" t="s">
        <v>150</v>
      </c>
      <c r="C58" s="371" t="s">
        <v>149</v>
      </c>
      <c r="D58" s="376" t="s">
        <v>2078</v>
      </c>
      <c r="E58" s="108">
        <v>25</v>
      </c>
      <c r="F58" s="128">
        <v>200</v>
      </c>
      <c r="G58" s="35">
        <f>F58*E58</f>
        <v>5000</v>
      </c>
    </row>
    <row r="59" spans="1:7" x14ac:dyDescent="0.2">
      <c r="A59" s="29"/>
      <c r="B59" s="101"/>
      <c r="C59" s="41"/>
      <c r="D59" s="129"/>
      <c r="E59" s="108"/>
      <c r="F59" s="128"/>
      <c r="G59" s="35"/>
    </row>
    <row r="60" spans="1:7" x14ac:dyDescent="0.2">
      <c r="A60" s="29"/>
      <c r="B60" s="101"/>
      <c r="C60" s="41"/>
      <c r="D60" s="129"/>
      <c r="E60" s="108"/>
      <c r="F60" s="149"/>
      <c r="G60" s="35"/>
    </row>
    <row r="61" spans="1:7" x14ac:dyDescent="0.2">
      <c r="A61" s="29"/>
      <c r="B61" s="101"/>
      <c r="C61" s="41"/>
      <c r="D61" s="129"/>
      <c r="E61" s="108"/>
      <c r="F61" s="128"/>
      <c r="G61" s="35"/>
    </row>
    <row r="62" spans="1:7" x14ac:dyDescent="0.2">
      <c r="A62" s="29"/>
      <c r="B62" s="105"/>
      <c r="C62" s="41"/>
      <c r="D62" s="136"/>
      <c r="E62" s="102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51"/>
      <c r="C64" s="119"/>
      <c r="D64" s="136"/>
      <c r="E64" s="108"/>
      <c r="F64" s="150"/>
      <c r="G64" s="35"/>
    </row>
    <row r="65" spans="1:7" x14ac:dyDescent="0.2">
      <c r="A65" s="29"/>
      <c r="B65" s="151"/>
      <c r="C65" s="119"/>
      <c r="D65" s="144"/>
      <c r="E65" s="108"/>
      <c r="F65" s="150"/>
      <c r="G65" s="35"/>
    </row>
    <row r="66" spans="1:7" x14ac:dyDescent="0.2">
      <c r="A66" s="29"/>
      <c r="B66" s="101"/>
      <c r="C66" s="41"/>
      <c r="D66" s="144"/>
      <c r="E66" s="104"/>
      <c r="F66" s="128"/>
      <c r="G66" s="35"/>
    </row>
    <row r="67" spans="1:7" x14ac:dyDescent="0.2">
      <c r="A67" s="29"/>
      <c r="B67" s="106"/>
      <c r="C67" s="41"/>
      <c r="D67" s="136"/>
      <c r="E67" s="104"/>
      <c r="F67" s="128"/>
      <c r="G67" s="35"/>
    </row>
    <row r="68" spans="1:7" x14ac:dyDescent="0.2">
      <c r="A68" s="29"/>
      <c r="B68" s="105"/>
      <c r="C68" s="41"/>
      <c r="D68" s="136"/>
      <c r="E68" s="108"/>
      <c r="F68" s="152"/>
      <c r="G68" s="35"/>
    </row>
    <row r="69" spans="1:7" x14ac:dyDescent="0.2">
      <c r="A69" s="29"/>
      <c r="B69" s="107"/>
      <c r="C69" s="41"/>
      <c r="D69" s="136"/>
      <c r="E69" s="153"/>
      <c r="F69" s="128"/>
      <c r="G69" s="35"/>
    </row>
    <row r="70" spans="1:7" x14ac:dyDescent="0.2">
      <c r="A70" s="29"/>
      <c r="B70" s="107"/>
      <c r="C70" s="41"/>
      <c r="D70" s="67"/>
      <c r="E70" s="153"/>
      <c r="F70" s="128"/>
      <c r="G70" s="35"/>
    </row>
    <row r="71" spans="1:7" x14ac:dyDescent="0.2">
      <c r="A71" s="29"/>
      <c r="B71" s="101"/>
      <c r="C71" s="41"/>
      <c r="D71" s="67"/>
      <c r="E71" s="108"/>
      <c r="F71" s="128"/>
      <c r="G71" s="35"/>
    </row>
    <row r="72" spans="1:7" x14ac:dyDescent="0.2">
      <c r="A72" s="29"/>
      <c r="B72" s="101"/>
      <c r="C72" s="41"/>
      <c r="D72" s="67"/>
      <c r="E72" s="153"/>
      <c r="F72" s="128"/>
      <c r="G72" s="35"/>
    </row>
    <row r="73" spans="1:7" x14ac:dyDescent="0.2">
      <c r="A73" s="29"/>
      <c r="B73" s="106"/>
      <c r="C73" s="41"/>
      <c r="D73" s="67"/>
      <c r="E73" s="104"/>
      <c r="F73" s="154"/>
      <c r="G73" s="35"/>
    </row>
    <row r="74" spans="1:7" x14ac:dyDescent="0.2">
      <c r="A74" s="29"/>
      <c r="B74" s="105"/>
      <c r="C74" s="41"/>
      <c r="D74" s="130"/>
      <c r="E74" s="104"/>
      <c r="F74" s="154"/>
      <c r="G74" s="35"/>
    </row>
    <row r="75" spans="1:7" x14ac:dyDescent="0.2">
      <c r="A75" s="29"/>
      <c r="B75" s="105"/>
      <c r="C75" s="41"/>
      <c r="D75" s="67"/>
      <c r="E75" s="104"/>
      <c r="F75" s="154"/>
      <c r="G75" s="35"/>
    </row>
    <row r="76" spans="1:7" x14ac:dyDescent="0.2">
      <c r="A76" s="29"/>
      <c r="B76" s="101"/>
      <c r="C76" s="41"/>
      <c r="D76" s="67" t="s">
        <v>8</v>
      </c>
      <c r="E76" s="104"/>
      <c r="F76" s="154"/>
      <c r="G76" s="35"/>
    </row>
    <row r="77" spans="1:7" x14ac:dyDescent="0.2">
      <c r="A77" s="29"/>
      <c r="B77" s="101"/>
      <c r="C77" s="41"/>
      <c r="D77" s="136"/>
      <c r="E77" s="104"/>
      <c r="F77" s="418" t="s">
        <v>8</v>
      </c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62"/>
      <c r="E79" s="104"/>
      <c r="F79" s="154"/>
      <c r="G79" s="35"/>
    </row>
    <row r="80" spans="1:7" x14ac:dyDescent="0.2">
      <c r="A80" s="29"/>
      <c r="B80" s="101"/>
      <c r="C80" s="41"/>
      <c r="D80" s="67"/>
      <c r="E80" s="104"/>
      <c r="F80" s="154"/>
      <c r="G80" s="35"/>
    </row>
    <row r="81" spans="1:7" x14ac:dyDescent="0.2">
      <c r="A81" s="29"/>
      <c r="B81" s="101"/>
      <c r="C81" s="41"/>
      <c r="D81" s="159"/>
      <c r="E81" s="104"/>
      <c r="F81" s="154"/>
      <c r="G81" s="35"/>
    </row>
    <row r="82" spans="1:7" x14ac:dyDescent="0.2">
      <c r="A82" s="29"/>
      <c r="B82" s="101"/>
      <c r="C82" s="41"/>
      <c r="D82" s="160"/>
      <c r="E82" s="108"/>
      <c r="F82" s="128"/>
      <c r="G82" s="35"/>
    </row>
    <row r="83" spans="1:7" x14ac:dyDescent="0.2">
      <c r="A83" s="29"/>
      <c r="B83" s="101"/>
      <c r="C83" s="41"/>
      <c r="D83" s="160"/>
      <c r="E83" s="108"/>
      <c r="F83" s="128"/>
      <c r="G83" s="35"/>
    </row>
    <row r="84" spans="1:7" x14ac:dyDescent="0.2">
      <c r="A84" s="29"/>
      <c r="B84" s="101"/>
      <c r="C84" s="41"/>
      <c r="D84" s="160"/>
      <c r="E84" s="108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 t="s">
        <v>150</v>
      </c>
      <c r="E86" s="102"/>
      <c r="F86" s="128"/>
      <c r="G86" s="35"/>
    </row>
    <row r="87" spans="1:7" x14ac:dyDescent="0.2">
      <c r="A87" s="29"/>
      <c r="B87" s="101"/>
      <c r="C87" s="31"/>
      <c r="D87" s="67"/>
      <c r="E87" s="131"/>
      <c r="F87" s="117"/>
      <c r="G87" s="35"/>
    </row>
    <row r="88" spans="1:7" x14ac:dyDescent="0.2">
      <c r="A88" s="29"/>
      <c r="B88" s="101"/>
      <c r="C88" s="41"/>
      <c r="D88" s="118"/>
      <c r="E88" s="108"/>
      <c r="F88" s="149"/>
      <c r="G88" s="35"/>
    </row>
    <row r="89" spans="1:7" x14ac:dyDescent="0.2">
      <c r="A89" s="29"/>
      <c r="B89" s="101"/>
      <c r="C89" s="41"/>
      <c r="D89" s="144"/>
      <c r="E89" s="108"/>
      <c r="F89" s="149"/>
      <c r="G89" s="35"/>
    </row>
    <row r="90" spans="1:7" ht="13.5" thickBot="1" x14ac:dyDescent="0.25">
      <c r="A90" s="45"/>
      <c r="B90" s="132"/>
      <c r="C90" s="115"/>
      <c r="D90" s="115"/>
      <c r="E90" s="132"/>
      <c r="F90" s="49" t="s">
        <v>15</v>
      </c>
      <c r="G90" s="50">
        <f>SUM(G58:G89)</f>
        <v>5000</v>
      </c>
    </row>
    <row r="91" spans="1:7" ht="13.5" thickTop="1" x14ac:dyDescent="0.2">
      <c r="A91" s="875" t="s">
        <v>1735</v>
      </c>
      <c r="B91" s="899"/>
      <c r="C91" s="899"/>
      <c r="D91" s="899"/>
      <c r="E91" s="899"/>
      <c r="F91" s="899"/>
      <c r="G91" s="900"/>
    </row>
    <row r="92" spans="1:7" ht="13.5" thickBot="1" x14ac:dyDescent="0.25">
      <c r="A92" s="52"/>
      <c r="B92" s="103"/>
      <c r="C92" s="374" t="s">
        <v>2324</v>
      </c>
      <c r="D92" s="54"/>
      <c r="E92" s="103"/>
      <c r="F92" s="55"/>
      <c r="G92" s="56"/>
    </row>
    <row r="93" spans="1:7" ht="13.5" thickTop="1" x14ac:dyDescent="0.2">
      <c r="A93" s="906"/>
      <c r="B93" s="907"/>
      <c r="C93" s="907"/>
      <c r="D93" s="57" t="s">
        <v>11</v>
      </c>
      <c r="E93" s="908" t="s">
        <v>12</v>
      </c>
      <c r="F93" s="908"/>
      <c r="G93" s="909"/>
    </row>
    <row r="94" spans="1:7" x14ac:dyDescent="0.2">
      <c r="A94" s="910" t="s">
        <v>17</v>
      </c>
      <c r="B94" s="911"/>
      <c r="C94" s="911"/>
      <c r="D94" s="39"/>
      <c r="E94" s="912"/>
      <c r="F94" s="913"/>
      <c r="G94" s="914"/>
    </row>
    <row r="95" spans="1:7" x14ac:dyDescent="0.2">
      <c r="A95" s="910" t="s">
        <v>38</v>
      </c>
      <c r="B95" s="911"/>
      <c r="C95" s="911"/>
      <c r="D95" s="58" t="s">
        <v>1694</v>
      </c>
      <c r="E95" s="868" t="s">
        <v>69</v>
      </c>
      <c r="F95" s="868"/>
      <c r="G95" s="869"/>
    </row>
    <row r="96" spans="1:7" ht="13.5" thickBot="1" x14ac:dyDescent="0.25">
      <c r="A96" s="901" t="s">
        <v>39</v>
      </c>
      <c r="B96" s="902"/>
      <c r="C96" s="902"/>
      <c r="D96" s="59" t="s">
        <v>14</v>
      </c>
      <c r="E96" s="903" t="s">
        <v>33</v>
      </c>
      <c r="F96" s="904"/>
      <c r="G96" s="905"/>
    </row>
    <row r="97" spans="1:7" ht="16.5" x14ac:dyDescent="0.25">
      <c r="A97" s="885" t="s">
        <v>29</v>
      </c>
      <c r="B97" s="886"/>
      <c r="C97" s="886"/>
      <c r="D97" s="886"/>
      <c r="E97" s="886"/>
      <c r="F97" s="886"/>
      <c r="G97" s="887"/>
    </row>
    <row r="98" spans="1:7" x14ac:dyDescent="0.2">
      <c r="A98" s="888" t="s">
        <v>48</v>
      </c>
      <c r="B98" s="889"/>
      <c r="C98" s="889"/>
      <c r="D98" s="889"/>
      <c r="E98" s="889"/>
      <c r="F98" s="889"/>
      <c r="G98" s="890"/>
    </row>
    <row r="99" spans="1:7" x14ac:dyDescent="0.2">
      <c r="A99" s="915" t="s">
        <v>49</v>
      </c>
      <c r="B99" s="916"/>
      <c r="C99" s="916"/>
      <c r="D99" s="916"/>
      <c r="E99" s="916"/>
      <c r="F99" s="916"/>
      <c r="G99" s="917"/>
    </row>
    <row r="100" spans="1:7" x14ac:dyDescent="0.2">
      <c r="A100" s="6"/>
      <c r="B100" s="99"/>
      <c r="C100" s="8"/>
      <c r="D100" s="9"/>
      <c r="E100" s="99"/>
      <c r="F100" s="10"/>
      <c r="G100" s="11" t="s">
        <v>20</v>
      </c>
    </row>
    <row r="101" spans="1:7" x14ac:dyDescent="0.2">
      <c r="A101" s="12" t="s">
        <v>1</v>
      </c>
      <c r="B101" s="13"/>
      <c r="C101" s="14" t="s">
        <v>32</v>
      </c>
      <c r="D101" s="13"/>
      <c r="E101" s="362" t="s">
        <v>2598</v>
      </c>
      <c r="F101" s="98"/>
      <c r="G101" s="363" t="s">
        <v>2597</v>
      </c>
    </row>
    <row r="102" spans="1:7" x14ac:dyDescent="0.2">
      <c r="A102" s="17" t="s">
        <v>8</v>
      </c>
      <c r="B102" s="100"/>
      <c r="C102" s="19"/>
      <c r="D102" s="4"/>
      <c r="E102" s="918"/>
      <c r="F102" s="919"/>
      <c r="G102" s="20"/>
    </row>
    <row r="103" spans="1:7" x14ac:dyDescent="0.2">
      <c r="A103" s="21" t="s">
        <v>37</v>
      </c>
      <c r="B103" s="22"/>
      <c r="C103" s="22"/>
      <c r="D103" s="22"/>
      <c r="E103" s="23" t="s">
        <v>46</v>
      </c>
      <c r="F103" s="24"/>
      <c r="G103" s="20" t="s">
        <v>50</v>
      </c>
    </row>
    <row r="104" spans="1:7" x14ac:dyDescent="0.2">
      <c r="A104" s="6"/>
      <c r="B104" s="99"/>
      <c r="C104" s="8"/>
      <c r="D104" s="8"/>
      <c r="E104" s="920"/>
      <c r="F104" s="921"/>
      <c r="G104" s="25"/>
    </row>
    <row r="105" spans="1:7" ht="26.25" thickBot="1" x14ac:dyDescent="0.25">
      <c r="A105" s="207" t="s">
        <v>47</v>
      </c>
      <c r="B105" s="28" t="s">
        <v>23</v>
      </c>
      <c r="C105" s="28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7" ht="13.5" thickTop="1" x14ac:dyDescent="0.2">
      <c r="A106" s="29">
        <v>1</v>
      </c>
      <c r="B106" s="401" t="s">
        <v>150</v>
      </c>
      <c r="C106" s="371" t="s">
        <v>149</v>
      </c>
      <c r="D106" s="376" t="s">
        <v>2078</v>
      </c>
      <c r="E106" s="108">
        <v>30</v>
      </c>
      <c r="F106" s="128">
        <v>200</v>
      </c>
      <c r="G106" s="35">
        <f>F106*E106</f>
        <v>6000</v>
      </c>
    </row>
    <row r="107" spans="1:7" x14ac:dyDescent="0.2">
      <c r="A107" s="29"/>
      <c r="B107" s="101"/>
      <c r="C107" s="41"/>
      <c r="D107" s="129"/>
      <c r="E107" s="108"/>
      <c r="F107" s="128"/>
      <c r="G107" s="35"/>
    </row>
    <row r="108" spans="1:7" x14ac:dyDescent="0.2">
      <c r="A108" s="29"/>
      <c r="B108" s="101"/>
      <c r="C108" s="41"/>
      <c r="D108" s="129"/>
      <c r="E108" s="108"/>
      <c r="F108" s="149"/>
      <c r="G108" s="35"/>
    </row>
    <row r="109" spans="1:7" x14ac:dyDescent="0.2">
      <c r="A109" s="29"/>
      <c r="B109" s="101"/>
      <c r="C109" s="41"/>
      <c r="D109" s="129"/>
      <c r="E109" s="108"/>
      <c r="F109" s="128"/>
      <c r="G109" s="35"/>
    </row>
    <row r="110" spans="1:7" x14ac:dyDescent="0.2">
      <c r="A110" s="29"/>
      <c r="B110" s="105"/>
      <c r="C110" s="41"/>
      <c r="D110" s="136"/>
      <c r="E110" s="102"/>
      <c r="F110" s="128"/>
      <c r="G110" s="35"/>
    </row>
    <row r="111" spans="1:7" x14ac:dyDescent="0.2">
      <c r="A111" s="29"/>
      <c r="B111" s="105"/>
      <c r="C111" s="41"/>
      <c r="D111" s="136"/>
      <c r="E111" s="102"/>
      <c r="F111" s="128"/>
      <c r="G111" s="35"/>
    </row>
    <row r="112" spans="1:7" x14ac:dyDescent="0.2">
      <c r="A112" s="29"/>
      <c r="B112" s="151"/>
      <c r="C112" s="119"/>
      <c r="D112" s="136"/>
      <c r="E112" s="108"/>
      <c r="F112" s="150"/>
      <c r="G112" s="35"/>
    </row>
    <row r="113" spans="1:7" x14ac:dyDescent="0.2">
      <c r="A113" s="29"/>
      <c r="B113" s="151"/>
      <c r="C113" s="119"/>
      <c r="D113" s="144"/>
      <c r="E113" s="108"/>
      <c r="F113" s="150"/>
      <c r="G113" s="35"/>
    </row>
    <row r="114" spans="1:7" x14ac:dyDescent="0.2">
      <c r="A114" s="29"/>
      <c r="B114" s="101"/>
      <c r="C114" s="41"/>
      <c r="D114" s="144"/>
      <c r="E114" s="104"/>
      <c r="F114" s="128"/>
      <c r="G114" s="35"/>
    </row>
    <row r="115" spans="1:7" x14ac:dyDescent="0.2">
      <c r="A115" s="29"/>
      <c r="B115" s="106"/>
      <c r="C115" s="41"/>
      <c r="D115" s="136"/>
      <c r="E115" s="104"/>
      <c r="F115" s="128"/>
      <c r="G115" s="35"/>
    </row>
    <row r="116" spans="1:7" x14ac:dyDescent="0.2">
      <c r="A116" s="29"/>
      <c r="B116" s="105"/>
      <c r="C116" s="41"/>
      <c r="D116" s="136"/>
      <c r="E116" s="108"/>
      <c r="F116" s="152"/>
      <c r="G116" s="35"/>
    </row>
    <row r="117" spans="1:7" x14ac:dyDescent="0.2">
      <c r="A117" s="29"/>
      <c r="B117" s="107"/>
      <c r="C117" s="41"/>
      <c r="D117" s="136"/>
      <c r="E117" s="153"/>
      <c r="F117" s="128"/>
      <c r="G117" s="35"/>
    </row>
    <row r="118" spans="1:7" x14ac:dyDescent="0.2">
      <c r="A118" s="29"/>
      <c r="B118" s="107"/>
      <c r="C118" s="41"/>
      <c r="D118" s="67"/>
      <c r="E118" s="153"/>
      <c r="F118" s="128"/>
      <c r="G118" s="35"/>
    </row>
    <row r="119" spans="1:7" x14ac:dyDescent="0.2">
      <c r="A119" s="29"/>
      <c r="B119" s="101"/>
      <c r="C119" s="41"/>
      <c r="D119" s="384" t="s">
        <v>152</v>
      </c>
      <c r="E119" s="108"/>
      <c r="F119" s="128"/>
      <c r="G119" s="35"/>
    </row>
    <row r="120" spans="1:7" x14ac:dyDescent="0.2">
      <c r="A120" s="29"/>
      <c r="B120" s="101"/>
      <c r="C120" s="41"/>
      <c r="D120" s="67"/>
      <c r="E120" s="153"/>
      <c r="F120" s="128"/>
      <c r="G120" s="35"/>
    </row>
    <row r="121" spans="1:7" x14ac:dyDescent="0.2">
      <c r="A121" s="29"/>
      <c r="B121" s="106"/>
      <c r="C121" s="41"/>
      <c r="D121" s="67"/>
      <c r="E121" s="104"/>
      <c r="F121" s="154"/>
      <c r="G121" s="35"/>
    </row>
    <row r="122" spans="1:7" x14ac:dyDescent="0.2">
      <c r="A122" s="29"/>
      <c r="B122" s="105"/>
      <c r="C122" s="41"/>
      <c r="D122" s="130"/>
      <c r="E122" s="104"/>
      <c r="F122" s="154"/>
      <c r="G122" s="35"/>
    </row>
    <row r="123" spans="1:7" x14ac:dyDescent="0.2">
      <c r="A123" s="29"/>
      <c r="B123" s="105"/>
      <c r="C123" s="41"/>
      <c r="D123" s="67"/>
      <c r="E123" s="104"/>
      <c r="F123" s="154"/>
      <c r="G123" s="35"/>
    </row>
    <row r="124" spans="1:7" x14ac:dyDescent="0.2">
      <c r="A124" s="29"/>
      <c r="B124" s="101"/>
      <c r="C124" s="41"/>
      <c r="D124" s="67" t="s">
        <v>8</v>
      </c>
      <c r="E124" s="104"/>
      <c r="F124" s="154"/>
      <c r="G124" s="35"/>
    </row>
    <row r="125" spans="1:7" x14ac:dyDescent="0.2">
      <c r="A125" s="29"/>
      <c r="B125" s="101"/>
      <c r="C125" s="41"/>
      <c r="D125" s="136"/>
      <c r="E125" s="104"/>
      <c r="F125" s="418" t="s">
        <v>8</v>
      </c>
      <c r="G125" s="35"/>
    </row>
    <row r="126" spans="1:7" x14ac:dyDescent="0.2">
      <c r="A126" s="29"/>
      <c r="B126" s="101"/>
      <c r="C126" s="41"/>
      <c r="D126" s="136"/>
      <c r="E126" s="104"/>
      <c r="F126" s="154"/>
      <c r="G126" s="35"/>
    </row>
    <row r="127" spans="1:7" x14ac:dyDescent="0.2">
      <c r="A127" s="29"/>
      <c r="B127" s="101"/>
      <c r="C127" s="41"/>
      <c r="D127" s="62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59"/>
      <c r="E129" s="104"/>
      <c r="F129" s="154"/>
      <c r="G129" s="35"/>
    </row>
    <row r="130" spans="1:7" x14ac:dyDescent="0.2">
      <c r="A130" s="29"/>
      <c r="B130" s="101"/>
      <c r="C130" s="41"/>
      <c r="D130" s="160"/>
      <c r="E130" s="108"/>
      <c r="F130" s="128"/>
      <c r="G130" s="35"/>
    </row>
    <row r="131" spans="1:7" x14ac:dyDescent="0.2">
      <c r="A131" s="29"/>
      <c r="B131" s="101"/>
      <c r="C131" s="41"/>
      <c r="D131" s="160"/>
      <c r="E131" s="108"/>
      <c r="F131" s="128"/>
      <c r="G131" s="35"/>
    </row>
    <row r="132" spans="1:7" x14ac:dyDescent="0.2">
      <c r="A132" s="29"/>
      <c r="B132" s="101"/>
      <c r="C132" s="41"/>
      <c r="D132" s="160"/>
      <c r="E132" s="108"/>
      <c r="F132" s="128"/>
      <c r="G132" s="35"/>
    </row>
    <row r="133" spans="1:7" x14ac:dyDescent="0.2">
      <c r="A133" s="29"/>
      <c r="B133" s="101"/>
      <c r="C133" s="41"/>
      <c r="D133" s="136"/>
      <c r="E133" s="153"/>
      <c r="F133" s="128"/>
      <c r="G133" s="35"/>
    </row>
    <row r="134" spans="1:7" x14ac:dyDescent="0.2">
      <c r="A134" s="29"/>
      <c r="B134" s="101"/>
      <c r="C134" s="41"/>
      <c r="D134" s="136" t="s">
        <v>150</v>
      </c>
      <c r="E134" s="102"/>
      <c r="F134" s="128"/>
      <c r="G134" s="35"/>
    </row>
    <row r="135" spans="1:7" x14ac:dyDescent="0.2">
      <c r="A135" s="29"/>
      <c r="B135" s="101"/>
      <c r="C135" s="31"/>
      <c r="D135" s="67"/>
      <c r="E135" s="131"/>
      <c r="F135" s="117"/>
      <c r="G135" s="35"/>
    </row>
    <row r="136" spans="1:7" x14ac:dyDescent="0.2">
      <c r="A136" s="29"/>
      <c r="B136" s="101"/>
      <c r="C136" s="41"/>
      <c r="D136" s="118"/>
      <c r="E136" s="108"/>
      <c r="F136" s="149"/>
      <c r="G136" s="35"/>
    </row>
    <row r="137" spans="1:7" x14ac:dyDescent="0.2">
      <c r="A137" s="29"/>
      <c r="B137" s="101"/>
      <c r="C137" s="41"/>
      <c r="D137" s="144"/>
      <c r="E137" s="108"/>
      <c r="F137" s="149"/>
      <c r="G137" s="35"/>
    </row>
    <row r="138" spans="1:7" ht="13.5" thickBot="1" x14ac:dyDescent="0.25">
      <c r="A138" s="45"/>
      <c r="B138" s="132"/>
      <c r="C138" s="115"/>
      <c r="D138" s="115"/>
      <c r="E138" s="132"/>
      <c r="F138" s="49" t="s">
        <v>15</v>
      </c>
      <c r="G138" s="50">
        <f>SUM(G106:G137)</f>
        <v>6000</v>
      </c>
    </row>
    <row r="139" spans="1:7" ht="13.5" thickTop="1" x14ac:dyDescent="0.2">
      <c r="A139" s="875" t="s">
        <v>1735</v>
      </c>
      <c r="B139" s="899"/>
      <c r="C139" s="899"/>
      <c r="D139" s="899"/>
      <c r="E139" s="899"/>
      <c r="F139" s="899"/>
      <c r="G139" s="900"/>
    </row>
    <row r="140" spans="1:7" ht="13.5" thickBot="1" x14ac:dyDescent="0.25">
      <c r="A140" s="52"/>
      <c r="B140" s="103"/>
      <c r="C140" s="374" t="s">
        <v>2326</v>
      </c>
      <c r="D140" s="54"/>
      <c r="E140" s="103"/>
      <c r="F140" s="55"/>
      <c r="G140" s="56"/>
    </row>
    <row r="141" spans="1:7" ht="13.5" thickTop="1" x14ac:dyDescent="0.2">
      <c r="A141" s="906"/>
      <c r="B141" s="907"/>
      <c r="C141" s="907"/>
      <c r="D141" s="57" t="s">
        <v>11</v>
      </c>
      <c r="E141" s="908" t="s">
        <v>12</v>
      </c>
      <c r="F141" s="908"/>
      <c r="G141" s="909"/>
    </row>
    <row r="142" spans="1:7" x14ac:dyDescent="0.2">
      <c r="A142" s="910" t="s">
        <v>17</v>
      </c>
      <c r="B142" s="911"/>
      <c r="C142" s="911"/>
      <c r="D142" s="39"/>
      <c r="E142" s="912"/>
      <c r="F142" s="913"/>
      <c r="G142" s="914"/>
    </row>
    <row r="143" spans="1:7" x14ac:dyDescent="0.2">
      <c r="A143" s="910" t="s">
        <v>38</v>
      </c>
      <c r="B143" s="911"/>
      <c r="C143" s="911"/>
      <c r="D143" s="58" t="s">
        <v>1694</v>
      </c>
      <c r="E143" s="868" t="s">
        <v>69</v>
      </c>
      <c r="F143" s="868"/>
      <c r="G143" s="869"/>
    </row>
    <row r="144" spans="1:7" ht="13.5" thickBot="1" x14ac:dyDescent="0.25">
      <c r="A144" s="901" t="s">
        <v>39</v>
      </c>
      <c r="B144" s="902"/>
      <c r="C144" s="902"/>
      <c r="D144" s="59" t="s">
        <v>14</v>
      </c>
      <c r="E144" s="903" t="s">
        <v>33</v>
      </c>
      <c r="F144" s="904"/>
      <c r="G144" s="905"/>
    </row>
  </sheetData>
  <mergeCells count="42">
    <mergeCell ref="A143:C143"/>
    <mergeCell ref="E143:G143"/>
    <mergeCell ref="A144:C144"/>
    <mergeCell ref="E144:G144"/>
    <mergeCell ref="A139:G139"/>
    <mergeCell ref="A141:C141"/>
    <mergeCell ref="E141:G141"/>
    <mergeCell ref="A142:C142"/>
    <mergeCell ref="E142:G142"/>
    <mergeCell ref="A97:G97"/>
    <mergeCell ref="A98:G98"/>
    <mergeCell ref="A99:G99"/>
    <mergeCell ref="E102:F102"/>
    <mergeCell ref="E104:F104"/>
    <mergeCell ref="A1:G1"/>
    <mergeCell ref="A2:G2"/>
    <mergeCell ref="A3:G3"/>
    <mergeCell ref="E6:F6"/>
    <mergeCell ref="E8:F8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A49:G49"/>
    <mergeCell ref="A50:G50"/>
    <mergeCell ref="A51:G51"/>
    <mergeCell ref="E54:F54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 tint="0.499984740745262"/>
  </sheetPr>
  <dimension ref="A1:L192"/>
  <sheetViews>
    <sheetView topLeftCell="A153" zoomScale="110" zoomScaleNormal="110" workbookViewId="0">
      <selection activeCell="K175" sqref="K17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62" t="s">
        <v>1225</v>
      </c>
      <c r="F5" s="98"/>
      <c r="G5" s="363" t="s">
        <v>1194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997</v>
      </c>
      <c r="E10" s="158">
        <v>120</v>
      </c>
      <c r="F10" s="128">
        <v>200</v>
      </c>
      <c r="G10" s="35">
        <f>F10*E10</f>
        <v>24000</v>
      </c>
    </row>
    <row r="11" spans="1:7" x14ac:dyDescent="0.2">
      <c r="A11" s="29">
        <v>2</v>
      </c>
      <c r="B11" s="101"/>
      <c r="C11" s="371" t="s">
        <v>149</v>
      </c>
      <c r="D11" s="370" t="s">
        <v>339</v>
      </c>
      <c r="E11" s="108">
        <v>120</v>
      </c>
      <c r="F11" s="128">
        <v>350</v>
      </c>
      <c r="G11" s="35">
        <f>F11*E11</f>
        <v>42000</v>
      </c>
    </row>
    <row r="12" spans="1:7" x14ac:dyDescent="0.2">
      <c r="A12" s="29"/>
      <c r="B12" s="101"/>
      <c r="C12" s="41"/>
      <c r="D12" s="370" t="s">
        <v>1191</v>
      </c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66000</v>
      </c>
    </row>
    <row r="43" spans="1:7" ht="13.5" thickTop="1" x14ac:dyDescent="0.2">
      <c r="A43" s="875" t="s">
        <v>1192</v>
      </c>
      <c r="B43" s="876"/>
      <c r="C43" s="876"/>
      <c r="D43" s="876"/>
      <c r="E43" s="876"/>
      <c r="F43" s="876"/>
      <c r="G43" s="877"/>
    </row>
    <row r="44" spans="1:7" ht="13.5" thickBot="1" x14ac:dyDescent="0.25">
      <c r="A44" s="52"/>
      <c r="B44" s="103"/>
      <c r="C44" s="374" t="s">
        <v>1193</v>
      </c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145</v>
      </c>
      <c r="E47" s="868" t="s">
        <v>69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</row>
    <row r="49" spans="1:7" ht="16.5" x14ac:dyDescent="0.25">
      <c r="A49" s="885" t="s">
        <v>29</v>
      </c>
      <c r="B49" s="886"/>
      <c r="C49" s="886"/>
      <c r="D49" s="886"/>
      <c r="E49" s="886"/>
      <c r="F49" s="886"/>
      <c r="G49" s="887"/>
    </row>
    <row r="50" spans="1:7" x14ac:dyDescent="0.2">
      <c r="A50" s="888" t="s">
        <v>48</v>
      </c>
      <c r="B50" s="889"/>
      <c r="C50" s="889"/>
      <c r="D50" s="889"/>
      <c r="E50" s="889"/>
      <c r="F50" s="889"/>
      <c r="G50" s="890"/>
    </row>
    <row r="51" spans="1:7" x14ac:dyDescent="0.2">
      <c r="A51" s="915" t="s">
        <v>49</v>
      </c>
      <c r="B51" s="916"/>
      <c r="C51" s="916"/>
      <c r="D51" s="916"/>
      <c r="E51" s="916"/>
      <c r="F51" s="916"/>
      <c r="G51" s="917"/>
    </row>
    <row r="52" spans="1:7" x14ac:dyDescent="0.2">
      <c r="A52" s="6"/>
      <c r="B52" s="99"/>
      <c r="C52" s="8"/>
      <c r="D52" s="9"/>
      <c r="E52" s="99"/>
      <c r="F52" s="10"/>
      <c r="G52" s="11" t="s">
        <v>20</v>
      </c>
    </row>
    <row r="53" spans="1:7" x14ac:dyDescent="0.2">
      <c r="A53" s="12" t="s">
        <v>1</v>
      </c>
      <c r="B53" s="13"/>
      <c r="C53" s="14" t="s">
        <v>32</v>
      </c>
      <c r="D53" s="13"/>
      <c r="E53" s="362" t="s">
        <v>1221</v>
      </c>
      <c r="F53" s="98"/>
      <c r="G53" s="363" t="s">
        <v>1194</v>
      </c>
    </row>
    <row r="54" spans="1:7" x14ac:dyDescent="0.2">
      <c r="A54" s="17" t="s">
        <v>8</v>
      </c>
      <c r="B54" s="100"/>
      <c r="C54" s="19"/>
      <c r="D54" s="4"/>
      <c r="E54" s="918"/>
      <c r="F54" s="919"/>
      <c r="G54" s="20"/>
    </row>
    <row r="55" spans="1:7" x14ac:dyDescent="0.2">
      <c r="A55" s="21" t="s">
        <v>37</v>
      </c>
      <c r="B55" s="22"/>
      <c r="C55" s="22"/>
      <c r="D55" s="22"/>
      <c r="E55" s="23" t="s">
        <v>46</v>
      </c>
      <c r="F55" s="24"/>
      <c r="G55" s="20" t="s">
        <v>50</v>
      </c>
    </row>
    <row r="56" spans="1:7" x14ac:dyDescent="0.2">
      <c r="A56" s="6"/>
      <c r="B56" s="99"/>
      <c r="C56" s="8"/>
      <c r="D56" s="8"/>
      <c r="E56" s="920"/>
      <c r="F56" s="921"/>
      <c r="G56" s="25"/>
    </row>
    <row r="57" spans="1:7" ht="26.25" thickBot="1" x14ac:dyDescent="0.25">
      <c r="A57" s="207" t="s">
        <v>47</v>
      </c>
      <c r="B57" s="28" t="s">
        <v>23</v>
      </c>
      <c r="C57" s="28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29">
        <v>1</v>
      </c>
      <c r="B58" s="101"/>
      <c r="C58" s="371" t="s">
        <v>149</v>
      </c>
      <c r="D58" s="376" t="s">
        <v>1206</v>
      </c>
      <c r="E58" s="158">
        <v>120</v>
      </c>
      <c r="F58" s="128">
        <v>200</v>
      </c>
      <c r="G58" s="35">
        <f>F58*E58</f>
        <v>24000</v>
      </c>
    </row>
    <row r="59" spans="1:7" x14ac:dyDescent="0.2">
      <c r="A59" s="29">
        <v>2</v>
      </c>
      <c r="B59" s="101"/>
      <c r="C59" s="371" t="s">
        <v>149</v>
      </c>
      <c r="D59" s="370" t="s">
        <v>339</v>
      </c>
      <c r="E59" s="108">
        <v>120</v>
      </c>
      <c r="F59" s="128">
        <v>350</v>
      </c>
      <c r="G59" s="35">
        <f>F59*E59</f>
        <v>42000</v>
      </c>
    </row>
    <row r="60" spans="1:7" x14ac:dyDescent="0.2">
      <c r="A60" s="29"/>
      <c r="B60" s="101"/>
      <c r="C60" s="41"/>
      <c r="D60" s="370" t="s">
        <v>1191</v>
      </c>
      <c r="E60" s="157"/>
      <c r="F60" s="149"/>
      <c r="G60" s="35"/>
    </row>
    <row r="61" spans="1:7" x14ac:dyDescent="0.2">
      <c r="A61" s="29"/>
      <c r="B61" s="101"/>
      <c r="C61" s="41"/>
      <c r="D61" s="129"/>
      <c r="E61" s="108"/>
      <c r="F61" s="128"/>
      <c r="G61" s="35"/>
    </row>
    <row r="62" spans="1:7" x14ac:dyDescent="0.2">
      <c r="A62" s="29"/>
      <c r="B62" s="105"/>
      <c r="C62" s="41"/>
      <c r="D62" s="136"/>
      <c r="E62" s="102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51"/>
      <c r="C64" s="119"/>
      <c r="D64" s="136"/>
      <c r="E64" s="108"/>
      <c r="F64" s="150"/>
      <c r="G64" s="35"/>
    </row>
    <row r="65" spans="1:7" x14ac:dyDescent="0.2">
      <c r="A65" s="29"/>
      <c r="B65" s="151"/>
      <c r="C65" s="119"/>
      <c r="D65" s="144"/>
      <c r="E65" s="108"/>
      <c r="F65" s="150"/>
      <c r="G65" s="35"/>
    </row>
    <row r="66" spans="1:7" x14ac:dyDescent="0.2">
      <c r="A66" s="29"/>
      <c r="B66" s="101"/>
      <c r="C66" s="41"/>
      <c r="D66" s="144"/>
      <c r="E66" s="155"/>
      <c r="F66" s="128"/>
      <c r="G66" s="35"/>
    </row>
    <row r="67" spans="1:7" x14ac:dyDescent="0.2">
      <c r="A67" s="29"/>
      <c r="B67" s="106"/>
      <c r="C67" s="41"/>
      <c r="D67" s="136"/>
      <c r="E67" s="104"/>
      <c r="F67" s="128"/>
      <c r="G67" s="35"/>
    </row>
    <row r="68" spans="1:7" x14ac:dyDescent="0.2">
      <c r="A68" s="29"/>
      <c r="B68" s="105"/>
      <c r="C68" s="41"/>
      <c r="D68" s="136"/>
      <c r="E68" s="108"/>
      <c r="F68" s="152"/>
      <c r="G68" s="35"/>
    </row>
    <row r="69" spans="1:7" x14ac:dyDescent="0.2">
      <c r="A69" s="29"/>
      <c r="B69" s="107"/>
      <c r="C69" s="41"/>
      <c r="D69" s="136"/>
      <c r="E69" s="153"/>
      <c r="F69" s="128"/>
      <c r="G69" s="35"/>
    </row>
    <row r="70" spans="1:7" x14ac:dyDescent="0.2">
      <c r="A70" s="29"/>
      <c r="B70" s="107"/>
      <c r="C70" s="41"/>
      <c r="D70" s="67"/>
      <c r="E70" s="153"/>
      <c r="F70" s="128"/>
      <c r="G70" s="35"/>
    </row>
    <row r="71" spans="1:7" x14ac:dyDescent="0.2">
      <c r="A71" s="29"/>
      <c r="B71" s="101"/>
      <c r="C71" s="41"/>
      <c r="D71" s="67"/>
      <c r="E71" s="108"/>
      <c r="F71" s="128"/>
      <c r="G71" s="35"/>
    </row>
    <row r="72" spans="1:7" x14ac:dyDescent="0.2">
      <c r="A72" s="29"/>
      <c r="B72" s="101"/>
      <c r="C72" s="41"/>
      <c r="D72" s="67"/>
      <c r="E72" s="153"/>
      <c r="F72" s="128"/>
      <c r="G72" s="35"/>
    </row>
    <row r="73" spans="1:7" x14ac:dyDescent="0.2">
      <c r="A73" s="29"/>
      <c r="B73" s="106"/>
      <c r="C73" s="41"/>
      <c r="D73" s="67"/>
      <c r="E73" s="104"/>
      <c r="F73" s="154"/>
      <c r="G73" s="35"/>
    </row>
    <row r="74" spans="1:7" x14ac:dyDescent="0.2">
      <c r="A74" s="29"/>
      <c r="B74" s="105"/>
      <c r="C74" s="41"/>
      <c r="D74" s="130"/>
      <c r="E74" s="104"/>
      <c r="F74" s="154"/>
      <c r="G74" s="35"/>
    </row>
    <row r="75" spans="1:7" x14ac:dyDescent="0.2">
      <c r="A75" s="29"/>
      <c r="B75" s="105"/>
      <c r="C75" s="41"/>
      <c r="D75" s="67"/>
      <c r="E75" s="104"/>
      <c r="F75" s="154"/>
      <c r="G75" s="35"/>
    </row>
    <row r="76" spans="1:7" x14ac:dyDescent="0.2">
      <c r="A76" s="29"/>
      <c r="B76" s="101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136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60"/>
      <c r="E84" s="108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02"/>
      <c r="F86" s="128"/>
      <c r="G86" s="35"/>
    </row>
    <row r="87" spans="1:7" x14ac:dyDescent="0.2">
      <c r="A87" s="29"/>
      <c r="B87" s="101"/>
      <c r="C87" s="31"/>
      <c r="D87" s="67"/>
      <c r="E87" s="131"/>
      <c r="F87" s="117"/>
      <c r="G87" s="35"/>
    </row>
    <row r="88" spans="1:7" x14ac:dyDescent="0.2">
      <c r="A88" s="29"/>
      <c r="B88" s="101"/>
      <c r="C88" s="41"/>
      <c r="D88" s="118"/>
      <c r="E88" s="108"/>
      <c r="F88" s="149"/>
      <c r="G88" s="35"/>
    </row>
    <row r="89" spans="1:7" x14ac:dyDescent="0.2">
      <c r="A89" s="29"/>
      <c r="B89" s="101"/>
      <c r="C89" s="41"/>
      <c r="D89" s="144"/>
      <c r="E89" s="108"/>
      <c r="F89" s="149"/>
      <c r="G89" s="35"/>
    </row>
    <row r="90" spans="1:7" ht="13.5" thickBot="1" x14ac:dyDescent="0.25">
      <c r="A90" s="45"/>
      <c r="B90" s="132"/>
      <c r="C90" s="115"/>
      <c r="D90" s="115"/>
      <c r="E90" s="132"/>
      <c r="F90" s="49" t="s">
        <v>15</v>
      </c>
      <c r="G90" s="50">
        <f>SUM(G58:G89)</f>
        <v>66000</v>
      </c>
    </row>
    <row r="91" spans="1:7" ht="13.5" thickTop="1" x14ac:dyDescent="0.2">
      <c r="A91" s="875" t="s">
        <v>1207</v>
      </c>
      <c r="B91" s="876"/>
      <c r="C91" s="876"/>
      <c r="D91" s="876"/>
      <c r="E91" s="876"/>
      <c r="F91" s="876"/>
      <c r="G91" s="877"/>
    </row>
    <row r="92" spans="1:7" ht="13.5" thickBot="1" x14ac:dyDescent="0.25">
      <c r="A92" s="52"/>
      <c r="B92" s="103"/>
      <c r="C92" s="374" t="s">
        <v>1208</v>
      </c>
      <c r="D92" s="54"/>
      <c r="E92" s="103"/>
      <c r="F92" s="55"/>
      <c r="G92" s="56"/>
    </row>
    <row r="93" spans="1:7" ht="13.5" thickTop="1" x14ac:dyDescent="0.2">
      <c r="A93" s="906"/>
      <c r="B93" s="907"/>
      <c r="C93" s="907"/>
      <c r="D93" s="57" t="s">
        <v>11</v>
      </c>
      <c r="E93" s="908" t="s">
        <v>12</v>
      </c>
      <c r="F93" s="908"/>
      <c r="G93" s="909"/>
    </row>
    <row r="94" spans="1:7" x14ac:dyDescent="0.2">
      <c r="A94" s="910" t="s">
        <v>17</v>
      </c>
      <c r="B94" s="911"/>
      <c r="C94" s="911"/>
      <c r="D94" s="39"/>
      <c r="E94" s="912"/>
      <c r="F94" s="913"/>
      <c r="G94" s="914"/>
    </row>
    <row r="95" spans="1:7" x14ac:dyDescent="0.2">
      <c r="A95" s="910" t="s">
        <v>38</v>
      </c>
      <c r="B95" s="911"/>
      <c r="C95" s="911"/>
      <c r="D95" s="58" t="s">
        <v>145</v>
      </c>
      <c r="E95" s="868" t="s">
        <v>69</v>
      </c>
      <c r="F95" s="868"/>
      <c r="G95" s="869"/>
    </row>
    <row r="96" spans="1:7" ht="13.5" thickBot="1" x14ac:dyDescent="0.25">
      <c r="A96" s="901" t="s">
        <v>39</v>
      </c>
      <c r="B96" s="902"/>
      <c r="C96" s="902"/>
      <c r="D96" s="59" t="s">
        <v>14</v>
      </c>
      <c r="E96" s="903" t="s">
        <v>33</v>
      </c>
      <c r="F96" s="904"/>
      <c r="G96" s="905"/>
    </row>
    <row r="97" spans="1:12" ht="16.5" x14ac:dyDescent="0.25">
      <c r="A97" s="885" t="s">
        <v>29</v>
      </c>
      <c r="B97" s="886"/>
      <c r="C97" s="886"/>
      <c r="D97" s="886"/>
      <c r="E97" s="886"/>
      <c r="F97" s="886"/>
      <c r="G97" s="887"/>
    </row>
    <row r="98" spans="1:12" x14ac:dyDescent="0.2">
      <c r="A98" s="888" t="s">
        <v>48</v>
      </c>
      <c r="B98" s="889"/>
      <c r="C98" s="889"/>
      <c r="D98" s="889"/>
      <c r="E98" s="889"/>
      <c r="F98" s="889"/>
      <c r="G98" s="890"/>
    </row>
    <row r="99" spans="1:12" x14ac:dyDescent="0.2">
      <c r="A99" s="915" t="s">
        <v>49</v>
      </c>
      <c r="B99" s="916"/>
      <c r="C99" s="916"/>
      <c r="D99" s="916"/>
      <c r="E99" s="916"/>
      <c r="F99" s="916"/>
      <c r="G99" s="917"/>
    </row>
    <row r="100" spans="1:12" x14ac:dyDescent="0.2">
      <c r="A100" s="6"/>
      <c r="B100" s="99"/>
      <c r="C100" s="8"/>
      <c r="D100" s="9"/>
      <c r="E100" s="99"/>
      <c r="F100" s="10"/>
      <c r="G100" s="11" t="s">
        <v>20</v>
      </c>
    </row>
    <row r="101" spans="1:12" x14ac:dyDescent="0.2">
      <c r="A101" s="12" t="s">
        <v>1</v>
      </c>
      <c r="B101" s="13"/>
      <c r="C101" s="14" t="s">
        <v>32</v>
      </c>
      <c r="D101" s="13"/>
      <c r="E101" s="362" t="s">
        <v>2315</v>
      </c>
      <c r="F101" s="98"/>
      <c r="G101" s="363" t="s">
        <v>2151</v>
      </c>
    </row>
    <row r="102" spans="1:12" x14ac:dyDescent="0.2">
      <c r="A102" s="17" t="s">
        <v>8</v>
      </c>
      <c r="B102" s="100"/>
      <c r="C102" s="19"/>
      <c r="D102" s="4"/>
      <c r="E102" s="918"/>
      <c r="F102" s="919"/>
      <c r="G102" s="20"/>
    </row>
    <row r="103" spans="1:12" x14ac:dyDescent="0.2">
      <c r="A103" s="21" t="s">
        <v>37</v>
      </c>
      <c r="B103" s="22"/>
      <c r="C103" s="22"/>
      <c r="D103" s="22"/>
      <c r="E103" s="23" t="s">
        <v>46</v>
      </c>
      <c r="F103" s="24"/>
      <c r="G103" s="20" t="s">
        <v>50</v>
      </c>
      <c r="L103" s="2">
        <f>60*200</f>
        <v>12000</v>
      </c>
    </row>
    <row r="104" spans="1:12" x14ac:dyDescent="0.2">
      <c r="A104" s="6"/>
      <c r="B104" s="99"/>
      <c r="C104" s="8"/>
      <c r="D104" s="8"/>
      <c r="E104" s="920"/>
      <c r="F104" s="921"/>
      <c r="G104" s="25"/>
    </row>
    <row r="105" spans="1:12" ht="26.25" thickBot="1" x14ac:dyDescent="0.25">
      <c r="A105" s="207" t="s">
        <v>47</v>
      </c>
      <c r="B105" s="28" t="s">
        <v>23</v>
      </c>
      <c r="C105" s="28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12" ht="13.5" thickTop="1" x14ac:dyDescent="0.2">
      <c r="A106" s="29">
        <v>1</v>
      </c>
      <c r="B106" s="101"/>
      <c r="C106" s="371" t="s">
        <v>149</v>
      </c>
      <c r="D106" s="376" t="s">
        <v>2316</v>
      </c>
      <c r="E106" s="158">
        <v>60</v>
      </c>
      <c r="F106" s="128">
        <v>250</v>
      </c>
      <c r="G106" s="35">
        <f>F106*E106</f>
        <v>15000</v>
      </c>
    </row>
    <row r="107" spans="1:12" x14ac:dyDescent="0.2">
      <c r="A107" s="29"/>
      <c r="B107" s="101"/>
      <c r="C107" s="371"/>
      <c r="D107" s="370" t="s">
        <v>349</v>
      </c>
      <c r="E107" s="108"/>
      <c r="F107" s="128"/>
      <c r="G107" s="35"/>
    </row>
    <row r="108" spans="1:12" x14ac:dyDescent="0.2">
      <c r="A108" s="29"/>
      <c r="B108" s="101"/>
      <c r="C108" s="41"/>
      <c r="D108" s="370"/>
      <c r="E108" s="157"/>
      <c r="F108" s="149"/>
      <c r="G108" s="35"/>
    </row>
    <row r="109" spans="1:12" x14ac:dyDescent="0.2">
      <c r="A109" s="29"/>
      <c r="B109" s="101"/>
      <c r="C109" s="41"/>
      <c r="D109" s="129"/>
      <c r="E109" s="108"/>
      <c r="F109" s="128"/>
      <c r="G109" s="35"/>
    </row>
    <row r="110" spans="1:12" x14ac:dyDescent="0.2">
      <c r="A110" s="29"/>
      <c r="B110" s="105"/>
      <c r="C110" s="41"/>
      <c r="D110" s="136"/>
      <c r="E110" s="102"/>
      <c r="F110" s="128"/>
      <c r="G110" s="35"/>
    </row>
    <row r="111" spans="1:12" x14ac:dyDescent="0.2">
      <c r="A111" s="29"/>
      <c r="B111" s="105"/>
      <c r="C111" s="41"/>
      <c r="D111" s="136"/>
      <c r="E111" s="102"/>
      <c r="F111" s="128"/>
      <c r="G111" s="35"/>
    </row>
    <row r="112" spans="1:12" x14ac:dyDescent="0.2">
      <c r="A112" s="29"/>
      <c r="B112" s="151"/>
      <c r="C112" s="119"/>
      <c r="D112" s="136"/>
      <c r="E112" s="108"/>
      <c r="F112" s="150"/>
      <c r="G112" s="35"/>
    </row>
    <row r="113" spans="1:7" x14ac:dyDescent="0.2">
      <c r="A113" s="29"/>
      <c r="B113" s="151"/>
      <c r="C113" s="119"/>
      <c r="D113" s="144"/>
      <c r="E113" s="108"/>
      <c r="F113" s="150"/>
      <c r="G113" s="35"/>
    </row>
    <row r="114" spans="1:7" x14ac:dyDescent="0.2">
      <c r="A114" s="29"/>
      <c r="B114" s="101"/>
      <c r="C114" s="41"/>
      <c r="D114" s="144"/>
      <c r="E114" s="155"/>
      <c r="F114" s="128"/>
      <c r="G114" s="35"/>
    </row>
    <row r="115" spans="1:7" x14ac:dyDescent="0.2">
      <c r="A115" s="29"/>
      <c r="B115" s="106"/>
      <c r="C115" s="41"/>
      <c r="D115" s="136"/>
      <c r="E115" s="104"/>
      <c r="F115" s="128"/>
      <c r="G115" s="35"/>
    </row>
    <row r="116" spans="1:7" x14ac:dyDescent="0.2">
      <c r="A116" s="29"/>
      <c r="B116" s="105"/>
      <c r="C116" s="41"/>
      <c r="D116" s="136"/>
      <c r="E116" s="108"/>
      <c r="F116" s="152"/>
      <c r="G116" s="35"/>
    </row>
    <row r="117" spans="1:7" x14ac:dyDescent="0.2">
      <c r="A117" s="29"/>
      <c r="B117" s="107"/>
      <c r="C117" s="41"/>
      <c r="D117" s="136"/>
      <c r="E117" s="153"/>
      <c r="F117" s="128"/>
      <c r="G117" s="35"/>
    </row>
    <row r="118" spans="1:7" x14ac:dyDescent="0.2">
      <c r="A118" s="29"/>
      <c r="B118" s="107"/>
      <c r="C118" s="41"/>
      <c r="D118" s="67"/>
      <c r="E118" s="153"/>
      <c r="F118" s="128"/>
      <c r="G118" s="35"/>
    </row>
    <row r="119" spans="1:7" x14ac:dyDescent="0.2">
      <c r="A119" s="29"/>
      <c r="B119" s="101"/>
      <c r="C119" s="41"/>
      <c r="D119" s="384" t="s">
        <v>2664</v>
      </c>
      <c r="E119" s="108"/>
      <c r="F119" s="128"/>
      <c r="G119" s="35"/>
    </row>
    <row r="120" spans="1:7" x14ac:dyDescent="0.2">
      <c r="A120" s="29"/>
      <c r="B120" s="101"/>
      <c r="C120" s="41"/>
      <c r="D120" s="384" t="s">
        <v>8</v>
      </c>
      <c r="E120" s="153"/>
      <c r="F120" s="128"/>
      <c r="G120" s="35"/>
    </row>
    <row r="121" spans="1:7" x14ac:dyDescent="0.2">
      <c r="A121" s="29"/>
      <c r="B121" s="106"/>
      <c r="C121" s="41"/>
      <c r="D121" s="67"/>
      <c r="E121" s="104"/>
      <c r="F121" s="154"/>
      <c r="G121" s="35"/>
    </row>
    <row r="122" spans="1:7" x14ac:dyDescent="0.2">
      <c r="A122" s="29"/>
      <c r="B122" s="105"/>
      <c r="C122" s="41"/>
      <c r="D122" s="419" t="s">
        <v>2645</v>
      </c>
      <c r="E122" s="104"/>
      <c r="F122" s="154"/>
      <c r="G122" s="35"/>
    </row>
    <row r="123" spans="1:7" x14ac:dyDescent="0.2">
      <c r="A123" s="29"/>
      <c r="B123" s="105"/>
      <c r="C123" s="41"/>
      <c r="D123" s="384" t="s">
        <v>8</v>
      </c>
      <c r="E123" s="104"/>
      <c r="F123" s="154"/>
      <c r="G123" s="35"/>
    </row>
    <row r="124" spans="1:7" x14ac:dyDescent="0.2">
      <c r="A124" s="29"/>
      <c r="B124" s="101"/>
      <c r="C124" s="41"/>
      <c r="D124" s="67"/>
      <c r="E124" s="104"/>
      <c r="F124" s="154"/>
      <c r="G124" s="35"/>
    </row>
    <row r="125" spans="1:7" x14ac:dyDescent="0.2">
      <c r="A125" s="29"/>
      <c r="B125" s="101"/>
      <c r="C125" s="41"/>
      <c r="D125" s="136"/>
      <c r="E125" s="104"/>
      <c r="F125" s="154"/>
      <c r="G125" s="35"/>
    </row>
    <row r="126" spans="1:7" x14ac:dyDescent="0.2">
      <c r="A126" s="29"/>
      <c r="B126" s="101"/>
      <c r="C126" s="41"/>
      <c r="D126" s="136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159"/>
      <c r="E131" s="104"/>
      <c r="F131" s="154"/>
      <c r="G131" s="35"/>
    </row>
    <row r="132" spans="1:7" x14ac:dyDescent="0.2">
      <c r="A132" s="29"/>
      <c r="B132" s="101"/>
      <c r="C132" s="41"/>
      <c r="D132" s="160"/>
      <c r="E132" s="108"/>
      <c r="F132" s="128"/>
      <c r="G132" s="35"/>
    </row>
    <row r="133" spans="1:7" x14ac:dyDescent="0.2">
      <c r="A133" s="29"/>
      <c r="B133" s="101"/>
      <c r="C133" s="41"/>
      <c r="D133" s="136"/>
      <c r="E133" s="153"/>
      <c r="F133" s="128"/>
      <c r="G133" s="35"/>
    </row>
    <row r="134" spans="1:7" x14ac:dyDescent="0.2">
      <c r="A134" s="29"/>
      <c r="B134" s="101"/>
      <c r="C134" s="41"/>
      <c r="D134" s="136"/>
      <c r="E134" s="102"/>
      <c r="F134" s="128"/>
      <c r="G134" s="35"/>
    </row>
    <row r="135" spans="1:7" x14ac:dyDescent="0.2">
      <c r="A135" s="29"/>
      <c r="B135" s="101"/>
      <c r="C135" s="31"/>
      <c r="D135" s="67"/>
      <c r="E135" s="131"/>
      <c r="F135" s="117"/>
      <c r="G135" s="35"/>
    </row>
    <row r="136" spans="1:7" x14ac:dyDescent="0.2">
      <c r="A136" s="29"/>
      <c r="B136" s="101"/>
      <c r="C136" s="41"/>
      <c r="D136" s="118"/>
      <c r="E136" s="108"/>
      <c r="F136" s="149"/>
      <c r="G136" s="35"/>
    </row>
    <row r="137" spans="1:7" x14ac:dyDescent="0.2">
      <c r="A137" s="29"/>
      <c r="B137" s="101"/>
      <c r="C137" s="41"/>
      <c r="D137" s="144"/>
      <c r="E137" s="108"/>
      <c r="F137" s="149"/>
      <c r="G137" s="35"/>
    </row>
    <row r="138" spans="1:7" ht="13.5" thickBot="1" x14ac:dyDescent="0.25">
      <c r="A138" s="45"/>
      <c r="B138" s="132"/>
      <c r="C138" s="115"/>
      <c r="D138" s="115"/>
      <c r="E138" s="132"/>
      <c r="F138" s="49" t="s">
        <v>15</v>
      </c>
      <c r="G138" s="50">
        <f>SUM(G106:G137)</f>
        <v>15000</v>
      </c>
    </row>
    <row r="139" spans="1:7" ht="13.5" thickTop="1" x14ac:dyDescent="0.2">
      <c r="A139" s="875" t="s">
        <v>2313</v>
      </c>
      <c r="B139" s="876"/>
      <c r="C139" s="876"/>
      <c r="D139" s="876"/>
      <c r="E139" s="876"/>
      <c r="F139" s="876"/>
      <c r="G139" s="877"/>
    </row>
    <row r="140" spans="1:7" ht="13.5" thickBot="1" x14ac:dyDescent="0.25">
      <c r="A140" s="52"/>
      <c r="B140" s="103"/>
      <c r="C140" s="374" t="s">
        <v>2314</v>
      </c>
      <c r="D140" s="54"/>
      <c r="E140" s="103"/>
      <c r="F140" s="55"/>
      <c r="G140" s="56"/>
    </row>
    <row r="141" spans="1:7" ht="13.5" thickTop="1" x14ac:dyDescent="0.2">
      <c r="A141" s="906"/>
      <c r="B141" s="907"/>
      <c r="C141" s="907"/>
      <c r="D141" s="57" t="s">
        <v>11</v>
      </c>
      <c r="E141" s="908" t="s">
        <v>12</v>
      </c>
      <c r="F141" s="908"/>
      <c r="G141" s="909"/>
    </row>
    <row r="142" spans="1:7" x14ac:dyDescent="0.2">
      <c r="A142" s="910" t="s">
        <v>17</v>
      </c>
      <c r="B142" s="911"/>
      <c r="C142" s="911"/>
      <c r="D142" s="39"/>
      <c r="E142" s="912"/>
      <c r="F142" s="913"/>
      <c r="G142" s="914"/>
    </row>
    <row r="143" spans="1:7" x14ac:dyDescent="0.2">
      <c r="A143" s="910" t="s">
        <v>38</v>
      </c>
      <c r="B143" s="911"/>
      <c r="C143" s="911"/>
      <c r="D143" s="58" t="s">
        <v>145</v>
      </c>
      <c r="E143" s="868" t="s">
        <v>69</v>
      </c>
      <c r="F143" s="868"/>
      <c r="G143" s="869"/>
    </row>
    <row r="144" spans="1:7" ht="13.5" thickBot="1" x14ac:dyDescent="0.25">
      <c r="A144" s="901" t="s">
        <v>39</v>
      </c>
      <c r="B144" s="902"/>
      <c r="C144" s="902"/>
      <c r="D144" s="59" t="s">
        <v>14</v>
      </c>
      <c r="E144" s="903" t="s">
        <v>33</v>
      </c>
      <c r="F144" s="904"/>
      <c r="G144" s="905"/>
    </row>
    <row r="145" spans="1:7" ht="16.5" x14ac:dyDescent="0.25">
      <c r="A145" s="885" t="s">
        <v>29</v>
      </c>
      <c r="B145" s="886"/>
      <c r="C145" s="886"/>
      <c r="D145" s="886"/>
      <c r="E145" s="886"/>
      <c r="F145" s="886"/>
      <c r="G145" s="887"/>
    </row>
    <row r="146" spans="1:7" x14ac:dyDescent="0.2">
      <c r="A146" s="888" t="s">
        <v>48</v>
      </c>
      <c r="B146" s="889"/>
      <c r="C146" s="889"/>
      <c r="D146" s="889"/>
      <c r="E146" s="889"/>
      <c r="F146" s="889"/>
      <c r="G146" s="890"/>
    </row>
    <row r="147" spans="1:7" x14ac:dyDescent="0.2">
      <c r="A147" s="915" t="s">
        <v>49</v>
      </c>
      <c r="B147" s="916"/>
      <c r="C147" s="916"/>
      <c r="D147" s="916"/>
      <c r="E147" s="916"/>
      <c r="F147" s="916"/>
      <c r="G147" s="917"/>
    </row>
    <row r="148" spans="1:7" x14ac:dyDescent="0.2">
      <c r="A148" s="6"/>
      <c r="B148" s="99"/>
      <c r="C148" s="8"/>
      <c r="D148" s="9"/>
      <c r="E148" s="99"/>
      <c r="F148" s="10"/>
      <c r="G148" s="11" t="s">
        <v>20</v>
      </c>
    </row>
    <row r="149" spans="1:7" x14ac:dyDescent="0.2">
      <c r="A149" s="12" t="s">
        <v>1</v>
      </c>
      <c r="B149" s="13"/>
      <c r="C149" s="14" t="s">
        <v>32</v>
      </c>
      <c r="D149" s="13"/>
      <c r="E149" s="362" t="s">
        <v>2388</v>
      </c>
      <c r="F149" s="98"/>
      <c r="G149" s="363" t="s">
        <v>2378</v>
      </c>
    </row>
    <row r="150" spans="1:7" x14ac:dyDescent="0.2">
      <c r="A150" s="17" t="s">
        <v>8</v>
      </c>
      <c r="B150" s="100"/>
      <c r="C150" s="19"/>
      <c r="D150" s="4"/>
      <c r="E150" s="918"/>
      <c r="F150" s="919"/>
      <c r="G150" s="20"/>
    </row>
    <row r="151" spans="1:7" x14ac:dyDescent="0.2">
      <c r="A151" s="21" t="s">
        <v>37</v>
      </c>
      <c r="B151" s="22"/>
      <c r="C151" s="22"/>
      <c r="D151" s="22"/>
      <c r="E151" s="23" t="s">
        <v>46</v>
      </c>
      <c r="F151" s="24"/>
      <c r="G151" s="20" t="s">
        <v>50</v>
      </c>
    </row>
    <row r="152" spans="1:7" x14ac:dyDescent="0.2">
      <c r="A152" s="6"/>
      <c r="B152" s="99"/>
      <c r="C152" s="8"/>
      <c r="D152" s="8"/>
      <c r="E152" s="920"/>
      <c r="F152" s="921"/>
      <c r="G152" s="25"/>
    </row>
    <row r="153" spans="1:7" ht="26.25" thickBot="1" x14ac:dyDescent="0.25">
      <c r="A153" s="207" t="s">
        <v>47</v>
      </c>
      <c r="B153" s="28" t="s">
        <v>23</v>
      </c>
      <c r="C153" s="28" t="s">
        <v>34</v>
      </c>
      <c r="D153" s="110" t="s">
        <v>53</v>
      </c>
      <c r="E153" s="114" t="s">
        <v>54</v>
      </c>
      <c r="F153" s="111" t="s">
        <v>55</v>
      </c>
      <c r="G153" s="112" t="s">
        <v>35</v>
      </c>
    </row>
    <row r="154" spans="1:7" ht="13.5" thickTop="1" x14ac:dyDescent="0.2">
      <c r="A154" s="29">
        <v>1</v>
      </c>
      <c r="B154" s="101"/>
      <c r="C154" s="371" t="s">
        <v>242</v>
      </c>
      <c r="D154" s="376" t="s">
        <v>980</v>
      </c>
      <c r="E154" s="158">
        <v>110</v>
      </c>
      <c r="F154" s="128">
        <v>600</v>
      </c>
      <c r="G154" s="35">
        <f>F154*E154</f>
        <v>66000</v>
      </c>
    </row>
    <row r="155" spans="1:7" x14ac:dyDescent="0.2">
      <c r="A155" s="29"/>
      <c r="B155" s="101"/>
      <c r="C155" s="371"/>
      <c r="D155" s="370" t="s">
        <v>349</v>
      </c>
      <c r="E155" s="108"/>
      <c r="F155" s="128"/>
      <c r="G155" s="35"/>
    </row>
    <row r="156" spans="1:7" x14ac:dyDescent="0.2">
      <c r="A156" s="29"/>
      <c r="B156" s="101"/>
      <c r="C156" s="41"/>
      <c r="D156" s="370"/>
      <c r="E156" s="157"/>
      <c r="F156" s="149"/>
      <c r="G156" s="35"/>
    </row>
    <row r="157" spans="1:7" x14ac:dyDescent="0.2">
      <c r="A157" s="29"/>
      <c r="B157" s="101"/>
      <c r="C157" s="41"/>
      <c r="D157" s="129"/>
      <c r="E157" s="108"/>
      <c r="F157" s="128"/>
      <c r="G157" s="35"/>
    </row>
    <row r="158" spans="1:7" x14ac:dyDescent="0.2">
      <c r="A158" s="29"/>
      <c r="B158" s="105"/>
      <c r="C158" s="41"/>
      <c r="D158" s="136"/>
      <c r="E158" s="102"/>
      <c r="F158" s="128"/>
      <c r="G158" s="35"/>
    </row>
    <row r="159" spans="1:7" x14ac:dyDescent="0.2">
      <c r="A159" s="29"/>
      <c r="B159" s="105"/>
      <c r="C159" s="41"/>
      <c r="D159" s="136"/>
      <c r="E159" s="102"/>
      <c r="F159" s="128"/>
      <c r="G159" s="35"/>
    </row>
    <row r="160" spans="1:7" x14ac:dyDescent="0.2">
      <c r="A160" s="29"/>
      <c r="B160" s="151"/>
      <c r="C160" s="119"/>
      <c r="D160" s="136"/>
      <c r="E160" s="108"/>
      <c r="F160" s="150"/>
      <c r="G160" s="35"/>
    </row>
    <row r="161" spans="1:7" x14ac:dyDescent="0.2">
      <c r="A161" s="29"/>
      <c r="B161" s="151"/>
      <c r="C161" s="119"/>
      <c r="D161" s="144"/>
      <c r="E161" s="108"/>
      <c r="F161" s="150"/>
      <c r="G161" s="35"/>
    </row>
    <row r="162" spans="1:7" x14ac:dyDescent="0.2">
      <c r="A162" s="29"/>
      <c r="B162" s="101"/>
      <c r="C162" s="41"/>
      <c r="D162" s="144"/>
      <c r="E162" s="155"/>
      <c r="F162" s="128"/>
      <c r="G162" s="35"/>
    </row>
    <row r="163" spans="1:7" x14ac:dyDescent="0.2">
      <c r="A163" s="29"/>
      <c r="B163" s="106"/>
      <c r="C163" s="41"/>
      <c r="D163" s="136"/>
      <c r="E163" s="104"/>
      <c r="F163" s="128"/>
      <c r="G163" s="35"/>
    </row>
    <row r="164" spans="1:7" x14ac:dyDescent="0.2">
      <c r="A164" s="29"/>
      <c r="B164" s="105"/>
      <c r="C164" s="41"/>
      <c r="D164" s="136"/>
      <c r="E164" s="108"/>
      <c r="F164" s="152"/>
      <c r="G164" s="35"/>
    </row>
    <row r="165" spans="1:7" x14ac:dyDescent="0.2">
      <c r="A165" s="29"/>
      <c r="B165" s="107"/>
      <c r="C165" s="41"/>
      <c r="D165" s="136"/>
      <c r="E165" s="153"/>
      <c r="F165" s="128"/>
      <c r="G165" s="35"/>
    </row>
    <row r="166" spans="1:7" x14ac:dyDescent="0.2">
      <c r="A166" s="29"/>
      <c r="B166" s="107"/>
      <c r="C166" s="41"/>
      <c r="D166" s="67"/>
      <c r="E166" s="153"/>
      <c r="F166" s="128"/>
      <c r="G166" s="35"/>
    </row>
    <row r="167" spans="1:7" x14ac:dyDescent="0.2">
      <c r="A167" s="29"/>
      <c r="B167" s="101"/>
      <c r="C167" s="41"/>
      <c r="D167" s="67"/>
      <c r="E167" s="108"/>
      <c r="F167" s="128"/>
      <c r="G167" s="35"/>
    </row>
    <row r="168" spans="1:7" x14ac:dyDescent="0.2">
      <c r="A168" s="29"/>
      <c r="B168" s="101"/>
      <c r="C168" s="41"/>
      <c r="D168" s="67"/>
      <c r="E168" s="153"/>
      <c r="F168" s="128"/>
      <c r="G168" s="35"/>
    </row>
    <row r="169" spans="1:7" x14ac:dyDescent="0.2">
      <c r="A169" s="29"/>
      <c r="B169" s="106"/>
      <c r="C169" s="41"/>
      <c r="D169" s="67"/>
      <c r="E169" s="104"/>
      <c r="F169" s="154"/>
      <c r="G169" s="35"/>
    </row>
    <row r="170" spans="1:7" x14ac:dyDescent="0.2">
      <c r="A170" s="29"/>
      <c r="B170" s="105"/>
      <c r="C170" s="41"/>
      <c r="D170" s="130"/>
      <c r="E170" s="104"/>
      <c r="F170" s="154"/>
      <c r="G170" s="35"/>
    </row>
    <row r="171" spans="1:7" x14ac:dyDescent="0.2">
      <c r="A171" s="29"/>
      <c r="B171" s="105"/>
      <c r="C171" s="41"/>
      <c r="D171" s="67"/>
      <c r="E171" s="104"/>
      <c r="F171" s="154"/>
      <c r="G171" s="35"/>
    </row>
    <row r="172" spans="1:7" x14ac:dyDescent="0.2">
      <c r="A172" s="29"/>
      <c r="B172" s="101"/>
      <c r="C172" s="41"/>
      <c r="D172" s="67"/>
      <c r="E172" s="104"/>
      <c r="F172" s="154"/>
      <c r="G172" s="35"/>
    </row>
    <row r="173" spans="1:7" x14ac:dyDescent="0.2">
      <c r="A173" s="29"/>
      <c r="B173" s="101"/>
      <c r="C173" s="41"/>
      <c r="D173" s="136"/>
      <c r="E173" s="104"/>
      <c r="F173" s="154"/>
      <c r="G173" s="35"/>
    </row>
    <row r="174" spans="1:7" x14ac:dyDescent="0.2">
      <c r="A174" s="29"/>
      <c r="B174" s="101"/>
      <c r="C174" s="41"/>
      <c r="D174" s="136"/>
      <c r="E174" s="104"/>
      <c r="F174" s="154"/>
      <c r="G174" s="35"/>
    </row>
    <row r="175" spans="1:7" x14ac:dyDescent="0.2">
      <c r="A175" s="29"/>
      <c r="B175" s="101"/>
      <c r="C175" s="41"/>
      <c r="D175" s="136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62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59"/>
      <c r="E179" s="104"/>
      <c r="F179" s="154"/>
      <c r="G179" s="35"/>
    </row>
    <row r="180" spans="1:7" x14ac:dyDescent="0.2">
      <c r="A180" s="29"/>
      <c r="B180" s="101"/>
      <c r="C180" s="41"/>
      <c r="D180" s="160"/>
      <c r="E180" s="108"/>
      <c r="F180" s="128"/>
      <c r="G180" s="35"/>
    </row>
    <row r="181" spans="1:7" x14ac:dyDescent="0.2">
      <c r="A181" s="29"/>
      <c r="B181" s="101"/>
      <c r="C181" s="41"/>
      <c r="D181" s="136"/>
      <c r="E181" s="153"/>
      <c r="F181" s="128"/>
      <c r="G181" s="35"/>
    </row>
    <row r="182" spans="1:7" x14ac:dyDescent="0.2">
      <c r="A182" s="29"/>
      <c r="B182" s="101"/>
      <c r="C182" s="41"/>
      <c r="D182" s="136"/>
      <c r="E182" s="102"/>
      <c r="F182" s="128"/>
      <c r="G182" s="35"/>
    </row>
    <row r="183" spans="1:7" x14ac:dyDescent="0.2">
      <c r="A183" s="29"/>
      <c r="B183" s="101"/>
      <c r="C183" s="31"/>
      <c r="D183" s="67"/>
      <c r="E183" s="131"/>
      <c r="F183" s="117"/>
      <c r="G183" s="35"/>
    </row>
    <row r="184" spans="1:7" x14ac:dyDescent="0.2">
      <c r="A184" s="29"/>
      <c r="B184" s="101"/>
      <c r="C184" s="41"/>
      <c r="D184" s="118"/>
      <c r="E184" s="108"/>
      <c r="F184" s="149"/>
      <c r="G184" s="35"/>
    </row>
    <row r="185" spans="1:7" x14ac:dyDescent="0.2">
      <c r="A185" s="29"/>
      <c r="B185" s="101"/>
      <c r="C185" s="41"/>
      <c r="D185" s="144"/>
      <c r="E185" s="108"/>
      <c r="F185" s="149"/>
      <c r="G185" s="35"/>
    </row>
    <row r="186" spans="1:7" ht="13.5" thickBot="1" x14ac:dyDescent="0.25">
      <c r="A186" s="45"/>
      <c r="B186" s="132"/>
      <c r="C186" s="115"/>
      <c r="D186" s="115"/>
      <c r="E186" s="132"/>
      <c r="F186" s="49" t="s">
        <v>15</v>
      </c>
      <c r="G186" s="50">
        <f>SUM(G154:G185)</f>
        <v>66000</v>
      </c>
    </row>
    <row r="187" spans="1:7" ht="13.5" thickTop="1" x14ac:dyDescent="0.2">
      <c r="A187" s="875" t="s">
        <v>2382</v>
      </c>
      <c r="B187" s="876"/>
      <c r="C187" s="876"/>
      <c r="D187" s="876"/>
      <c r="E187" s="876"/>
      <c r="F187" s="876"/>
      <c r="G187" s="877"/>
    </row>
    <row r="188" spans="1:7" ht="13.5" thickBot="1" x14ac:dyDescent="0.25">
      <c r="A188" s="52"/>
      <c r="B188" s="103"/>
      <c r="C188" s="374" t="s">
        <v>2383</v>
      </c>
      <c r="D188" s="54"/>
      <c r="E188" s="103"/>
      <c r="F188" s="55"/>
      <c r="G188" s="56"/>
    </row>
    <row r="189" spans="1:7" ht="13.5" thickTop="1" x14ac:dyDescent="0.2">
      <c r="A189" s="906"/>
      <c r="B189" s="907"/>
      <c r="C189" s="907"/>
      <c r="D189" s="57" t="s">
        <v>11</v>
      </c>
      <c r="E189" s="908" t="s">
        <v>12</v>
      </c>
      <c r="F189" s="908"/>
      <c r="G189" s="909"/>
    </row>
    <row r="190" spans="1:7" x14ac:dyDescent="0.2">
      <c r="A190" s="910" t="s">
        <v>17</v>
      </c>
      <c r="B190" s="911"/>
      <c r="C190" s="911"/>
      <c r="D190" s="39"/>
      <c r="E190" s="912"/>
      <c r="F190" s="913"/>
      <c r="G190" s="914"/>
    </row>
    <row r="191" spans="1:7" x14ac:dyDescent="0.2">
      <c r="A191" s="910" t="s">
        <v>38</v>
      </c>
      <c r="B191" s="911"/>
      <c r="C191" s="911"/>
      <c r="D191" s="58" t="s">
        <v>145</v>
      </c>
      <c r="E191" s="868" t="s">
        <v>69</v>
      </c>
      <c r="F191" s="868"/>
      <c r="G191" s="869"/>
    </row>
    <row r="192" spans="1:7" ht="13.5" thickBot="1" x14ac:dyDescent="0.25">
      <c r="A192" s="901" t="s">
        <v>39</v>
      </c>
      <c r="B192" s="902"/>
      <c r="C192" s="902"/>
      <c r="D192" s="59" t="s">
        <v>14</v>
      </c>
      <c r="E192" s="903" t="s">
        <v>33</v>
      </c>
      <c r="F192" s="904"/>
      <c r="G192" s="905"/>
    </row>
  </sheetData>
  <mergeCells count="56">
    <mergeCell ref="A191:C191"/>
    <mergeCell ref="E191:G191"/>
    <mergeCell ref="A192:C192"/>
    <mergeCell ref="E192:G192"/>
    <mergeCell ref="A187:G187"/>
    <mergeCell ref="A189:C189"/>
    <mergeCell ref="E189:G189"/>
    <mergeCell ref="A190:C190"/>
    <mergeCell ref="E190:G190"/>
    <mergeCell ref="A145:G145"/>
    <mergeCell ref="A146:G146"/>
    <mergeCell ref="A147:G147"/>
    <mergeCell ref="E150:F150"/>
    <mergeCell ref="E152:F152"/>
    <mergeCell ref="A143:C143"/>
    <mergeCell ref="E143:G143"/>
    <mergeCell ref="A144:C144"/>
    <mergeCell ref="E144:G144"/>
    <mergeCell ref="A139:G139"/>
    <mergeCell ref="A141:C141"/>
    <mergeCell ref="E141:G141"/>
    <mergeCell ref="A142:C142"/>
    <mergeCell ref="E142:G142"/>
    <mergeCell ref="A97:G97"/>
    <mergeCell ref="A98:G98"/>
    <mergeCell ref="A99:G99"/>
    <mergeCell ref="E102:F102"/>
    <mergeCell ref="E104:F104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A1:G1"/>
    <mergeCell ref="A2:G2"/>
    <mergeCell ref="A3:G3"/>
    <mergeCell ref="E6:F6"/>
    <mergeCell ref="E8:F8"/>
    <mergeCell ref="A49:G49"/>
    <mergeCell ref="A50:G50"/>
    <mergeCell ref="A51:G51"/>
    <mergeCell ref="E54:F54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 tint="0.499984740745262"/>
  </sheetPr>
  <dimension ref="A1:I46"/>
  <sheetViews>
    <sheetView topLeftCell="A5" zoomScale="115" zoomScaleNormal="115" workbookViewId="0">
      <selection activeCell="E45" sqref="E45:G4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/>
      <c r="B10" s="101"/>
      <c r="C10" s="41"/>
      <c r="D10" s="136"/>
      <c r="E10" s="158"/>
      <c r="F10" s="128"/>
      <c r="G10" s="35"/>
      <c r="I10" s="2" t="s">
        <v>8</v>
      </c>
    </row>
    <row r="11" spans="1:9" x14ac:dyDescent="0.2">
      <c r="A11" s="29"/>
      <c r="B11" s="101"/>
      <c r="C11" s="41"/>
      <c r="D11" s="129"/>
      <c r="E11" s="156"/>
      <c r="F11" s="128"/>
      <c r="G11" s="35"/>
    </row>
    <row r="12" spans="1:9" x14ac:dyDescent="0.2">
      <c r="A12" s="29"/>
      <c r="B12" s="101"/>
      <c r="C12" s="41"/>
      <c r="D12" s="129"/>
      <c r="E12" s="157"/>
      <c r="F12" s="149"/>
      <c r="G12" s="35"/>
    </row>
    <row r="13" spans="1:9" x14ac:dyDescent="0.2">
      <c r="A13" s="29"/>
      <c r="B13" s="101"/>
      <c r="C13" s="41"/>
      <c r="D13" s="129"/>
      <c r="E13" s="108"/>
      <c r="F13" s="128"/>
      <c r="G13" s="35"/>
    </row>
    <row r="14" spans="1:9" x14ac:dyDescent="0.2">
      <c r="A14" s="29"/>
      <c r="B14" s="105"/>
      <c r="C14" s="41"/>
      <c r="D14" s="136"/>
      <c r="E14" s="102"/>
      <c r="F14" s="128"/>
      <c r="G14" s="35"/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1003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58" t="s">
        <v>898</v>
      </c>
      <c r="E45" s="868" t="s">
        <v>69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59" t="s">
        <v>14</v>
      </c>
      <c r="E46" s="903" t="s">
        <v>33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 tint="0.499984740745262"/>
  </sheetPr>
  <dimension ref="A1:J50"/>
  <sheetViews>
    <sheetView topLeftCell="A13" zoomScale="110" zoomScaleNormal="110" workbookViewId="0">
      <selection activeCell="D13" sqref="D1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36.140625" style="2" customWidth="1"/>
    <col min="12" max="12" width="9.28515625" style="2" bestFit="1" customWidth="1"/>
    <col min="13" max="13" width="10.42578125" style="2" bestFit="1" customWidth="1"/>
    <col min="14" max="14" width="9.28515625" style="2" bestFit="1" customWidth="1"/>
    <col min="15" max="15" width="10.28515625" style="2" bestFit="1" customWidth="1"/>
    <col min="16" max="17" width="9.140625" style="2"/>
    <col min="18" max="19" width="9.28515625" style="2" bestFit="1" customWidth="1"/>
    <col min="20" max="20" width="11.28515625" style="2" customWidth="1"/>
    <col min="21" max="16384" width="9.140625" style="2"/>
  </cols>
  <sheetData>
    <row r="1" spans="1:9" ht="16.5" x14ac:dyDescent="0.25">
      <c r="A1" s="948" t="s">
        <v>48</v>
      </c>
      <c r="B1" s="949"/>
      <c r="C1" s="949"/>
      <c r="D1" s="949"/>
      <c r="E1" s="949"/>
      <c r="F1" s="949"/>
      <c r="G1" s="950"/>
    </row>
    <row r="2" spans="1:9" x14ac:dyDescent="0.2">
      <c r="A2" s="951" t="s">
        <v>48</v>
      </c>
      <c r="B2" s="952"/>
      <c r="C2" s="952"/>
      <c r="D2" s="952"/>
      <c r="E2" s="952"/>
      <c r="F2" s="952"/>
      <c r="G2" s="953"/>
    </row>
    <row r="3" spans="1:9" x14ac:dyDescent="0.2">
      <c r="A3" s="954" t="s">
        <v>49</v>
      </c>
      <c r="B3" s="955"/>
      <c r="C3" s="955"/>
      <c r="D3" s="955"/>
      <c r="E3" s="955"/>
      <c r="F3" s="955"/>
      <c r="G3" s="956"/>
    </row>
    <row r="4" spans="1:9" x14ac:dyDescent="0.2">
      <c r="A4" s="470"/>
      <c r="B4" s="471"/>
      <c r="C4" s="472"/>
      <c r="D4" s="473"/>
      <c r="E4" s="471"/>
      <c r="F4" s="474"/>
      <c r="G4" s="475" t="s">
        <v>20</v>
      </c>
    </row>
    <row r="5" spans="1:9" x14ac:dyDescent="0.2">
      <c r="A5" s="476" t="s">
        <v>1</v>
      </c>
      <c r="B5" s="477"/>
      <c r="C5" s="478" t="s">
        <v>32</v>
      </c>
      <c r="D5" s="477"/>
      <c r="E5" s="272" t="s">
        <v>1831</v>
      </c>
      <c r="F5" s="273"/>
      <c r="G5" s="274" t="s">
        <v>1832</v>
      </c>
      <c r="I5" s="258" t="s">
        <v>1833</v>
      </c>
    </row>
    <row r="6" spans="1:9" x14ac:dyDescent="0.2">
      <c r="A6" s="479" t="s">
        <v>8</v>
      </c>
      <c r="B6" s="480"/>
      <c r="C6" s="481"/>
      <c r="D6" s="469"/>
      <c r="E6" s="957"/>
      <c r="F6" s="958"/>
      <c r="G6" s="482"/>
    </row>
    <row r="7" spans="1:9" x14ac:dyDescent="0.2">
      <c r="A7" s="483" t="s">
        <v>37</v>
      </c>
      <c r="B7" s="484"/>
      <c r="C7" s="484"/>
      <c r="D7" s="484"/>
      <c r="E7" s="485" t="s">
        <v>46</v>
      </c>
      <c r="F7" s="486"/>
      <c r="G7" s="482" t="s">
        <v>50</v>
      </c>
    </row>
    <row r="8" spans="1:9" x14ac:dyDescent="0.2">
      <c r="A8" s="470"/>
      <c r="B8" s="471"/>
      <c r="C8" s="472"/>
      <c r="D8" s="472"/>
      <c r="E8" s="934"/>
      <c r="F8" s="935"/>
      <c r="G8" s="487"/>
    </row>
    <row r="9" spans="1:9" ht="26.25" thickBot="1" x14ac:dyDescent="0.25">
      <c r="A9" s="488" t="s">
        <v>47</v>
      </c>
      <c r="B9" s="489" t="s">
        <v>23</v>
      </c>
      <c r="C9" s="489" t="s">
        <v>34</v>
      </c>
      <c r="D9" s="490" t="s">
        <v>53</v>
      </c>
      <c r="E9" s="491" t="s">
        <v>54</v>
      </c>
      <c r="F9" s="492" t="s">
        <v>55</v>
      </c>
      <c r="G9" s="493" t="s">
        <v>35</v>
      </c>
    </row>
    <row r="10" spans="1:9" ht="13.5" thickTop="1" x14ac:dyDescent="0.2">
      <c r="A10" s="494">
        <v>1</v>
      </c>
      <c r="B10" s="495"/>
      <c r="C10" s="496" t="s">
        <v>149</v>
      </c>
      <c r="D10" s="497" t="s">
        <v>1035</v>
      </c>
      <c r="E10" s="215">
        <v>70</v>
      </c>
      <c r="F10" s="498">
        <v>250</v>
      </c>
      <c r="G10" s="217">
        <f>F10*E10</f>
        <v>17500</v>
      </c>
    </row>
    <row r="11" spans="1:9" x14ac:dyDescent="0.2">
      <c r="A11" s="494" t="s">
        <v>8</v>
      </c>
      <c r="B11" s="495"/>
      <c r="C11" s="496"/>
      <c r="D11" s="499" t="s">
        <v>1036</v>
      </c>
      <c r="E11" s="215"/>
      <c r="F11" s="498"/>
      <c r="G11" s="217" t="s">
        <v>8</v>
      </c>
    </row>
    <row r="12" spans="1:9" x14ac:dyDescent="0.2">
      <c r="A12" s="494">
        <v>2</v>
      </c>
      <c r="B12" s="495"/>
      <c r="C12" s="222" t="s">
        <v>149</v>
      </c>
      <c r="D12" s="499" t="s">
        <v>348</v>
      </c>
      <c r="E12" s="500">
        <v>70</v>
      </c>
      <c r="F12" s="501">
        <v>350</v>
      </c>
      <c r="G12" s="217">
        <f>F12*E12</f>
        <v>24500</v>
      </c>
    </row>
    <row r="13" spans="1:9" x14ac:dyDescent="0.2">
      <c r="A13" s="494"/>
      <c r="B13" s="495"/>
      <c r="C13" s="222"/>
      <c r="D13" s="502" t="s">
        <v>301</v>
      </c>
      <c r="E13" s="503"/>
      <c r="F13" s="504"/>
      <c r="G13" s="217"/>
      <c r="I13" s="430" t="s">
        <v>152</v>
      </c>
    </row>
    <row r="14" spans="1:9" x14ac:dyDescent="0.2">
      <c r="A14" s="494"/>
      <c r="B14" s="495"/>
      <c r="C14" s="222"/>
      <c r="D14" s="502"/>
      <c r="E14" s="503"/>
      <c r="F14" s="504"/>
      <c r="G14" s="217"/>
    </row>
    <row r="15" spans="1:9" x14ac:dyDescent="0.2">
      <c r="A15" s="494"/>
      <c r="B15" s="495"/>
      <c r="C15" s="222"/>
      <c r="D15" s="502"/>
      <c r="E15" s="503"/>
      <c r="F15" s="504"/>
      <c r="G15" s="217"/>
    </row>
    <row r="16" spans="1:9" x14ac:dyDescent="0.2">
      <c r="A16" s="494"/>
      <c r="B16" s="495"/>
      <c r="C16" s="222"/>
      <c r="D16" s="502"/>
      <c r="E16" s="500"/>
      <c r="F16" s="501"/>
      <c r="G16" s="217"/>
    </row>
    <row r="17" spans="1:7" x14ac:dyDescent="0.2">
      <c r="A17" s="494"/>
      <c r="B17" s="505"/>
      <c r="C17" s="222"/>
      <c r="D17" s="251"/>
      <c r="E17" s="506"/>
      <c r="F17" s="501"/>
      <c r="G17" s="217"/>
    </row>
    <row r="18" spans="1:7" x14ac:dyDescent="0.2">
      <c r="A18" s="494"/>
      <c r="B18" s="507"/>
      <c r="C18" s="508"/>
      <c r="D18" s="251"/>
      <c r="E18" s="500"/>
      <c r="F18" s="509"/>
      <c r="G18" s="217"/>
    </row>
    <row r="19" spans="1:7" x14ac:dyDescent="0.2">
      <c r="A19" s="494"/>
      <c r="B19" s="507"/>
      <c r="C19" s="508"/>
      <c r="D19" s="510"/>
      <c r="E19" s="500"/>
      <c r="F19" s="509"/>
      <c r="G19" s="217"/>
    </row>
    <row r="20" spans="1:7" x14ac:dyDescent="0.2">
      <c r="A20" s="494"/>
      <c r="B20" s="495"/>
      <c r="C20" s="222"/>
      <c r="D20" s="510"/>
      <c r="E20" s="511"/>
      <c r="F20" s="501"/>
      <c r="G20" s="217"/>
    </row>
    <row r="21" spans="1:7" x14ac:dyDescent="0.2">
      <c r="A21" s="494"/>
      <c r="B21" s="512"/>
      <c r="C21" s="222"/>
      <c r="D21" s="251"/>
      <c r="E21" s="513"/>
      <c r="F21" s="501"/>
      <c r="G21" s="217"/>
    </row>
    <row r="22" spans="1:7" x14ac:dyDescent="0.2">
      <c r="A22" s="494"/>
      <c r="B22" s="505"/>
      <c r="C22" s="222"/>
      <c r="D22" s="251"/>
      <c r="E22" s="500"/>
      <c r="F22" s="514"/>
      <c r="G22" s="217"/>
    </row>
    <row r="23" spans="1:7" x14ac:dyDescent="0.2">
      <c r="A23" s="494"/>
      <c r="B23" s="515"/>
      <c r="C23" s="222"/>
      <c r="D23" s="251"/>
      <c r="E23" s="516"/>
      <c r="F23" s="501"/>
      <c r="G23" s="217"/>
    </row>
    <row r="24" spans="1:7" x14ac:dyDescent="0.2">
      <c r="A24" s="494"/>
      <c r="B24" s="515"/>
      <c r="C24" s="222"/>
      <c r="D24" s="257"/>
      <c r="E24" s="516"/>
      <c r="F24" s="501"/>
      <c r="G24" s="217"/>
    </row>
    <row r="25" spans="1:7" x14ac:dyDescent="0.2">
      <c r="A25" s="494"/>
      <c r="B25" s="495"/>
      <c r="C25" s="222"/>
      <c r="D25" s="257"/>
      <c r="E25" s="500"/>
      <c r="F25" s="501"/>
      <c r="G25" s="217"/>
    </row>
    <row r="26" spans="1:7" x14ac:dyDescent="0.2">
      <c r="A26" s="494"/>
      <c r="B26" s="495"/>
      <c r="C26" s="222"/>
      <c r="D26" s="257"/>
      <c r="E26" s="516"/>
      <c r="F26" s="501"/>
      <c r="G26" s="217"/>
    </row>
    <row r="27" spans="1:7" x14ac:dyDescent="0.2">
      <c r="A27" s="494"/>
      <c r="B27" s="512"/>
      <c r="C27" s="222"/>
      <c r="D27" s="257"/>
      <c r="E27" s="513"/>
      <c r="F27" s="517"/>
      <c r="G27" s="217"/>
    </row>
    <row r="28" spans="1:7" x14ac:dyDescent="0.2">
      <c r="A28" s="494"/>
      <c r="B28" s="505"/>
      <c r="C28" s="222"/>
      <c r="D28" s="518"/>
      <c r="E28" s="513"/>
      <c r="F28" s="517"/>
      <c r="G28" s="217"/>
    </row>
    <row r="29" spans="1:7" x14ac:dyDescent="0.2">
      <c r="A29" s="494"/>
      <c r="B29" s="505"/>
      <c r="C29" s="222"/>
      <c r="D29" s="257"/>
      <c r="E29" s="513"/>
      <c r="F29" s="517"/>
      <c r="G29" s="217"/>
    </row>
    <row r="30" spans="1:7" x14ac:dyDescent="0.2">
      <c r="A30" s="494"/>
      <c r="B30" s="495"/>
      <c r="C30" s="222"/>
      <c r="D30" s="257"/>
      <c r="E30" s="513"/>
      <c r="F30" s="517"/>
      <c r="G30" s="217"/>
    </row>
    <row r="31" spans="1:7" x14ac:dyDescent="0.2">
      <c r="A31" s="494"/>
      <c r="B31" s="495"/>
      <c r="C31" s="222"/>
      <c r="D31" s="251"/>
      <c r="E31" s="513"/>
      <c r="F31" s="517"/>
      <c r="G31" s="217"/>
    </row>
    <row r="32" spans="1:7" x14ac:dyDescent="0.2">
      <c r="A32" s="494"/>
      <c r="B32" s="495"/>
      <c r="C32" s="222"/>
      <c r="D32" s="251"/>
      <c r="E32" s="513"/>
      <c r="F32" s="517"/>
      <c r="G32" s="217"/>
    </row>
    <row r="33" spans="1:10" x14ac:dyDescent="0.2">
      <c r="A33" s="494"/>
      <c r="B33" s="495"/>
      <c r="C33" s="222"/>
      <c r="D33" s="519"/>
      <c r="E33" s="513"/>
      <c r="F33" s="517"/>
      <c r="G33" s="217"/>
    </row>
    <row r="34" spans="1:10" x14ac:dyDescent="0.2">
      <c r="A34" s="494"/>
      <c r="B34" s="495"/>
      <c r="C34" s="222"/>
      <c r="D34" s="519"/>
      <c r="E34" s="513"/>
      <c r="F34" s="517"/>
      <c r="G34" s="217"/>
    </row>
    <row r="35" spans="1:10" x14ac:dyDescent="0.2">
      <c r="A35" s="494"/>
      <c r="B35" s="495"/>
      <c r="C35" s="222"/>
      <c r="D35" s="519"/>
      <c r="E35" s="513"/>
      <c r="F35" s="517"/>
      <c r="G35" s="217"/>
    </row>
    <row r="36" spans="1:10" x14ac:dyDescent="0.2">
      <c r="A36" s="494"/>
      <c r="B36" s="495"/>
      <c r="C36" s="222"/>
      <c r="D36" s="257"/>
      <c r="E36" s="513"/>
      <c r="F36" s="517"/>
      <c r="G36" s="217"/>
    </row>
    <row r="37" spans="1:10" x14ac:dyDescent="0.2">
      <c r="A37" s="494"/>
      <c r="B37" s="495"/>
      <c r="C37" s="222"/>
      <c r="D37" s="520" t="s">
        <v>896</v>
      </c>
      <c r="E37" s="513"/>
      <c r="F37" s="517"/>
      <c r="G37" s="217"/>
      <c r="I37" s="2" t="s">
        <v>8</v>
      </c>
    </row>
    <row r="38" spans="1:10" x14ac:dyDescent="0.2">
      <c r="A38" s="494"/>
      <c r="B38" s="495"/>
      <c r="C38" s="222"/>
      <c r="D38" s="521"/>
      <c r="E38" s="500"/>
      <c r="F38" s="501"/>
      <c r="G38" s="217"/>
    </row>
    <row r="39" spans="1:10" x14ac:dyDescent="0.2">
      <c r="A39" s="494"/>
      <c r="B39" s="495"/>
      <c r="C39" s="222"/>
      <c r="D39" s="251"/>
      <c r="E39" s="516"/>
      <c r="F39" s="501"/>
      <c r="G39" s="217"/>
    </row>
    <row r="40" spans="1:10" x14ac:dyDescent="0.2">
      <c r="A40" s="494"/>
      <c r="B40" s="495"/>
      <c r="C40" s="222"/>
      <c r="D40" s="251"/>
      <c r="E40" s="506"/>
      <c r="F40" s="501"/>
      <c r="G40" s="217"/>
    </row>
    <row r="41" spans="1:10" x14ac:dyDescent="0.2">
      <c r="A41" s="494"/>
      <c r="B41" s="495"/>
      <c r="C41" s="221"/>
      <c r="D41" s="257"/>
      <c r="E41" s="522"/>
      <c r="F41" s="523"/>
      <c r="G41" s="217"/>
      <c r="J41" s="430" t="s">
        <v>896</v>
      </c>
    </row>
    <row r="42" spans="1:10" x14ac:dyDescent="0.2">
      <c r="A42" s="494"/>
      <c r="B42" s="495"/>
      <c r="C42" s="222"/>
      <c r="D42" s="524"/>
      <c r="E42" s="500"/>
      <c r="F42" s="504"/>
      <c r="G42" s="217"/>
    </row>
    <row r="43" spans="1:10" x14ac:dyDescent="0.2">
      <c r="A43" s="494"/>
      <c r="B43" s="495"/>
      <c r="C43" s="222"/>
      <c r="D43" s="510"/>
      <c r="E43" s="500"/>
      <c r="F43" s="504"/>
      <c r="G43" s="217"/>
    </row>
    <row r="44" spans="1:10" ht="13.5" thickBot="1" x14ac:dyDescent="0.25">
      <c r="A44" s="525"/>
      <c r="B44" s="526"/>
      <c r="C44" s="527"/>
      <c r="D44" s="527"/>
      <c r="E44" s="526"/>
      <c r="F44" s="528" t="s">
        <v>15</v>
      </c>
      <c r="G44" s="529">
        <f>SUM(G10:G43)</f>
        <v>42000</v>
      </c>
    </row>
    <row r="45" spans="1:10" ht="13.5" thickTop="1" x14ac:dyDescent="0.2">
      <c r="A45" s="936" t="s">
        <v>1834</v>
      </c>
      <c r="B45" s="937"/>
      <c r="C45" s="937"/>
      <c r="D45" s="937"/>
      <c r="E45" s="937"/>
      <c r="F45" s="937"/>
      <c r="G45" s="938"/>
    </row>
    <row r="46" spans="1:10" ht="13.5" thickBot="1" x14ac:dyDescent="0.25">
      <c r="A46" s="530"/>
      <c r="B46" s="531"/>
      <c r="C46" s="531" t="s">
        <v>1037</v>
      </c>
      <c r="D46" s="532"/>
      <c r="E46" s="531"/>
      <c r="F46" s="533"/>
      <c r="G46" s="534"/>
    </row>
    <row r="47" spans="1:10" ht="13.5" thickTop="1" x14ac:dyDescent="0.2">
      <c r="A47" s="939"/>
      <c r="B47" s="940"/>
      <c r="C47" s="940"/>
      <c r="D47" s="535" t="s">
        <v>11</v>
      </c>
      <c r="E47" s="941" t="s">
        <v>12</v>
      </c>
      <c r="F47" s="941"/>
      <c r="G47" s="942"/>
    </row>
    <row r="48" spans="1:10" x14ac:dyDescent="0.2">
      <c r="A48" s="943" t="s">
        <v>17</v>
      </c>
      <c r="B48" s="944"/>
      <c r="C48" s="944"/>
      <c r="D48" s="536"/>
      <c r="E48" s="945"/>
      <c r="F48" s="946"/>
      <c r="G48" s="947"/>
    </row>
    <row r="49" spans="1:7" x14ac:dyDescent="0.2">
      <c r="A49" s="943" t="s">
        <v>38</v>
      </c>
      <c r="B49" s="944"/>
      <c r="C49" s="944"/>
      <c r="D49" s="537" t="s">
        <v>144</v>
      </c>
      <c r="E49" s="959" t="s">
        <v>69</v>
      </c>
      <c r="F49" s="959"/>
      <c r="G49" s="960"/>
    </row>
    <row r="50" spans="1:7" ht="13.5" thickBot="1" x14ac:dyDescent="0.25">
      <c r="A50" s="929" t="s">
        <v>39</v>
      </c>
      <c r="B50" s="930"/>
      <c r="C50" s="930"/>
      <c r="D50" s="538" t="s">
        <v>14</v>
      </c>
      <c r="E50" s="931" t="s">
        <v>33</v>
      </c>
      <c r="F50" s="932"/>
      <c r="G50" s="933"/>
    </row>
  </sheetData>
  <mergeCells count="14">
    <mergeCell ref="A1:G1"/>
    <mergeCell ref="A2:G2"/>
    <mergeCell ref="A3:G3"/>
    <mergeCell ref="E6:F6"/>
    <mergeCell ref="A49:C49"/>
    <mergeCell ref="E49:G49"/>
    <mergeCell ref="A50:C50"/>
    <mergeCell ref="E50:G50"/>
    <mergeCell ref="E8:F8"/>
    <mergeCell ref="A45:G45"/>
    <mergeCell ref="A47:C47"/>
    <mergeCell ref="E47:G47"/>
    <mergeCell ref="A48:C48"/>
    <mergeCell ref="E48:G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 tint="0.499984740745262"/>
  </sheetPr>
  <dimension ref="A1:H48"/>
  <sheetViews>
    <sheetView topLeftCell="A15" zoomScale="115" zoomScaleNormal="115" workbookViewId="0">
      <selection activeCell="A43" sqref="A43:G4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57031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76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62" t="s">
        <v>2561</v>
      </c>
      <c r="F5" s="98"/>
      <c r="G5" s="363" t="s">
        <v>2562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2563</v>
      </c>
      <c r="E10" s="158">
        <v>6</v>
      </c>
      <c r="F10" s="128">
        <v>170</v>
      </c>
      <c r="G10" s="35">
        <f>F10*E10</f>
        <v>1020</v>
      </c>
    </row>
    <row r="11" spans="1:7" x14ac:dyDescent="0.2">
      <c r="A11" s="29">
        <v>2</v>
      </c>
      <c r="B11" s="101"/>
      <c r="C11" s="371" t="s">
        <v>149</v>
      </c>
      <c r="D11" s="370" t="s">
        <v>2565</v>
      </c>
      <c r="E11" s="108">
        <v>2</v>
      </c>
      <c r="F11" s="128">
        <v>150</v>
      </c>
      <c r="G11" s="35">
        <f>F11*E11</f>
        <v>300</v>
      </c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1320</v>
      </c>
    </row>
    <row r="43" spans="1:7" ht="13.5" thickTop="1" x14ac:dyDescent="0.2">
      <c r="A43" s="875" t="s">
        <v>2564</v>
      </c>
      <c r="B43" s="899"/>
      <c r="C43" s="899"/>
      <c r="D43" s="899"/>
      <c r="E43" s="899"/>
      <c r="F43" s="899"/>
      <c r="G43" s="900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146</v>
      </c>
      <c r="E47" s="868" t="s">
        <v>69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14</v>
      </c>
      <c r="E48" s="903" t="s">
        <v>33</v>
      </c>
      <c r="F48" s="904"/>
      <c r="G48" s="905"/>
    </row>
  </sheetData>
  <mergeCells count="14">
    <mergeCell ref="A1:G1"/>
    <mergeCell ref="A2:G2"/>
    <mergeCell ref="A3:G3"/>
    <mergeCell ref="E6:F6"/>
    <mergeCell ref="E8:F8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A3CC4"/>
  </sheetPr>
  <dimension ref="A1:I48"/>
  <sheetViews>
    <sheetView topLeftCell="A23" zoomScale="110" zoomScaleNormal="110" workbookViewId="0">
      <selection activeCell="I13" sqref="I1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28</v>
      </c>
      <c r="D5" s="13"/>
      <c r="E5" s="362" t="s">
        <v>1513</v>
      </c>
      <c r="F5" s="98"/>
      <c r="G5" s="443" t="s">
        <v>1512</v>
      </c>
      <c r="I5" s="347" t="s">
        <v>1518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71" t="s">
        <v>243</v>
      </c>
      <c r="D10" s="376" t="s">
        <v>1249</v>
      </c>
      <c r="E10" s="158">
        <v>3</v>
      </c>
      <c r="F10" s="128">
        <v>32800</v>
      </c>
      <c r="G10" s="35">
        <f>F10*E10</f>
        <v>98400</v>
      </c>
    </row>
    <row r="11" spans="1:9" x14ac:dyDescent="0.2">
      <c r="A11" s="29"/>
      <c r="B11" s="101"/>
      <c r="C11" s="41"/>
      <c r="D11" s="370" t="s">
        <v>1250</v>
      </c>
      <c r="E11" s="156"/>
      <c r="F11" s="128"/>
      <c r="G11" s="35"/>
    </row>
    <row r="12" spans="1:9" x14ac:dyDescent="0.2">
      <c r="A12" s="29"/>
      <c r="B12" s="101"/>
      <c r="C12" s="41"/>
      <c r="D12" s="370" t="s">
        <v>1251</v>
      </c>
      <c r="E12" s="157"/>
      <c r="F12" s="149"/>
      <c r="G12" s="35"/>
    </row>
    <row r="13" spans="1:9" x14ac:dyDescent="0.2">
      <c r="A13" s="29"/>
      <c r="B13" s="101"/>
      <c r="C13" s="41"/>
      <c r="D13" s="370" t="s">
        <v>1252</v>
      </c>
      <c r="E13" s="108"/>
      <c r="F13" s="128"/>
      <c r="G13" s="35"/>
    </row>
    <row r="14" spans="1:9" x14ac:dyDescent="0.2">
      <c r="A14" s="29"/>
      <c r="B14" s="105"/>
      <c r="C14" s="41"/>
      <c r="D14" s="376" t="s">
        <v>1253</v>
      </c>
      <c r="E14" s="102"/>
      <c r="F14" s="128"/>
      <c r="G14" s="35"/>
    </row>
    <row r="15" spans="1:9" x14ac:dyDescent="0.2">
      <c r="A15" s="29"/>
      <c r="B15" s="105"/>
      <c r="C15" s="41"/>
      <c r="D15" s="376" t="s">
        <v>1254</v>
      </c>
      <c r="E15" s="102"/>
      <c r="F15" s="128"/>
      <c r="G15" s="35"/>
    </row>
    <row r="16" spans="1:9" x14ac:dyDescent="0.2">
      <c r="A16" s="29"/>
      <c r="B16" s="151"/>
      <c r="C16" s="119"/>
      <c r="D16" s="376" t="s">
        <v>1255</v>
      </c>
      <c r="E16" s="108"/>
      <c r="F16" s="150"/>
      <c r="G16" s="35"/>
    </row>
    <row r="17" spans="1:7" x14ac:dyDescent="0.2">
      <c r="A17" s="29"/>
      <c r="B17" s="151"/>
      <c r="C17" s="119"/>
      <c r="D17" s="383" t="s">
        <v>1256</v>
      </c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98400</v>
      </c>
    </row>
    <row r="43" spans="1:7" ht="13.5" thickTop="1" x14ac:dyDescent="0.2">
      <c r="A43" s="875" t="s">
        <v>901</v>
      </c>
      <c r="B43" s="899"/>
      <c r="C43" s="899"/>
      <c r="D43" s="899"/>
      <c r="E43" s="899"/>
      <c r="F43" s="899"/>
      <c r="G43" s="900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58</v>
      </c>
      <c r="E47" s="868" t="s">
        <v>142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44</v>
      </c>
      <c r="E48" s="904" t="s">
        <v>0</v>
      </c>
      <c r="F48" s="904"/>
      <c r="G48" s="905"/>
    </row>
  </sheetData>
  <mergeCells count="14">
    <mergeCell ref="A48:C48"/>
    <mergeCell ref="E48:G48"/>
    <mergeCell ref="A45:C45"/>
    <mergeCell ref="E45:G45"/>
    <mergeCell ref="A46:C46"/>
    <mergeCell ref="E46:G46"/>
    <mergeCell ref="A47:C47"/>
    <mergeCell ref="E47:G47"/>
    <mergeCell ref="A43:G43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A3CC4"/>
  </sheetPr>
  <dimension ref="A1:J599"/>
  <sheetViews>
    <sheetView topLeftCell="A309" zoomScale="110" zoomScaleNormal="110" workbookViewId="0">
      <selection activeCell="D309" sqref="D30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5703125" style="2" bestFit="1" customWidth="1"/>
    <col min="15" max="15" width="10.42578125" style="2" bestFit="1" customWidth="1"/>
    <col min="16" max="16" width="10.57031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0" x14ac:dyDescent="0.2">
      <c r="A2" s="888" t="s">
        <v>48</v>
      </c>
      <c r="B2" s="889"/>
      <c r="C2" s="889"/>
      <c r="D2" s="889"/>
      <c r="E2" s="889"/>
      <c r="F2" s="889"/>
      <c r="G2" s="890"/>
    </row>
    <row r="3" spans="1:10" x14ac:dyDescent="0.2">
      <c r="A3" s="915" t="s">
        <v>49</v>
      </c>
      <c r="B3" s="916"/>
      <c r="C3" s="916"/>
      <c r="D3" s="916"/>
      <c r="E3" s="916"/>
      <c r="F3" s="916"/>
      <c r="G3" s="917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393" t="s">
        <v>1</v>
      </c>
      <c r="B5" s="13"/>
      <c r="C5" s="14" t="s">
        <v>51</v>
      </c>
      <c r="D5" s="13"/>
      <c r="E5" s="362" t="s">
        <v>1134</v>
      </c>
      <c r="F5" s="98"/>
      <c r="G5" s="363" t="s">
        <v>1093</v>
      </c>
    </row>
    <row r="6" spans="1:10" x14ac:dyDescent="0.2">
      <c r="A6" s="17" t="s">
        <v>8</v>
      </c>
      <c r="B6" s="100"/>
      <c r="C6" s="19"/>
      <c r="D6" s="4"/>
      <c r="E6" s="918"/>
      <c r="F6" s="919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920"/>
      <c r="F8" s="921"/>
      <c r="G8" s="25"/>
    </row>
    <row r="9" spans="1:10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71" t="s">
        <v>149</v>
      </c>
      <c r="D10" s="376" t="s">
        <v>1094</v>
      </c>
      <c r="E10" s="158">
        <v>20</v>
      </c>
      <c r="F10" s="128">
        <v>190</v>
      </c>
      <c r="G10" s="35">
        <f>F10*E10</f>
        <v>3800</v>
      </c>
      <c r="I10" s="430" t="s">
        <v>1096</v>
      </c>
      <c r="J10" s="430" t="s">
        <v>8</v>
      </c>
    </row>
    <row r="11" spans="1:10" x14ac:dyDescent="0.2">
      <c r="A11" s="364" t="s">
        <v>8</v>
      </c>
      <c r="B11" s="101"/>
      <c r="C11" s="41"/>
      <c r="D11" s="129"/>
      <c r="E11" s="108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130"/>
      <c r="E27" s="104"/>
      <c r="F27" s="154"/>
      <c r="G27" s="35"/>
    </row>
    <row r="28" spans="1:7" x14ac:dyDescent="0.2">
      <c r="A28" s="29"/>
      <c r="B28" s="105"/>
      <c r="C28" s="41"/>
      <c r="D28" s="130"/>
      <c r="E28" s="104"/>
      <c r="F28" s="154"/>
      <c r="G28" s="35"/>
    </row>
    <row r="29" spans="1:7" x14ac:dyDescent="0.2">
      <c r="A29" s="29"/>
      <c r="B29" s="105"/>
      <c r="C29" s="41"/>
      <c r="D29" s="67"/>
      <c r="E29" s="104"/>
      <c r="F29" s="154"/>
      <c r="G29" s="35"/>
    </row>
    <row r="30" spans="1:7" x14ac:dyDescent="0.2">
      <c r="A30" s="29"/>
      <c r="B30" s="101"/>
      <c r="C30" s="41"/>
      <c r="D30" s="67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3800</v>
      </c>
    </row>
    <row r="44" spans="1:7" ht="13.5" thickTop="1" x14ac:dyDescent="0.2">
      <c r="A44" s="875" t="s">
        <v>1148</v>
      </c>
      <c r="B44" s="899"/>
      <c r="C44" s="899"/>
      <c r="D44" s="899"/>
      <c r="E44" s="899"/>
      <c r="F44" s="899"/>
      <c r="G44" s="900"/>
    </row>
    <row r="45" spans="1:7" ht="13.5" thickBot="1" x14ac:dyDescent="0.25">
      <c r="A45" s="52"/>
      <c r="B45" s="103"/>
      <c r="C45" s="374" t="s">
        <v>1095</v>
      </c>
      <c r="D45" s="54"/>
      <c r="E45" s="103"/>
      <c r="F45" s="55"/>
      <c r="G45" s="56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58" t="s">
        <v>326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327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51</v>
      </c>
      <c r="D54" s="13"/>
      <c r="E54" s="362" t="s">
        <v>1130</v>
      </c>
      <c r="F54" s="98"/>
      <c r="G54" s="363" t="s">
        <v>1129</v>
      </c>
    </row>
    <row r="55" spans="1:7" x14ac:dyDescent="0.2">
      <c r="A55" s="17" t="s">
        <v>8</v>
      </c>
      <c r="B55" s="100"/>
      <c r="C55" s="19"/>
      <c r="D55" s="4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71" t="s">
        <v>149</v>
      </c>
      <c r="D59" s="376" t="s">
        <v>1150</v>
      </c>
      <c r="E59" s="158">
        <v>40</v>
      </c>
      <c r="F59" s="128">
        <v>190</v>
      </c>
      <c r="G59" s="35">
        <f>F59*E59</f>
        <v>7600</v>
      </c>
    </row>
    <row r="60" spans="1:7" x14ac:dyDescent="0.2">
      <c r="A60" s="364" t="s">
        <v>8</v>
      </c>
      <c r="B60" s="101"/>
      <c r="C60" s="41"/>
      <c r="D60" s="129"/>
      <c r="E60" s="108"/>
      <c r="F60" s="128"/>
      <c r="G60" s="35"/>
    </row>
    <row r="61" spans="1:7" x14ac:dyDescent="0.2">
      <c r="A61" s="29"/>
      <c r="B61" s="101"/>
      <c r="C61" s="41"/>
      <c r="D61" s="129"/>
      <c r="E61" s="157"/>
      <c r="F61" s="149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57"/>
      <c r="F63" s="149"/>
      <c r="G63" s="35"/>
    </row>
    <row r="64" spans="1:7" x14ac:dyDescent="0.2">
      <c r="A64" s="29"/>
      <c r="B64" s="101"/>
      <c r="C64" s="41"/>
      <c r="D64" s="129"/>
      <c r="E64" s="108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05"/>
      <c r="C66" s="41"/>
      <c r="D66" s="136"/>
      <c r="E66" s="102"/>
      <c r="F66" s="128"/>
      <c r="G66" s="35"/>
    </row>
    <row r="67" spans="1:7" x14ac:dyDescent="0.2">
      <c r="A67" s="29"/>
      <c r="B67" s="151"/>
      <c r="C67" s="119"/>
      <c r="D67" s="136"/>
      <c r="E67" s="108"/>
      <c r="F67" s="150"/>
      <c r="G67" s="35"/>
    </row>
    <row r="68" spans="1:7" x14ac:dyDescent="0.2">
      <c r="A68" s="29"/>
      <c r="B68" s="151"/>
      <c r="C68" s="119"/>
      <c r="D68" s="144"/>
      <c r="E68" s="108"/>
      <c r="F68" s="150"/>
      <c r="G68" s="35"/>
    </row>
    <row r="69" spans="1:7" x14ac:dyDescent="0.2">
      <c r="A69" s="29"/>
      <c r="B69" s="101"/>
      <c r="C69" s="41"/>
      <c r="D69" s="144"/>
      <c r="E69" s="155"/>
      <c r="F69" s="128"/>
      <c r="G69" s="35"/>
    </row>
    <row r="70" spans="1:7" x14ac:dyDescent="0.2">
      <c r="A70" s="29"/>
      <c r="B70" s="106"/>
      <c r="C70" s="41"/>
      <c r="D70" s="136"/>
      <c r="E70" s="104"/>
      <c r="F70" s="128"/>
      <c r="G70" s="35"/>
    </row>
    <row r="71" spans="1:7" x14ac:dyDescent="0.2">
      <c r="A71" s="29"/>
      <c r="B71" s="105"/>
      <c r="C71" s="41"/>
      <c r="D71" s="136"/>
      <c r="E71" s="108"/>
      <c r="F71" s="152"/>
      <c r="G71" s="35"/>
    </row>
    <row r="72" spans="1:7" x14ac:dyDescent="0.2">
      <c r="A72" s="29"/>
      <c r="B72" s="107"/>
      <c r="C72" s="41"/>
      <c r="D72" s="136"/>
      <c r="E72" s="153"/>
      <c r="F72" s="128"/>
      <c r="G72" s="35"/>
    </row>
    <row r="73" spans="1:7" x14ac:dyDescent="0.2">
      <c r="A73" s="29"/>
      <c r="B73" s="107"/>
      <c r="C73" s="41"/>
      <c r="D73" s="67"/>
      <c r="E73" s="153"/>
      <c r="F73" s="128"/>
      <c r="G73" s="35"/>
    </row>
    <row r="74" spans="1:7" x14ac:dyDescent="0.2">
      <c r="A74" s="29"/>
      <c r="B74" s="101"/>
      <c r="C74" s="41"/>
      <c r="D74" s="67"/>
      <c r="E74" s="108"/>
      <c r="F74" s="128"/>
      <c r="G74" s="35"/>
    </row>
    <row r="75" spans="1:7" x14ac:dyDescent="0.2">
      <c r="A75" s="29"/>
      <c r="B75" s="101"/>
      <c r="C75" s="41"/>
      <c r="D75" s="67"/>
      <c r="E75" s="153"/>
      <c r="F75" s="128"/>
      <c r="G75" s="35"/>
    </row>
    <row r="76" spans="1:7" x14ac:dyDescent="0.2">
      <c r="A76" s="29"/>
      <c r="B76" s="106"/>
      <c r="C76" s="41"/>
      <c r="D76" s="67"/>
      <c r="E76" s="104"/>
      <c r="F76" s="154"/>
      <c r="G76" s="35"/>
    </row>
    <row r="77" spans="1:7" x14ac:dyDescent="0.2">
      <c r="A77" s="29"/>
      <c r="B77" s="105"/>
      <c r="C77" s="41"/>
      <c r="D77" s="130"/>
      <c r="E77" s="104"/>
      <c r="F77" s="154"/>
      <c r="G77" s="35"/>
    </row>
    <row r="78" spans="1:7" x14ac:dyDescent="0.2">
      <c r="A78" s="29"/>
      <c r="B78" s="105"/>
      <c r="C78" s="41"/>
      <c r="D78" s="130"/>
      <c r="E78" s="104"/>
      <c r="F78" s="154"/>
      <c r="G78" s="35"/>
    </row>
    <row r="79" spans="1:7" x14ac:dyDescent="0.2">
      <c r="A79" s="29"/>
      <c r="B79" s="105"/>
      <c r="C79" s="41"/>
      <c r="D79" s="130"/>
      <c r="E79" s="104"/>
      <c r="F79" s="154"/>
      <c r="G79" s="35"/>
    </row>
    <row r="80" spans="1:7" x14ac:dyDescent="0.2">
      <c r="A80" s="29"/>
      <c r="B80" s="105"/>
      <c r="C80" s="41"/>
      <c r="D80" s="67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72" t="s">
        <v>8</v>
      </c>
    </row>
    <row r="88" spans="1:7" x14ac:dyDescent="0.2">
      <c r="A88" s="29"/>
      <c r="B88" s="101"/>
      <c r="C88" s="41"/>
      <c r="D88" s="376" t="s">
        <v>8</v>
      </c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7600</v>
      </c>
    </row>
    <row r="94" spans="1:7" ht="13.5" thickTop="1" x14ac:dyDescent="0.2">
      <c r="A94" s="875" t="s">
        <v>1149</v>
      </c>
      <c r="B94" s="899"/>
      <c r="C94" s="899"/>
      <c r="D94" s="899"/>
      <c r="E94" s="899"/>
      <c r="F94" s="899"/>
      <c r="G94" s="900"/>
    </row>
    <row r="95" spans="1:7" ht="13.5" thickBot="1" x14ac:dyDescent="0.25">
      <c r="A95" s="52"/>
      <c r="B95" s="103"/>
      <c r="C95" s="374" t="s">
        <v>8</v>
      </c>
      <c r="D95" s="54"/>
      <c r="E95" s="103"/>
      <c r="F95" s="55"/>
      <c r="G95" s="56"/>
    </row>
    <row r="96" spans="1:7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</row>
    <row r="97" spans="1:7" x14ac:dyDescent="0.2">
      <c r="A97" s="910" t="s">
        <v>17</v>
      </c>
      <c r="B97" s="911"/>
      <c r="C97" s="911"/>
      <c r="D97" s="39"/>
      <c r="E97" s="912"/>
      <c r="F97" s="913"/>
      <c r="G97" s="914"/>
    </row>
    <row r="98" spans="1:7" x14ac:dyDescent="0.2">
      <c r="A98" s="910" t="s">
        <v>38</v>
      </c>
      <c r="B98" s="911"/>
      <c r="C98" s="911"/>
      <c r="D98" s="58" t="s">
        <v>326</v>
      </c>
      <c r="E98" s="868" t="s">
        <v>142</v>
      </c>
      <c r="F98" s="868"/>
      <c r="G98" s="869"/>
    </row>
    <row r="99" spans="1:7" ht="13.5" thickBot="1" x14ac:dyDescent="0.25">
      <c r="A99" s="901" t="s">
        <v>39</v>
      </c>
      <c r="B99" s="902"/>
      <c r="C99" s="902"/>
      <c r="D99" s="59" t="s">
        <v>327</v>
      </c>
      <c r="E99" s="904" t="s">
        <v>0</v>
      </c>
      <c r="F99" s="904"/>
      <c r="G99" s="905"/>
    </row>
    <row r="100" spans="1:7" ht="16.5" x14ac:dyDescent="0.25">
      <c r="A100" s="885" t="s">
        <v>29</v>
      </c>
      <c r="B100" s="886"/>
      <c r="C100" s="886"/>
      <c r="D100" s="886"/>
      <c r="E100" s="886"/>
      <c r="F100" s="886"/>
      <c r="G100" s="887"/>
    </row>
    <row r="101" spans="1:7" x14ac:dyDescent="0.2">
      <c r="A101" s="888" t="s">
        <v>48</v>
      </c>
      <c r="B101" s="889"/>
      <c r="C101" s="889"/>
      <c r="D101" s="889"/>
      <c r="E101" s="889"/>
      <c r="F101" s="889"/>
      <c r="G101" s="890"/>
    </row>
    <row r="102" spans="1:7" x14ac:dyDescent="0.2">
      <c r="A102" s="915" t="s">
        <v>49</v>
      </c>
      <c r="B102" s="916"/>
      <c r="C102" s="916"/>
      <c r="D102" s="916"/>
      <c r="E102" s="916"/>
      <c r="F102" s="916"/>
      <c r="G102" s="917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51</v>
      </c>
      <c r="D104" s="13"/>
      <c r="E104" s="362" t="s">
        <v>1220</v>
      </c>
      <c r="F104" s="98"/>
      <c r="G104" s="363" t="s">
        <v>1093</v>
      </c>
    </row>
    <row r="105" spans="1:7" x14ac:dyDescent="0.2">
      <c r="A105" s="17" t="s">
        <v>8</v>
      </c>
      <c r="B105" s="100"/>
      <c r="C105" s="19"/>
      <c r="D105" s="4"/>
      <c r="E105" s="918"/>
      <c r="F105" s="919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920"/>
      <c r="F107" s="921"/>
      <c r="G107" s="25"/>
    </row>
    <row r="108" spans="1:7" ht="26.25" thickBot="1" x14ac:dyDescent="0.25">
      <c r="A108" s="207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71" t="s">
        <v>153</v>
      </c>
      <c r="D109" s="376" t="s">
        <v>1213</v>
      </c>
      <c r="E109" s="158">
        <v>39</v>
      </c>
      <c r="F109" s="128">
        <v>175</v>
      </c>
      <c r="G109" s="35">
        <f>F109*E109</f>
        <v>6825</v>
      </c>
    </row>
    <row r="110" spans="1:7" x14ac:dyDescent="0.2">
      <c r="A110" s="364">
        <v>2</v>
      </c>
      <c r="B110" s="101"/>
      <c r="C110" s="371" t="s">
        <v>153</v>
      </c>
      <c r="D110" s="370" t="s">
        <v>1214</v>
      </c>
      <c r="E110" s="108">
        <v>1</v>
      </c>
      <c r="F110" s="128">
        <v>275</v>
      </c>
      <c r="G110" s="35">
        <f t="shared" ref="G110:G111" si="0">F110*E110</f>
        <v>275</v>
      </c>
    </row>
    <row r="111" spans="1:7" x14ac:dyDescent="0.2">
      <c r="A111" s="29">
        <v>3</v>
      </c>
      <c r="B111" s="101"/>
      <c r="C111" s="371" t="s">
        <v>149</v>
      </c>
      <c r="D111" s="370" t="s">
        <v>1342</v>
      </c>
      <c r="E111" s="108">
        <v>7</v>
      </c>
      <c r="F111" s="149">
        <v>81.5</v>
      </c>
      <c r="G111" s="35">
        <f t="shared" si="0"/>
        <v>570.5</v>
      </c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10" x14ac:dyDescent="0.2">
      <c r="A113" s="29"/>
      <c r="B113" s="101"/>
      <c r="C113" s="41"/>
      <c r="D113" s="129"/>
      <c r="E113" s="157"/>
      <c r="F113" s="149"/>
      <c r="G113" s="35"/>
    </row>
    <row r="114" spans="1:10" x14ac:dyDescent="0.2">
      <c r="A114" s="29"/>
      <c r="B114" s="101"/>
      <c r="C114" s="41"/>
      <c r="D114" s="370" t="s">
        <v>150</v>
      </c>
      <c r="E114" s="108"/>
      <c r="F114" s="128"/>
      <c r="G114" s="35"/>
    </row>
    <row r="115" spans="1:10" x14ac:dyDescent="0.2">
      <c r="A115" s="29"/>
      <c r="B115" s="105"/>
      <c r="C115" s="41"/>
      <c r="D115" s="136"/>
      <c r="E115" s="102"/>
      <c r="F115" s="128"/>
      <c r="G115" s="35"/>
      <c r="J115" s="430" t="s">
        <v>896</v>
      </c>
    </row>
    <row r="116" spans="1:10" x14ac:dyDescent="0.2">
      <c r="A116" s="29"/>
      <c r="B116" s="105"/>
      <c r="C116" s="41"/>
      <c r="D116" s="136"/>
      <c r="E116" s="102"/>
      <c r="F116" s="128"/>
      <c r="G116" s="35"/>
    </row>
    <row r="117" spans="1:10" x14ac:dyDescent="0.2">
      <c r="A117" s="29"/>
      <c r="B117" s="151"/>
      <c r="C117" s="119"/>
      <c r="D117" s="136"/>
      <c r="E117" s="108"/>
      <c r="F117" s="150"/>
      <c r="G117" s="35"/>
    </row>
    <row r="118" spans="1:10" x14ac:dyDescent="0.2">
      <c r="A118" s="29"/>
      <c r="B118" s="151"/>
      <c r="C118" s="119"/>
      <c r="D118" s="144"/>
      <c r="E118" s="108"/>
      <c r="F118" s="150"/>
      <c r="G118" s="35"/>
    </row>
    <row r="119" spans="1:10" x14ac:dyDescent="0.2">
      <c r="A119" s="29"/>
      <c r="B119" s="101"/>
      <c r="C119" s="41"/>
      <c r="D119" s="383" t="s">
        <v>151</v>
      </c>
      <c r="E119" s="155"/>
      <c r="F119" s="128"/>
      <c r="G119" s="35"/>
    </row>
    <row r="120" spans="1:10" x14ac:dyDescent="0.2">
      <c r="A120" s="29"/>
      <c r="B120" s="106"/>
      <c r="C120" s="41"/>
      <c r="D120" s="136"/>
      <c r="E120" s="104"/>
      <c r="F120" s="128"/>
      <c r="G120" s="35"/>
    </row>
    <row r="121" spans="1:10" x14ac:dyDescent="0.2">
      <c r="A121" s="29"/>
      <c r="B121" s="105"/>
      <c r="C121" s="41"/>
      <c r="D121" s="136"/>
      <c r="E121" s="108"/>
      <c r="F121" s="152"/>
      <c r="G121" s="35"/>
    </row>
    <row r="122" spans="1:10" x14ac:dyDescent="0.2">
      <c r="A122" s="29"/>
      <c r="B122" s="107"/>
      <c r="C122" s="41"/>
      <c r="D122" s="136"/>
      <c r="E122" s="153"/>
      <c r="F122" s="128"/>
      <c r="G122" s="35"/>
    </row>
    <row r="123" spans="1:10" x14ac:dyDescent="0.2">
      <c r="A123" s="29"/>
      <c r="B123" s="107"/>
      <c r="C123" s="41"/>
      <c r="D123" s="67"/>
      <c r="E123" s="153"/>
      <c r="F123" s="128"/>
      <c r="G123" s="35"/>
    </row>
    <row r="124" spans="1:10" x14ac:dyDescent="0.2">
      <c r="A124" s="29"/>
      <c r="B124" s="101"/>
      <c r="C124" s="41"/>
      <c r="D124" s="67"/>
      <c r="E124" s="108"/>
      <c r="F124" s="128"/>
      <c r="G124" s="35"/>
    </row>
    <row r="125" spans="1:10" x14ac:dyDescent="0.2">
      <c r="A125" s="29"/>
      <c r="B125" s="101"/>
      <c r="C125" s="41"/>
      <c r="D125" s="67"/>
      <c r="E125" s="153"/>
      <c r="F125" s="128"/>
      <c r="G125" s="35"/>
    </row>
    <row r="126" spans="1:10" x14ac:dyDescent="0.2">
      <c r="A126" s="29"/>
      <c r="B126" s="106"/>
      <c r="C126" s="41"/>
      <c r="D126" s="67"/>
      <c r="E126" s="104"/>
      <c r="F126" s="154"/>
      <c r="G126" s="35"/>
    </row>
    <row r="127" spans="1:10" x14ac:dyDescent="0.2">
      <c r="A127" s="29"/>
      <c r="B127" s="105"/>
      <c r="C127" s="41"/>
      <c r="D127" s="130"/>
      <c r="E127" s="104"/>
      <c r="F127" s="154"/>
      <c r="G127" s="35"/>
    </row>
    <row r="128" spans="1:10" x14ac:dyDescent="0.2">
      <c r="A128" s="29"/>
      <c r="B128" s="105"/>
      <c r="C128" s="41"/>
      <c r="D128" s="130"/>
      <c r="E128" s="104"/>
      <c r="F128" s="154"/>
      <c r="G128" s="35"/>
    </row>
    <row r="129" spans="1:7" x14ac:dyDescent="0.2">
      <c r="A129" s="29"/>
      <c r="B129" s="105"/>
      <c r="C129" s="41"/>
      <c r="D129" s="130"/>
      <c r="E129" s="104"/>
      <c r="F129" s="154"/>
      <c r="G129" s="35"/>
    </row>
    <row r="130" spans="1:7" x14ac:dyDescent="0.2">
      <c r="A130" s="29"/>
      <c r="B130" s="105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72" t="s">
        <v>8</v>
      </c>
    </row>
    <row r="138" spans="1:7" x14ac:dyDescent="0.2">
      <c r="A138" s="29"/>
      <c r="B138" s="101"/>
      <c r="C138" s="41"/>
      <c r="D138" s="376" t="s">
        <v>8</v>
      </c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7670.5</v>
      </c>
    </row>
    <row r="144" spans="1:7" ht="13.5" thickTop="1" x14ac:dyDescent="0.2">
      <c r="A144" s="875" t="s">
        <v>1149</v>
      </c>
      <c r="B144" s="899"/>
      <c r="C144" s="899"/>
      <c r="D144" s="899"/>
      <c r="E144" s="899"/>
      <c r="F144" s="899"/>
      <c r="G144" s="900"/>
    </row>
    <row r="145" spans="1:9" ht="13.5" thickBot="1" x14ac:dyDescent="0.25">
      <c r="A145" s="52"/>
      <c r="B145" s="103"/>
      <c r="C145" s="374" t="s">
        <v>8</v>
      </c>
      <c r="D145" s="54"/>
      <c r="E145" s="103"/>
      <c r="F145" s="55"/>
      <c r="G145" s="56"/>
    </row>
    <row r="146" spans="1:9" ht="13.5" thickTop="1" x14ac:dyDescent="0.2">
      <c r="A146" s="906"/>
      <c r="B146" s="907"/>
      <c r="C146" s="907"/>
      <c r="D146" s="57" t="s">
        <v>11</v>
      </c>
      <c r="E146" s="908" t="s">
        <v>12</v>
      </c>
      <c r="F146" s="908"/>
      <c r="G146" s="909"/>
    </row>
    <row r="147" spans="1:9" x14ac:dyDescent="0.2">
      <c r="A147" s="910" t="s">
        <v>17</v>
      </c>
      <c r="B147" s="911"/>
      <c r="C147" s="911"/>
      <c r="D147" s="39"/>
      <c r="E147" s="912"/>
      <c r="F147" s="913"/>
      <c r="G147" s="914"/>
    </row>
    <row r="148" spans="1:9" x14ac:dyDescent="0.2">
      <c r="A148" s="910" t="s">
        <v>38</v>
      </c>
      <c r="B148" s="911"/>
      <c r="C148" s="911"/>
      <c r="D148" s="58" t="s">
        <v>326</v>
      </c>
      <c r="E148" s="868" t="s">
        <v>142</v>
      </c>
      <c r="F148" s="868"/>
      <c r="G148" s="869"/>
    </row>
    <row r="149" spans="1:9" ht="13.5" thickBot="1" x14ac:dyDescent="0.25">
      <c r="A149" s="901" t="s">
        <v>39</v>
      </c>
      <c r="B149" s="902"/>
      <c r="C149" s="902"/>
      <c r="D149" s="59" t="s">
        <v>327</v>
      </c>
      <c r="E149" s="904" t="s">
        <v>0</v>
      </c>
      <c r="F149" s="904"/>
      <c r="G149" s="905"/>
    </row>
    <row r="150" spans="1:9" ht="16.5" x14ac:dyDescent="0.25">
      <c r="A150" s="885" t="s">
        <v>29</v>
      </c>
      <c r="B150" s="886"/>
      <c r="C150" s="886"/>
      <c r="D150" s="886"/>
      <c r="E150" s="886"/>
      <c r="F150" s="886"/>
      <c r="G150" s="887"/>
    </row>
    <row r="151" spans="1:9" x14ac:dyDescent="0.2">
      <c r="A151" s="888" t="s">
        <v>48</v>
      </c>
      <c r="B151" s="889"/>
      <c r="C151" s="889"/>
      <c r="D151" s="889"/>
      <c r="E151" s="889"/>
      <c r="F151" s="889"/>
      <c r="G151" s="890"/>
    </row>
    <row r="152" spans="1:9" x14ac:dyDescent="0.2">
      <c r="A152" s="915" t="s">
        <v>49</v>
      </c>
      <c r="B152" s="916"/>
      <c r="C152" s="916"/>
      <c r="D152" s="916"/>
      <c r="E152" s="916"/>
      <c r="F152" s="916"/>
      <c r="G152" s="917"/>
    </row>
    <row r="153" spans="1:9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9" x14ac:dyDescent="0.2">
      <c r="A154" s="12" t="s">
        <v>1</v>
      </c>
      <c r="B154" s="13"/>
      <c r="C154" s="14" t="s">
        <v>51</v>
      </c>
      <c r="D154" s="13"/>
      <c r="E154" s="362" t="s">
        <v>1611</v>
      </c>
      <c r="F154" s="98"/>
      <c r="G154" s="363" t="s">
        <v>1521</v>
      </c>
    </row>
    <row r="155" spans="1:9" x14ac:dyDescent="0.2">
      <c r="A155" s="17" t="s">
        <v>8</v>
      </c>
      <c r="B155" s="100"/>
      <c r="C155" s="19"/>
      <c r="D155" s="4"/>
      <c r="E155" s="918"/>
      <c r="F155" s="919"/>
      <c r="G155" s="20"/>
    </row>
    <row r="156" spans="1:9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9" x14ac:dyDescent="0.2">
      <c r="A157" s="6"/>
      <c r="B157" s="99"/>
      <c r="C157" s="8"/>
      <c r="D157" s="8"/>
      <c r="E157" s="920"/>
      <c r="F157" s="921"/>
      <c r="G157" s="25"/>
    </row>
    <row r="158" spans="1:9" ht="26.25" thickBot="1" x14ac:dyDescent="0.25">
      <c r="A158" s="207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  <c r="I158" s="430" t="s">
        <v>8</v>
      </c>
    </row>
    <row r="159" spans="1:9" ht="13.5" thickTop="1" x14ac:dyDescent="0.2">
      <c r="A159" s="29">
        <v>1</v>
      </c>
      <c r="B159" s="101"/>
      <c r="C159" s="371" t="s">
        <v>149</v>
      </c>
      <c r="D159" s="376" t="s">
        <v>1522</v>
      </c>
      <c r="E159" s="158">
        <v>15</v>
      </c>
      <c r="F159" s="128">
        <v>265</v>
      </c>
      <c r="G159" s="35">
        <f>F159*E159</f>
        <v>3975</v>
      </c>
      <c r="I159" s="2">
        <f>3975/15</f>
        <v>265</v>
      </c>
    </row>
    <row r="160" spans="1:9" x14ac:dyDescent="0.2">
      <c r="A160" s="364"/>
      <c r="B160" s="101"/>
      <c r="C160" s="371"/>
      <c r="D160" s="370" t="s">
        <v>1523</v>
      </c>
      <c r="E160" s="108"/>
      <c r="F160" s="128"/>
      <c r="G160" s="35"/>
    </row>
    <row r="161" spans="1:7" x14ac:dyDescent="0.2">
      <c r="A161" s="29"/>
      <c r="B161" s="101"/>
      <c r="C161" s="371"/>
      <c r="D161" s="370"/>
      <c r="E161" s="108"/>
      <c r="F161" s="149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57"/>
      <c r="F163" s="149"/>
      <c r="G163" s="35"/>
    </row>
    <row r="164" spans="1:7" x14ac:dyDescent="0.2">
      <c r="A164" s="29"/>
      <c r="B164" s="101"/>
      <c r="C164" s="41"/>
      <c r="D164" s="370" t="s">
        <v>150</v>
      </c>
      <c r="E164" s="108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05"/>
      <c r="C166" s="41"/>
      <c r="D166" s="136"/>
      <c r="E166" s="102"/>
      <c r="F166" s="128"/>
      <c r="G166" s="35"/>
    </row>
    <row r="167" spans="1:7" x14ac:dyDescent="0.2">
      <c r="A167" s="29"/>
      <c r="B167" s="151"/>
      <c r="C167" s="119"/>
      <c r="D167" s="136"/>
      <c r="E167" s="108"/>
      <c r="F167" s="150"/>
      <c r="G167" s="35"/>
    </row>
    <row r="168" spans="1:7" x14ac:dyDescent="0.2">
      <c r="A168" s="29"/>
      <c r="B168" s="151"/>
      <c r="C168" s="119"/>
      <c r="D168" s="144"/>
      <c r="E168" s="108"/>
      <c r="F168" s="150"/>
      <c r="G168" s="35"/>
    </row>
    <row r="169" spans="1:7" x14ac:dyDescent="0.2">
      <c r="A169" s="29"/>
      <c r="B169" s="101"/>
      <c r="C169" s="41"/>
      <c r="D169" s="383" t="s">
        <v>151</v>
      </c>
      <c r="E169" s="155"/>
      <c r="F169" s="128"/>
      <c r="G169" s="35"/>
    </row>
    <row r="170" spans="1:7" x14ac:dyDescent="0.2">
      <c r="A170" s="29"/>
      <c r="B170" s="106"/>
      <c r="C170" s="41"/>
      <c r="D170" s="136"/>
      <c r="E170" s="104"/>
      <c r="F170" s="128"/>
      <c r="G170" s="35"/>
    </row>
    <row r="171" spans="1:7" x14ac:dyDescent="0.2">
      <c r="A171" s="29"/>
      <c r="B171" s="105"/>
      <c r="C171" s="41"/>
      <c r="D171" s="136"/>
      <c r="E171" s="108"/>
      <c r="F171" s="152"/>
      <c r="G171" s="35"/>
    </row>
    <row r="172" spans="1:7" x14ac:dyDescent="0.2">
      <c r="A172" s="29"/>
      <c r="B172" s="107"/>
      <c r="C172" s="41"/>
      <c r="D172" s="136"/>
      <c r="E172" s="153"/>
      <c r="F172" s="128"/>
      <c r="G172" s="35"/>
    </row>
    <row r="173" spans="1:7" x14ac:dyDescent="0.2">
      <c r="A173" s="29"/>
      <c r="B173" s="107"/>
      <c r="C173" s="41"/>
      <c r="D173" s="67"/>
      <c r="E173" s="153"/>
      <c r="F173" s="128"/>
      <c r="G173" s="35"/>
    </row>
    <row r="174" spans="1:7" x14ac:dyDescent="0.2">
      <c r="A174" s="29"/>
      <c r="B174" s="101"/>
      <c r="C174" s="41"/>
      <c r="D174" s="67"/>
      <c r="E174" s="108"/>
      <c r="F174" s="128"/>
      <c r="G174" s="35"/>
    </row>
    <row r="175" spans="1:7" x14ac:dyDescent="0.2">
      <c r="A175" s="29"/>
      <c r="B175" s="101"/>
      <c r="C175" s="41"/>
      <c r="D175" s="67"/>
      <c r="E175" s="153"/>
      <c r="F175" s="128"/>
      <c r="G175" s="35"/>
    </row>
    <row r="176" spans="1:7" x14ac:dyDescent="0.2">
      <c r="A176" s="29"/>
      <c r="B176" s="106"/>
      <c r="C176" s="41"/>
      <c r="D176" s="67"/>
      <c r="E176" s="104"/>
      <c r="F176" s="154"/>
      <c r="G176" s="35"/>
    </row>
    <row r="177" spans="1:7" x14ac:dyDescent="0.2">
      <c r="A177" s="29"/>
      <c r="B177" s="105"/>
      <c r="C177" s="41"/>
      <c r="D177" s="130"/>
      <c r="E177" s="104"/>
      <c r="F177" s="154"/>
      <c r="G177" s="35"/>
    </row>
    <row r="178" spans="1:7" x14ac:dyDescent="0.2">
      <c r="A178" s="29"/>
      <c r="B178" s="105"/>
      <c r="C178" s="41"/>
      <c r="D178" s="130"/>
      <c r="E178" s="104"/>
      <c r="F178" s="154"/>
      <c r="G178" s="35"/>
    </row>
    <row r="179" spans="1:7" x14ac:dyDescent="0.2">
      <c r="A179" s="29"/>
      <c r="B179" s="105"/>
      <c r="C179" s="41"/>
      <c r="D179" s="130"/>
      <c r="E179" s="104"/>
      <c r="F179" s="154"/>
      <c r="G179" s="35"/>
    </row>
    <row r="180" spans="1:7" x14ac:dyDescent="0.2">
      <c r="A180" s="29"/>
      <c r="B180" s="105"/>
      <c r="C180" s="41"/>
      <c r="D180" s="67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136"/>
      <c r="E183" s="104"/>
      <c r="F183" s="154"/>
      <c r="G183" s="35"/>
    </row>
    <row r="184" spans="1:7" x14ac:dyDescent="0.2">
      <c r="A184" s="29"/>
      <c r="B184" s="101"/>
      <c r="C184" s="41"/>
      <c r="D184" s="62"/>
      <c r="E184" s="104"/>
      <c r="F184" s="154"/>
      <c r="G184" s="35"/>
    </row>
    <row r="185" spans="1:7" x14ac:dyDescent="0.2">
      <c r="A185" s="29"/>
      <c r="B185" s="101"/>
      <c r="C185" s="41"/>
      <c r="D185" s="67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72" t="s">
        <v>8</v>
      </c>
    </row>
    <row r="188" spans="1:7" x14ac:dyDescent="0.2">
      <c r="A188" s="29"/>
      <c r="B188" s="101"/>
      <c r="C188" s="41"/>
      <c r="D188" s="376" t="s">
        <v>8</v>
      </c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3975</v>
      </c>
    </row>
    <row r="194" spans="1:7" ht="13.5" thickTop="1" x14ac:dyDescent="0.2">
      <c r="A194" s="875" t="s">
        <v>1524</v>
      </c>
      <c r="B194" s="899"/>
      <c r="C194" s="899"/>
      <c r="D194" s="899"/>
      <c r="E194" s="899"/>
      <c r="F194" s="899"/>
      <c r="G194" s="900"/>
    </row>
    <row r="195" spans="1:7" ht="13.5" thickBot="1" x14ac:dyDescent="0.25">
      <c r="A195" s="52"/>
      <c r="B195" s="103"/>
      <c r="C195" s="374" t="s">
        <v>8</v>
      </c>
      <c r="D195" s="54"/>
      <c r="E195" s="103"/>
      <c r="F195" s="55"/>
      <c r="G195" s="56"/>
    </row>
    <row r="196" spans="1:7" ht="13.5" thickTop="1" x14ac:dyDescent="0.2">
      <c r="A196" s="906"/>
      <c r="B196" s="907"/>
      <c r="C196" s="907"/>
      <c r="D196" s="57" t="s">
        <v>11</v>
      </c>
      <c r="E196" s="908" t="s">
        <v>12</v>
      </c>
      <c r="F196" s="908"/>
      <c r="G196" s="909"/>
    </row>
    <row r="197" spans="1:7" x14ac:dyDescent="0.2">
      <c r="A197" s="910" t="s">
        <v>17</v>
      </c>
      <c r="B197" s="911"/>
      <c r="C197" s="911"/>
      <c r="D197" s="39"/>
      <c r="E197" s="912"/>
      <c r="F197" s="913"/>
      <c r="G197" s="914"/>
    </row>
    <row r="198" spans="1:7" x14ac:dyDescent="0.2">
      <c r="A198" s="910" t="s">
        <v>38</v>
      </c>
      <c r="B198" s="911"/>
      <c r="C198" s="911"/>
      <c r="D198" s="58" t="s">
        <v>326</v>
      </c>
      <c r="E198" s="868" t="s">
        <v>142</v>
      </c>
      <c r="F198" s="868"/>
      <c r="G198" s="869"/>
    </row>
    <row r="199" spans="1:7" ht="13.5" thickBot="1" x14ac:dyDescent="0.25">
      <c r="A199" s="901" t="s">
        <v>39</v>
      </c>
      <c r="B199" s="902"/>
      <c r="C199" s="902"/>
      <c r="D199" s="59" t="s">
        <v>327</v>
      </c>
      <c r="E199" s="904" t="s">
        <v>0</v>
      </c>
      <c r="F199" s="904"/>
      <c r="G199" s="905"/>
    </row>
    <row r="200" spans="1:7" ht="16.5" x14ac:dyDescent="0.25">
      <c r="A200" s="885" t="s">
        <v>29</v>
      </c>
      <c r="B200" s="886"/>
      <c r="C200" s="886"/>
      <c r="D200" s="886"/>
      <c r="E200" s="886"/>
      <c r="F200" s="886"/>
      <c r="G200" s="887"/>
    </row>
    <row r="201" spans="1:7" x14ac:dyDescent="0.2">
      <c r="A201" s="888" t="s">
        <v>48</v>
      </c>
      <c r="B201" s="889"/>
      <c r="C201" s="889"/>
      <c r="D201" s="889"/>
      <c r="E201" s="889"/>
      <c r="F201" s="889"/>
      <c r="G201" s="890"/>
    </row>
    <row r="202" spans="1:7" x14ac:dyDescent="0.2">
      <c r="A202" s="915" t="s">
        <v>49</v>
      </c>
      <c r="B202" s="916"/>
      <c r="C202" s="916"/>
      <c r="D202" s="916"/>
      <c r="E202" s="916"/>
      <c r="F202" s="916"/>
      <c r="G202" s="917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51</v>
      </c>
      <c r="D204" s="13"/>
      <c r="E204" s="362" t="s">
        <v>1612</v>
      </c>
      <c r="F204" s="98"/>
      <c r="G204" s="363" t="s">
        <v>1521</v>
      </c>
    </row>
    <row r="205" spans="1:7" x14ac:dyDescent="0.2">
      <c r="A205" s="17" t="s">
        <v>8</v>
      </c>
      <c r="B205" s="100"/>
      <c r="C205" s="19"/>
      <c r="D205" s="4"/>
      <c r="E205" s="918"/>
      <c r="F205" s="919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920"/>
      <c r="F207" s="921"/>
      <c r="G207" s="25"/>
    </row>
    <row r="208" spans="1:7" ht="26.25" thickBot="1" x14ac:dyDescent="0.25">
      <c r="A208" s="207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9" ht="13.5" thickTop="1" x14ac:dyDescent="0.2">
      <c r="A209" s="29">
        <v>1</v>
      </c>
      <c r="B209" s="101"/>
      <c r="C209" s="371" t="s">
        <v>149</v>
      </c>
      <c r="D209" s="376" t="s">
        <v>1094</v>
      </c>
      <c r="E209" s="158">
        <v>30</v>
      </c>
      <c r="F209" s="128">
        <v>95</v>
      </c>
      <c r="G209" s="35">
        <f>F209*E209</f>
        <v>2850</v>
      </c>
      <c r="I209" s="2">
        <f>2850/30</f>
        <v>95</v>
      </c>
    </row>
    <row r="210" spans="1:9" x14ac:dyDescent="0.2">
      <c r="A210" s="364"/>
      <c r="B210" s="101"/>
      <c r="C210" s="371"/>
      <c r="D210" s="370" t="s">
        <v>8</v>
      </c>
      <c r="E210" s="108"/>
      <c r="F210" s="128"/>
      <c r="G210" s="35"/>
    </row>
    <row r="211" spans="1:9" x14ac:dyDescent="0.2">
      <c r="A211" s="29"/>
      <c r="B211" s="101"/>
      <c r="C211" s="371"/>
      <c r="D211" s="370"/>
      <c r="E211" s="108"/>
      <c r="F211" s="149"/>
      <c r="G211" s="35"/>
    </row>
    <row r="212" spans="1:9" x14ac:dyDescent="0.2">
      <c r="A212" s="29"/>
      <c r="B212" s="101"/>
      <c r="C212" s="41"/>
      <c r="D212" s="129"/>
      <c r="E212" s="157"/>
      <c r="F212" s="149"/>
      <c r="G212" s="35"/>
    </row>
    <row r="213" spans="1:9" x14ac:dyDescent="0.2">
      <c r="A213" s="29"/>
      <c r="B213" s="101"/>
      <c r="C213" s="41"/>
      <c r="D213" s="129"/>
      <c r="E213" s="157"/>
      <c r="F213" s="149"/>
      <c r="G213" s="35"/>
    </row>
    <row r="214" spans="1:9" x14ac:dyDescent="0.2">
      <c r="A214" s="29"/>
      <c r="B214" s="101"/>
      <c r="C214" s="41"/>
      <c r="D214" s="370" t="s">
        <v>150</v>
      </c>
      <c r="E214" s="108"/>
      <c r="F214" s="128"/>
      <c r="G214" s="35"/>
    </row>
    <row r="215" spans="1:9" x14ac:dyDescent="0.2">
      <c r="A215" s="29"/>
      <c r="B215" s="105"/>
      <c r="C215" s="41"/>
      <c r="D215" s="136"/>
      <c r="E215" s="102"/>
      <c r="F215" s="128"/>
      <c r="G215" s="35"/>
    </row>
    <row r="216" spans="1:9" x14ac:dyDescent="0.2">
      <c r="A216" s="29"/>
      <c r="B216" s="105"/>
      <c r="C216" s="41"/>
      <c r="D216" s="136"/>
      <c r="E216" s="102"/>
      <c r="F216" s="128"/>
      <c r="G216" s="35"/>
    </row>
    <row r="217" spans="1:9" x14ac:dyDescent="0.2">
      <c r="A217" s="29"/>
      <c r="B217" s="151"/>
      <c r="C217" s="119"/>
      <c r="D217" s="136"/>
      <c r="E217" s="108"/>
      <c r="F217" s="150"/>
      <c r="G217" s="35"/>
    </row>
    <row r="218" spans="1:9" x14ac:dyDescent="0.2">
      <c r="A218" s="29"/>
      <c r="B218" s="151"/>
      <c r="C218" s="119"/>
      <c r="D218" s="144"/>
      <c r="E218" s="108"/>
      <c r="F218" s="150"/>
      <c r="G218" s="35"/>
    </row>
    <row r="219" spans="1:9" x14ac:dyDescent="0.2">
      <c r="A219" s="29"/>
      <c r="B219" s="101"/>
      <c r="C219" s="41"/>
      <c r="D219" s="383" t="s">
        <v>151</v>
      </c>
      <c r="E219" s="155"/>
      <c r="F219" s="128"/>
      <c r="G219" s="35"/>
    </row>
    <row r="220" spans="1:9" x14ac:dyDescent="0.2">
      <c r="A220" s="29"/>
      <c r="B220" s="106"/>
      <c r="C220" s="41"/>
      <c r="D220" s="136"/>
      <c r="E220" s="104"/>
      <c r="F220" s="128"/>
      <c r="G220" s="35"/>
    </row>
    <row r="221" spans="1:9" x14ac:dyDescent="0.2">
      <c r="A221" s="29"/>
      <c r="B221" s="105"/>
      <c r="C221" s="41"/>
      <c r="D221" s="136"/>
      <c r="E221" s="108"/>
      <c r="F221" s="152"/>
      <c r="G221" s="35"/>
    </row>
    <row r="222" spans="1:9" x14ac:dyDescent="0.2">
      <c r="A222" s="29"/>
      <c r="B222" s="107"/>
      <c r="C222" s="41"/>
      <c r="D222" s="136"/>
      <c r="E222" s="153"/>
      <c r="F222" s="128"/>
      <c r="G222" s="35"/>
    </row>
    <row r="223" spans="1:9" x14ac:dyDescent="0.2">
      <c r="A223" s="29"/>
      <c r="B223" s="107"/>
      <c r="C223" s="41"/>
      <c r="D223" s="67"/>
      <c r="E223" s="153"/>
      <c r="F223" s="128"/>
      <c r="G223" s="35"/>
    </row>
    <row r="224" spans="1:9" x14ac:dyDescent="0.2">
      <c r="A224" s="29"/>
      <c r="B224" s="101"/>
      <c r="C224" s="41"/>
      <c r="D224" s="67"/>
      <c r="E224" s="108"/>
      <c r="F224" s="128"/>
      <c r="G224" s="35"/>
    </row>
    <row r="225" spans="1:7" x14ac:dyDescent="0.2">
      <c r="A225" s="29"/>
      <c r="B225" s="101"/>
      <c r="C225" s="41"/>
      <c r="D225" s="67"/>
      <c r="E225" s="153"/>
      <c r="F225" s="128"/>
      <c r="G225" s="35"/>
    </row>
    <row r="226" spans="1:7" x14ac:dyDescent="0.2">
      <c r="A226" s="29"/>
      <c r="B226" s="106"/>
      <c r="C226" s="41"/>
      <c r="D226" s="67"/>
      <c r="E226" s="104"/>
      <c r="F226" s="154"/>
      <c r="G226" s="35"/>
    </row>
    <row r="227" spans="1:7" x14ac:dyDescent="0.2">
      <c r="A227" s="29"/>
      <c r="B227" s="105"/>
      <c r="C227" s="41"/>
      <c r="D227" s="130"/>
      <c r="E227" s="104"/>
      <c r="F227" s="154"/>
      <c r="G227" s="35"/>
    </row>
    <row r="228" spans="1:7" x14ac:dyDescent="0.2">
      <c r="A228" s="29"/>
      <c r="B228" s="105"/>
      <c r="C228" s="41"/>
      <c r="D228" s="130"/>
      <c r="E228" s="104"/>
      <c r="F228" s="154"/>
      <c r="G228" s="35"/>
    </row>
    <row r="229" spans="1:7" x14ac:dyDescent="0.2">
      <c r="A229" s="29"/>
      <c r="B229" s="105"/>
      <c r="C229" s="41"/>
      <c r="D229" s="130"/>
      <c r="E229" s="104"/>
      <c r="F229" s="154"/>
      <c r="G229" s="35"/>
    </row>
    <row r="230" spans="1:7" x14ac:dyDescent="0.2">
      <c r="A230" s="29"/>
      <c r="B230" s="105"/>
      <c r="C230" s="41"/>
      <c r="D230" s="67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136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72" t="s">
        <v>8</v>
      </c>
    </row>
    <row r="238" spans="1:7" x14ac:dyDescent="0.2">
      <c r="A238" s="29"/>
      <c r="B238" s="101"/>
      <c r="C238" s="41"/>
      <c r="D238" s="376" t="s">
        <v>8</v>
      </c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2850</v>
      </c>
    </row>
    <row r="244" spans="1:7" ht="13.5" thickTop="1" x14ac:dyDescent="0.2">
      <c r="A244" s="875" t="s">
        <v>1525</v>
      </c>
      <c r="B244" s="899"/>
      <c r="C244" s="899"/>
      <c r="D244" s="899"/>
      <c r="E244" s="899"/>
      <c r="F244" s="899"/>
      <c r="G244" s="900"/>
    </row>
    <row r="245" spans="1:7" ht="13.5" thickBot="1" x14ac:dyDescent="0.25">
      <c r="A245" s="52"/>
      <c r="B245" s="103"/>
      <c r="C245" s="374" t="s">
        <v>8</v>
      </c>
      <c r="D245" s="54"/>
      <c r="E245" s="103"/>
      <c r="F245" s="55"/>
      <c r="G245" s="56"/>
    </row>
    <row r="246" spans="1:7" ht="13.5" thickTop="1" x14ac:dyDescent="0.2">
      <c r="A246" s="906"/>
      <c r="B246" s="907"/>
      <c r="C246" s="907"/>
      <c r="D246" s="57" t="s">
        <v>11</v>
      </c>
      <c r="E246" s="908" t="s">
        <v>12</v>
      </c>
      <c r="F246" s="908"/>
      <c r="G246" s="909"/>
    </row>
    <row r="247" spans="1:7" x14ac:dyDescent="0.2">
      <c r="A247" s="910" t="s">
        <v>17</v>
      </c>
      <c r="B247" s="911"/>
      <c r="C247" s="911"/>
      <c r="D247" s="39"/>
      <c r="E247" s="912"/>
      <c r="F247" s="913"/>
      <c r="G247" s="914"/>
    </row>
    <row r="248" spans="1:7" x14ac:dyDescent="0.2">
      <c r="A248" s="910" t="s">
        <v>38</v>
      </c>
      <c r="B248" s="911"/>
      <c r="C248" s="911"/>
      <c r="D248" s="58" t="s">
        <v>326</v>
      </c>
      <c r="E248" s="868" t="s">
        <v>142</v>
      </c>
      <c r="F248" s="868"/>
      <c r="G248" s="869"/>
    </row>
    <row r="249" spans="1:7" ht="13.5" thickBot="1" x14ac:dyDescent="0.25">
      <c r="A249" s="901" t="s">
        <v>39</v>
      </c>
      <c r="B249" s="902"/>
      <c r="C249" s="902"/>
      <c r="D249" s="59" t="s">
        <v>327</v>
      </c>
      <c r="E249" s="904" t="s">
        <v>0</v>
      </c>
      <c r="F249" s="904"/>
      <c r="G249" s="905"/>
    </row>
    <row r="250" spans="1:7" ht="16.5" x14ac:dyDescent="0.25">
      <c r="A250" s="885" t="s">
        <v>29</v>
      </c>
      <c r="B250" s="886"/>
      <c r="C250" s="886"/>
      <c r="D250" s="886"/>
      <c r="E250" s="886"/>
      <c r="F250" s="886"/>
      <c r="G250" s="887"/>
    </row>
    <row r="251" spans="1:7" x14ac:dyDescent="0.2">
      <c r="A251" s="888" t="s">
        <v>48</v>
      </c>
      <c r="B251" s="889"/>
      <c r="C251" s="889"/>
      <c r="D251" s="889"/>
      <c r="E251" s="889"/>
      <c r="F251" s="889"/>
      <c r="G251" s="890"/>
    </row>
    <row r="252" spans="1:7" x14ac:dyDescent="0.2">
      <c r="A252" s="915" t="s">
        <v>49</v>
      </c>
      <c r="B252" s="916"/>
      <c r="C252" s="916"/>
      <c r="D252" s="916"/>
      <c r="E252" s="916"/>
      <c r="F252" s="916"/>
      <c r="G252" s="917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51</v>
      </c>
      <c r="D254" s="13"/>
      <c r="E254" s="362" t="s">
        <v>1988</v>
      </c>
      <c r="F254" s="98"/>
      <c r="G254" s="363" t="s">
        <v>1981</v>
      </c>
    </row>
    <row r="255" spans="1:7" x14ac:dyDescent="0.2">
      <c r="A255" s="17" t="s">
        <v>8</v>
      </c>
      <c r="B255" s="100"/>
      <c r="C255" s="19"/>
      <c r="D255" s="4"/>
      <c r="E255" s="918"/>
      <c r="F255" s="919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920"/>
      <c r="F257" s="921"/>
      <c r="G257" s="25"/>
    </row>
    <row r="258" spans="1:7" ht="26.25" thickBot="1" x14ac:dyDescent="0.25">
      <c r="A258" s="207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71" t="s">
        <v>149</v>
      </c>
      <c r="D259" s="376" t="s">
        <v>1855</v>
      </c>
      <c r="E259" s="158">
        <v>3</v>
      </c>
      <c r="F259" s="128">
        <v>190</v>
      </c>
      <c r="G259" s="35">
        <f>F259*E259</f>
        <v>570</v>
      </c>
    </row>
    <row r="260" spans="1:7" x14ac:dyDescent="0.2">
      <c r="A260" s="364"/>
      <c r="B260" s="101"/>
      <c r="C260" s="371"/>
      <c r="D260" s="370" t="s">
        <v>8</v>
      </c>
      <c r="E260" s="108"/>
      <c r="F260" s="128"/>
      <c r="G260" s="35"/>
    </row>
    <row r="261" spans="1:7" x14ac:dyDescent="0.2">
      <c r="A261" s="29"/>
      <c r="B261" s="101"/>
      <c r="C261" s="371"/>
      <c r="D261" s="370"/>
      <c r="E261" s="108"/>
      <c r="F261" s="149"/>
      <c r="G261" s="35"/>
    </row>
    <row r="262" spans="1:7" x14ac:dyDescent="0.2">
      <c r="A262" s="29"/>
      <c r="B262" s="101"/>
      <c r="C262" s="41"/>
      <c r="D262" s="129"/>
      <c r="E262" s="157"/>
      <c r="F262" s="149"/>
      <c r="G262" s="35"/>
    </row>
    <row r="263" spans="1:7" x14ac:dyDescent="0.2">
      <c r="A263" s="29"/>
      <c r="B263" s="101"/>
      <c r="C263" s="41"/>
      <c r="D263" s="129"/>
      <c r="E263" s="157"/>
      <c r="F263" s="149"/>
      <c r="G263" s="35"/>
    </row>
    <row r="264" spans="1:7" x14ac:dyDescent="0.2">
      <c r="A264" s="29"/>
      <c r="B264" s="101"/>
      <c r="C264" s="41"/>
      <c r="D264" s="370" t="s">
        <v>150</v>
      </c>
      <c r="E264" s="108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05"/>
      <c r="C266" s="41"/>
      <c r="D266" s="136"/>
      <c r="E266" s="102"/>
      <c r="F266" s="128"/>
      <c r="G266" s="35"/>
    </row>
    <row r="267" spans="1:7" x14ac:dyDescent="0.2">
      <c r="A267" s="29"/>
      <c r="B267" s="151"/>
      <c r="C267" s="119"/>
      <c r="D267" s="136"/>
      <c r="E267" s="108"/>
      <c r="F267" s="150"/>
      <c r="G267" s="35"/>
    </row>
    <row r="268" spans="1:7" x14ac:dyDescent="0.2">
      <c r="A268" s="29"/>
      <c r="B268" s="151"/>
      <c r="C268" s="119"/>
      <c r="D268" s="144"/>
      <c r="E268" s="108"/>
      <c r="F268" s="150"/>
      <c r="G268" s="35"/>
    </row>
    <row r="269" spans="1:7" x14ac:dyDescent="0.2">
      <c r="A269" s="29"/>
      <c r="B269" s="101"/>
      <c r="C269" s="41"/>
      <c r="D269" s="383" t="s">
        <v>151</v>
      </c>
      <c r="E269" s="155"/>
      <c r="F269" s="128"/>
      <c r="G269" s="35"/>
    </row>
    <row r="270" spans="1:7" x14ac:dyDescent="0.2">
      <c r="A270" s="29"/>
      <c r="B270" s="106"/>
      <c r="C270" s="41"/>
      <c r="D270" s="136"/>
      <c r="E270" s="104"/>
      <c r="F270" s="128"/>
      <c r="G270" s="35"/>
    </row>
    <row r="271" spans="1:7" x14ac:dyDescent="0.2">
      <c r="A271" s="29"/>
      <c r="B271" s="105"/>
      <c r="C271" s="41"/>
      <c r="D271" s="136"/>
      <c r="E271" s="108"/>
      <c r="F271" s="152"/>
      <c r="G271" s="35"/>
    </row>
    <row r="272" spans="1:7" x14ac:dyDescent="0.2">
      <c r="A272" s="29"/>
      <c r="B272" s="107"/>
      <c r="C272" s="41"/>
      <c r="D272" s="136"/>
      <c r="E272" s="153"/>
      <c r="F272" s="128"/>
      <c r="G272" s="35"/>
    </row>
    <row r="273" spans="1:7" x14ac:dyDescent="0.2">
      <c r="A273" s="29"/>
      <c r="B273" s="107"/>
      <c r="C273" s="41"/>
      <c r="D273" s="67"/>
      <c r="E273" s="153"/>
      <c r="F273" s="128"/>
      <c r="G273" s="35"/>
    </row>
    <row r="274" spans="1:7" x14ac:dyDescent="0.2">
      <c r="A274" s="29"/>
      <c r="B274" s="101"/>
      <c r="C274" s="41"/>
      <c r="D274" s="67"/>
      <c r="E274" s="108"/>
      <c r="F274" s="128"/>
      <c r="G274" s="35"/>
    </row>
    <row r="275" spans="1:7" x14ac:dyDescent="0.2">
      <c r="A275" s="29"/>
      <c r="B275" s="101"/>
      <c r="C275" s="41"/>
      <c r="D275" s="67"/>
      <c r="E275" s="153"/>
      <c r="F275" s="128"/>
      <c r="G275" s="35"/>
    </row>
    <row r="276" spans="1:7" x14ac:dyDescent="0.2">
      <c r="A276" s="29"/>
      <c r="B276" s="106"/>
      <c r="C276" s="41"/>
      <c r="D276" s="67"/>
      <c r="E276" s="104"/>
      <c r="F276" s="154"/>
      <c r="G276" s="35"/>
    </row>
    <row r="277" spans="1:7" x14ac:dyDescent="0.2">
      <c r="A277" s="29"/>
      <c r="B277" s="105"/>
      <c r="C277" s="41"/>
      <c r="D277" s="130"/>
      <c r="E277" s="104"/>
      <c r="F277" s="154"/>
      <c r="G277" s="35"/>
    </row>
    <row r="278" spans="1:7" x14ac:dyDescent="0.2">
      <c r="A278" s="29"/>
      <c r="B278" s="105"/>
      <c r="C278" s="41"/>
      <c r="D278" s="130"/>
      <c r="E278" s="104"/>
      <c r="F278" s="154"/>
      <c r="G278" s="35"/>
    </row>
    <row r="279" spans="1:7" x14ac:dyDescent="0.2">
      <c r="A279" s="29"/>
      <c r="B279" s="105"/>
      <c r="C279" s="41"/>
      <c r="D279" s="130"/>
      <c r="E279" s="104"/>
      <c r="F279" s="154"/>
      <c r="G279" s="35"/>
    </row>
    <row r="280" spans="1:7" x14ac:dyDescent="0.2">
      <c r="A280" s="29"/>
      <c r="B280" s="105"/>
      <c r="C280" s="41"/>
      <c r="D280" s="67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136"/>
      <c r="E283" s="104"/>
      <c r="F283" s="154"/>
      <c r="G283" s="35"/>
    </row>
    <row r="284" spans="1:7" x14ac:dyDescent="0.2">
      <c r="A284" s="29"/>
      <c r="B284" s="101"/>
      <c r="C284" s="41"/>
      <c r="D284" s="62"/>
      <c r="E284" s="104"/>
      <c r="F284" s="154"/>
      <c r="G284" s="35"/>
    </row>
    <row r="285" spans="1:7" x14ac:dyDescent="0.2">
      <c r="A285" s="29"/>
      <c r="B285" s="101"/>
      <c r="C285" s="41"/>
      <c r="D285" s="67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72" t="s">
        <v>8</v>
      </c>
    </row>
    <row r="288" spans="1:7" x14ac:dyDescent="0.2">
      <c r="A288" s="29"/>
      <c r="B288" s="101"/>
      <c r="C288" s="41"/>
      <c r="D288" s="376" t="s">
        <v>8</v>
      </c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02"/>
      <c r="F289" s="128"/>
      <c r="G289" s="35"/>
    </row>
    <row r="290" spans="1:7" x14ac:dyDescent="0.2">
      <c r="A290" s="29"/>
      <c r="B290" s="101"/>
      <c r="C290" s="31"/>
      <c r="D290" s="67"/>
      <c r="E290" s="131"/>
      <c r="F290" s="117"/>
      <c r="G290" s="35"/>
    </row>
    <row r="291" spans="1:7" x14ac:dyDescent="0.2">
      <c r="A291" s="29"/>
      <c r="B291" s="101"/>
      <c r="C291" s="41"/>
      <c r="D291" s="118"/>
      <c r="E291" s="108"/>
      <c r="F291" s="149"/>
      <c r="G291" s="35"/>
    </row>
    <row r="292" spans="1:7" x14ac:dyDescent="0.2">
      <c r="A292" s="29"/>
      <c r="B292" s="101"/>
      <c r="C292" s="41"/>
      <c r="D292" s="144"/>
      <c r="E292" s="108"/>
      <c r="F292" s="149"/>
      <c r="G292" s="35"/>
    </row>
    <row r="293" spans="1:7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570</v>
      </c>
    </row>
    <row r="294" spans="1:7" ht="13.5" thickTop="1" x14ac:dyDescent="0.2">
      <c r="A294" s="875" t="s">
        <v>1989</v>
      </c>
      <c r="B294" s="899"/>
      <c r="C294" s="899"/>
      <c r="D294" s="899"/>
      <c r="E294" s="899"/>
      <c r="F294" s="899"/>
      <c r="G294" s="900"/>
    </row>
    <row r="295" spans="1:7" ht="13.5" thickBot="1" x14ac:dyDescent="0.25">
      <c r="A295" s="52"/>
      <c r="B295" s="103"/>
      <c r="C295" s="374" t="s">
        <v>8</v>
      </c>
      <c r="D295" s="54"/>
      <c r="E295" s="103"/>
      <c r="F295" s="55"/>
      <c r="G295" s="56"/>
    </row>
    <row r="296" spans="1:7" ht="13.5" thickTop="1" x14ac:dyDescent="0.2">
      <c r="A296" s="906"/>
      <c r="B296" s="907"/>
      <c r="C296" s="907"/>
      <c r="D296" s="57" t="s">
        <v>11</v>
      </c>
      <c r="E296" s="908" t="s">
        <v>12</v>
      </c>
      <c r="F296" s="908"/>
      <c r="G296" s="909"/>
    </row>
    <row r="297" spans="1:7" x14ac:dyDescent="0.2">
      <c r="A297" s="910" t="s">
        <v>17</v>
      </c>
      <c r="B297" s="911"/>
      <c r="C297" s="911"/>
      <c r="D297" s="39"/>
      <c r="E297" s="912"/>
      <c r="F297" s="913"/>
      <c r="G297" s="914"/>
    </row>
    <row r="298" spans="1:7" x14ac:dyDescent="0.2">
      <c r="A298" s="910" t="s">
        <v>38</v>
      </c>
      <c r="B298" s="911"/>
      <c r="C298" s="911"/>
      <c r="D298" s="58" t="s">
        <v>326</v>
      </c>
      <c r="E298" s="868" t="s">
        <v>142</v>
      </c>
      <c r="F298" s="868"/>
      <c r="G298" s="869"/>
    </row>
    <row r="299" spans="1:7" ht="13.5" thickBot="1" x14ac:dyDescent="0.25">
      <c r="A299" s="901" t="s">
        <v>39</v>
      </c>
      <c r="B299" s="902"/>
      <c r="C299" s="902"/>
      <c r="D299" s="59" t="s">
        <v>327</v>
      </c>
      <c r="E299" s="904" t="s">
        <v>0</v>
      </c>
      <c r="F299" s="904"/>
      <c r="G299" s="905"/>
    </row>
    <row r="300" spans="1:7" ht="16.5" x14ac:dyDescent="0.25">
      <c r="A300" s="885" t="s">
        <v>29</v>
      </c>
      <c r="B300" s="886"/>
      <c r="C300" s="886"/>
      <c r="D300" s="886"/>
      <c r="E300" s="886"/>
      <c r="F300" s="886"/>
      <c r="G300" s="887"/>
    </row>
    <row r="301" spans="1:7" x14ac:dyDescent="0.2">
      <c r="A301" s="888" t="s">
        <v>48</v>
      </c>
      <c r="B301" s="889"/>
      <c r="C301" s="889"/>
      <c r="D301" s="889"/>
      <c r="E301" s="889"/>
      <c r="F301" s="889"/>
      <c r="G301" s="890"/>
    </row>
    <row r="302" spans="1:7" x14ac:dyDescent="0.2">
      <c r="A302" s="915" t="s">
        <v>49</v>
      </c>
      <c r="B302" s="916"/>
      <c r="C302" s="916"/>
      <c r="D302" s="916"/>
      <c r="E302" s="916"/>
      <c r="F302" s="916"/>
      <c r="G302" s="917"/>
    </row>
    <row r="303" spans="1:7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7" x14ac:dyDescent="0.2">
      <c r="A304" s="12" t="s">
        <v>1</v>
      </c>
      <c r="B304" s="13"/>
      <c r="C304" s="14" t="s">
        <v>51</v>
      </c>
      <c r="D304" s="13"/>
      <c r="E304" s="362" t="s">
        <v>2152</v>
      </c>
      <c r="F304" s="98"/>
      <c r="G304" s="363" t="s">
        <v>2151</v>
      </c>
    </row>
    <row r="305" spans="1:9" x14ac:dyDescent="0.2">
      <c r="A305" s="17" t="s">
        <v>8</v>
      </c>
      <c r="B305" s="100"/>
      <c r="C305" s="19"/>
      <c r="D305" s="4"/>
      <c r="E305" s="918"/>
      <c r="F305" s="919"/>
      <c r="G305" s="20"/>
    </row>
    <row r="306" spans="1:9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9" x14ac:dyDescent="0.2">
      <c r="A307" s="6"/>
      <c r="B307" s="99"/>
      <c r="C307" s="8"/>
      <c r="D307" s="8"/>
      <c r="E307" s="920"/>
      <c r="F307" s="921"/>
      <c r="G307" s="25"/>
    </row>
    <row r="308" spans="1:9" ht="26.25" thickBot="1" x14ac:dyDescent="0.25">
      <c r="A308" s="207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9" ht="13.5" thickTop="1" x14ac:dyDescent="0.2">
      <c r="A309" s="29">
        <v>1</v>
      </c>
      <c r="B309" s="101"/>
      <c r="C309" s="371" t="s">
        <v>149</v>
      </c>
      <c r="D309" s="376" t="s">
        <v>2129</v>
      </c>
      <c r="E309" s="158">
        <v>20</v>
      </c>
      <c r="F309" s="128">
        <v>200</v>
      </c>
      <c r="G309" s="35">
        <f>F309*E309</f>
        <v>4000</v>
      </c>
    </row>
    <row r="310" spans="1:9" x14ac:dyDescent="0.2">
      <c r="A310" s="364">
        <v>2</v>
      </c>
      <c r="B310" s="101"/>
      <c r="C310" s="371" t="s">
        <v>149</v>
      </c>
      <c r="D310" s="370" t="s">
        <v>348</v>
      </c>
      <c r="E310" s="108">
        <v>20</v>
      </c>
      <c r="F310" s="128">
        <v>350</v>
      </c>
      <c r="G310" s="35">
        <f>F310*E310</f>
        <v>7000</v>
      </c>
    </row>
    <row r="311" spans="1:9" x14ac:dyDescent="0.2">
      <c r="A311" s="29"/>
      <c r="B311" s="101"/>
      <c r="C311" s="371"/>
      <c r="D311" s="370" t="s">
        <v>1889</v>
      </c>
      <c r="E311" s="108"/>
      <c r="F311" s="149"/>
      <c r="G311" s="35"/>
    </row>
    <row r="312" spans="1:9" x14ac:dyDescent="0.2">
      <c r="A312" s="29"/>
      <c r="B312" s="101"/>
      <c r="C312" s="41"/>
      <c r="D312" s="129"/>
      <c r="E312" s="157"/>
      <c r="F312" s="149"/>
      <c r="G312" s="35"/>
    </row>
    <row r="313" spans="1:9" x14ac:dyDescent="0.2">
      <c r="A313" s="29"/>
      <c r="B313" s="101"/>
      <c r="C313" s="41"/>
      <c r="D313" s="129"/>
      <c r="E313" s="157"/>
      <c r="F313" s="149"/>
      <c r="G313" s="35"/>
    </row>
    <row r="314" spans="1:9" x14ac:dyDescent="0.2">
      <c r="A314" s="29"/>
      <c r="B314" s="101"/>
      <c r="C314" s="41"/>
      <c r="D314" s="370" t="s">
        <v>150</v>
      </c>
      <c r="E314" s="108"/>
      <c r="F314" s="128"/>
      <c r="G314" s="35"/>
    </row>
    <row r="315" spans="1:9" x14ac:dyDescent="0.2">
      <c r="A315" s="29"/>
      <c r="B315" s="105"/>
      <c r="C315" s="41"/>
      <c r="D315" s="136"/>
      <c r="E315" s="102"/>
      <c r="F315" s="128"/>
      <c r="G315" s="35"/>
    </row>
    <row r="316" spans="1:9" x14ac:dyDescent="0.2">
      <c r="A316" s="29"/>
      <c r="B316" s="105"/>
      <c r="C316" s="41"/>
      <c r="D316" s="136"/>
      <c r="E316" s="102"/>
      <c r="F316" s="128"/>
      <c r="G316" s="35"/>
    </row>
    <row r="317" spans="1:9" x14ac:dyDescent="0.2">
      <c r="A317" s="29"/>
      <c r="B317" s="151"/>
      <c r="C317" s="119"/>
      <c r="D317" s="136"/>
      <c r="E317" s="108"/>
      <c r="F317" s="150"/>
      <c r="G317" s="35"/>
    </row>
    <row r="318" spans="1:9" x14ac:dyDescent="0.2">
      <c r="A318" s="29"/>
      <c r="B318" s="151"/>
      <c r="C318" s="119"/>
      <c r="D318" s="144"/>
      <c r="E318" s="108"/>
      <c r="F318" s="150"/>
      <c r="G318" s="35"/>
    </row>
    <row r="319" spans="1:9" x14ac:dyDescent="0.2">
      <c r="A319" s="29"/>
      <c r="B319" s="101"/>
      <c r="C319" s="41"/>
      <c r="D319" s="383" t="s">
        <v>151</v>
      </c>
      <c r="E319" s="155"/>
      <c r="F319" s="128"/>
      <c r="G319" s="35"/>
      <c r="I319" s="430" t="s">
        <v>2645</v>
      </c>
    </row>
    <row r="320" spans="1:9" x14ac:dyDescent="0.2">
      <c r="A320" s="29"/>
      <c r="B320" s="106"/>
      <c r="C320" s="41"/>
      <c r="D320" s="136"/>
      <c r="E320" s="104"/>
      <c r="F320" s="128"/>
      <c r="G320" s="35"/>
    </row>
    <row r="321" spans="1:7" x14ac:dyDescent="0.2">
      <c r="A321" s="29"/>
      <c r="B321" s="105"/>
      <c r="C321" s="41"/>
      <c r="D321" s="136"/>
      <c r="E321" s="108"/>
      <c r="F321" s="152"/>
      <c r="G321" s="35"/>
    </row>
    <row r="322" spans="1:7" x14ac:dyDescent="0.2">
      <c r="A322" s="29"/>
      <c r="B322" s="107"/>
      <c r="C322" s="41"/>
      <c r="D322" s="136"/>
      <c r="E322" s="153"/>
      <c r="F322" s="128"/>
      <c r="G322" s="35"/>
    </row>
    <row r="323" spans="1:7" x14ac:dyDescent="0.2">
      <c r="A323" s="29"/>
      <c r="B323" s="107"/>
      <c r="C323" s="41"/>
      <c r="D323" s="67"/>
      <c r="E323" s="153"/>
      <c r="F323" s="128"/>
      <c r="G323" s="35"/>
    </row>
    <row r="324" spans="1:7" x14ac:dyDescent="0.2">
      <c r="A324" s="29"/>
      <c r="B324" s="101"/>
      <c r="C324" s="41"/>
      <c r="D324" s="67"/>
      <c r="E324" s="108"/>
      <c r="F324" s="128"/>
      <c r="G324" s="35"/>
    </row>
    <row r="325" spans="1:7" x14ac:dyDescent="0.2">
      <c r="A325" s="29"/>
      <c r="B325" s="101"/>
      <c r="C325" s="41"/>
      <c r="D325" s="67"/>
      <c r="E325" s="153"/>
      <c r="F325" s="128"/>
      <c r="G325" s="35"/>
    </row>
    <row r="326" spans="1:7" x14ac:dyDescent="0.2">
      <c r="A326" s="29"/>
      <c r="B326" s="106"/>
      <c r="C326" s="41"/>
      <c r="D326" s="67"/>
      <c r="E326" s="104"/>
      <c r="F326" s="154"/>
      <c r="G326" s="35"/>
    </row>
    <row r="327" spans="1:7" x14ac:dyDescent="0.2">
      <c r="A327" s="29"/>
      <c r="B327" s="105"/>
      <c r="C327" s="41"/>
      <c r="D327" s="130"/>
      <c r="E327" s="104"/>
      <c r="F327" s="154"/>
      <c r="G327" s="35"/>
    </row>
    <row r="328" spans="1:7" x14ac:dyDescent="0.2">
      <c r="A328" s="29"/>
      <c r="B328" s="105"/>
      <c r="C328" s="41"/>
      <c r="D328" s="130"/>
      <c r="E328" s="104"/>
      <c r="F328" s="154"/>
      <c r="G328" s="35"/>
    </row>
    <row r="329" spans="1:7" x14ac:dyDescent="0.2">
      <c r="A329" s="29"/>
      <c r="B329" s="105"/>
      <c r="C329" s="41"/>
      <c r="D329" s="130"/>
      <c r="E329" s="104"/>
      <c r="F329" s="154"/>
      <c r="G329" s="35"/>
    </row>
    <row r="330" spans="1:7" x14ac:dyDescent="0.2">
      <c r="A330" s="29"/>
      <c r="B330" s="105"/>
      <c r="C330" s="41"/>
      <c r="D330" s="67"/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136"/>
      <c r="E332" s="104"/>
      <c r="F332" s="154"/>
      <c r="G332" s="35"/>
    </row>
    <row r="333" spans="1:7" x14ac:dyDescent="0.2">
      <c r="A333" s="29"/>
      <c r="B333" s="101"/>
      <c r="C333" s="41"/>
      <c r="D333" s="136"/>
      <c r="E333" s="104"/>
      <c r="F333" s="154"/>
      <c r="G333" s="35"/>
    </row>
    <row r="334" spans="1:7" x14ac:dyDescent="0.2">
      <c r="A334" s="29"/>
      <c r="B334" s="101"/>
      <c r="C334" s="41"/>
      <c r="D334" s="62"/>
      <c r="E334" s="104"/>
      <c r="F334" s="154"/>
      <c r="G334" s="35"/>
    </row>
    <row r="335" spans="1:7" x14ac:dyDescent="0.2">
      <c r="A335" s="29"/>
      <c r="B335" s="101"/>
      <c r="C335" s="41"/>
      <c r="D335" s="67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60"/>
      <c r="E337" s="108"/>
      <c r="F337" s="128"/>
      <c r="G337" s="372" t="s">
        <v>8</v>
      </c>
    </row>
    <row r="338" spans="1:7" x14ac:dyDescent="0.2">
      <c r="A338" s="29"/>
      <c r="B338" s="101"/>
      <c r="C338" s="41"/>
      <c r="D338" s="376" t="s">
        <v>8</v>
      </c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11000</v>
      </c>
    </row>
    <row r="344" spans="1:7" ht="13.5" thickTop="1" x14ac:dyDescent="0.2">
      <c r="A344" s="875" t="s">
        <v>2130</v>
      </c>
      <c r="B344" s="899"/>
      <c r="C344" s="899"/>
      <c r="D344" s="899"/>
      <c r="E344" s="899"/>
      <c r="F344" s="899"/>
      <c r="G344" s="900"/>
    </row>
    <row r="345" spans="1:7" ht="13.5" thickBot="1" x14ac:dyDescent="0.25">
      <c r="A345" s="52"/>
      <c r="B345" s="103"/>
      <c r="C345" s="374" t="s">
        <v>8</v>
      </c>
      <c r="D345" s="54"/>
      <c r="E345" s="103"/>
      <c r="F345" s="55"/>
      <c r="G345" s="56"/>
    </row>
    <row r="346" spans="1:7" ht="13.5" thickTop="1" x14ac:dyDescent="0.2">
      <c r="A346" s="906"/>
      <c r="B346" s="907"/>
      <c r="C346" s="907"/>
      <c r="D346" s="57" t="s">
        <v>11</v>
      </c>
      <c r="E346" s="908" t="s">
        <v>12</v>
      </c>
      <c r="F346" s="908"/>
      <c r="G346" s="909"/>
    </row>
    <row r="347" spans="1:7" x14ac:dyDescent="0.2">
      <c r="A347" s="910" t="s">
        <v>17</v>
      </c>
      <c r="B347" s="911"/>
      <c r="C347" s="911"/>
      <c r="D347" s="39"/>
      <c r="E347" s="912"/>
      <c r="F347" s="913"/>
      <c r="G347" s="914"/>
    </row>
    <row r="348" spans="1:7" x14ac:dyDescent="0.2">
      <c r="A348" s="910" t="s">
        <v>38</v>
      </c>
      <c r="B348" s="911"/>
      <c r="C348" s="911"/>
      <c r="D348" s="58" t="s">
        <v>326</v>
      </c>
      <c r="E348" s="868" t="s">
        <v>142</v>
      </c>
      <c r="F348" s="868"/>
      <c r="G348" s="869"/>
    </row>
    <row r="349" spans="1:7" ht="13.5" thickBot="1" x14ac:dyDescent="0.25">
      <c r="A349" s="901" t="s">
        <v>39</v>
      </c>
      <c r="B349" s="902"/>
      <c r="C349" s="902"/>
      <c r="D349" s="59" t="s">
        <v>327</v>
      </c>
      <c r="E349" s="904" t="s">
        <v>0</v>
      </c>
      <c r="F349" s="904"/>
      <c r="G349" s="905"/>
    </row>
    <row r="350" spans="1:7" ht="16.5" x14ac:dyDescent="0.25">
      <c r="A350" s="885" t="s">
        <v>29</v>
      </c>
      <c r="B350" s="886"/>
      <c r="C350" s="886"/>
      <c r="D350" s="886"/>
      <c r="E350" s="886"/>
      <c r="F350" s="886"/>
      <c r="G350" s="887"/>
    </row>
    <row r="351" spans="1:7" x14ac:dyDescent="0.2">
      <c r="A351" s="888" t="s">
        <v>48</v>
      </c>
      <c r="B351" s="889"/>
      <c r="C351" s="889"/>
      <c r="D351" s="889"/>
      <c r="E351" s="889"/>
      <c r="F351" s="889"/>
      <c r="G351" s="890"/>
    </row>
    <row r="352" spans="1:7" x14ac:dyDescent="0.2">
      <c r="A352" s="915" t="s">
        <v>49</v>
      </c>
      <c r="B352" s="916"/>
      <c r="C352" s="916"/>
      <c r="D352" s="916"/>
      <c r="E352" s="916"/>
      <c r="F352" s="916"/>
      <c r="G352" s="917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51</v>
      </c>
      <c r="D354" s="13"/>
      <c r="E354" s="362" t="s">
        <v>2389</v>
      </c>
      <c r="F354" s="98"/>
      <c r="G354" s="363" t="s">
        <v>2378</v>
      </c>
    </row>
    <row r="355" spans="1:7" x14ac:dyDescent="0.2">
      <c r="A355" s="17" t="s">
        <v>8</v>
      </c>
      <c r="B355" s="100"/>
      <c r="C355" s="19"/>
      <c r="D355" s="4"/>
      <c r="E355" s="918"/>
      <c r="F355" s="919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920"/>
      <c r="F357" s="921"/>
      <c r="G357" s="25"/>
    </row>
    <row r="358" spans="1:7" ht="26.25" thickBot="1" x14ac:dyDescent="0.25">
      <c r="A358" s="207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71" t="s">
        <v>149</v>
      </c>
      <c r="D359" s="376" t="s">
        <v>2385</v>
      </c>
      <c r="E359" s="158">
        <v>20</v>
      </c>
      <c r="F359" s="128">
        <v>200</v>
      </c>
      <c r="G359" s="35">
        <f>F359*E359</f>
        <v>4000</v>
      </c>
    </row>
    <row r="360" spans="1:7" x14ac:dyDescent="0.2">
      <c r="A360" s="364">
        <v>2</v>
      </c>
      <c r="B360" s="101"/>
      <c r="C360" s="371" t="s">
        <v>149</v>
      </c>
      <c r="D360" s="370" t="s">
        <v>348</v>
      </c>
      <c r="E360" s="108">
        <v>20</v>
      </c>
      <c r="F360" s="128">
        <v>350</v>
      </c>
      <c r="G360" s="35">
        <f>F360*E360</f>
        <v>7000</v>
      </c>
    </row>
    <row r="361" spans="1:7" x14ac:dyDescent="0.2">
      <c r="A361" s="29"/>
      <c r="B361" s="101"/>
      <c r="C361" s="371"/>
      <c r="D361" s="370" t="s">
        <v>1889</v>
      </c>
      <c r="E361" s="108"/>
      <c r="F361" s="149"/>
      <c r="G361" s="35"/>
    </row>
    <row r="362" spans="1:7" x14ac:dyDescent="0.2">
      <c r="A362" s="29"/>
      <c r="B362" s="101"/>
      <c r="C362" s="41"/>
      <c r="D362" s="129"/>
      <c r="E362" s="157"/>
      <c r="F362" s="149"/>
      <c r="G362" s="35"/>
    </row>
    <row r="363" spans="1:7" x14ac:dyDescent="0.2">
      <c r="A363" s="29"/>
      <c r="B363" s="101"/>
      <c r="C363" s="41"/>
      <c r="D363" s="129"/>
      <c r="E363" s="157"/>
      <c r="F363" s="149"/>
      <c r="G363" s="35"/>
    </row>
    <row r="364" spans="1:7" x14ac:dyDescent="0.2">
      <c r="A364" s="29"/>
      <c r="B364" s="101"/>
      <c r="C364" s="41"/>
      <c r="D364" s="370" t="s">
        <v>150</v>
      </c>
      <c r="E364" s="108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05"/>
      <c r="C366" s="41"/>
      <c r="D366" s="136"/>
      <c r="E366" s="102"/>
      <c r="F366" s="128"/>
      <c r="G366" s="35"/>
    </row>
    <row r="367" spans="1:7" x14ac:dyDescent="0.2">
      <c r="A367" s="29"/>
      <c r="B367" s="151"/>
      <c r="C367" s="119"/>
      <c r="D367" s="136"/>
      <c r="E367" s="108"/>
      <c r="F367" s="150"/>
      <c r="G367" s="35"/>
    </row>
    <row r="368" spans="1:7" x14ac:dyDescent="0.2">
      <c r="A368" s="29"/>
      <c r="B368" s="151"/>
      <c r="C368" s="119"/>
      <c r="D368" s="144"/>
      <c r="E368" s="108"/>
      <c r="F368" s="150"/>
      <c r="G368" s="35"/>
    </row>
    <row r="369" spans="1:7" x14ac:dyDescent="0.2">
      <c r="A369" s="29"/>
      <c r="B369" s="101"/>
      <c r="C369" s="41"/>
      <c r="D369" s="383" t="s">
        <v>151</v>
      </c>
      <c r="E369" s="155"/>
      <c r="F369" s="128"/>
      <c r="G369" s="35"/>
    </row>
    <row r="370" spans="1:7" x14ac:dyDescent="0.2">
      <c r="A370" s="29"/>
      <c r="B370" s="106"/>
      <c r="C370" s="41"/>
      <c r="D370" s="136"/>
      <c r="E370" s="104"/>
      <c r="F370" s="128"/>
      <c r="G370" s="35"/>
    </row>
    <row r="371" spans="1:7" x14ac:dyDescent="0.2">
      <c r="A371" s="29"/>
      <c r="B371" s="105"/>
      <c r="C371" s="41"/>
      <c r="D371" s="136"/>
      <c r="E371" s="108"/>
      <c r="F371" s="152"/>
      <c r="G371" s="35"/>
    </row>
    <row r="372" spans="1:7" x14ac:dyDescent="0.2">
      <c r="A372" s="29"/>
      <c r="B372" s="107"/>
      <c r="C372" s="41"/>
      <c r="D372" s="136"/>
      <c r="E372" s="153"/>
      <c r="F372" s="128"/>
      <c r="G372" s="35"/>
    </row>
    <row r="373" spans="1:7" x14ac:dyDescent="0.2">
      <c r="A373" s="29"/>
      <c r="B373" s="107"/>
      <c r="C373" s="41"/>
      <c r="D373" s="67"/>
      <c r="E373" s="153"/>
      <c r="F373" s="128"/>
      <c r="G373" s="35"/>
    </row>
    <row r="374" spans="1:7" x14ac:dyDescent="0.2">
      <c r="A374" s="29"/>
      <c r="B374" s="101"/>
      <c r="C374" s="41"/>
      <c r="D374" s="67"/>
      <c r="E374" s="108"/>
      <c r="F374" s="128"/>
      <c r="G374" s="35"/>
    </row>
    <row r="375" spans="1:7" x14ac:dyDescent="0.2">
      <c r="A375" s="29"/>
      <c r="B375" s="101"/>
      <c r="C375" s="41"/>
      <c r="D375" s="67"/>
      <c r="E375" s="153"/>
      <c r="F375" s="128"/>
      <c r="G375" s="35"/>
    </row>
    <row r="376" spans="1:7" x14ac:dyDescent="0.2">
      <c r="A376" s="29"/>
      <c r="B376" s="106"/>
      <c r="C376" s="41"/>
      <c r="D376" s="67"/>
      <c r="E376" s="104"/>
      <c r="F376" s="154"/>
      <c r="G376" s="35"/>
    </row>
    <row r="377" spans="1:7" x14ac:dyDescent="0.2">
      <c r="A377" s="29"/>
      <c r="B377" s="105"/>
      <c r="C377" s="41"/>
      <c r="D377" s="130"/>
      <c r="E377" s="104"/>
      <c r="F377" s="154"/>
      <c r="G377" s="35"/>
    </row>
    <row r="378" spans="1:7" x14ac:dyDescent="0.2">
      <c r="A378" s="29"/>
      <c r="B378" s="105"/>
      <c r="C378" s="41"/>
      <c r="D378" s="130"/>
      <c r="E378" s="104"/>
      <c r="F378" s="154"/>
      <c r="G378" s="35"/>
    </row>
    <row r="379" spans="1:7" x14ac:dyDescent="0.2">
      <c r="A379" s="29"/>
      <c r="B379" s="105"/>
      <c r="C379" s="41"/>
      <c r="D379" s="130"/>
      <c r="E379" s="104"/>
      <c r="F379" s="154"/>
      <c r="G379" s="35"/>
    </row>
    <row r="380" spans="1:7" x14ac:dyDescent="0.2">
      <c r="A380" s="29"/>
      <c r="B380" s="105"/>
      <c r="C380" s="41"/>
      <c r="D380" s="67"/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136"/>
      <c r="E383" s="104"/>
      <c r="F383" s="154"/>
      <c r="G383" s="35"/>
    </row>
    <row r="384" spans="1:7" x14ac:dyDescent="0.2">
      <c r="A384" s="29"/>
      <c r="B384" s="101"/>
      <c r="C384" s="41"/>
      <c r="D384" s="62"/>
      <c r="E384" s="104"/>
      <c r="F384" s="154"/>
      <c r="G384" s="35"/>
    </row>
    <row r="385" spans="1:7" x14ac:dyDescent="0.2">
      <c r="A385" s="29"/>
      <c r="B385" s="101"/>
      <c r="C385" s="41"/>
      <c r="D385" s="67"/>
      <c r="E385" s="104"/>
      <c r="F385" s="154"/>
      <c r="G385" s="35"/>
    </row>
    <row r="386" spans="1:7" x14ac:dyDescent="0.2">
      <c r="A386" s="29"/>
      <c r="B386" s="101"/>
      <c r="C386" s="41"/>
      <c r="D386" s="159"/>
      <c r="E386" s="104"/>
      <c r="F386" s="154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72" t="s">
        <v>8</v>
      </c>
    </row>
    <row r="388" spans="1:7" x14ac:dyDescent="0.2">
      <c r="A388" s="29"/>
      <c r="B388" s="101"/>
      <c r="C388" s="41"/>
      <c r="D388" s="376" t="s">
        <v>8</v>
      </c>
      <c r="E388" s="153"/>
      <c r="F388" s="128"/>
      <c r="G388" s="35"/>
    </row>
    <row r="389" spans="1:7" x14ac:dyDescent="0.2">
      <c r="A389" s="29"/>
      <c r="B389" s="101"/>
      <c r="C389" s="41"/>
      <c r="D389" s="136"/>
      <c r="E389" s="102"/>
      <c r="F389" s="128"/>
      <c r="G389" s="35"/>
    </row>
    <row r="390" spans="1:7" x14ac:dyDescent="0.2">
      <c r="A390" s="29"/>
      <c r="B390" s="101"/>
      <c r="C390" s="31"/>
      <c r="D390" s="67"/>
      <c r="E390" s="131"/>
      <c r="F390" s="117"/>
      <c r="G390" s="35"/>
    </row>
    <row r="391" spans="1:7" x14ac:dyDescent="0.2">
      <c r="A391" s="29"/>
      <c r="B391" s="101"/>
      <c r="C391" s="41"/>
      <c r="D391" s="118"/>
      <c r="E391" s="108"/>
      <c r="F391" s="149"/>
      <c r="G391" s="35"/>
    </row>
    <row r="392" spans="1:7" x14ac:dyDescent="0.2">
      <c r="A392" s="29"/>
      <c r="B392" s="101"/>
      <c r="C392" s="41"/>
      <c r="D392" s="144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11000</v>
      </c>
    </row>
    <row r="394" spans="1:7" ht="13.5" thickTop="1" x14ac:dyDescent="0.2">
      <c r="A394" s="875" t="s">
        <v>2386</v>
      </c>
      <c r="B394" s="899"/>
      <c r="C394" s="899"/>
      <c r="D394" s="899"/>
      <c r="E394" s="899"/>
      <c r="F394" s="899"/>
      <c r="G394" s="900"/>
    </row>
    <row r="395" spans="1:7" ht="13.5" thickBot="1" x14ac:dyDescent="0.25">
      <c r="A395" s="52"/>
      <c r="B395" s="103"/>
      <c r="C395" s="374" t="s">
        <v>8</v>
      </c>
      <c r="D395" s="54"/>
      <c r="E395" s="103"/>
      <c r="F395" s="55"/>
      <c r="G395" s="56"/>
    </row>
    <row r="396" spans="1:7" ht="13.5" thickTop="1" x14ac:dyDescent="0.2">
      <c r="A396" s="906"/>
      <c r="B396" s="907"/>
      <c r="C396" s="907"/>
      <c r="D396" s="57" t="s">
        <v>11</v>
      </c>
      <c r="E396" s="908" t="s">
        <v>12</v>
      </c>
      <c r="F396" s="908"/>
      <c r="G396" s="909"/>
    </row>
    <row r="397" spans="1:7" x14ac:dyDescent="0.2">
      <c r="A397" s="910" t="s">
        <v>17</v>
      </c>
      <c r="B397" s="911"/>
      <c r="C397" s="911"/>
      <c r="D397" s="39"/>
      <c r="E397" s="912"/>
      <c r="F397" s="913"/>
      <c r="G397" s="914"/>
    </row>
    <row r="398" spans="1:7" x14ac:dyDescent="0.2">
      <c r="A398" s="910" t="s">
        <v>38</v>
      </c>
      <c r="B398" s="911"/>
      <c r="C398" s="911"/>
      <c r="D398" s="58" t="s">
        <v>326</v>
      </c>
      <c r="E398" s="868" t="s">
        <v>142</v>
      </c>
      <c r="F398" s="868"/>
      <c r="G398" s="869"/>
    </row>
    <row r="399" spans="1:7" ht="13.5" thickBot="1" x14ac:dyDescent="0.25">
      <c r="A399" s="901" t="s">
        <v>39</v>
      </c>
      <c r="B399" s="902"/>
      <c r="C399" s="902"/>
      <c r="D399" s="59" t="s">
        <v>327</v>
      </c>
      <c r="E399" s="904" t="s">
        <v>0</v>
      </c>
      <c r="F399" s="904"/>
      <c r="G399" s="905"/>
    </row>
    <row r="400" spans="1:7" ht="16.5" x14ac:dyDescent="0.25">
      <c r="A400" s="885" t="s">
        <v>29</v>
      </c>
      <c r="B400" s="886"/>
      <c r="C400" s="886"/>
      <c r="D400" s="886"/>
      <c r="E400" s="886"/>
      <c r="F400" s="886"/>
      <c r="G400" s="887"/>
    </row>
    <row r="401" spans="1:7" x14ac:dyDescent="0.2">
      <c r="A401" s="888" t="s">
        <v>48</v>
      </c>
      <c r="B401" s="889"/>
      <c r="C401" s="889"/>
      <c r="D401" s="889"/>
      <c r="E401" s="889"/>
      <c r="F401" s="889"/>
      <c r="G401" s="890"/>
    </row>
    <row r="402" spans="1:7" x14ac:dyDescent="0.2">
      <c r="A402" s="915" t="s">
        <v>49</v>
      </c>
      <c r="B402" s="916"/>
      <c r="C402" s="916"/>
      <c r="D402" s="916"/>
      <c r="E402" s="916"/>
      <c r="F402" s="916"/>
      <c r="G402" s="917"/>
    </row>
    <row r="403" spans="1:7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7" x14ac:dyDescent="0.2">
      <c r="A404" s="12" t="s">
        <v>1</v>
      </c>
      <c r="B404" s="13"/>
      <c r="C404" s="14" t="s">
        <v>51</v>
      </c>
      <c r="D404" s="13"/>
      <c r="E404" s="362" t="s">
        <v>2576</v>
      </c>
      <c r="F404" s="98"/>
      <c r="G404" s="363" t="s">
        <v>2568</v>
      </c>
    </row>
    <row r="405" spans="1:7" x14ac:dyDescent="0.2">
      <c r="A405" s="17" t="s">
        <v>8</v>
      </c>
      <c r="B405" s="100"/>
      <c r="C405" s="19"/>
      <c r="D405" s="4"/>
      <c r="E405" s="918"/>
      <c r="F405" s="919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7" x14ac:dyDescent="0.2">
      <c r="A407" s="6"/>
      <c r="B407" s="99"/>
      <c r="C407" s="8"/>
      <c r="D407" s="8"/>
      <c r="E407" s="920"/>
      <c r="F407" s="921"/>
      <c r="G407" s="25"/>
    </row>
    <row r="408" spans="1:7" ht="26.25" thickBot="1" x14ac:dyDescent="0.25">
      <c r="A408" s="207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29">
        <v>1</v>
      </c>
      <c r="B409" s="101"/>
      <c r="C409" s="371" t="s">
        <v>242</v>
      </c>
      <c r="D409" s="376" t="s">
        <v>2577</v>
      </c>
      <c r="E409" s="158">
        <v>40</v>
      </c>
      <c r="F409" s="128">
        <v>79</v>
      </c>
      <c r="G409" s="35">
        <f>F409*E409</f>
        <v>3160</v>
      </c>
    </row>
    <row r="410" spans="1:7" x14ac:dyDescent="0.2">
      <c r="A410" s="364"/>
      <c r="B410" s="101"/>
      <c r="C410" s="371"/>
      <c r="D410" s="370"/>
      <c r="E410" s="108"/>
      <c r="F410" s="128"/>
      <c r="G410" s="35"/>
    </row>
    <row r="411" spans="1:7" x14ac:dyDescent="0.2">
      <c r="A411" s="29"/>
      <c r="B411" s="101"/>
      <c r="C411" s="371"/>
      <c r="D411" s="370"/>
      <c r="E411" s="108"/>
      <c r="F411" s="149"/>
      <c r="G411" s="35"/>
    </row>
    <row r="412" spans="1:7" x14ac:dyDescent="0.2">
      <c r="A412" s="29"/>
      <c r="B412" s="101"/>
      <c r="C412" s="41"/>
      <c r="D412" s="129"/>
      <c r="E412" s="157"/>
      <c r="F412" s="149"/>
      <c r="G412" s="35"/>
    </row>
    <row r="413" spans="1:7" x14ac:dyDescent="0.2">
      <c r="A413" s="29"/>
      <c r="B413" s="101"/>
      <c r="C413" s="41"/>
      <c r="D413" s="129"/>
      <c r="E413" s="157"/>
      <c r="F413" s="149"/>
      <c r="G413" s="35"/>
    </row>
    <row r="414" spans="1:7" x14ac:dyDescent="0.2">
      <c r="A414" s="29"/>
      <c r="B414" s="101"/>
      <c r="C414" s="41"/>
      <c r="D414" s="370"/>
      <c r="E414" s="108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05"/>
      <c r="C416" s="41"/>
      <c r="D416" s="136"/>
      <c r="E416" s="102"/>
      <c r="F416" s="128"/>
      <c r="G416" s="35"/>
    </row>
    <row r="417" spans="1:7" x14ac:dyDescent="0.2">
      <c r="A417" s="29"/>
      <c r="B417" s="151"/>
      <c r="C417" s="119"/>
      <c r="D417" s="136"/>
      <c r="E417" s="108"/>
      <c r="F417" s="150"/>
      <c r="G417" s="35"/>
    </row>
    <row r="418" spans="1:7" x14ac:dyDescent="0.2">
      <c r="A418" s="29"/>
      <c r="B418" s="151"/>
      <c r="C418" s="119"/>
      <c r="D418" s="144"/>
      <c r="E418" s="108"/>
      <c r="F418" s="150"/>
      <c r="G418" s="35"/>
    </row>
    <row r="419" spans="1:7" x14ac:dyDescent="0.2">
      <c r="A419" s="29"/>
      <c r="B419" s="101"/>
      <c r="C419" s="41"/>
      <c r="D419" s="383" t="s">
        <v>151</v>
      </c>
      <c r="E419" s="155"/>
      <c r="F419" s="128"/>
      <c r="G419" s="35"/>
    </row>
    <row r="420" spans="1:7" x14ac:dyDescent="0.2">
      <c r="A420" s="29"/>
      <c r="B420" s="106"/>
      <c r="C420" s="41"/>
      <c r="D420" s="136"/>
      <c r="E420" s="104"/>
      <c r="F420" s="128"/>
      <c r="G420" s="35"/>
    </row>
    <row r="421" spans="1:7" x14ac:dyDescent="0.2">
      <c r="A421" s="29"/>
      <c r="B421" s="105"/>
      <c r="C421" s="41"/>
      <c r="D421" s="136"/>
      <c r="E421" s="108"/>
      <c r="F421" s="152"/>
      <c r="G421" s="35"/>
    </row>
    <row r="422" spans="1:7" x14ac:dyDescent="0.2">
      <c r="A422" s="29"/>
      <c r="B422" s="107"/>
      <c r="C422" s="41"/>
      <c r="D422" s="136"/>
      <c r="E422" s="153"/>
      <c r="F422" s="128"/>
      <c r="G422" s="35"/>
    </row>
    <row r="423" spans="1:7" x14ac:dyDescent="0.2">
      <c r="A423" s="29"/>
      <c r="B423" s="107"/>
      <c r="C423" s="41"/>
      <c r="D423" s="67"/>
      <c r="E423" s="153"/>
      <c r="F423" s="128"/>
      <c r="G423" s="35"/>
    </row>
    <row r="424" spans="1:7" x14ac:dyDescent="0.2">
      <c r="A424" s="29"/>
      <c r="B424" s="101"/>
      <c r="C424" s="41"/>
      <c r="D424" s="67"/>
      <c r="E424" s="108"/>
      <c r="F424" s="128"/>
      <c r="G424" s="35"/>
    </row>
    <row r="425" spans="1:7" x14ac:dyDescent="0.2">
      <c r="A425" s="29"/>
      <c r="B425" s="101"/>
      <c r="C425" s="41"/>
      <c r="D425" s="67"/>
      <c r="E425" s="153"/>
      <c r="F425" s="128"/>
      <c r="G425" s="35"/>
    </row>
    <row r="426" spans="1:7" x14ac:dyDescent="0.2">
      <c r="A426" s="29"/>
      <c r="B426" s="106"/>
      <c r="C426" s="41"/>
      <c r="D426" s="67"/>
      <c r="E426" s="104"/>
      <c r="F426" s="154"/>
      <c r="G426" s="35"/>
    </row>
    <row r="427" spans="1:7" x14ac:dyDescent="0.2">
      <c r="A427" s="29"/>
      <c r="B427" s="105"/>
      <c r="C427" s="41"/>
      <c r="D427" s="130"/>
      <c r="E427" s="104"/>
      <c r="F427" s="154"/>
      <c r="G427" s="35"/>
    </row>
    <row r="428" spans="1:7" x14ac:dyDescent="0.2">
      <c r="A428" s="29"/>
      <c r="B428" s="105"/>
      <c r="C428" s="41"/>
      <c r="D428" s="130"/>
      <c r="E428" s="104"/>
      <c r="F428" s="154"/>
      <c r="G428" s="35"/>
    </row>
    <row r="429" spans="1:7" x14ac:dyDescent="0.2">
      <c r="A429" s="29"/>
      <c r="B429" s="105"/>
      <c r="C429" s="41"/>
      <c r="D429" s="130"/>
      <c r="E429" s="104"/>
      <c r="F429" s="154"/>
      <c r="G429" s="35"/>
    </row>
    <row r="430" spans="1:7" x14ac:dyDescent="0.2">
      <c r="A430" s="29"/>
      <c r="B430" s="105"/>
      <c r="C430" s="41"/>
      <c r="D430" s="67"/>
      <c r="E430" s="104"/>
      <c r="F430" s="154"/>
      <c r="G430" s="35"/>
    </row>
    <row r="431" spans="1:7" x14ac:dyDescent="0.2">
      <c r="A431" s="29"/>
      <c r="B431" s="101"/>
      <c r="C431" s="41"/>
      <c r="D431" s="67"/>
      <c r="E431" s="104"/>
      <c r="F431" s="154"/>
      <c r="G431" s="35"/>
    </row>
    <row r="432" spans="1:7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136"/>
      <c r="E433" s="104"/>
      <c r="F433" s="154"/>
      <c r="G433" s="35"/>
    </row>
    <row r="434" spans="1:7" x14ac:dyDescent="0.2">
      <c r="A434" s="29"/>
      <c r="B434" s="101"/>
      <c r="C434" s="41"/>
      <c r="D434" s="62"/>
      <c r="E434" s="104"/>
      <c r="F434" s="154"/>
      <c r="G434" s="35"/>
    </row>
    <row r="435" spans="1:7" x14ac:dyDescent="0.2">
      <c r="A435" s="29"/>
      <c r="B435" s="101"/>
      <c r="C435" s="41"/>
      <c r="D435" s="67"/>
      <c r="E435" s="104"/>
      <c r="F435" s="154"/>
      <c r="G435" s="35"/>
    </row>
    <row r="436" spans="1:7" x14ac:dyDescent="0.2">
      <c r="A436" s="29"/>
      <c r="B436" s="101"/>
      <c r="C436" s="41"/>
      <c r="D436" s="159"/>
      <c r="E436" s="104"/>
      <c r="F436" s="154"/>
      <c r="G436" s="35"/>
    </row>
    <row r="437" spans="1:7" x14ac:dyDescent="0.2">
      <c r="A437" s="29"/>
      <c r="B437" s="101"/>
      <c r="C437" s="41"/>
      <c r="D437" s="160"/>
      <c r="E437" s="108"/>
      <c r="F437" s="128"/>
      <c r="G437" s="372" t="s">
        <v>8</v>
      </c>
    </row>
    <row r="438" spans="1:7" x14ac:dyDescent="0.2">
      <c r="A438" s="29"/>
      <c r="B438" s="101"/>
      <c r="C438" s="41"/>
      <c r="D438" s="376" t="s">
        <v>8</v>
      </c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02"/>
      <c r="F439" s="128"/>
      <c r="G439" s="35"/>
    </row>
    <row r="440" spans="1:7" x14ac:dyDescent="0.2">
      <c r="A440" s="29"/>
      <c r="B440" s="101"/>
      <c r="C440" s="31"/>
      <c r="D440" s="67"/>
      <c r="E440" s="131"/>
      <c r="F440" s="117"/>
      <c r="G440" s="35"/>
    </row>
    <row r="441" spans="1:7" x14ac:dyDescent="0.2">
      <c r="A441" s="29"/>
      <c r="B441" s="101"/>
      <c r="C441" s="41"/>
      <c r="D441" s="118"/>
      <c r="E441" s="108"/>
      <c r="F441" s="149"/>
      <c r="G441" s="35"/>
    </row>
    <row r="442" spans="1:7" x14ac:dyDescent="0.2">
      <c r="A442" s="29"/>
      <c r="B442" s="101"/>
      <c r="C442" s="41"/>
      <c r="D442" s="144"/>
      <c r="E442" s="108"/>
      <c r="F442" s="149"/>
      <c r="G442" s="35"/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3160</v>
      </c>
    </row>
    <row r="444" spans="1:7" ht="13.5" thickTop="1" x14ac:dyDescent="0.2">
      <c r="A444" s="875" t="s">
        <v>2569</v>
      </c>
      <c r="B444" s="899"/>
      <c r="C444" s="899"/>
      <c r="D444" s="899"/>
      <c r="E444" s="899"/>
      <c r="F444" s="899"/>
      <c r="G444" s="900"/>
    </row>
    <row r="445" spans="1:7" ht="13.5" thickBot="1" x14ac:dyDescent="0.25">
      <c r="A445" s="52"/>
      <c r="B445" s="103"/>
      <c r="C445" s="374" t="s">
        <v>8</v>
      </c>
      <c r="D445" s="54"/>
      <c r="E445" s="103"/>
      <c r="F445" s="55"/>
      <c r="G445" s="56"/>
    </row>
    <row r="446" spans="1:7" ht="13.5" thickTop="1" x14ac:dyDescent="0.2">
      <c r="A446" s="906"/>
      <c r="B446" s="907"/>
      <c r="C446" s="907"/>
      <c r="D446" s="57" t="s">
        <v>11</v>
      </c>
      <c r="E446" s="908" t="s">
        <v>12</v>
      </c>
      <c r="F446" s="908"/>
      <c r="G446" s="909"/>
    </row>
    <row r="447" spans="1:7" x14ac:dyDescent="0.2">
      <c r="A447" s="910" t="s">
        <v>17</v>
      </c>
      <c r="B447" s="911"/>
      <c r="C447" s="911"/>
      <c r="D447" s="39"/>
      <c r="E447" s="912"/>
      <c r="F447" s="913"/>
      <c r="G447" s="914"/>
    </row>
    <row r="448" spans="1:7" x14ac:dyDescent="0.2">
      <c r="A448" s="910" t="s">
        <v>38</v>
      </c>
      <c r="B448" s="911"/>
      <c r="C448" s="911"/>
      <c r="D448" s="58" t="s">
        <v>326</v>
      </c>
      <c r="E448" s="868" t="s">
        <v>142</v>
      </c>
      <c r="F448" s="868"/>
      <c r="G448" s="869"/>
    </row>
    <row r="449" spans="1:7" ht="13.5" thickBot="1" x14ac:dyDescent="0.25">
      <c r="A449" s="901" t="s">
        <v>39</v>
      </c>
      <c r="B449" s="902"/>
      <c r="C449" s="902"/>
      <c r="D449" s="59" t="s">
        <v>327</v>
      </c>
      <c r="E449" s="904" t="s">
        <v>0</v>
      </c>
      <c r="F449" s="904"/>
      <c r="G449" s="905"/>
    </row>
    <row r="450" spans="1:7" ht="16.5" x14ac:dyDescent="0.25">
      <c r="A450" s="885" t="s">
        <v>29</v>
      </c>
      <c r="B450" s="886"/>
      <c r="C450" s="886"/>
      <c r="D450" s="886"/>
      <c r="E450" s="886"/>
      <c r="F450" s="886"/>
      <c r="G450" s="887"/>
    </row>
    <row r="451" spans="1:7" x14ac:dyDescent="0.2">
      <c r="A451" s="888" t="s">
        <v>48</v>
      </c>
      <c r="B451" s="889"/>
      <c r="C451" s="889"/>
      <c r="D451" s="889"/>
      <c r="E451" s="889"/>
      <c r="F451" s="889"/>
      <c r="G451" s="890"/>
    </row>
    <row r="452" spans="1:7" x14ac:dyDescent="0.2">
      <c r="A452" s="915" t="s">
        <v>49</v>
      </c>
      <c r="B452" s="916"/>
      <c r="C452" s="916"/>
      <c r="D452" s="916"/>
      <c r="E452" s="916"/>
      <c r="F452" s="916"/>
      <c r="G452" s="917"/>
    </row>
    <row r="453" spans="1:7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7" x14ac:dyDescent="0.2">
      <c r="A454" s="12" t="s">
        <v>1</v>
      </c>
      <c r="B454" s="13"/>
      <c r="C454" s="14" t="s">
        <v>51</v>
      </c>
      <c r="D454" s="13"/>
      <c r="E454" s="362" t="s">
        <v>2596</v>
      </c>
      <c r="F454" s="98"/>
      <c r="G454" s="363" t="s">
        <v>2568</v>
      </c>
    </row>
    <row r="455" spans="1:7" x14ac:dyDescent="0.2">
      <c r="A455" s="17" t="s">
        <v>8</v>
      </c>
      <c r="B455" s="100"/>
      <c r="C455" s="19"/>
      <c r="D455" s="4"/>
      <c r="E455" s="918"/>
      <c r="F455" s="919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7" x14ac:dyDescent="0.2">
      <c r="A457" s="6"/>
      <c r="B457" s="99"/>
      <c r="C457" s="8"/>
      <c r="D457" s="8"/>
      <c r="E457" s="920"/>
      <c r="F457" s="921"/>
      <c r="G457" s="25"/>
    </row>
    <row r="458" spans="1:7" ht="26.25" thickBot="1" x14ac:dyDescent="0.25">
      <c r="A458" s="207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29"/>
      <c r="B459" s="101"/>
      <c r="C459" s="371"/>
      <c r="D459" s="357" t="s">
        <v>2594</v>
      </c>
      <c r="E459" s="158"/>
      <c r="F459" s="128"/>
      <c r="G459" s="35"/>
    </row>
    <row r="460" spans="1:7" x14ac:dyDescent="0.2">
      <c r="A460" s="364">
        <v>1</v>
      </c>
      <c r="B460" s="101"/>
      <c r="C460" s="371" t="s">
        <v>242</v>
      </c>
      <c r="D460" s="370" t="s">
        <v>2586</v>
      </c>
      <c r="E460" s="108">
        <v>50</v>
      </c>
      <c r="F460" s="128">
        <v>200</v>
      </c>
      <c r="G460" s="35">
        <f t="shared" ref="G460:G471" si="1">F460*E460</f>
        <v>10000</v>
      </c>
    </row>
    <row r="461" spans="1:7" x14ac:dyDescent="0.2">
      <c r="A461" s="29"/>
      <c r="B461" s="101"/>
      <c r="C461" s="371"/>
      <c r="D461" s="370" t="s">
        <v>2587</v>
      </c>
      <c r="E461" s="108"/>
      <c r="F461" s="149"/>
      <c r="G461" s="35"/>
    </row>
    <row r="462" spans="1:7" x14ac:dyDescent="0.2">
      <c r="A462" s="29">
        <v>2</v>
      </c>
      <c r="B462" s="101"/>
      <c r="C462" s="371" t="s">
        <v>242</v>
      </c>
      <c r="D462" s="370" t="s">
        <v>348</v>
      </c>
      <c r="E462" s="108">
        <v>50</v>
      </c>
      <c r="F462" s="149">
        <v>350</v>
      </c>
      <c r="G462" s="35">
        <f t="shared" si="1"/>
        <v>17500</v>
      </c>
    </row>
    <row r="463" spans="1:7" x14ac:dyDescent="0.2">
      <c r="A463" s="29"/>
      <c r="B463" s="101"/>
      <c r="C463" s="41"/>
      <c r="D463" s="370" t="s">
        <v>1889</v>
      </c>
      <c r="E463" s="157"/>
      <c r="F463" s="149"/>
      <c r="G463" s="35"/>
    </row>
    <row r="464" spans="1:7" x14ac:dyDescent="0.2">
      <c r="A464" s="29">
        <v>3</v>
      </c>
      <c r="B464" s="101"/>
      <c r="C464" s="371" t="s">
        <v>242</v>
      </c>
      <c r="D464" s="370" t="s">
        <v>1400</v>
      </c>
      <c r="E464" s="108">
        <v>50</v>
      </c>
      <c r="F464" s="128">
        <v>200</v>
      </c>
      <c r="G464" s="35">
        <f t="shared" si="1"/>
        <v>10000</v>
      </c>
    </row>
    <row r="465" spans="1:7" x14ac:dyDescent="0.2">
      <c r="A465" s="29"/>
      <c r="B465" s="105"/>
      <c r="C465" s="41"/>
      <c r="D465" s="376" t="s">
        <v>2585</v>
      </c>
      <c r="E465" s="157"/>
      <c r="F465" s="128"/>
      <c r="G465" s="35"/>
    </row>
    <row r="466" spans="1:7" x14ac:dyDescent="0.2">
      <c r="A466" s="29"/>
      <c r="B466" s="105"/>
      <c r="C466" s="41"/>
      <c r="D466" s="357" t="s">
        <v>2595</v>
      </c>
      <c r="E466" s="102"/>
      <c r="F466" s="128"/>
      <c r="G466" s="35"/>
    </row>
    <row r="467" spans="1:7" x14ac:dyDescent="0.2">
      <c r="A467" s="29">
        <v>4</v>
      </c>
      <c r="B467" s="151"/>
      <c r="C467" s="371" t="s">
        <v>242</v>
      </c>
      <c r="D467" s="370" t="s">
        <v>2588</v>
      </c>
      <c r="E467" s="108">
        <v>50</v>
      </c>
      <c r="F467" s="128">
        <v>200</v>
      </c>
      <c r="G467" s="35">
        <f t="shared" si="1"/>
        <v>10000</v>
      </c>
    </row>
    <row r="468" spans="1:7" x14ac:dyDescent="0.2">
      <c r="A468" s="29"/>
      <c r="B468" s="151"/>
      <c r="C468" s="371"/>
      <c r="D468" s="370" t="s">
        <v>2589</v>
      </c>
      <c r="E468" s="108"/>
      <c r="F468" s="149"/>
      <c r="G468" s="35"/>
    </row>
    <row r="469" spans="1:7" x14ac:dyDescent="0.2">
      <c r="A469" s="29">
        <v>5</v>
      </c>
      <c r="B469" s="101"/>
      <c r="C469" s="371" t="s">
        <v>242</v>
      </c>
      <c r="D469" s="370" t="s">
        <v>348</v>
      </c>
      <c r="E469" s="108">
        <v>50</v>
      </c>
      <c r="F469" s="149">
        <v>350</v>
      </c>
      <c r="G469" s="35">
        <f t="shared" si="1"/>
        <v>17500</v>
      </c>
    </row>
    <row r="470" spans="1:7" x14ac:dyDescent="0.2">
      <c r="A470" s="29"/>
      <c r="B470" s="106"/>
      <c r="C470" s="41"/>
      <c r="D470" s="370" t="s">
        <v>1889</v>
      </c>
      <c r="E470" s="157"/>
      <c r="F470" s="149"/>
      <c r="G470" s="35"/>
    </row>
    <row r="471" spans="1:7" x14ac:dyDescent="0.2">
      <c r="A471" s="29">
        <v>6</v>
      </c>
      <c r="B471" s="105"/>
      <c r="C471" s="371" t="s">
        <v>242</v>
      </c>
      <c r="D471" s="370" t="s">
        <v>2590</v>
      </c>
      <c r="E471" s="108">
        <v>50</v>
      </c>
      <c r="F471" s="128">
        <v>200</v>
      </c>
      <c r="G471" s="35">
        <f t="shared" si="1"/>
        <v>10000</v>
      </c>
    </row>
    <row r="472" spans="1:7" x14ac:dyDescent="0.2">
      <c r="A472" s="29"/>
      <c r="B472" s="107"/>
      <c r="C472" s="41"/>
      <c r="D472" s="376" t="s">
        <v>2591</v>
      </c>
      <c r="E472" s="157"/>
      <c r="F472" s="128"/>
      <c r="G472" s="35"/>
    </row>
    <row r="473" spans="1:7" x14ac:dyDescent="0.2">
      <c r="A473" s="29"/>
      <c r="B473" s="107"/>
      <c r="C473" s="41"/>
      <c r="D473" s="67"/>
      <c r="E473" s="153"/>
      <c r="F473" s="128"/>
      <c r="G473" s="35"/>
    </row>
    <row r="474" spans="1:7" x14ac:dyDescent="0.2">
      <c r="A474" s="29"/>
      <c r="B474" s="101"/>
      <c r="C474" s="41"/>
      <c r="D474" s="67"/>
      <c r="E474" s="108"/>
      <c r="F474" s="128"/>
      <c r="G474" s="35"/>
    </row>
    <row r="475" spans="1:7" x14ac:dyDescent="0.2">
      <c r="A475" s="29"/>
      <c r="B475" s="101"/>
      <c r="C475" s="41"/>
      <c r="D475" s="67"/>
      <c r="E475" s="153"/>
      <c r="F475" s="128"/>
      <c r="G475" s="35"/>
    </row>
    <row r="476" spans="1:7" x14ac:dyDescent="0.2">
      <c r="A476" s="29"/>
      <c r="B476" s="106"/>
      <c r="C476" s="41"/>
      <c r="D476" s="67"/>
      <c r="E476" s="104"/>
      <c r="F476" s="154"/>
      <c r="G476" s="35"/>
    </row>
    <row r="477" spans="1:7" x14ac:dyDescent="0.2">
      <c r="A477" s="29"/>
      <c r="B477" s="105"/>
      <c r="C477" s="41"/>
      <c r="D477" s="130"/>
      <c r="E477" s="104"/>
      <c r="F477" s="154"/>
      <c r="G477" s="35"/>
    </row>
    <row r="478" spans="1:7" x14ac:dyDescent="0.2">
      <c r="A478" s="29"/>
      <c r="B478" s="105"/>
      <c r="C478" s="41"/>
      <c r="D478" s="130"/>
      <c r="E478" s="104"/>
      <c r="F478" s="154"/>
      <c r="G478" s="35"/>
    </row>
    <row r="479" spans="1:7" x14ac:dyDescent="0.2">
      <c r="A479" s="29"/>
      <c r="B479" s="105"/>
      <c r="C479" s="41"/>
      <c r="D479" s="130"/>
      <c r="E479" s="104"/>
      <c r="F479" s="154"/>
      <c r="G479" s="35"/>
    </row>
    <row r="480" spans="1:7" x14ac:dyDescent="0.2">
      <c r="A480" s="29"/>
      <c r="B480" s="105"/>
      <c r="C480" s="41"/>
      <c r="D480" s="67"/>
      <c r="E480" s="104"/>
      <c r="F480" s="154"/>
      <c r="G480" s="35"/>
    </row>
    <row r="481" spans="1:7" x14ac:dyDescent="0.2">
      <c r="A481" s="29"/>
      <c r="B481" s="101"/>
      <c r="C481" s="41"/>
      <c r="D481" s="67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136"/>
      <c r="E483" s="104"/>
      <c r="F483" s="154"/>
      <c r="G483" s="35"/>
    </row>
    <row r="484" spans="1:7" x14ac:dyDescent="0.2">
      <c r="A484" s="29"/>
      <c r="B484" s="101"/>
      <c r="C484" s="41"/>
      <c r="D484" s="62"/>
      <c r="E484" s="104"/>
      <c r="F484" s="154"/>
      <c r="G484" s="35"/>
    </row>
    <row r="485" spans="1:7" x14ac:dyDescent="0.2">
      <c r="A485" s="29"/>
      <c r="B485" s="101"/>
      <c r="C485" s="41"/>
      <c r="D485" s="67"/>
      <c r="E485" s="104"/>
      <c r="F485" s="154"/>
      <c r="G485" s="35"/>
    </row>
    <row r="486" spans="1:7" x14ac:dyDescent="0.2">
      <c r="A486" s="29"/>
      <c r="B486" s="101"/>
      <c r="C486" s="41"/>
      <c r="D486" s="159"/>
      <c r="E486" s="104"/>
      <c r="F486" s="154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72" t="s">
        <v>8</v>
      </c>
    </row>
    <row r="488" spans="1:7" x14ac:dyDescent="0.2">
      <c r="A488" s="29"/>
      <c r="B488" s="101"/>
      <c r="C488" s="41"/>
      <c r="D488" s="376" t="s">
        <v>8</v>
      </c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02"/>
      <c r="F489" s="128"/>
      <c r="G489" s="35"/>
    </row>
    <row r="490" spans="1:7" x14ac:dyDescent="0.2">
      <c r="A490" s="29"/>
      <c r="B490" s="101"/>
      <c r="C490" s="31"/>
      <c r="D490" s="67"/>
      <c r="E490" s="131"/>
      <c r="F490" s="117"/>
      <c r="G490" s="35"/>
    </row>
    <row r="491" spans="1:7" x14ac:dyDescent="0.2">
      <c r="A491" s="29"/>
      <c r="B491" s="101"/>
      <c r="C491" s="41"/>
      <c r="D491" s="118"/>
      <c r="E491" s="108"/>
      <c r="F491" s="149"/>
      <c r="G491" s="35"/>
    </row>
    <row r="492" spans="1:7" x14ac:dyDescent="0.2">
      <c r="A492" s="29"/>
      <c r="B492" s="101"/>
      <c r="C492" s="41"/>
      <c r="D492" s="144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SUM(G459:G492)</f>
        <v>75000</v>
      </c>
    </row>
    <row r="494" spans="1:7" ht="13.5" thickTop="1" x14ac:dyDescent="0.2">
      <c r="A494" s="875" t="s">
        <v>2592</v>
      </c>
      <c r="B494" s="899"/>
      <c r="C494" s="899"/>
      <c r="D494" s="899"/>
      <c r="E494" s="899"/>
      <c r="F494" s="899"/>
      <c r="G494" s="900"/>
    </row>
    <row r="495" spans="1:7" ht="13.5" thickBot="1" x14ac:dyDescent="0.25">
      <c r="A495" s="52"/>
      <c r="B495" s="103"/>
      <c r="C495" s="374" t="s">
        <v>2593</v>
      </c>
      <c r="D495" s="54"/>
      <c r="E495" s="103"/>
      <c r="F495" s="55"/>
      <c r="G495" s="56"/>
    </row>
    <row r="496" spans="1:7" ht="13.5" thickTop="1" x14ac:dyDescent="0.2">
      <c r="A496" s="906"/>
      <c r="B496" s="907"/>
      <c r="C496" s="907"/>
      <c r="D496" s="57" t="s">
        <v>11</v>
      </c>
      <c r="E496" s="908" t="s">
        <v>12</v>
      </c>
      <c r="F496" s="908"/>
      <c r="G496" s="909"/>
    </row>
    <row r="497" spans="1:7" x14ac:dyDescent="0.2">
      <c r="A497" s="910" t="s">
        <v>17</v>
      </c>
      <c r="B497" s="911"/>
      <c r="C497" s="911"/>
      <c r="D497" s="39"/>
      <c r="E497" s="912"/>
      <c r="F497" s="913"/>
      <c r="G497" s="914"/>
    </row>
    <row r="498" spans="1:7" x14ac:dyDescent="0.2">
      <c r="A498" s="910" t="s">
        <v>38</v>
      </c>
      <c r="B498" s="911"/>
      <c r="C498" s="911"/>
      <c r="D498" s="58" t="s">
        <v>326</v>
      </c>
      <c r="E498" s="868" t="s">
        <v>142</v>
      </c>
      <c r="F498" s="868"/>
      <c r="G498" s="869"/>
    </row>
    <row r="499" spans="1:7" ht="13.5" thickBot="1" x14ac:dyDescent="0.25">
      <c r="A499" s="901" t="s">
        <v>39</v>
      </c>
      <c r="B499" s="902"/>
      <c r="C499" s="902"/>
      <c r="D499" s="59" t="s">
        <v>327</v>
      </c>
      <c r="E499" s="904" t="s">
        <v>0</v>
      </c>
      <c r="F499" s="904"/>
      <c r="G499" s="905"/>
    </row>
    <row r="500" spans="1:7" ht="16.5" x14ac:dyDescent="0.25">
      <c r="A500" s="885" t="s">
        <v>29</v>
      </c>
      <c r="B500" s="886"/>
      <c r="C500" s="886"/>
      <c r="D500" s="886"/>
      <c r="E500" s="886"/>
      <c r="F500" s="886"/>
      <c r="G500" s="887"/>
    </row>
    <row r="501" spans="1:7" x14ac:dyDescent="0.2">
      <c r="A501" s="888" t="s">
        <v>48</v>
      </c>
      <c r="B501" s="889"/>
      <c r="C501" s="889"/>
      <c r="D501" s="889"/>
      <c r="E501" s="889"/>
      <c r="F501" s="889"/>
      <c r="G501" s="890"/>
    </row>
    <row r="502" spans="1:7" x14ac:dyDescent="0.2">
      <c r="A502" s="915" t="s">
        <v>49</v>
      </c>
      <c r="B502" s="916"/>
      <c r="C502" s="916"/>
      <c r="D502" s="916"/>
      <c r="E502" s="916"/>
      <c r="F502" s="916"/>
      <c r="G502" s="917"/>
    </row>
    <row r="503" spans="1:7" x14ac:dyDescent="0.2">
      <c r="A503" s="6"/>
      <c r="B503" s="99"/>
      <c r="C503" s="8"/>
      <c r="D503" s="9"/>
      <c r="E503" s="99"/>
      <c r="F503" s="10"/>
      <c r="G503" s="11" t="s">
        <v>20</v>
      </c>
    </row>
    <row r="504" spans="1:7" x14ac:dyDescent="0.2">
      <c r="A504" s="12" t="s">
        <v>1</v>
      </c>
      <c r="B504" s="13"/>
      <c r="C504" s="14" t="s">
        <v>51</v>
      </c>
      <c r="D504" s="13"/>
      <c r="E504" s="362" t="s">
        <v>2627</v>
      </c>
      <c r="F504" s="98"/>
      <c r="G504" s="363" t="s">
        <v>2626</v>
      </c>
    </row>
    <row r="505" spans="1:7" x14ac:dyDescent="0.2">
      <c r="A505" s="17" t="s">
        <v>8</v>
      </c>
      <c r="B505" s="100"/>
      <c r="C505" s="19"/>
      <c r="D505" s="4"/>
      <c r="E505" s="918"/>
      <c r="F505" s="919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20" t="s">
        <v>50</v>
      </c>
    </row>
    <row r="507" spans="1:7" x14ac:dyDescent="0.2">
      <c r="A507" s="6"/>
      <c r="B507" s="99"/>
      <c r="C507" s="8"/>
      <c r="D507" s="8"/>
      <c r="E507" s="920"/>
      <c r="F507" s="921"/>
      <c r="G507" s="25"/>
    </row>
    <row r="508" spans="1:7" ht="26.25" thickBot="1" x14ac:dyDescent="0.25">
      <c r="A508" s="207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29">
        <v>1</v>
      </c>
      <c r="B509" s="101"/>
      <c r="C509" s="371" t="s">
        <v>242</v>
      </c>
      <c r="D509" s="376" t="s">
        <v>2628</v>
      </c>
      <c r="E509" s="158">
        <v>20</v>
      </c>
      <c r="F509" s="128">
        <v>79</v>
      </c>
      <c r="G509" s="35">
        <f t="shared" ref="G509" si="2">F509*E509</f>
        <v>1580</v>
      </c>
    </row>
    <row r="510" spans="1:7" x14ac:dyDescent="0.2">
      <c r="A510" s="364"/>
      <c r="B510" s="101"/>
      <c r="C510" s="371"/>
      <c r="D510" s="370"/>
      <c r="E510" s="108"/>
      <c r="F510" s="128"/>
      <c r="G510" s="35"/>
    </row>
    <row r="511" spans="1:7" x14ac:dyDescent="0.2">
      <c r="A511" s="29"/>
      <c r="B511" s="101"/>
      <c r="C511" s="371"/>
      <c r="D511" s="370"/>
      <c r="E511" s="108"/>
      <c r="F511" s="149"/>
      <c r="G511" s="35"/>
    </row>
    <row r="512" spans="1:7" x14ac:dyDescent="0.2">
      <c r="A512" s="29"/>
      <c r="B512" s="101"/>
      <c r="C512" s="371"/>
      <c r="D512" s="370"/>
      <c r="E512" s="108"/>
      <c r="F512" s="149"/>
      <c r="G512" s="35"/>
    </row>
    <row r="513" spans="1:7" x14ac:dyDescent="0.2">
      <c r="A513" s="29"/>
      <c r="B513" s="101"/>
      <c r="C513" s="41"/>
      <c r="D513" s="370"/>
      <c r="E513" s="157"/>
      <c r="F513" s="149"/>
      <c r="G513" s="35"/>
    </row>
    <row r="514" spans="1:7" x14ac:dyDescent="0.2">
      <c r="A514" s="29"/>
      <c r="B514" s="101"/>
      <c r="C514" s="371"/>
      <c r="D514" s="370"/>
      <c r="E514" s="108"/>
      <c r="F514" s="128"/>
      <c r="G514" s="35"/>
    </row>
    <row r="515" spans="1:7" x14ac:dyDescent="0.2">
      <c r="A515" s="29"/>
      <c r="B515" s="105"/>
      <c r="C515" s="41"/>
      <c r="D515" s="376"/>
      <c r="E515" s="157"/>
      <c r="F515" s="128"/>
      <c r="G515" s="35"/>
    </row>
    <row r="516" spans="1:7" x14ac:dyDescent="0.2">
      <c r="A516" s="29"/>
      <c r="B516" s="105"/>
      <c r="C516" s="41"/>
      <c r="D516" s="376"/>
      <c r="E516" s="102"/>
      <c r="F516" s="128"/>
      <c r="G516" s="35"/>
    </row>
    <row r="517" spans="1:7" x14ac:dyDescent="0.2">
      <c r="A517" s="29"/>
      <c r="B517" s="151"/>
      <c r="C517" s="371"/>
      <c r="D517" s="370"/>
      <c r="E517" s="108"/>
      <c r="F517" s="128"/>
      <c r="G517" s="35"/>
    </row>
    <row r="518" spans="1:7" x14ac:dyDescent="0.2">
      <c r="A518" s="29"/>
      <c r="B518" s="151"/>
      <c r="C518" s="371"/>
      <c r="D518" s="370"/>
      <c r="E518" s="108"/>
      <c r="F518" s="149"/>
      <c r="G518" s="35"/>
    </row>
    <row r="519" spans="1:7" x14ac:dyDescent="0.2">
      <c r="A519" s="29"/>
      <c r="B519" s="101"/>
      <c r="C519" s="371"/>
      <c r="D519" s="370"/>
      <c r="E519" s="108"/>
      <c r="F519" s="149"/>
      <c r="G519" s="35"/>
    </row>
    <row r="520" spans="1:7" x14ac:dyDescent="0.2">
      <c r="A520" s="29"/>
      <c r="B520" s="106"/>
      <c r="C520" s="41"/>
      <c r="D520" s="370"/>
      <c r="E520" s="157"/>
      <c r="F520" s="149"/>
      <c r="G520" s="35"/>
    </row>
    <row r="521" spans="1:7" x14ac:dyDescent="0.2">
      <c r="A521" s="29"/>
      <c r="B521" s="105"/>
      <c r="C521" s="371"/>
      <c r="D521" s="370"/>
      <c r="E521" s="108"/>
      <c r="F521" s="128"/>
      <c r="G521" s="35"/>
    </row>
    <row r="522" spans="1:7" x14ac:dyDescent="0.2">
      <c r="A522" s="29"/>
      <c r="B522" s="107"/>
      <c r="C522" s="41"/>
      <c r="D522" s="376"/>
      <c r="E522" s="157"/>
      <c r="F522" s="128"/>
      <c r="G522" s="35"/>
    </row>
    <row r="523" spans="1:7" x14ac:dyDescent="0.2">
      <c r="A523" s="29"/>
      <c r="B523" s="107"/>
      <c r="C523" s="41"/>
      <c r="D523" s="67"/>
      <c r="E523" s="153"/>
      <c r="F523" s="128"/>
      <c r="G523" s="35"/>
    </row>
    <row r="524" spans="1:7" x14ac:dyDescent="0.2">
      <c r="A524" s="29"/>
      <c r="B524" s="101"/>
      <c r="C524" s="41"/>
      <c r="D524" s="67"/>
      <c r="E524" s="108"/>
      <c r="F524" s="128"/>
      <c r="G524" s="35"/>
    </row>
    <row r="525" spans="1:7" x14ac:dyDescent="0.2">
      <c r="A525" s="29"/>
      <c r="B525" s="101"/>
      <c r="C525" s="41"/>
      <c r="D525" s="67"/>
      <c r="E525" s="153"/>
      <c r="F525" s="128"/>
      <c r="G525" s="35"/>
    </row>
    <row r="526" spans="1:7" x14ac:dyDescent="0.2">
      <c r="A526" s="29"/>
      <c r="B526" s="106"/>
      <c r="C526" s="41"/>
      <c r="D526" s="67"/>
      <c r="E526" s="104"/>
      <c r="F526" s="154"/>
      <c r="G526" s="35"/>
    </row>
    <row r="527" spans="1:7" x14ac:dyDescent="0.2">
      <c r="A527" s="29"/>
      <c r="B527" s="105"/>
      <c r="C527" s="41"/>
      <c r="D527" s="130"/>
      <c r="E527" s="104"/>
      <c r="F527" s="154"/>
      <c r="G527" s="35"/>
    </row>
    <row r="528" spans="1:7" x14ac:dyDescent="0.2">
      <c r="A528" s="29"/>
      <c r="B528" s="105"/>
      <c r="C528" s="41"/>
      <c r="D528" s="130"/>
      <c r="E528" s="104"/>
      <c r="F528" s="154"/>
      <c r="G528" s="35"/>
    </row>
    <row r="529" spans="1:7" x14ac:dyDescent="0.2">
      <c r="A529" s="29"/>
      <c r="B529" s="105"/>
      <c r="C529" s="41"/>
      <c r="D529" s="130"/>
      <c r="E529" s="104"/>
      <c r="F529" s="154"/>
      <c r="G529" s="35"/>
    </row>
    <row r="530" spans="1:7" x14ac:dyDescent="0.2">
      <c r="A530" s="29"/>
      <c r="B530" s="105"/>
      <c r="C530" s="41"/>
      <c r="D530" s="67"/>
      <c r="E530" s="104"/>
      <c r="F530" s="154"/>
      <c r="G530" s="35"/>
    </row>
    <row r="531" spans="1:7" x14ac:dyDescent="0.2">
      <c r="A531" s="29"/>
      <c r="B531" s="101"/>
      <c r="C531" s="41"/>
      <c r="D531" s="67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136"/>
      <c r="E533" s="104"/>
      <c r="F533" s="154"/>
      <c r="G533" s="35"/>
    </row>
    <row r="534" spans="1:7" x14ac:dyDescent="0.2">
      <c r="A534" s="29"/>
      <c r="B534" s="101"/>
      <c r="C534" s="41"/>
      <c r="D534" s="62"/>
      <c r="E534" s="104"/>
      <c r="F534" s="154"/>
      <c r="G534" s="35"/>
    </row>
    <row r="535" spans="1:7" x14ac:dyDescent="0.2">
      <c r="A535" s="29"/>
      <c r="B535" s="101"/>
      <c r="C535" s="41"/>
      <c r="D535" s="67"/>
      <c r="E535" s="104"/>
      <c r="F535" s="154"/>
      <c r="G535" s="35"/>
    </row>
    <row r="536" spans="1:7" x14ac:dyDescent="0.2">
      <c r="A536" s="29"/>
      <c r="B536" s="101"/>
      <c r="C536" s="41"/>
      <c r="D536" s="159"/>
      <c r="E536" s="104"/>
      <c r="F536" s="154"/>
      <c r="G536" s="35"/>
    </row>
    <row r="537" spans="1:7" x14ac:dyDescent="0.2">
      <c r="A537" s="29"/>
      <c r="B537" s="101"/>
      <c r="C537" s="41"/>
      <c r="D537" s="160"/>
      <c r="E537" s="108"/>
      <c r="F537" s="128"/>
      <c r="G537" s="372" t="s">
        <v>8</v>
      </c>
    </row>
    <row r="538" spans="1:7" x14ac:dyDescent="0.2">
      <c r="A538" s="29"/>
      <c r="B538" s="101"/>
      <c r="C538" s="41"/>
      <c r="D538" s="376" t="s">
        <v>8</v>
      </c>
      <c r="E538" s="153"/>
      <c r="F538" s="128"/>
      <c r="G538" s="35"/>
    </row>
    <row r="539" spans="1:7" x14ac:dyDescent="0.2">
      <c r="A539" s="29"/>
      <c r="B539" s="101"/>
      <c r="C539" s="41"/>
      <c r="D539" s="136"/>
      <c r="E539" s="102"/>
      <c r="F539" s="128"/>
      <c r="G539" s="35"/>
    </row>
    <row r="540" spans="1:7" x14ac:dyDescent="0.2">
      <c r="A540" s="29"/>
      <c r="B540" s="101"/>
      <c r="C540" s="31"/>
      <c r="D540" s="67"/>
      <c r="E540" s="131"/>
      <c r="F540" s="117"/>
      <c r="G540" s="35"/>
    </row>
    <row r="541" spans="1:7" x14ac:dyDescent="0.2">
      <c r="A541" s="29"/>
      <c r="B541" s="101"/>
      <c r="C541" s="41"/>
      <c r="D541" s="118"/>
      <c r="E541" s="108"/>
      <c r="F541" s="149"/>
      <c r="G541" s="35"/>
    </row>
    <row r="542" spans="1:7" x14ac:dyDescent="0.2">
      <c r="A542" s="29"/>
      <c r="B542" s="101"/>
      <c r="C542" s="41"/>
      <c r="D542" s="144"/>
      <c r="E542" s="108"/>
      <c r="F542" s="149"/>
      <c r="G542" s="35"/>
    </row>
    <row r="543" spans="1:7" ht="13.5" thickBot="1" x14ac:dyDescent="0.25">
      <c r="A543" s="45"/>
      <c r="B543" s="132"/>
      <c r="C543" s="115"/>
      <c r="D543" s="115"/>
      <c r="E543" s="132"/>
      <c r="F543" s="49" t="s">
        <v>15</v>
      </c>
      <c r="G543" s="50">
        <f>SUM(G509:G542)</f>
        <v>1580</v>
      </c>
    </row>
    <row r="544" spans="1:7" ht="13.5" thickTop="1" x14ac:dyDescent="0.2">
      <c r="A544" s="875" t="s">
        <v>2706</v>
      </c>
      <c r="B544" s="899"/>
      <c r="C544" s="899"/>
      <c r="D544" s="899"/>
      <c r="E544" s="899"/>
      <c r="F544" s="899"/>
      <c r="G544" s="900"/>
    </row>
    <row r="545" spans="1:7" ht="13.5" thickBot="1" x14ac:dyDescent="0.25">
      <c r="A545" s="52"/>
      <c r="B545" s="103"/>
      <c r="C545" s="374"/>
      <c r="D545" s="54"/>
      <c r="E545" s="103"/>
      <c r="F545" s="55"/>
      <c r="G545" s="56"/>
    </row>
    <row r="546" spans="1:7" ht="13.5" thickTop="1" x14ac:dyDescent="0.2">
      <c r="A546" s="906"/>
      <c r="B546" s="907"/>
      <c r="C546" s="907"/>
      <c r="D546" s="57" t="s">
        <v>11</v>
      </c>
      <c r="E546" s="908" t="s">
        <v>12</v>
      </c>
      <c r="F546" s="908"/>
      <c r="G546" s="909"/>
    </row>
    <row r="547" spans="1:7" x14ac:dyDescent="0.2">
      <c r="A547" s="910" t="s">
        <v>17</v>
      </c>
      <c r="B547" s="911"/>
      <c r="C547" s="911"/>
      <c r="D547" s="39"/>
      <c r="E547" s="912"/>
      <c r="F547" s="913"/>
      <c r="G547" s="914"/>
    </row>
    <row r="548" spans="1:7" x14ac:dyDescent="0.2">
      <c r="A548" s="910" t="s">
        <v>38</v>
      </c>
      <c r="B548" s="911"/>
      <c r="C548" s="911"/>
      <c r="D548" s="58" t="s">
        <v>326</v>
      </c>
      <c r="E548" s="868" t="s">
        <v>142</v>
      </c>
      <c r="F548" s="868"/>
      <c r="G548" s="869"/>
    </row>
    <row r="549" spans="1:7" ht="13.5" thickBot="1" x14ac:dyDescent="0.25">
      <c r="A549" s="901" t="s">
        <v>39</v>
      </c>
      <c r="B549" s="902"/>
      <c r="C549" s="902"/>
      <c r="D549" s="59" t="s">
        <v>327</v>
      </c>
      <c r="E549" s="904" t="s">
        <v>0</v>
      </c>
      <c r="F549" s="904"/>
      <c r="G549" s="905"/>
    </row>
    <row r="550" spans="1:7" ht="16.5" x14ac:dyDescent="0.25">
      <c r="A550" s="885" t="s">
        <v>29</v>
      </c>
      <c r="B550" s="886"/>
      <c r="C550" s="886"/>
      <c r="D550" s="886"/>
      <c r="E550" s="886"/>
      <c r="F550" s="886"/>
      <c r="G550" s="887"/>
    </row>
    <row r="551" spans="1:7" x14ac:dyDescent="0.2">
      <c r="A551" s="888" t="s">
        <v>48</v>
      </c>
      <c r="B551" s="889"/>
      <c r="C551" s="889"/>
      <c r="D551" s="889"/>
      <c r="E551" s="889"/>
      <c r="F551" s="889"/>
      <c r="G551" s="890"/>
    </row>
    <row r="552" spans="1:7" x14ac:dyDescent="0.2">
      <c r="A552" s="915" t="s">
        <v>49</v>
      </c>
      <c r="B552" s="916"/>
      <c r="C552" s="916"/>
      <c r="D552" s="916"/>
      <c r="E552" s="916"/>
      <c r="F552" s="916"/>
      <c r="G552" s="917"/>
    </row>
    <row r="553" spans="1:7" x14ac:dyDescent="0.2">
      <c r="A553" s="6"/>
      <c r="B553" s="99"/>
      <c r="C553" s="8"/>
      <c r="D553" s="9"/>
      <c r="E553" s="99"/>
      <c r="F553" s="10"/>
      <c r="G553" s="11" t="s">
        <v>20</v>
      </c>
    </row>
    <row r="554" spans="1:7" x14ac:dyDescent="0.2">
      <c r="A554" s="12" t="s">
        <v>1</v>
      </c>
      <c r="B554" s="13"/>
      <c r="C554" s="14" t="s">
        <v>51</v>
      </c>
      <c r="D554" s="13"/>
      <c r="E554" s="362" t="s">
        <v>2629</v>
      </c>
      <c r="F554" s="98"/>
      <c r="G554" s="363" t="s">
        <v>2626</v>
      </c>
    </row>
    <row r="555" spans="1:7" x14ac:dyDescent="0.2">
      <c r="A555" s="17" t="s">
        <v>8</v>
      </c>
      <c r="B555" s="100"/>
      <c r="C555" s="19"/>
      <c r="D555" s="4"/>
      <c r="E555" s="918"/>
      <c r="F555" s="919"/>
      <c r="G555" s="20"/>
    </row>
    <row r="556" spans="1:7" x14ac:dyDescent="0.2">
      <c r="A556" s="21" t="s">
        <v>37</v>
      </c>
      <c r="B556" s="22"/>
      <c r="C556" s="22"/>
      <c r="D556" s="22"/>
      <c r="E556" s="23" t="s">
        <v>46</v>
      </c>
      <c r="F556" s="24"/>
      <c r="G556" s="20" t="s">
        <v>50</v>
      </c>
    </row>
    <row r="557" spans="1:7" x14ac:dyDescent="0.2">
      <c r="A557" s="6"/>
      <c r="B557" s="99"/>
      <c r="C557" s="8"/>
      <c r="D557" s="8"/>
      <c r="E557" s="920"/>
      <c r="F557" s="921"/>
      <c r="G557" s="25"/>
    </row>
    <row r="558" spans="1:7" ht="26.25" thickBot="1" x14ac:dyDescent="0.25">
      <c r="A558" s="207" t="s">
        <v>47</v>
      </c>
      <c r="B558" s="28" t="s">
        <v>23</v>
      </c>
      <c r="C558" s="28" t="s">
        <v>34</v>
      </c>
      <c r="D558" s="110" t="s">
        <v>53</v>
      </c>
      <c r="E558" s="114" t="s">
        <v>54</v>
      </c>
      <c r="F558" s="111" t="s">
        <v>55</v>
      </c>
      <c r="G558" s="112" t="s">
        <v>35</v>
      </c>
    </row>
    <row r="559" spans="1:7" ht="13.5" thickTop="1" x14ac:dyDescent="0.2">
      <c r="A559" s="29">
        <v>1</v>
      </c>
      <c r="B559" s="101"/>
      <c r="C559" s="371" t="s">
        <v>910</v>
      </c>
      <c r="D559" s="376" t="s">
        <v>2630</v>
      </c>
      <c r="E559" s="158">
        <v>1</v>
      </c>
      <c r="F559" s="128">
        <v>5750</v>
      </c>
      <c r="G559" s="35">
        <f t="shared" ref="G559" si="3">F559*E559</f>
        <v>5750</v>
      </c>
    </row>
    <row r="560" spans="1:7" x14ac:dyDescent="0.2">
      <c r="A560" s="364"/>
      <c r="B560" s="101"/>
      <c r="C560" s="371"/>
      <c r="D560" s="370" t="s">
        <v>2633</v>
      </c>
      <c r="E560" s="108"/>
      <c r="F560" s="128"/>
      <c r="G560" s="35"/>
    </row>
    <row r="561" spans="1:7" x14ac:dyDescent="0.2">
      <c r="A561" s="29"/>
      <c r="B561" s="101"/>
      <c r="C561" s="371"/>
      <c r="D561" s="370" t="s">
        <v>2631</v>
      </c>
      <c r="E561" s="108"/>
      <c r="F561" s="149"/>
      <c r="G561" s="35"/>
    </row>
    <row r="562" spans="1:7" x14ac:dyDescent="0.2">
      <c r="A562" s="29"/>
      <c r="B562" s="101"/>
      <c r="C562" s="371"/>
      <c r="D562" s="370" t="s">
        <v>2632</v>
      </c>
      <c r="E562" s="108"/>
      <c r="F562" s="149"/>
      <c r="G562" s="35"/>
    </row>
    <row r="563" spans="1:7" x14ac:dyDescent="0.2">
      <c r="A563" s="29"/>
      <c r="B563" s="101"/>
      <c r="C563" s="41"/>
      <c r="D563" s="370"/>
      <c r="E563" s="157"/>
      <c r="F563" s="149"/>
      <c r="G563" s="35"/>
    </row>
    <row r="564" spans="1:7" x14ac:dyDescent="0.2">
      <c r="A564" s="29"/>
      <c r="B564" s="101"/>
      <c r="C564" s="371"/>
      <c r="D564" s="370"/>
      <c r="E564" s="108"/>
      <c r="F564" s="128"/>
      <c r="G564" s="35"/>
    </row>
    <row r="565" spans="1:7" x14ac:dyDescent="0.2">
      <c r="A565" s="29"/>
      <c r="B565" s="105"/>
      <c r="C565" s="41"/>
      <c r="D565" s="376"/>
      <c r="E565" s="157"/>
      <c r="F565" s="128"/>
      <c r="G565" s="35"/>
    </row>
    <row r="566" spans="1:7" x14ac:dyDescent="0.2">
      <c r="A566" s="29"/>
      <c r="B566" s="105"/>
      <c r="C566" s="41"/>
      <c r="D566" s="376"/>
      <c r="E566" s="102"/>
      <c r="F566" s="128"/>
      <c r="G566" s="35"/>
    </row>
    <row r="567" spans="1:7" x14ac:dyDescent="0.2">
      <c r="A567" s="29"/>
      <c r="B567" s="151"/>
      <c r="C567" s="371"/>
      <c r="D567" s="370"/>
      <c r="E567" s="108"/>
      <c r="F567" s="128"/>
      <c r="G567" s="35"/>
    </row>
    <row r="568" spans="1:7" x14ac:dyDescent="0.2">
      <c r="A568" s="29"/>
      <c r="B568" s="151"/>
      <c r="C568" s="371"/>
      <c r="D568" s="370"/>
      <c r="E568" s="108"/>
      <c r="F568" s="149"/>
      <c r="G568" s="35"/>
    </row>
    <row r="569" spans="1:7" x14ac:dyDescent="0.2">
      <c r="A569" s="29"/>
      <c r="B569" s="101"/>
      <c r="C569" s="371"/>
      <c r="D569" s="370"/>
      <c r="E569" s="108"/>
      <c r="F569" s="149"/>
      <c r="G569" s="35"/>
    </row>
    <row r="570" spans="1:7" x14ac:dyDescent="0.2">
      <c r="A570" s="29"/>
      <c r="B570" s="106"/>
      <c r="C570" s="41"/>
      <c r="D570" s="370"/>
      <c r="E570" s="157"/>
      <c r="F570" s="149"/>
      <c r="G570" s="35"/>
    </row>
    <row r="571" spans="1:7" x14ac:dyDescent="0.2">
      <c r="A571" s="29"/>
      <c r="B571" s="105"/>
      <c r="C571" s="371"/>
      <c r="D571" s="370"/>
      <c r="E571" s="108"/>
      <c r="F571" s="128"/>
      <c r="G571" s="35"/>
    </row>
    <row r="572" spans="1:7" x14ac:dyDescent="0.2">
      <c r="A572" s="29"/>
      <c r="B572" s="107"/>
      <c r="C572" s="41"/>
      <c r="D572" s="376"/>
      <c r="E572" s="157"/>
      <c r="F572" s="128"/>
      <c r="G572" s="35"/>
    </row>
    <row r="573" spans="1:7" x14ac:dyDescent="0.2">
      <c r="A573" s="29"/>
      <c r="B573" s="107"/>
      <c r="C573" s="41"/>
      <c r="D573" s="67"/>
      <c r="E573" s="153"/>
      <c r="F573" s="128"/>
      <c r="G573" s="35"/>
    </row>
    <row r="574" spans="1:7" x14ac:dyDescent="0.2">
      <c r="A574" s="29"/>
      <c r="B574" s="101"/>
      <c r="C574" s="41"/>
      <c r="D574" s="67"/>
      <c r="E574" s="108"/>
      <c r="F574" s="128"/>
      <c r="G574" s="35"/>
    </row>
    <row r="575" spans="1:7" x14ac:dyDescent="0.2">
      <c r="A575" s="29"/>
      <c r="B575" s="101"/>
      <c r="C575" s="41"/>
      <c r="D575" s="67"/>
      <c r="E575" s="153"/>
      <c r="F575" s="128"/>
      <c r="G575" s="35"/>
    </row>
    <row r="576" spans="1:7" x14ac:dyDescent="0.2">
      <c r="A576" s="29"/>
      <c r="B576" s="106"/>
      <c r="C576" s="41"/>
      <c r="D576" s="67"/>
      <c r="E576" s="104"/>
      <c r="F576" s="154"/>
      <c r="G576" s="35"/>
    </row>
    <row r="577" spans="1:7" x14ac:dyDescent="0.2">
      <c r="A577" s="29"/>
      <c r="B577" s="105"/>
      <c r="C577" s="41"/>
      <c r="D577" s="130"/>
      <c r="E577" s="104"/>
      <c r="F577" s="154"/>
      <c r="G577" s="35"/>
    </row>
    <row r="578" spans="1:7" x14ac:dyDescent="0.2">
      <c r="A578" s="29"/>
      <c r="B578" s="105"/>
      <c r="C578" s="41"/>
      <c r="D578" s="130"/>
      <c r="E578" s="104"/>
      <c r="F578" s="154"/>
      <c r="G578" s="35"/>
    </row>
    <row r="579" spans="1:7" x14ac:dyDescent="0.2">
      <c r="A579" s="29"/>
      <c r="B579" s="105"/>
      <c r="C579" s="41"/>
      <c r="D579" s="130"/>
      <c r="E579" s="104"/>
      <c r="F579" s="154"/>
      <c r="G579" s="35"/>
    </row>
    <row r="580" spans="1:7" x14ac:dyDescent="0.2">
      <c r="A580" s="29"/>
      <c r="B580" s="105"/>
      <c r="C580" s="41"/>
      <c r="D580" s="67"/>
      <c r="E580" s="104"/>
      <c r="F580" s="154"/>
      <c r="G580" s="35"/>
    </row>
    <row r="581" spans="1:7" x14ac:dyDescent="0.2">
      <c r="A581" s="29"/>
      <c r="B581" s="101"/>
      <c r="C581" s="41"/>
      <c r="D581" s="67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136"/>
      <c r="E583" s="104"/>
      <c r="F583" s="154"/>
      <c r="G583" s="35"/>
    </row>
    <row r="584" spans="1:7" x14ac:dyDescent="0.2">
      <c r="A584" s="29"/>
      <c r="B584" s="101"/>
      <c r="C584" s="41"/>
      <c r="D584" s="62"/>
      <c r="E584" s="104"/>
      <c r="F584" s="154"/>
      <c r="G584" s="35"/>
    </row>
    <row r="585" spans="1:7" x14ac:dyDescent="0.2">
      <c r="A585" s="29"/>
      <c r="B585" s="101"/>
      <c r="C585" s="41"/>
      <c r="D585" s="67"/>
      <c r="E585" s="104"/>
      <c r="F585" s="154"/>
      <c r="G585" s="35"/>
    </row>
    <row r="586" spans="1:7" x14ac:dyDescent="0.2">
      <c r="A586" s="29"/>
      <c r="B586" s="101"/>
      <c r="C586" s="41"/>
      <c r="D586" s="159"/>
      <c r="E586" s="104"/>
      <c r="F586" s="154"/>
      <c r="G586" s="35"/>
    </row>
    <row r="587" spans="1:7" x14ac:dyDescent="0.2">
      <c r="A587" s="29"/>
      <c r="B587" s="101"/>
      <c r="C587" s="41"/>
      <c r="D587" s="160"/>
      <c r="E587" s="108"/>
      <c r="F587" s="128"/>
      <c r="G587" s="372" t="s">
        <v>8</v>
      </c>
    </row>
    <row r="588" spans="1:7" x14ac:dyDescent="0.2">
      <c r="A588" s="29"/>
      <c r="B588" s="101"/>
      <c r="C588" s="41"/>
      <c r="D588" s="376" t="s">
        <v>8</v>
      </c>
      <c r="E588" s="153"/>
      <c r="F588" s="128"/>
      <c r="G588" s="35"/>
    </row>
    <row r="589" spans="1:7" x14ac:dyDescent="0.2">
      <c r="A589" s="29"/>
      <c r="B589" s="101"/>
      <c r="C589" s="41"/>
      <c r="D589" s="136"/>
      <c r="E589" s="102"/>
      <c r="F589" s="128"/>
      <c r="G589" s="35"/>
    </row>
    <row r="590" spans="1:7" x14ac:dyDescent="0.2">
      <c r="A590" s="29"/>
      <c r="B590" s="101"/>
      <c r="C590" s="31"/>
      <c r="D590" s="67"/>
      <c r="E590" s="131"/>
      <c r="F590" s="117"/>
      <c r="G590" s="35"/>
    </row>
    <row r="591" spans="1:7" x14ac:dyDescent="0.2">
      <c r="A591" s="29"/>
      <c r="B591" s="101"/>
      <c r="C591" s="41"/>
      <c r="D591" s="118"/>
      <c r="E591" s="108"/>
      <c r="F591" s="149"/>
      <c r="G591" s="35"/>
    </row>
    <row r="592" spans="1:7" x14ac:dyDescent="0.2">
      <c r="A592" s="29"/>
      <c r="B592" s="101"/>
      <c r="C592" s="41"/>
      <c r="D592" s="144"/>
      <c r="E592" s="108"/>
      <c r="F592" s="149"/>
      <c r="G592" s="35"/>
    </row>
    <row r="593" spans="1:7" ht="13.5" thickBot="1" x14ac:dyDescent="0.25">
      <c r="A593" s="45"/>
      <c r="B593" s="132"/>
      <c r="C593" s="115"/>
      <c r="D593" s="115"/>
      <c r="E593" s="132"/>
      <c r="F593" s="49" t="s">
        <v>15</v>
      </c>
      <c r="G593" s="50">
        <f>SUM(G559:G592)</f>
        <v>5750</v>
      </c>
    </row>
    <row r="594" spans="1:7" ht="13.5" thickTop="1" x14ac:dyDescent="0.2">
      <c r="A594" s="875" t="s">
        <v>2634</v>
      </c>
      <c r="B594" s="899"/>
      <c r="C594" s="899"/>
      <c r="D594" s="899"/>
      <c r="E594" s="899"/>
      <c r="F594" s="899"/>
      <c r="G594" s="900"/>
    </row>
    <row r="595" spans="1:7" ht="13.5" thickBot="1" x14ac:dyDescent="0.25">
      <c r="A595" s="52"/>
      <c r="B595" s="103"/>
      <c r="C595" s="374" t="s">
        <v>2635</v>
      </c>
      <c r="D595" s="54"/>
      <c r="E595" s="103"/>
      <c r="F595" s="55"/>
      <c r="G595" s="56"/>
    </row>
    <row r="596" spans="1:7" ht="13.5" thickTop="1" x14ac:dyDescent="0.2">
      <c r="A596" s="906"/>
      <c r="B596" s="907"/>
      <c r="C596" s="907"/>
      <c r="D596" s="57" t="s">
        <v>11</v>
      </c>
      <c r="E596" s="908" t="s">
        <v>12</v>
      </c>
      <c r="F596" s="908"/>
      <c r="G596" s="909"/>
    </row>
    <row r="597" spans="1:7" x14ac:dyDescent="0.2">
      <c r="A597" s="910" t="s">
        <v>17</v>
      </c>
      <c r="B597" s="911"/>
      <c r="C597" s="911"/>
      <c r="D597" s="39"/>
      <c r="E597" s="912"/>
      <c r="F597" s="913"/>
      <c r="G597" s="914"/>
    </row>
    <row r="598" spans="1:7" x14ac:dyDescent="0.2">
      <c r="A598" s="910" t="s">
        <v>38</v>
      </c>
      <c r="B598" s="911"/>
      <c r="C598" s="911"/>
      <c r="D598" s="58" t="s">
        <v>326</v>
      </c>
      <c r="E598" s="868" t="s">
        <v>142</v>
      </c>
      <c r="F598" s="868"/>
      <c r="G598" s="869"/>
    </row>
    <row r="599" spans="1:7" ht="13.5" thickBot="1" x14ac:dyDescent="0.25">
      <c r="A599" s="901" t="s">
        <v>39</v>
      </c>
      <c r="B599" s="902"/>
      <c r="C599" s="902"/>
      <c r="D599" s="59" t="s">
        <v>327</v>
      </c>
      <c r="E599" s="904" t="s">
        <v>0</v>
      </c>
      <c r="F599" s="904"/>
      <c r="G599" s="905"/>
    </row>
  </sheetData>
  <mergeCells count="168">
    <mergeCell ref="A494:G494"/>
    <mergeCell ref="A496:C496"/>
    <mergeCell ref="E496:G496"/>
    <mergeCell ref="A497:C497"/>
    <mergeCell ref="E497:G497"/>
    <mergeCell ref="A498:C498"/>
    <mergeCell ref="E498:G498"/>
    <mergeCell ref="A499:C499"/>
    <mergeCell ref="E499:G499"/>
    <mergeCell ref="A448:C448"/>
    <mergeCell ref="E448:G448"/>
    <mergeCell ref="A449:C449"/>
    <mergeCell ref="E449:G449"/>
    <mergeCell ref="A450:G450"/>
    <mergeCell ref="A451:G451"/>
    <mergeCell ref="A452:G452"/>
    <mergeCell ref="E455:F455"/>
    <mergeCell ref="E457:F457"/>
    <mergeCell ref="A400:G400"/>
    <mergeCell ref="A401:G401"/>
    <mergeCell ref="A402:G402"/>
    <mergeCell ref="E405:F405"/>
    <mergeCell ref="E407:F407"/>
    <mergeCell ref="A444:G444"/>
    <mergeCell ref="A446:C446"/>
    <mergeCell ref="E446:G446"/>
    <mergeCell ref="A447:C447"/>
    <mergeCell ref="E447:G447"/>
    <mergeCell ref="A398:C398"/>
    <mergeCell ref="E398:G398"/>
    <mergeCell ref="A399:C399"/>
    <mergeCell ref="E399:G399"/>
    <mergeCell ref="A394:G394"/>
    <mergeCell ref="A396:C396"/>
    <mergeCell ref="E396:G396"/>
    <mergeCell ref="A397:C397"/>
    <mergeCell ref="E397:G397"/>
    <mergeCell ref="A350:G350"/>
    <mergeCell ref="A351:G351"/>
    <mergeCell ref="A352:G352"/>
    <mergeCell ref="E355:F355"/>
    <mergeCell ref="E357:F357"/>
    <mergeCell ref="A298:C298"/>
    <mergeCell ref="E298:G298"/>
    <mergeCell ref="A299:C299"/>
    <mergeCell ref="E299:G299"/>
    <mergeCell ref="A300:G300"/>
    <mergeCell ref="A301:G301"/>
    <mergeCell ref="A302:G302"/>
    <mergeCell ref="E305:F305"/>
    <mergeCell ref="E307:F307"/>
    <mergeCell ref="A348:C348"/>
    <mergeCell ref="E348:G348"/>
    <mergeCell ref="A349:C349"/>
    <mergeCell ref="E349:G349"/>
    <mergeCell ref="A344:G344"/>
    <mergeCell ref="A346:C346"/>
    <mergeCell ref="E346:G346"/>
    <mergeCell ref="A347:C347"/>
    <mergeCell ref="E347:G347"/>
    <mergeCell ref="A294:G294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1:G1"/>
    <mergeCell ref="A2:G2"/>
    <mergeCell ref="A3:G3"/>
    <mergeCell ref="E6:F6"/>
    <mergeCell ref="E8:F8"/>
    <mergeCell ref="A50:G50"/>
    <mergeCell ref="A51:G51"/>
    <mergeCell ref="A52:G52"/>
    <mergeCell ref="E55:F55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100:G100"/>
    <mergeCell ref="A101:G101"/>
    <mergeCell ref="A102:G102"/>
    <mergeCell ref="E105:F105"/>
    <mergeCell ref="E107:F107"/>
    <mergeCell ref="A144:G144"/>
    <mergeCell ref="A146:C146"/>
    <mergeCell ref="E146:G146"/>
    <mergeCell ref="A147:C147"/>
    <mergeCell ref="E147:G147"/>
    <mergeCell ref="A148:C148"/>
    <mergeCell ref="E148:G148"/>
    <mergeCell ref="A149:C149"/>
    <mergeCell ref="E149:G149"/>
    <mergeCell ref="A150:G150"/>
    <mergeCell ref="A151:G151"/>
    <mergeCell ref="A152:G152"/>
    <mergeCell ref="E155:F155"/>
    <mergeCell ref="E157:F157"/>
    <mergeCell ref="A194:G194"/>
    <mergeCell ref="A199:C199"/>
    <mergeCell ref="E199:G199"/>
    <mergeCell ref="A196:C196"/>
    <mergeCell ref="E196:G196"/>
    <mergeCell ref="A197:C197"/>
    <mergeCell ref="E197:G197"/>
    <mergeCell ref="A198:C198"/>
    <mergeCell ref="E198:G198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  <mergeCell ref="A500:G500"/>
    <mergeCell ref="A501:G501"/>
    <mergeCell ref="A502:G502"/>
    <mergeCell ref="E505:F505"/>
    <mergeCell ref="E507:F507"/>
    <mergeCell ref="A544:G544"/>
    <mergeCell ref="A546:C546"/>
    <mergeCell ref="E546:G546"/>
    <mergeCell ref="A547:C547"/>
    <mergeCell ref="E547:G547"/>
    <mergeCell ref="A548:C548"/>
    <mergeCell ref="E548:G548"/>
    <mergeCell ref="A549:C549"/>
    <mergeCell ref="E549:G549"/>
    <mergeCell ref="A550:G550"/>
    <mergeCell ref="A551:G551"/>
    <mergeCell ref="A552:G552"/>
    <mergeCell ref="E555:F555"/>
    <mergeCell ref="E557:F557"/>
    <mergeCell ref="A594:G594"/>
    <mergeCell ref="A596:C596"/>
    <mergeCell ref="E596:G596"/>
    <mergeCell ref="A597:C597"/>
    <mergeCell ref="E597:G597"/>
    <mergeCell ref="A598:C598"/>
    <mergeCell ref="E598:G598"/>
    <mergeCell ref="A599:C599"/>
    <mergeCell ref="E599:G59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A3CC4"/>
  </sheetPr>
  <dimension ref="A1:I1498"/>
  <sheetViews>
    <sheetView topLeftCell="A778" zoomScale="110" zoomScaleNormal="110" workbookViewId="0">
      <selection activeCell="D809" sqref="D80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19</v>
      </c>
      <c r="D5" s="13"/>
      <c r="E5" s="362" t="s">
        <v>1356</v>
      </c>
      <c r="F5" s="98"/>
      <c r="G5" s="363" t="s">
        <v>1343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242</v>
      </c>
      <c r="D10" s="376" t="s">
        <v>1288</v>
      </c>
      <c r="E10" s="158">
        <v>35</v>
      </c>
      <c r="F10" s="128">
        <v>450</v>
      </c>
      <c r="G10" s="35">
        <f>F10*E10</f>
        <v>15750</v>
      </c>
    </row>
    <row r="11" spans="1:7" x14ac:dyDescent="0.2">
      <c r="A11" s="29"/>
      <c r="B11" s="101"/>
      <c r="C11" s="41"/>
      <c r="D11" s="370" t="s">
        <v>886</v>
      </c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7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</row>
    <row r="38" spans="1:9" x14ac:dyDescent="0.2">
      <c r="A38" s="29"/>
      <c r="B38" s="101"/>
      <c r="C38" s="41"/>
      <c r="D38" s="136"/>
      <c r="E38" s="153"/>
      <c r="F38" s="128"/>
      <c r="G38" s="35"/>
    </row>
    <row r="39" spans="1:9" x14ac:dyDescent="0.2">
      <c r="A39" s="29"/>
      <c r="B39" s="101"/>
      <c r="C39" s="41"/>
      <c r="D39" s="136"/>
      <c r="E39" s="102"/>
      <c r="F39" s="128"/>
      <c r="G39" s="35"/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  <c r="I41" s="2">
        <f>70*200</f>
        <v>14000</v>
      </c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15750</v>
      </c>
    </row>
    <row r="44" spans="1:9" ht="13.5" thickTop="1" x14ac:dyDescent="0.2">
      <c r="A44" s="875" t="s">
        <v>1290</v>
      </c>
      <c r="B44" s="899"/>
      <c r="C44" s="899"/>
      <c r="D44" s="899"/>
      <c r="E44" s="899"/>
      <c r="F44" s="899"/>
      <c r="G44" s="900"/>
    </row>
    <row r="45" spans="1:9" ht="13.5" thickBot="1" x14ac:dyDescent="0.25">
      <c r="A45" s="52"/>
      <c r="B45" s="103"/>
      <c r="C45" s="374" t="s">
        <v>1289</v>
      </c>
      <c r="D45" s="54"/>
      <c r="E45" s="103"/>
      <c r="F45" s="55"/>
      <c r="G45" s="56"/>
    </row>
    <row r="46" spans="1:9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9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9" x14ac:dyDescent="0.2">
      <c r="A48" s="910" t="s">
        <v>38</v>
      </c>
      <c r="B48" s="911"/>
      <c r="C48" s="911"/>
      <c r="D48" s="58" t="s">
        <v>887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44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19</v>
      </c>
      <c r="D54" s="13"/>
      <c r="E54" s="362" t="s">
        <v>1043</v>
      </c>
      <c r="F54" s="98"/>
      <c r="G54" s="363" t="s">
        <v>1194</v>
      </c>
    </row>
    <row r="55" spans="1:7" x14ac:dyDescent="0.2">
      <c r="A55" s="17" t="s">
        <v>8</v>
      </c>
      <c r="B55" s="100"/>
      <c r="C55" s="19"/>
      <c r="D55" s="4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71" t="s">
        <v>242</v>
      </c>
      <c r="D59" s="376" t="s">
        <v>1288</v>
      </c>
      <c r="E59" s="158">
        <v>35</v>
      </c>
      <c r="F59" s="128">
        <v>450</v>
      </c>
      <c r="G59" s="35">
        <f>F59*E59</f>
        <v>15750</v>
      </c>
    </row>
    <row r="60" spans="1:7" x14ac:dyDescent="0.2">
      <c r="A60" s="29"/>
      <c r="B60" s="101"/>
      <c r="C60" s="41"/>
      <c r="D60" s="370" t="s">
        <v>886</v>
      </c>
      <c r="E60" s="156"/>
      <c r="F60" s="128"/>
      <c r="G60" s="35"/>
    </row>
    <row r="61" spans="1:7" x14ac:dyDescent="0.2">
      <c r="A61" s="29"/>
      <c r="B61" s="101"/>
      <c r="C61" s="41"/>
      <c r="D61" s="129"/>
      <c r="E61" s="157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60"/>
      <c r="E85" s="108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02"/>
      <c r="F87" s="128"/>
      <c r="G87" s="35"/>
    </row>
    <row r="88" spans="1:7" x14ac:dyDescent="0.2">
      <c r="A88" s="29"/>
      <c r="B88" s="101"/>
      <c r="C88" s="31"/>
      <c r="D88" s="67"/>
      <c r="E88" s="131"/>
      <c r="F88" s="117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15750</v>
      </c>
    </row>
    <row r="93" spans="1:7" ht="13.5" thickTop="1" x14ac:dyDescent="0.2">
      <c r="A93" s="875" t="s">
        <v>1304</v>
      </c>
      <c r="B93" s="899"/>
      <c r="C93" s="899"/>
      <c r="D93" s="899"/>
      <c r="E93" s="899"/>
      <c r="F93" s="899"/>
      <c r="G93" s="900"/>
    </row>
    <row r="94" spans="1:7" ht="13.5" thickBot="1" x14ac:dyDescent="0.25">
      <c r="A94" s="52"/>
      <c r="B94" s="103"/>
      <c r="C94" s="374" t="s">
        <v>1305</v>
      </c>
      <c r="D94" s="54"/>
      <c r="E94" s="103"/>
      <c r="F94" s="55"/>
      <c r="G94" s="56"/>
    </row>
    <row r="95" spans="1:7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7" x14ac:dyDescent="0.2">
      <c r="A96" s="910" t="s">
        <v>17</v>
      </c>
      <c r="B96" s="911"/>
      <c r="C96" s="911"/>
      <c r="D96" s="39"/>
      <c r="E96" s="912"/>
      <c r="F96" s="913"/>
      <c r="G96" s="914"/>
    </row>
    <row r="97" spans="1:7" x14ac:dyDescent="0.2">
      <c r="A97" s="910" t="s">
        <v>38</v>
      </c>
      <c r="B97" s="911"/>
      <c r="C97" s="911"/>
      <c r="D97" s="58" t="s">
        <v>887</v>
      </c>
      <c r="E97" s="868" t="s">
        <v>142</v>
      </c>
      <c r="F97" s="868"/>
      <c r="G97" s="869"/>
    </row>
    <row r="98" spans="1:7" ht="13.5" thickBot="1" x14ac:dyDescent="0.25">
      <c r="A98" s="901" t="s">
        <v>39</v>
      </c>
      <c r="B98" s="902"/>
      <c r="C98" s="902"/>
      <c r="D98" s="59" t="s">
        <v>44</v>
      </c>
      <c r="E98" s="904" t="s">
        <v>0</v>
      </c>
      <c r="F98" s="904"/>
      <c r="G98" s="905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19</v>
      </c>
      <c r="D103" s="13"/>
      <c r="E103" s="362" t="s">
        <v>1043</v>
      </c>
      <c r="F103" s="98"/>
      <c r="G103" s="363" t="s">
        <v>1194</v>
      </c>
    </row>
    <row r="104" spans="1:7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920"/>
      <c r="F106" s="921"/>
      <c r="G106" s="25"/>
    </row>
    <row r="107" spans="1:7" ht="26.25" thickBot="1" x14ac:dyDescent="0.25">
      <c r="A107" s="26" t="s">
        <v>47</v>
      </c>
      <c r="B107" s="26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71" t="s">
        <v>242</v>
      </c>
      <c r="D108" s="376" t="s">
        <v>1288</v>
      </c>
      <c r="E108" s="158">
        <v>35</v>
      </c>
      <c r="F108" s="128">
        <v>450</v>
      </c>
      <c r="G108" s="35">
        <f>F108*E108</f>
        <v>15750</v>
      </c>
    </row>
    <row r="109" spans="1:7" x14ac:dyDescent="0.2">
      <c r="A109" s="29"/>
      <c r="B109" s="101"/>
      <c r="C109" s="41"/>
      <c r="D109" s="370" t="s">
        <v>886</v>
      </c>
      <c r="E109" s="156"/>
      <c r="F109" s="128"/>
      <c r="G109" s="35"/>
    </row>
    <row r="110" spans="1:7" x14ac:dyDescent="0.2">
      <c r="A110" s="29"/>
      <c r="B110" s="101"/>
      <c r="C110" s="41"/>
      <c r="D110" s="129"/>
      <c r="E110" s="157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67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15750</v>
      </c>
    </row>
    <row r="143" spans="1:7" ht="13.5" thickTop="1" x14ac:dyDescent="0.2">
      <c r="A143" s="875" t="s">
        <v>1304</v>
      </c>
      <c r="B143" s="899"/>
      <c r="C143" s="899"/>
      <c r="D143" s="899"/>
      <c r="E143" s="899"/>
      <c r="F143" s="899"/>
      <c r="G143" s="900"/>
    </row>
    <row r="144" spans="1:7" ht="13.5" thickBot="1" x14ac:dyDescent="0.25">
      <c r="A144" s="52"/>
      <c r="B144" s="103"/>
      <c r="C144" s="374" t="s">
        <v>1305</v>
      </c>
      <c r="D144" s="54"/>
      <c r="E144" s="103"/>
      <c r="F144" s="55"/>
      <c r="G144" s="56"/>
    </row>
    <row r="145" spans="1:7" ht="13.5" thickTop="1" x14ac:dyDescent="0.2">
      <c r="A145" s="906"/>
      <c r="B145" s="907"/>
      <c r="C145" s="907"/>
      <c r="D145" s="57" t="s">
        <v>11</v>
      </c>
      <c r="E145" s="908" t="s">
        <v>12</v>
      </c>
      <c r="F145" s="908"/>
      <c r="G145" s="909"/>
    </row>
    <row r="146" spans="1:7" x14ac:dyDescent="0.2">
      <c r="A146" s="910" t="s">
        <v>17</v>
      </c>
      <c r="B146" s="911"/>
      <c r="C146" s="911"/>
      <c r="D146" s="39"/>
      <c r="E146" s="912"/>
      <c r="F146" s="913"/>
      <c r="G146" s="914"/>
    </row>
    <row r="147" spans="1:7" x14ac:dyDescent="0.2">
      <c r="A147" s="910" t="s">
        <v>38</v>
      </c>
      <c r="B147" s="911"/>
      <c r="C147" s="911"/>
      <c r="D147" s="58" t="s">
        <v>887</v>
      </c>
      <c r="E147" s="868" t="s">
        <v>142</v>
      </c>
      <c r="F147" s="868"/>
      <c r="G147" s="869"/>
    </row>
    <row r="148" spans="1:7" ht="13.5" thickBot="1" x14ac:dyDescent="0.25">
      <c r="A148" s="901" t="s">
        <v>39</v>
      </c>
      <c r="B148" s="902"/>
      <c r="C148" s="902"/>
      <c r="D148" s="59" t="s">
        <v>44</v>
      </c>
      <c r="E148" s="904" t="s">
        <v>0</v>
      </c>
      <c r="F148" s="904"/>
      <c r="G148" s="905"/>
    </row>
    <row r="149" spans="1:7" ht="16.5" x14ac:dyDescent="0.25">
      <c r="A149" s="885" t="s">
        <v>29</v>
      </c>
      <c r="B149" s="886"/>
      <c r="C149" s="886"/>
      <c r="D149" s="886"/>
      <c r="E149" s="886"/>
      <c r="F149" s="886"/>
      <c r="G149" s="887"/>
    </row>
    <row r="150" spans="1:7" x14ac:dyDescent="0.2">
      <c r="A150" s="888" t="s">
        <v>48</v>
      </c>
      <c r="B150" s="889"/>
      <c r="C150" s="889"/>
      <c r="D150" s="889"/>
      <c r="E150" s="889"/>
      <c r="F150" s="889"/>
      <c r="G150" s="890"/>
    </row>
    <row r="151" spans="1:7" x14ac:dyDescent="0.2">
      <c r="A151" s="915" t="s">
        <v>49</v>
      </c>
      <c r="B151" s="916"/>
      <c r="C151" s="916"/>
      <c r="D151" s="916"/>
      <c r="E151" s="916"/>
      <c r="F151" s="916"/>
      <c r="G151" s="917"/>
    </row>
    <row r="152" spans="1:7" x14ac:dyDescent="0.2">
      <c r="A152" s="6"/>
      <c r="B152" s="99"/>
      <c r="C152" s="8"/>
      <c r="D152" s="9"/>
      <c r="E152" s="99"/>
      <c r="F152" s="10"/>
      <c r="G152" s="11" t="s">
        <v>20</v>
      </c>
    </row>
    <row r="153" spans="1:7" x14ac:dyDescent="0.2">
      <c r="A153" s="12" t="s">
        <v>1</v>
      </c>
      <c r="B153" s="13"/>
      <c r="C153" s="14" t="s">
        <v>19</v>
      </c>
      <c r="D153" s="13"/>
      <c r="E153" s="362" t="s">
        <v>1369</v>
      </c>
      <c r="F153" s="98"/>
      <c r="G153" s="363" t="s">
        <v>1343</v>
      </c>
    </row>
    <row r="154" spans="1:7" x14ac:dyDescent="0.2">
      <c r="A154" s="17" t="s">
        <v>8</v>
      </c>
      <c r="B154" s="100"/>
      <c r="C154" s="19"/>
      <c r="D154" s="4"/>
      <c r="E154" s="918"/>
      <c r="F154" s="919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920"/>
      <c r="F156" s="921"/>
      <c r="G156" s="25"/>
    </row>
    <row r="157" spans="1:7" ht="26.25" thickBot="1" x14ac:dyDescent="0.25">
      <c r="A157" s="26" t="s">
        <v>47</v>
      </c>
      <c r="B157" s="26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71" t="s">
        <v>242</v>
      </c>
      <c r="D158" s="376" t="s">
        <v>324</v>
      </c>
      <c r="E158" s="158">
        <v>35</v>
      </c>
      <c r="F158" s="128">
        <v>200</v>
      </c>
      <c r="G158" s="35">
        <f>F158*E158</f>
        <v>7000</v>
      </c>
    </row>
    <row r="159" spans="1:7" x14ac:dyDescent="0.2">
      <c r="A159" s="29">
        <v>2</v>
      </c>
      <c r="B159" s="101"/>
      <c r="C159" s="371" t="s">
        <v>242</v>
      </c>
      <c r="D159" s="370" t="s">
        <v>305</v>
      </c>
      <c r="E159" s="158">
        <v>35</v>
      </c>
      <c r="F159" s="128">
        <v>450</v>
      </c>
      <c r="G159" s="35">
        <f t="shared" ref="G159" si="0">F159*E159</f>
        <v>15750</v>
      </c>
    </row>
    <row r="160" spans="1:7" x14ac:dyDescent="0.2">
      <c r="A160" s="29"/>
      <c r="B160" s="101"/>
      <c r="C160" s="41"/>
      <c r="D160" s="370" t="s">
        <v>886</v>
      </c>
      <c r="E160" s="157"/>
      <c r="F160" s="149"/>
      <c r="G160" s="372" t="s">
        <v>8</v>
      </c>
    </row>
    <row r="161" spans="1:7" x14ac:dyDescent="0.2">
      <c r="A161" s="29">
        <v>3</v>
      </c>
      <c r="B161" s="101"/>
      <c r="C161" s="371" t="s">
        <v>242</v>
      </c>
      <c r="D161" s="370" t="s">
        <v>310</v>
      </c>
      <c r="E161" s="158">
        <v>35</v>
      </c>
      <c r="F161" s="128">
        <v>200</v>
      </c>
      <c r="G161" s="35">
        <f>F161*E161</f>
        <v>7000</v>
      </c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51"/>
      <c r="C164" s="119"/>
      <c r="D164" s="136"/>
      <c r="E164" s="108"/>
      <c r="F164" s="150"/>
      <c r="G164" s="35"/>
    </row>
    <row r="165" spans="1:7" x14ac:dyDescent="0.2">
      <c r="A165" s="29"/>
      <c r="B165" s="151"/>
      <c r="C165" s="119"/>
      <c r="D165" s="144"/>
      <c r="E165" s="108"/>
      <c r="F165" s="150"/>
      <c r="G165" s="35"/>
    </row>
    <row r="166" spans="1:7" x14ac:dyDescent="0.2">
      <c r="A166" s="29"/>
      <c r="B166" s="101"/>
      <c r="C166" s="41"/>
      <c r="D166" s="144"/>
      <c r="E166" s="155"/>
      <c r="F166" s="128"/>
      <c r="G166" s="35"/>
    </row>
    <row r="167" spans="1:7" x14ac:dyDescent="0.2">
      <c r="A167" s="29"/>
      <c r="B167" s="106"/>
      <c r="C167" s="41"/>
      <c r="D167" s="136"/>
      <c r="E167" s="104"/>
      <c r="F167" s="128"/>
      <c r="G167" s="35"/>
    </row>
    <row r="168" spans="1:7" x14ac:dyDescent="0.2">
      <c r="A168" s="29"/>
      <c r="B168" s="105"/>
      <c r="C168" s="41"/>
      <c r="D168" s="136"/>
      <c r="E168" s="108"/>
      <c r="F168" s="152"/>
      <c r="G168" s="35"/>
    </row>
    <row r="169" spans="1:7" x14ac:dyDescent="0.2">
      <c r="A169" s="29"/>
      <c r="B169" s="107"/>
      <c r="C169" s="41"/>
      <c r="D169" s="136"/>
      <c r="E169" s="153"/>
      <c r="F169" s="128"/>
      <c r="G169" s="35"/>
    </row>
    <row r="170" spans="1:7" x14ac:dyDescent="0.2">
      <c r="A170" s="29"/>
      <c r="B170" s="107"/>
      <c r="C170" s="41"/>
      <c r="D170" s="67"/>
      <c r="E170" s="153"/>
      <c r="F170" s="128"/>
      <c r="G170" s="35"/>
    </row>
    <row r="171" spans="1:7" x14ac:dyDescent="0.2">
      <c r="A171" s="29"/>
      <c r="B171" s="101"/>
      <c r="C171" s="41"/>
      <c r="D171" s="67"/>
      <c r="E171" s="108"/>
      <c r="F171" s="128"/>
      <c r="G171" s="35"/>
    </row>
    <row r="172" spans="1:7" x14ac:dyDescent="0.2">
      <c r="A172" s="29"/>
      <c r="B172" s="101"/>
      <c r="C172" s="41"/>
      <c r="D172" s="67"/>
      <c r="E172" s="153"/>
      <c r="F172" s="128"/>
      <c r="G172" s="35"/>
    </row>
    <row r="173" spans="1:7" x14ac:dyDescent="0.2">
      <c r="A173" s="29"/>
      <c r="B173" s="106"/>
      <c r="C173" s="41"/>
      <c r="D173" s="67"/>
      <c r="E173" s="104"/>
      <c r="F173" s="154"/>
      <c r="G173" s="35"/>
    </row>
    <row r="174" spans="1:7" x14ac:dyDescent="0.2">
      <c r="A174" s="29"/>
      <c r="B174" s="105"/>
      <c r="C174" s="41"/>
      <c r="D174" s="130"/>
      <c r="E174" s="104"/>
      <c r="F174" s="154"/>
      <c r="G174" s="35"/>
    </row>
    <row r="175" spans="1:7" x14ac:dyDescent="0.2">
      <c r="A175" s="29"/>
      <c r="B175" s="105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62"/>
      <c r="E179" s="104"/>
      <c r="F179" s="154"/>
      <c r="G179" s="35"/>
    </row>
    <row r="180" spans="1:7" x14ac:dyDescent="0.2">
      <c r="A180" s="29"/>
      <c r="B180" s="101"/>
      <c r="C180" s="41"/>
      <c r="D180" s="67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67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02"/>
      <c r="F188" s="128"/>
      <c r="G188" s="35"/>
    </row>
    <row r="189" spans="1:7" x14ac:dyDescent="0.2">
      <c r="A189" s="29"/>
      <c r="B189" s="101"/>
      <c r="C189" s="31"/>
      <c r="D189" s="67"/>
      <c r="E189" s="131"/>
      <c r="F189" s="117"/>
      <c r="G189" s="35"/>
    </row>
    <row r="190" spans="1:7" x14ac:dyDescent="0.2">
      <c r="A190" s="29"/>
      <c r="B190" s="101"/>
      <c r="C190" s="41"/>
      <c r="D190" s="118"/>
      <c r="E190" s="108"/>
      <c r="F190" s="149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ht="13.5" thickBot="1" x14ac:dyDescent="0.25">
      <c r="A192" s="45"/>
      <c r="B192" s="132"/>
      <c r="C192" s="115"/>
      <c r="D192" s="115"/>
      <c r="E192" s="132"/>
      <c r="F192" s="49" t="s">
        <v>15</v>
      </c>
      <c r="G192" s="50">
        <f>SUM(G158:G191)</f>
        <v>29750</v>
      </c>
    </row>
    <row r="193" spans="1:7" ht="13.5" thickTop="1" x14ac:dyDescent="0.2">
      <c r="A193" s="875" t="s">
        <v>1370</v>
      </c>
      <c r="B193" s="899"/>
      <c r="C193" s="899"/>
      <c r="D193" s="899"/>
      <c r="E193" s="899"/>
      <c r="F193" s="899"/>
      <c r="G193" s="900"/>
    </row>
    <row r="194" spans="1:7" ht="13.5" thickBot="1" x14ac:dyDescent="0.25">
      <c r="A194" s="52"/>
      <c r="B194" s="103"/>
      <c r="C194" s="374" t="s">
        <v>8</v>
      </c>
      <c r="D194" s="54"/>
      <c r="E194" s="103"/>
      <c r="F194" s="55"/>
      <c r="G194" s="56"/>
    </row>
    <row r="195" spans="1:7" ht="13.5" thickTop="1" x14ac:dyDescent="0.2">
      <c r="A195" s="906"/>
      <c r="B195" s="907"/>
      <c r="C195" s="907"/>
      <c r="D195" s="57" t="s">
        <v>11</v>
      </c>
      <c r="E195" s="908" t="s">
        <v>12</v>
      </c>
      <c r="F195" s="908"/>
      <c r="G195" s="909"/>
    </row>
    <row r="196" spans="1:7" x14ac:dyDescent="0.2">
      <c r="A196" s="910" t="s">
        <v>17</v>
      </c>
      <c r="B196" s="911"/>
      <c r="C196" s="911"/>
      <c r="D196" s="39"/>
      <c r="E196" s="912"/>
      <c r="F196" s="913"/>
      <c r="G196" s="914"/>
    </row>
    <row r="197" spans="1:7" x14ac:dyDescent="0.2">
      <c r="A197" s="910" t="s">
        <v>38</v>
      </c>
      <c r="B197" s="911"/>
      <c r="C197" s="911"/>
      <c r="D197" s="58" t="s">
        <v>887</v>
      </c>
      <c r="E197" s="868" t="s">
        <v>142</v>
      </c>
      <c r="F197" s="868"/>
      <c r="G197" s="869"/>
    </row>
    <row r="198" spans="1:7" ht="13.5" thickBot="1" x14ac:dyDescent="0.25">
      <c r="A198" s="901" t="s">
        <v>39</v>
      </c>
      <c r="B198" s="902"/>
      <c r="C198" s="902"/>
      <c r="D198" s="59" t="s">
        <v>44</v>
      </c>
      <c r="E198" s="904" t="s">
        <v>0</v>
      </c>
      <c r="F198" s="904"/>
      <c r="G198" s="905"/>
    </row>
    <row r="199" spans="1:7" ht="16.5" x14ac:dyDescent="0.25">
      <c r="A199" s="885" t="s">
        <v>29</v>
      </c>
      <c r="B199" s="886"/>
      <c r="C199" s="886"/>
      <c r="D199" s="886"/>
      <c r="E199" s="886"/>
      <c r="F199" s="886"/>
      <c r="G199" s="887"/>
    </row>
    <row r="200" spans="1:7" x14ac:dyDescent="0.2">
      <c r="A200" s="888" t="s">
        <v>48</v>
      </c>
      <c r="B200" s="889"/>
      <c r="C200" s="889"/>
      <c r="D200" s="889"/>
      <c r="E200" s="889"/>
      <c r="F200" s="889"/>
      <c r="G200" s="890"/>
    </row>
    <row r="201" spans="1:7" x14ac:dyDescent="0.2">
      <c r="A201" s="915" t="s">
        <v>49</v>
      </c>
      <c r="B201" s="916"/>
      <c r="C201" s="916"/>
      <c r="D201" s="916"/>
      <c r="E201" s="916"/>
      <c r="F201" s="916"/>
      <c r="G201" s="917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1</v>
      </c>
      <c r="B203" s="13"/>
      <c r="C203" s="14" t="s">
        <v>19</v>
      </c>
      <c r="D203" s="13"/>
      <c r="E203" s="362" t="s">
        <v>1526</v>
      </c>
      <c r="F203" s="98"/>
      <c r="G203" s="363" t="s">
        <v>1521</v>
      </c>
    </row>
    <row r="204" spans="1:7" x14ac:dyDescent="0.2">
      <c r="A204" s="17" t="s">
        <v>8</v>
      </c>
      <c r="B204" s="100"/>
      <c r="C204" s="19"/>
      <c r="D204" s="4"/>
      <c r="E204" s="918"/>
      <c r="F204" s="919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920"/>
      <c r="F206" s="921"/>
      <c r="G206" s="25"/>
    </row>
    <row r="207" spans="1:7" ht="26.25" thickBot="1" x14ac:dyDescent="0.25">
      <c r="A207" s="207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371" t="s">
        <v>242</v>
      </c>
      <c r="D208" s="376" t="s">
        <v>305</v>
      </c>
      <c r="E208" s="158">
        <v>35</v>
      </c>
      <c r="F208" s="128">
        <v>450</v>
      </c>
      <c r="G208" s="35">
        <f>F208*E208</f>
        <v>15750</v>
      </c>
    </row>
    <row r="209" spans="1:7" x14ac:dyDescent="0.2">
      <c r="A209" s="29"/>
      <c r="B209" s="101"/>
      <c r="C209" s="371"/>
      <c r="D209" s="370" t="s">
        <v>886</v>
      </c>
      <c r="E209" s="158"/>
      <c r="F209" s="128"/>
      <c r="G209" s="35"/>
    </row>
    <row r="210" spans="1:7" x14ac:dyDescent="0.2">
      <c r="A210" s="29"/>
      <c r="B210" s="101"/>
      <c r="C210" s="41"/>
      <c r="D210" s="370"/>
      <c r="E210" s="157"/>
      <c r="F210" s="149"/>
      <c r="G210" s="372"/>
    </row>
    <row r="211" spans="1:7" x14ac:dyDescent="0.2">
      <c r="A211" s="29"/>
      <c r="B211" s="101"/>
      <c r="C211" s="371"/>
      <c r="D211" s="370"/>
      <c r="E211" s="158"/>
      <c r="F211" s="128"/>
      <c r="G211" s="35"/>
    </row>
    <row r="212" spans="1:7" x14ac:dyDescent="0.2">
      <c r="A212" s="29"/>
      <c r="B212" s="105"/>
      <c r="C212" s="41"/>
      <c r="D212" s="136"/>
      <c r="E212" s="102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51"/>
      <c r="C214" s="119"/>
      <c r="D214" s="136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01"/>
      <c r="C216" s="41"/>
      <c r="D216" s="144"/>
      <c r="E216" s="155"/>
      <c r="F216" s="128"/>
      <c r="G216" s="35"/>
    </row>
    <row r="217" spans="1:7" x14ac:dyDescent="0.2">
      <c r="A217" s="29"/>
      <c r="B217" s="106"/>
      <c r="C217" s="41"/>
      <c r="D217" s="136"/>
      <c r="E217" s="104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62"/>
      <c r="E229" s="104"/>
      <c r="F229" s="154"/>
      <c r="G229" s="35"/>
    </row>
    <row r="230" spans="1:7" x14ac:dyDescent="0.2">
      <c r="A230" s="29"/>
      <c r="B230" s="101"/>
      <c r="C230" s="41"/>
      <c r="D230" s="67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67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15750</v>
      </c>
    </row>
    <row r="243" spans="1:7" ht="13.5" thickTop="1" x14ac:dyDescent="0.2">
      <c r="A243" s="875" t="s">
        <v>1304</v>
      </c>
      <c r="B243" s="899"/>
      <c r="C243" s="899"/>
      <c r="D243" s="899"/>
      <c r="E243" s="899"/>
      <c r="F243" s="899"/>
      <c r="G243" s="900"/>
    </row>
    <row r="244" spans="1:7" ht="13.5" thickBot="1" x14ac:dyDescent="0.25">
      <c r="A244" s="52"/>
      <c r="B244" s="103"/>
      <c r="C244" s="374" t="s">
        <v>1537</v>
      </c>
      <c r="D244" s="54"/>
      <c r="E244" s="103"/>
      <c r="F244" s="55"/>
      <c r="G244" s="56"/>
    </row>
    <row r="245" spans="1:7" ht="13.5" thickTop="1" x14ac:dyDescent="0.2">
      <c r="A245" s="906"/>
      <c r="B245" s="907"/>
      <c r="C245" s="907"/>
      <c r="D245" s="57" t="s">
        <v>11</v>
      </c>
      <c r="E245" s="908" t="s">
        <v>12</v>
      </c>
      <c r="F245" s="908"/>
      <c r="G245" s="909"/>
    </row>
    <row r="246" spans="1:7" x14ac:dyDescent="0.2">
      <c r="A246" s="910" t="s">
        <v>17</v>
      </c>
      <c r="B246" s="911"/>
      <c r="C246" s="911"/>
      <c r="D246" s="39"/>
      <c r="E246" s="912"/>
      <c r="F246" s="913"/>
      <c r="G246" s="914"/>
    </row>
    <row r="247" spans="1:7" x14ac:dyDescent="0.2">
      <c r="A247" s="910" t="s">
        <v>38</v>
      </c>
      <c r="B247" s="911"/>
      <c r="C247" s="911"/>
      <c r="D247" s="58" t="s">
        <v>887</v>
      </c>
      <c r="E247" s="868" t="s">
        <v>142</v>
      </c>
      <c r="F247" s="868"/>
      <c r="G247" s="869"/>
    </row>
    <row r="248" spans="1:7" ht="13.5" thickBot="1" x14ac:dyDescent="0.25">
      <c r="A248" s="901" t="s">
        <v>39</v>
      </c>
      <c r="B248" s="902"/>
      <c r="C248" s="902"/>
      <c r="D248" s="59" t="s">
        <v>44</v>
      </c>
      <c r="E248" s="904" t="s">
        <v>0</v>
      </c>
      <c r="F248" s="904"/>
      <c r="G248" s="905"/>
    </row>
    <row r="249" spans="1:7" ht="16.5" x14ac:dyDescent="0.25">
      <c r="A249" s="885" t="s">
        <v>29</v>
      </c>
      <c r="B249" s="886"/>
      <c r="C249" s="886"/>
      <c r="D249" s="886"/>
      <c r="E249" s="886"/>
      <c r="F249" s="886"/>
      <c r="G249" s="887"/>
    </row>
    <row r="250" spans="1:7" x14ac:dyDescent="0.2">
      <c r="A250" s="888" t="s">
        <v>48</v>
      </c>
      <c r="B250" s="889"/>
      <c r="C250" s="889"/>
      <c r="D250" s="889"/>
      <c r="E250" s="889"/>
      <c r="F250" s="889"/>
      <c r="G250" s="890"/>
    </row>
    <row r="251" spans="1:7" x14ac:dyDescent="0.2">
      <c r="A251" s="915" t="s">
        <v>49</v>
      </c>
      <c r="B251" s="916"/>
      <c r="C251" s="916"/>
      <c r="D251" s="916"/>
      <c r="E251" s="916"/>
      <c r="F251" s="916"/>
      <c r="G251" s="917"/>
    </row>
    <row r="252" spans="1:7" x14ac:dyDescent="0.2">
      <c r="A252" s="6"/>
      <c r="B252" s="99"/>
      <c r="C252" s="8"/>
      <c r="D252" s="9"/>
      <c r="E252" s="99"/>
      <c r="F252" s="10"/>
      <c r="G252" s="11" t="s">
        <v>20</v>
      </c>
    </row>
    <row r="253" spans="1:7" x14ac:dyDescent="0.2">
      <c r="A253" s="12" t="s">
        <v>1</v>
      </c>
      <c r="B253" s="13"/>
      <c r="C253" s="14" t="s">
        <v>19</v>
      </c>
      <c r="D253" s="13"/>
      <c r="E253" s="362" t="s">
        <v>1526</v>
      </c>
      <c r="F253" s="98"/>
      <c r="G253" s="363" t="s">
        <v>1521</v>
      </c>
    </row>
    <row r="254" spans="1:7" x14ac:dyDescent="0.2">
      <c r="A254" s="17" t="s">
        <v>8</v>
      </c>
      <c r="B254" s="100"/>
      <c r="C254" s="19"/>
      <c r="D254" s="4"/>
      <c r="E254" s="918"/>
      <c r="F254" s="919"/>
      <c r="G254" s="20"/>
    </row>
    <row r="255" spans="1:7" x14ac:dyDescent="0.2">
      <c r="A255" s="21" t="s">
        <v>37</v>
      </c>
      <c r="B255" s="22"/>
      <c r="C255" s="22"/>
      <c r="D255" s="22"/>
      <c r="E255" s="23" t="s">
        <v>46</v>
      </c>
      <c r="F255" s="24"/>
      <c r="G255" s="20" t="s">
        <v>50</v>
      </c>
    </row>
    <row r="256" spans="1:7" x14ac:dyDescent="0.2">
      <c r="A256" s="6"/>
      <c r="B256" s="99"/>
      <c r="C256" s="8"/>
      <c r="D256" s="8"/>
      <c r="E256" s="920"/>
      <c r="F256" s="921"/>
      <c r="G256" s="25"/>
    </row>
    <row r="257" spans="1:7" ht="26.25" thickBot="1" x14ac:dyDescent="0.25">
      <c r="A257" s="207" t="s">
        <v>47</v>
      </c>
      <c r="B257" s="28" t="s">
        <v>23</v>
      </c>
      <c r="C257" s="28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7" ht="13.5" thickTop="1" x14ac:dyDescent="0.2">
      <c r="A258" s="29">
        <v>1</v>
      </c>
      <c r="B258" s="101"/>
      <c r="C258" s="371" t="s">
        <v>242</v>
      </c>
      <c r="D258" s="376" t="s">
        <v>305</v>
      </c>
      <c r="E258" s="158">
        <v>35</v>
      </c>
      <c r="F258" s="128">
        <v>450</v>
      </c>
      <c r="G258" s="35">
        <f>F258*E258</f>
        <v>15750</v>
      </c>
    </row>
    <row r="259" spans="1:7" x14ac:dyDescent="0.2">
      <c r="A259" s="29"/>
      <c r="B259" s="101"/>
      <c r="C259" s="371"/>
      <c r="D259" s="370" t="s">
        <v>886</v>
      </c>
      <c r="E259" s="158"/>
      <c r="F259" s="128"/>
      <c r="G259" s="35"/>
    </row>
    <row r="260" spans="1:7" x14ac:dyDescent="0.2">
      <c r="A260" s="29"/>
      <c r="B260" s="101"/>
      <c r="C260" s="41"/>
      <c r="D260" s="370"/>
      <c r="E260" s="157"/>
      <c r="F260" s="149"/>
      <c r="G260" s="372"/>
    </row>
    <row r="261" spans="1:7" x14ac:dyDescent="0.2">
      <c r="A261" s="29"/>
      <c r="B261" s="101"/>
      <c r="C261" s="371"/>
      <c r="D261" s="370"/>
      <c r="E261" s="158"/>
      <c r="F261" s="128"/>
      <c r="G261" s="35"/>
    </row>
    <row r="262" spans="1:7" x14ac:dyDescent="0.2">
      <c r="A262" s="29"/>
      <c r="B262" s="105"/>
      <c r="C262" s="41"/>
      <c r="D262" s="136"/>
      <c r="E262" s="102"/>
      <c r="F262" s="128"/>
      <c r="G262" s="35"/>
    </row>
    <row r="263" spans="1:7" x14ac:dyDescent="0.2">
      <c r="A263" s="29"/>
      <c r="B263" s="105"/>
      <c r="C263" s="41"/>
      <c r="D263" s="136"/>
      <c r="E263" s="102"/>
      <c r="F263" s="128"/>
      <c r="G263" s="35"/>
    </row>
    <row r="264" spans="1:7" x14ac:dyDescent="0.2">
      <c r="A264" s="29"/>
      <c r="B264" s="151"/>
      <c r="C264" s="119"/>
      <c r="D264" s="136"/>
      <c r="E264" s="108"/>
      <c r="F264" s="150"/>
      <c r="G264" s="35"/>
    </row>
    <row r="265" spans="1:7" x14ac:dyDescent="0.2">
      <c r="A265" s="29"/>
      <c r="B265" s="151"/>
      <c r="C265" s="119"/>
      <c r="D265" s="144"/>
      <c r="E265" s="108"/>
      <c r="F265" s="150"/>
      <c r="G265" s="35"/>
    </row>
    <row r="266" spans="1:7" x14ac:dyDescent="0.2">
      <c r="A266" s="29"/>
      <c r="B266" s="101"/>
      <c r="C266" s="41"/>
      <c r="D266" s="144"/>
      <c r="E266" s="155"/>
      <c r="F266" s="128"/>
      <c r="G266" s="35"/>
    </row>
    <row r="267" spans="1:7" x14ac:dyDescent="0.2">
      <c r="A267" s="29"/>
      <c r="B267" s="106"/>
      <c r="C267" s="41"/>
      <c r="D267" s="136"/>
      <c r="E267" s="104"/>
      <c r="F267" s="128"/>
      <c r="G267" s="35"/>
    </row>
    <row r="268" spans="1:7" x14ac:dyDescent="0.2">
      <c r="A268" s="29"/>
      <c r="B268" s="105"/>
      <c r="C268" s="41"/>
      <c r="D268" s="136"/>
      <c r="E268" s="108"/>
      <c r="F268" s="152"/>
      <c r="G268" s="35"/>
    </row>
    <row r="269" spans="1:7" x14ac:dyDescent="0.2">
      <c r="A269" s="29"/>
      <c r="B269" s="107"/>
      <c r="C269" s="41"/>
      <c r="D269" s="136"/>
      <c r="E269" s="153"/>
      <c r="F269" s="128"/>
      <c r="G269" s="35"/>
    </row>
    <row r="270" spans="1:7" x14ac:dyDescent="0.2">
      <c r="A270" s="29"/>
      <c r="B270" s="107"/>
      <c r="C270" s="41"/>
      <c r="D270" s="67"/>
      <c r="E270" s="153"/>
      <c r="F270" s="128"/>
      <c r="G270" s="35"/>
    </row>
    <row r="271" spans="1:7" x14ac:dyDescent="0.2">
      <c r="A271" s="29"/>
      <c r="B271" s="101"/>
      <c r="C271" s="41"/>
      <c r="D271" s="67"/>
      <c r="E271" s="108"/>
      <c r="F271" s="128"/>
      <c r="G271" s="35"/>
    </row>
    <row r="272" spans="1:7" x14ac:dyDescent="0.2">
      <c r="A272" s="29"/>
      <c r="B272" s="101"/>
      <c r="C272" s="41"/>
      <c r="D272" s="67"/>
      <c r="E272" s="153"/>
      <c r="F272" s="128"/>
      <c r="G272" s="35"/>
    </row>
    <row r="273" spans="1:7" x14ac:dyDescent="0.2">
      <c r="A273" s="29"/>
      <c r="B273" s="106"/>
      <c r="C273" s="41"/>
      <c r="D273" s="67"/>
      <c r="E273" s="104"/>
      <c r="F273" s="154"/>
      <c r="G273" s="35"/>
    </row>
    <row r="274" spans="1:7" x14ac:dyDescent="0.2">
      <c r="A274" s="29"/>
      <c r="B274" s="105"/>
      <c r="C274" s="41"/>
      <c r="D274" s="130"/>
      <c r="E274" s="104"/>
      <c r="F274" s="154"/>
      <c r="G274" s="35"/>
    </row>
    <row r="275" spans="1:7" x14ac:dyDescent="0.2">
      <c r="A275" s="29"/>
      <c r="B275" s="105"/>
      <c r="C275" s="41"/>
      <c r="D275" s="67"/>
      <c r="E275" s="104"/>
      <c r="F275" s="154"/>
      <c r="G275" s="35"/>
    </row>
    <row r="276" spans="1:7" x14ac:dyDescent="0.2">
      <c r="A276" s="29"/>
      <c r="B276" s="101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136"/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62"/>
      <c r="E279" s="104"/>
      <c r="F279" s="154"/>
      <c r="G279" s="35"/>
    </row>
    <row r="280" spans="1:7" x14ac:dyDescent="0.2">
      <c r="A280" s="29"/>
      <c r="B280" s="101"/>
      <c r="C280" s="41"/>
      <c r="D280" s="67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67"/>
      <c r="E283" s="104"/>
      <c r="F283" s="154"/>
      <c r="G283" s="35"/>
    </row>
    <row r="284" spans="1:7" x14ac:dyDescent="0.2">
      <c r="A284" s="29"/>
      <c r="B284" s="101"/>
      <c r="C284" s="41"/>
      <c r="D284" s="67"/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02"/>
      <c r="F288" s="128"/>
      <c r="G288" s="35"/>
    </row>
    <row r="289" spans="1:7" x14ac:dyDescent="0.2">
      <c r="A289" s="29"/>
      <c r="B289" s="101"/>
      <c r="C289" s="31"/>
      <c r="D289" s="67"/>
      <c r="E289" s="131"/>
      <c r="F289" s="117"/>
      <c r="G289" s="35"/>
    </row>
    <row r="290" spans="1:7" x14ac:dyDescent="0.2">
      <c r="A290" s="29"/>
      <c r="B290" s="101"/>
      <c r="C290" s="41"/>
      <c r="D290" s="118"/>
      <c r="E290" s="108"/>
      <c r="F290" s="149"/>
      <c r="G290" s="35"/>
    </row>
    <row r="291" spans="1:7" x14ac:dyDescent="0.2">
      <c r="A291" s="29"/>
      <c r="B291" s="101"/>
      <c r="C291" s="41"/>
      <c r="D291" s="144"/>
      <c r="E291" s="108"/>
      <c r="F291" s="149"/>
      <c r="G291" s="35"/>
    </row>
    <row r="292" spans="1:7" ht="13.5" thickBot="1" x14ac:dyDescent="0.25">
      <c r="A292" s="45"/>
      <c r="B292" s="132"/>
      <c r="C292" s="115"/>
      <c r="D292" s="115"/>
      <c r="E292" s="132"/>
      <c r="F292" s="49" t="s">
        <v>15</v>
      </c>
      <c r="G292" s="50">
        <f>SUM(G258:G291)</f>
        <v>15750</v>
      </c>
    </row>
    <row r="293" spans="1:7" ht="13.5" thickTop="1" x14ac:dyDescent="0.2">
      <c r="A293" s="875" t="s">
        <v>1304</v>
      </c>
      <c r="B293" s="899"/>
      <c r="C293" s="899"/>
      <c r="D293" s="899"/>
      <c r="E293" s="899"/>
      <c r="F293" s="899"/>
      <c r="G293" s="900"/>
    </row>
    <row r="294" spans="1:7" ht="13.5" thickBot="1" x14ac:dyDescent="0.25">
      <c r="A294" s="52"/>
      <c r="B294" s="103"/>
      <c r="C294" s="374" t="s">
        <v>8</v>
      </c>
      <c r="D294" s="54"/>
      <c r="E294" s="103"/>
      <c r="F294" s="55"/>
      <c r="G294" s="56"/>
    </row>
    <row r="295" spans="1:7" ht="13.5" thickTop="1" x14ac:dyDescent="0.2">
      <c r="A295" s="906"/>
      <c r="B295" s="907"/>
      <c r="C295" s="907"/>
      <c r="D295" s="57" t="s">
        <v>11</v>
      </c>
      <c r="E295" s="908" t="s">
        <v>12</v>
      </c>
      <c r="F295" s="908"/>
      <c r="G295" s="909"/>
    </row>
    <row r="296" spans="1:7" x14ac:dyDescent="0.2">
      <c r="A296" s="910" t="s">
        <v>17</v>
      </c>
      <c r="B296" s="911"/>
      <c r="C296" s="911"/>
      <c r="D296" s="39"/>
      <c r="E296" s="912"/>
      <c r="F296" s="913"/>
      <c r="G296" s="914"/>
    </row>
    <row r="297" spans="1:7" x14ac:dyDescent="0.2">
      <c r="A297" s="910" t="s">
        <v>38</v>
      </c>
      <c r="B297" s="911"/>
      <c r="C297" s="911"/>
      <c r="D297" s="58" t="s">
        <v>887</v>
      </c>
      <c r="E297" s="868" t="s">
        <v>142</v>
      </c>
      <c r="F297" s="868"/>
      <c r="G297" s="869"/>
    </row>
    <row r="298" spans="1:7" ht="13.5" thickBot="1" x14ac:dyDescent="0.25">
      <c r="A298" s="901" t="s">
        <v>39</v>
      </c>
      <c r="B298" s="902"/>
      <c r="C298" s="902"/>
      <c r="D298" s="59" t="s">
        <v>44</v>
      </c>
      <c r="E298" s="904" t="s">
        <v>0</v>
      </c>
      <c r="F298" s="904"/>
      <c r="G298" s="905"/>
    </row>
    <row r="299" spans="1:7" ht="16.5" x14ac:dyDescent="0.25">
      <c r="A299" s="885" t="s">
        <v>29</v>
      </c>
      <c r="B299" s="886"/>
      <c r="C299" s="886"/>
      <c r="D299" s="886"/>
      <c r="E299" s="886"/>
      <c r="F299" s="886"/>
      <c r="G299" s="887"/>
    </row>
    <row r="300" spans="1:7" x14ac:dyDescent="0.2">
      <c r="A300" s="888" t="s">
        <v>48</v>
      </c>
      <c r="B300" s="889"/>
      <c r="C300" s="889"/>
      <c r="D300" s="889"/>
      <c r="E300" s="889"/>
      <c r="F300" s="889"/>
      <c r="G300" s="890"/>
    </row>
    <row r="301" spans="1:7" x14ac:dyDescent="0.2">
      <c r="A301" s="915" t="s">
        <v>49</v>
      </c>
      <c r="B301" s="916"/>
      <c r="C301" s="916"/>
      <c r="D301" s="916"/>
      <c r="E301" s="916"/>
      <c r="F301" s="916"/>
      <c r="G301" s="917"/>
    </row>
    <row r="302" spans="1:7" x14ac:dyDescent="0.2">
      <c r="A302" s="6"/>
      <c r="B302" s="99"/>
      <c r="C302" s="8"/>
      <c r="D302" s="9"/>
      <c r="E302" s="99"/>
      <c r="F302" s="10"/>
      <c r="G302" s="11" t="s">
        <v>20</v>
      </c>
    </row>
    <row r="303" spans="1:7" x14ac:dyDescent="0.2">
      <c r="A303" s="12" t="s">
        <v>1</v>
      </c>
      <c r="B303" s="13"/>
      <c r="C303" s="14" t="s">
        <v>19</v>
      </c>
      <c r="D303" s="13"/>
      <c r="E303" s="362" t="s">
        <v>1619</v>
      </c>
      <c r="F303" s="98"/>
      <c r="G303" s="363" t="s">
        <v>1521</v>
      </c>
    </row>
    <row r="304" spans="1:7" x14ac:dyDescent="0.2">
      <c r="A304" s="17" t="s">
        <v>8</v>
      </c>
      <c r="B304" s="100"/>
      <c r="C304" s="19"/>
      <c r="D304" s="4"/>
      <c r="E304" s="918"/>
      <c r="F304" s="919"/>
      <c r="G304" s="20"/>
    </row>
    <row r="305" spans="1:7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7" x14ac:dyDescent="0.2">
      <c r="A306" s="6"/>
      <c r="B306" s="99"/>
      <c r="C306" s="8"/>
      <c r="D306" s="8"/>
      <c r="E306" s="920"/>
      <c r="F306" s="921"/>
      <c r="G306" s="25"/>
    </row>
    <row r="307" spans="1:7" ht="26.25" thickBot="1" x14ac:dyDescent="0.25">
      <c r="A307" s="207" t="s">
        <v>47</v>
      </c>
      <c r="B307" s="28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7" ht="13.5" thickTop="1" x14ac:dyDescent="0.2">
      <c r="A308" s="29">
        <v>1</v>
      </c>
      <c r="B308" s="101"/>
      <c r="C308" s="371" t="s">
        <v>242</v>
      </c>
      <c r="D308" s="376" t="s">
        <v>305</v>
      </c>
      <c r="E308" s="158">
        <v>35</v>
      </c>
      <c r="F308" s="128">
        <v>450</v>
      </c>
      <c r="G308" s="35">
        <f>F308*E308</f>
        <v>15750</v>
      </c>
    </row>
    <row r="309" spans="1:7" x14ac:dyDescent="0.2">
      <c r="A309" s="29"/>
      <c r="B309" s="101"/>
      <c r="C309" s="371"/>
      <c r="D309" s="370" t="s">
        <v>886</v>
      </c>
      <c r="E309" s="158"/>
      <c r="F309" s="128"/>
      <c r="G309" s="35"/>
    </row>
    <row r="310" spans="1:7" x14ac:dyDescent="0.2">
      <c r="A310" s="29"/>
      <c r="B310" s="101"/>
      <c r="C310" s="41"/>
      <c r="D310" s="370"/>
      <c r="E310" s="157"/>
      <c r="F310" s="149"/>
      <c r="G310" s="372"/>
    </row>
    <row r="311" spans="1:7" x14ac:dyDescent="0.2">
      <c r="A311" s="29"/>
      <c r="B311" s="101"/>
      <c r="C311" s="371"/>
      <c r="D311" s="370"/>
      <c r="E311" s="158"/>
      <c r="F311" s="128"/>
      <c r="G311" s="35"/>
    </row>
    <row r="312" spans="1:7" x14ac:dyDescent="0.2">
      <c r="A312" s="29"/>
      <c r="B312" s="105"/>
      <c r="C312" s="41"/>
      <c r="D312" s="136"/>
      <c r="E312" s="102"/>
      <c r="F312" s="128"/>
      <c r="G312" s="35"/>
    </row>
    <row r="313" spans="1:7" x14ac:dyDescent="0.2">
      <c r="A313" s="29"/>
      <c r="B313" s="105"/>
      <c r="C313" s="41"/>
      <c r="D313" s="136"/>
      <c r="E313" s="102"/>
      <c r="F313" s="128"/>
      <c r="G313" s="35"/>
    </row>
    <row r="314" spans="1:7" x14ac:dyDescent="0.2">
      <c r="A314" s="29"/>
      <c r="B314" s="151"/>
      <c r="C314" s="119"/>
      <c r="D314" s="136"/>
      <c r="E314" s="108"/>
      <c r="F314" s="150"/>
      <c r="G314" s="35"/>
    </row>
    <row r="315" spans="1:7" x14ac:dyDescent="0.2">
      <c r="A315" s="29"/>
      <c r="B315" s="151"/>
      <c r="C315" s="119"/>
      <c r="D315" s="144"/>
      <c r="E315" s="108"/>
      <c r="F315" s="150"/>
      <c r="G315" s="35"/>
    </row>
    <row r="316" spans="1:7" x14ac:dyDescent="0.2">
      <c r="A316" s="29"/>
      <c r="B316" s="101"/>
      <c r="C316" s="41"/>
      <c r="D316" s="144"/>
      <c r="E316" s="155"/>
      <c r="F316" s="128"/>
      <c r="G316" s="35"/>
    </row>
    <row r="317" spans="1:7" x14ac:dyDescent="0.2">
      <c r="A317" s="29"/>
      <c r="B317" s="106"/>
      <c r="C317" s="41"/>
      <c r="D317" s="136"/>
      <c r="E317" s="104"/>
      <c r="F317" s="128"/>
      <c r="G317" s="35"/>
    </row>
    <row r="318" spans="1:7" x14ac:dyDescent="0.2">
      <c r="A318" s="29"/>
      <c r="B318" s="105"/>
      <c r="C318" s="41"/>
      <c r="D318" s="136"/>
      <c r="E318" s="108"/>
      <c r="F318" s="152"/>
      <c r="G318" s="35"/>
    </row>
    <row r="319" spans="1:7" x14ac:dyDescent="0.2">
      <c r="A319" s="29"/>
      <c r="B319" s="107"/>
      <c r="C319" s="41"/>
      <c r="D319" s="136"/>
      <c r="E319" s="153"/>
      <c r="F319" s="128"/>
      <c r="G319" s="35"/>
    </row>
    <row r="320" spans="1:7" x14ac:dyDescent="0.2">
      <c r="A320" s="29"/>
      <c r="B320" s="107"/>
      <c r="C320" s="41"/>
      <c r="D320" s="67"/>
      <c r="E320" s="153"/>
      <c r="F320" s="128"/>
      <c r="G320" s="35"/>
    </row>
    <row r="321" spans="1:7" x14ac:dyDescent="0.2">
      <c r="A321" s="29"/>
      <c r="B321" s="101"/>
      <c r="C321" s="41"/>
      <c r="D321" s="67"/>
      <c r="E321" s="108"/>
      <c r="F321" s="128"/>
      <c r="G321" s="35"/>
    </row>
    <row r="322" spans="1:7" x14ac:dyDescent="0.2">
      <c r="A322" s="29"/>
      <c r="B322" s="101"/>
      <c r="C322" s="41"/>
      <c r="D322" s="67"/>
      <c r="E322" s="153"/>
      <c r="F322" s="128"/>
      <c r="G322" s="35"/>
    </row>
    <row r="323" spans="1:7" x14ac:dyDescent="0.2">
      <c r="A323" s="29"/>
      <c r="B323" s="106"/>
      <c r="C323" s="41"/>
      <c r="D323" s="67"/>
      <c r="E323" s="104"/>
      <c r="F323" s="154"/>
      <c r="G323" s="35"/>
    </row>
    <row r="324" spans="1:7" x14ac:dyDescent="0.2">
      <c r="A324" s="29"/>
      <c r="B324" s="105"/>
      <c r="C324" s="41"/>
      <c r="D324" s="130"/>
      <c r="E324" s="104"/>
      <c r="F324" s="154"/>
      <c r="G324" s="35"/>
    </row>
    <row r="325" spans="1:7" x14ac:dyDescent="0.2">
      <c r="A325" s="29"/>
      <c r="B325" s="105"/>
      <c r="C325" s="41"/>
      <c r="D325" s="67"/>
      <c r="E325" s="104"/>
      <c r="F325" s="154"/>
      <c r="G325" s="35"/>
    </row>
    <row r="326" spans="1:7" x14ac:dyDescent="0.2">
      <c r="A326" s="29"/>
      <c r="B326" s="101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136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62"/>
      <c r="E329" s="104"/>
      <c r="F329" s="154"/>
      <c r="G329" s="35"/>
    </row>
    <row r="330" spans="1:7" x14ac:dyDescent="0.2">
      <c r="A330" s="29"/>
      <c r="B330" s="101"/>
      <c r="C330" s="41"/>
      <c r="D330" s="67"/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67"/>
      <c r="E333" s="104"/>
      <c r="F333" s="154"/>
      <c r="G333" s="35"/>
    </row>
    <row r="334" spans="1:7" x14ac:dyDescent="0.2">
      <c r="A334" s="29"/>
      <c r="B334" s="101"/>
      <c r="C334" s="41"/>
      <c r="D334" s="67"/>
      <c r="E334" s="104"/>
      <c r="F334" s="154"/>
      <c r="G334" s="35"/>
    </row>
    <row r="335" spans="1:7" x14ac:dyDescent="0.2">
      <c r="A335" s="29"/>
      <c r="B335" s="101"/>
      <c r="C335" s="41"/>
      <c r="D335" s="159"/>
      <c r="E335" s="104"/>
      <c r="F335" s="154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02"/>
      <c r="F338" s="128"/>
      <c r="G338" s="35"/>
    </row>
    <row r="339" spans="1:7" x14ac:dyDescent="0.2">
      <c r="A339" s="29"/>
      <c r="B339" s="101"/>
      <c r="C339" s="31"/>
      <c r="D339" s="67"/>
      <c r="E339" s="131"/>
      <c r="F339" s="117"/>
      <c r="G339" s="35"/>
    </row>
    <row r="340" spans="1:7" x14ac:dyDescent="0.2">
      <c r="A340" s="29"/>
      <c r="B340" s="101"/>
      <c r="C340" s="41"/>
      <c r="D340" s="118"/>
      <c r="E340" s="108"/>
      <c r="F340" s="149"/>
      <c r="G340" s="35"/>
    </row>
    <row r="341" spans="1:7" x14ac:dyDescent="0.2">
      <c r="A341" s="29"/>
      <c r="B341" s="101"/>
      <c r="C341" s="41"/>
      <c r="D341" s="144"/>
      <c r="E341" s="108"/>
      <c r="F341" s="149"/>
      <c r="G341" s="35"/>
    </row>
    <row r="342" spans="1:7" ht="13.5" thickBot="1" x14ac:dyDescent="0.25">
      <c r="A342" s="45"/>
      <c r="B342" s="132"/>
      <c r="C342" s="115"/>
      <c r="D342" s="115"/>
      <c r="E342" s="132"/>
      <c r="F342" s="49" t="s">
        <v>15</v>
      </c>
      <c r="G342" s="50">
        <f>SUM(G308:G341)</f>
        <v>15750</v>
      </c>
    </row>
    <row r="343" spans="1:7" ht="13.5" thickTop="1" x14ac:dyDescent="0.2">
      <c r="A343" s="875" t="s">
        <v>1544</v>
      </c>
      <c r="B343" s="899"/>
      <c r="C343" s="899"/>
      <c r="D343" s="899"/>
      <c r="E343" s="899"/>
      <c r="F343" s="899"/>
      <c r="G343" s="900"/>
    </row>
    <row r="344" spans="1:7" ht="13.5" thickBot="1" x14ac:dyDescent="0.25">
      <c r="A344" s="52"/>
      <c r="B344" s="103"/>
      <c r="C344" s="374" t="s">
        <v>1545</v>
      </c>
      <c r="D344" s="54"/>
      <c r="E344" s="103"/>
      <c r="F344" s="55"/>
      <c r="G344" s="56"/>
    </row>
    <row r="345" spans="1:7" ht="13.5" thickTop="1" x14ac:dyDescent="0.2">
      <c r="A345" s="906"/>
      <c r="B345" s="907"/>
      <c r="C345" s="907"/>
      <c r="D345" s="57" t="s">
        <v>11</v>
      </c>
      <c r="E345" s="908" t="s">
        <v>12</v>
      </c>
      <c r="F345" s="908"/>
      <c r="G345" s="909"/>
    </row>
    <row r="346" spans="1:7" x14ac:dyDescent="0.2">
      <c r="A346" s="910" t="s">
        <v>17</v>
      </c>
      <c r="B346" s="911"/>
      <c r="C346" s="911"/>
      <c r="D346" s="39"/>
      <c r="E346" s="912"/>
      <c r="F346" s="913"/>
      <c r="G346" s="914"/>
    </row>
    <row r="347" spans="1:7" x14ac:dyDescent="0.2">
      <c r="A347" s="910" t="s">
        <v>38</v>
      </c>
      <c r="B347" s="911"/>
      <c r="C347" s="911"/>
      <c r="D347" s="58" t="s">
        <v>887</v>
      </c>
      <c r="E347" s="868" t="s">
        <v>142</v>
      </c>
      <c r="F347" s="868"/>
      <c r="G347" s="869"/>
    </row>
    <row r="348" spans="1:7" ht="13.5" thickBot="1" x14ac:dyDescent="0.25">
      <c r="A348" s="901" t="s">
        <v>39</v>
      </c>
      <c r="B348" s="902"/>
      <c r="C348" s="902"/>
      <c r="D348" s="59" t="s">
        <v>44</v>
      </c>
      <c r="E348" s="904" t="s">
        <v>0</v>
      </c>
      <c r="F348" s="904"/>
      <c r="G348" s="905"/>
    </row>
    <row r="349" spans="1:7" ht="16.5" x14ac:dyDescent="0.25">
      <c r="A349" s="885" t="s">
        <v>29</v>
      </c>
      <c r="B349" s="886"/>
      <c r="C349" s="886"/>
      <c r="D349" s="886"/>
      <c r="E349" s="886"/>
      <c r="F349" s="886"/>
      <c r="G349" s="887"/>
    </row>
    <row r="350" spans="1:7" x14ac:dyDescent="0.2">
      <c r="A350" s="888" t="s">
        <v>48</v>
      </c>
      <c r="B350" s="889"/>
      <c r="C350" s="889"/>
      <c r="D350" s="889"/>
      <c r="E350" s="889"/>
      <c r="F350" s="889"/>
      <c r="G350" s="890"/>
    </row>
    <row r="351" spans="1:7" x14ac:dyDescent="0.2">
      <c r="A351" s="915" t="s">
        <v>49</v>
      </c>
      <c r="B351" s="916"/>
      <c r="C351" s="916"/>
      <c r="D351" s="916"/>
      <c r="E351" s="916"/>
      <c r="F351" s="916"/>
      <c r="G351" s="917"/>
    </row>
    <row r="352" spans="1:7" x14ac:dyDescent="0.2">
      <c r="A352" s="6"/>
      <c r="B352" s="99"/>
      <c r="C352" s="8"/>
      <c r="D352" s="9"/>
      <c r="E352" s="99"/>
      <c r="F352" s="10"/>
      <c r="G352" s="11" t="s">
        <v>20</v>
      </c>
    </row>
    <row r="353" spans="1:7" x14ac:dyDescent="0.2">
      <c r="A353" s="12" t="s">
        <v>1</v>
      </c>
      <c r="B353" s="13"/>
      <c r="C353" s="14" t="s">
        <v>19</v>
      </c>
      <c r="D353" s="13"/>
      <c r="E353" s="362" t="s">
        <v>1624</v>
      </c>
      <c r="F353" s="98"/>
      <c r="G353" s="363" t="s">
        <v>1521</v>
      </c>
    </row>
    <row r="354" spans="1:7" x14ac:dyDescent="0.2">
      <c r="A354" s="17" t="s">
        <v>8</v>
      </c>
      <c r="B354" s="100"/>
      <c r="C354" s="19"/>
      <c r="D354" s="4"/>
      <c r="E354" s="918"/>
      <c r="F354" s="919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920"/>
      <c r="F356" s="921"/>
      <c r="G356" s="25"/>
    </row>
    <row r="357" spans="1:7" ht="26.25" thickBot="1" x14ac:dyDescent="0.25">
      <c r="A357" s="207" t="s">
        <v>47</v>
      </c>
      <c r="B357" s="28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29">
        <v>1</v>
      </c>
      <c r="B358" s="101"/>
      <c r="C358" s="371" t="s">
        <v>242</v>
      </c>
      <c r="D358" s="376" t="s">
        <v>305</v>
      </c>
      <c r="E358" s="158">
        <v>35</v>
      </c>
      <c r="F358" s="128">
        <v>450</v>
      </c>
      <c r="G358" s="35">
        <f>F358*E358</f>
        <v>15750</v>
      </c>
    </row>
    <row r="359" spans="1:7" x14ac:dyDescent="0.2">
      <c r="A359" s="29"/>
      <c r="B359" s="101"/>
      <c r="C359" s="371"/>
      <c r="D359" s="370" t="s">
        <v>886</v>
      </c>
      <c r="E359" s="158"/>
      <c r="F359" s="128"/>
      <c r="G359" s="35"/>
    </row>
    <row r="360" spans="1:7" x14ac:dyDescent="0.2">
      <c r="A360" s="29"/>
      <c r="B360" s="101"/>
      <c r="C360" s="41"/>
      <c r="D360" s="370"/>
      <c r="E360" s="157"/>
      <c r="F360" s="149"/>
      <c r="G360" s="372"/>
    </row>
    <row r="361" spans="1:7" x14ac:dyDescent="0.2">
      <c r="A361" s="29"/>
      <c r="B361" s="101"/>
      <c r="C361" s="371"/>
      <c r="D361" s="370"/>
      <c r="E361" s="158"/>
      <c r="F361" s="128"/>
      <c r="G361" s="35"/>
    </row>
    <row r="362" spans="1:7" x14ac:dyDescent="0.2">
      <c r="A362" s="29"/>
      <c r="B362" s="105"/>
      <c r="C362" s="41"/>
      <c r="D362" s="136"/>
      <c r="E362" s="102"/>
      <c r="F362" s="128"/>
      <c r="G362" s="35"/>
    </row>
    <row r="363" spans="1:7" x14ac:dyDescent="0.2">
      <c r="A363" s="29"/>
      <c r="B363" s="105"/>
      <c r="C363" s="41"/>
      <c r="D363" s="136"/>
      <c r="E363" s="102"/>
      <c r="F363" s="128"/>
      <c r="G363" s="35"/>
    </row>
    <row r="364" spans="1:7" x14ac:dyDescent="0.2">
      <c r="A364" s="29"/>
      <c r="B364" s="151"/>
      <c r="C364" s="119"/>
      <c r="D364" s="136"/>
      <c r="E364" s="108"/>
      <c r="F364" s="150"/>
      <c r="G364" s="35"/>
    </row>
    <row r="365" spans="1:7" x14ac:dyDescent="0.2">
      <c r="A365" s="29"/>
      <c r="B365" s="151"/>
      <c r="C365" s="119"/>
      <c r="D365" s="144"/>
      <c r="E365" s="108"/>
      <c r="F365" s="150"/>
      <c r="G365" s="35"/>
    </row>
    <row r="366" spans="1:7" x14ac:dyDescent="0.2">
      <c r="A366" s="29"/>
      <c r="B366" s="101"/>
      <c r="C366" s="41"/>
      <c r="D366" s="144"/>
      <c r="E366" s="155"/>
      <c r="F366" s="128"/>
      <c r="G366" s="35"/>
    </row>
    <row r="367" spans="1:7" x14ac:dyDescent="0.2">
      <c r="A367" s="29"/>
      <c r="B367" s="106"/>
      <c r="C367" s="41"/>
      <c r="D367" s="136"/>
      <c r="E367" s="104"/>
      <c r="F367" s="128"/>
      <c r="G367" s="35"/>
    </row>
    <row r="368" spans="1:7" x14ac:dyDescent="0.2">
      <c r="A368" s="29"/>
      <c r="B368" s="105"/>
      <c r="C368" s="41"/>
      <c r="D368" s="136"/>
      <c r="E368" s="108"/>
      <c r="F368" s="152"/>
      <c r="G368" s="35"/>
    </row>
    <row r="369" spans="1:7" x14ac:dyDescent="0.2">
      <c r="A369" s="29"/>
      <c r="B369" s="107"/>
      <c r="C369" s="41"/>
      <c r="D369" s="136"/>
      <c r="E369" s="153"/>
      <c r="F369" s="128"/>
      <c r="G369" s="35"/>
    </row>
    <row r="370" spans="1:7" x14ac:dyDescent="0.2">
      <c r="A370" s="29"/>
      <c r="B370" s="107"/>
      <c r="C370" s="41"/>
      <c r="D370" s="67"/>
      <c r="E370" s="153"/>
      <c r="F370" s="128"/>
      <c r="G370" s="35"/>
    </row>
    <row r="371" spans="1:7" x14ac:dyDescent="0.2">
      <c r="A371" s="29"/>
      <c r="B371" s="101"/>
      <c r="C371" s="41"/>
      <c r="D371" s="67"/>
      <c r="E371" s="108"/>
      <c r="F371" s="128"/>
      <c r="G371" s="35"/>
    </row>
    <row r="372" spans="1:7" x14ac:dyDescent="0.2">
      <c r="A372" s="29"/>
      <c r="B372" s="101"/>
      <c r="C372" s="41"/>
      <c r="D372" s="67"/>
      <c r="E372" s="153"/>
      <c r="F372" s="128"/>
      <c r="G372" s="35"/>
    </row>
    <row r="373" spans="1:7" x14ac:dyDescent="0.2">
      <c r="A373" s="29"/>
      <c r="B373" s="106"/>
      <c r="C373" s="41"/>
      <c r="D373" s="67"/>
      <c r="E373" s="104"/>
      <c r="F373" s="154"/>
      <c r="G373" s="35"/>
    </row>
    <row r="374" spans="1:7" x14ac:dyDescent="0.2">
      <c r="A374" s="29"/>
      <c r="B374" s="105"/>
      <c r="C374" s="41"/>
      <c r="D374" s="130"/>
      <c r="E374" s="104"/>
      <c r="F374" s="154"/>
      <c r="G374" s="35"/>
    </row>
    <row r="375" spans="1:7" x14ac:dyDescent="0.2">
      <c r="A375" s="29"/>
      <c r="B375" s="105"/>
      <c r="C375" s="41"/>
      <c r="D375" s="67"/>
      <c r="E375" s="104"/>
      <c r="F375" s="154"/>
      <c r="G375" s="35"/>
    </row>
    <row r="376" spans="1:7" x14ac:dyDescent="0.2">
      <c r="A376" s="29"/>
      <c r="B376" s="101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136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62"/>
      <c r="E379" s="104"/>
      <c r="F379" s="154"/>
      <c r="G379" s="35"/>
    </row>
    <row r="380" spans="1:7" x14ac:dyDescent="0.2">
      <c r="A380" s="29"/>
      <c r="B380" s="101"/>
      <c r="C380" s="41"/>
      <c r="D380" s="67"/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67"/>
      <c r="E382" s="104"/>
      <c r="F382" s="154"/>
      <c r="G382" s="35"/>
    </row>
    <row r="383" spans="1:7" x14ac:dyDescent="0.2">
      <c r="A383" s="29"/>
      <c r="B383" s="101"/>
      <c r="C383" s="41"/>
      <c r="D383" s="67"/>
      <c r="E383" s="104"/>
      <c r="F383" s="154"/>
      <c r="G383" s="35"/>
    </row>
    <row r="384" spans="1:7" x14ac:dyDescent="0.2">
      <c r="A384" s="29"/>
      <c r="B384" s="101"/>
      <c r="C384" s="41"/>
      <c r="D384" s="67"/>
      <c r="E384" s="104"/>
      <c r="F384" s="154"/>
      <c r="G384" s="35"/>
    </row>
    <row r="385" spans="1:7" x14ac:dyDescent="0.2">
      <c r="A385" s="29"/>
      <c r="B385" s="101"/>
      <c r="C385" s="41"/>
      <c r="D385" s="159"/>
      <c r="E385" s="104"/>
      <c r="F385" s="154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36"/>
      <c r="E387" s="153"/>
      <c r="F387" s="128"/>
      <c r="G387" s="35"/>
    </row>
    <row r="388" spans="1:7" x14ac:dyDescent="0.2">
      <c r="A388" s="29"/>
      <c r="B388" s="101"/>
      <c r="C388" s="41"/>
      <c r="D388" s="136"/>
      <c r="E388" s="102"/>
      <c r="F388" s="128"/>
      <c r="G388" s="35"/>
    </row>
    <row r="389" spans="1:7" x14ac:dyDescent="0.2">
      <c r="A389" s="29"/>
      <c r="B389" s="101"/>
      <c r="C389" s="31"/>
      <c r="D389" s="67"/>
      <c r="E389" s="131"/>
      <c r="F389" s="117"/>
      <c r="G389" s="35"/>
    </row>
    <row r="390" spans="1:7" x14ac:dyDescent="0.2">
      <c r="A390" s="29"/>
      <c r="B390" s="101"/>
      <c r="C390" s="41"/>
      <c r="D390" s="118"/>
      <c r="E390" s="108"/>
      <c r="F390" s="149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ht="13.5" thickBot="1" x14ac:dyDescent="0.25">
      <c r="A392" s="45"/>
      <c r="B392" s="132"/>
      <c r="C392" s="115"/>
      <c r="D392" s="115"/>
      <c r="E392" s="132"/>
      <c r="F392" s="49" t="s">
        <v>15</v>
      </c>
      <c r="G392" s="50">
        <f>SUM(G358:G391)</f>
        <v>15750</v>
      </c>
    </row>
    <row r="393" spans="1:7" ht="13.5" thickTop="1" x14ac:dyDescent="0.2">
      <c r="A393" s="875" t="s">
        <v>1635</v>
      </c>
      <c r="B393" s="899"/>
      <c r="C393" s="899"/>
      <c r="D393" s="899"/>
      <c r="E393" s="899"/>
      <c r="F393" s="899"/>
      <c r="G393" s="900"/>
    </row>
    <row r="394" spans="1:7" ht="13.5" thickBot="1" x14ac:dyDescent="0.25">
      <c r="A394" s="926" t="s">
        <v>1553</v>
      </c>
      <c r="B394" s="927"/>
      <c r="C394" s="927"/>
      <c r="D394" s="927"/>
      <c r="E394" s="927"/>
      <c r="F394" s="927"/>
      <c r="G394" s="928"/>
    </row>
    <row r="395" spans="1:7" ht="13.5" thickTop="1" x14ac:dyDescent="0.2">
      <c r="A395" s="906"/>
      <c r="B395" s="907"/>
      <c r="C395" s="907"/>
      <c r="D395" s="57" t="s">
        <v>11</v>
      </c>
      <c r="E395" s="908" t="s">
        <v>12</v>
      </c>
      <c r="F395" s="908"/>
      <c r="G395" s="909"/>
    </row>
    <row r="396" spans="1:7" x14ac:dyDescent="0.2">
      <c r="A396" s="910" t="s">
        <v>17</v>
      </c>
      <c r="B396" s="911"/>
      <c r="C396" s="911"/>
      <c r="D396" s="39"/>
      <c r="E396" s="912"/>
      <c r="F396" s="913"/>
      <c r="G396" s="914"/>
    </row>
    <row r="397" spans="1:7" x14ac:dyDescent="0.2">
      <c r="A397" s="910" t="s">
        <v>38</v>
      </c>
      <c r="B397" s="911"/>
      <c r="C397" s="911"/>
      <c r="D397" s="58" t="s">
        <v>887</v>
      </c>
      <c r="E397" s="868" t="s">
        <v>142</v>
      </c>
      <c r="F397" s="868"/>
      <c r="G397" s="869"/>
    </row>
    <row r="398" spans="1:7" ht="13.5" thickBot="1" x14ac:dyDescent="0.25">
      <c r="A398" s="901" t="s">
        <v>39</v>
      </c>
      <c r="B398" s="902"/>
      <c r="C398" s="902"/>
      <c r="D398" s="59" t="s">
        <v>44</v>
      </c>
      <c r="E398" s="904" t="s">
        <v>0</v>
      </c>
      <c r="F398" s="904"/>
      <c r="G398" s="905"/>
    </row>
    <row r="399" spans="1:7" ht="16.5" x14ac:dyDescent="0.25">
      <c r="A399" s="885" t="s">
        <v>29</v>
      </c>
      <c r="B399" s="886"/>
      <c r="C399" s="886"/>
      <c r="D399" s="886"/>
      <c r="E399" s="886"/>
      <c r="F399" s="886"/>
      <c r="G399" s="887"/>
    </row>
    <row r="400" spans="1:7" x14ac:dyDescent="0.2">
      <c r="A400" s="888" t="s">
        <v>48</v>
      </c>
      <c r="B400" s="889"/>
      <c r="C400" s="889"/>
      <c r="D400" s="889"/>
      <c r="E400" s="889"/>
      <c r="F400" s="889"/>
      <c r="G400" s="890"/>
    </row>
    <row r="401" spans="1:7" x14ac:dyDescent="0.2">
      <c r="A401" s="915" t="s">
        <v>49</v>
      </c>
      <c r="B401" s="916"/>
      <c r="C401" s="916"/>
      <c r="D401" s="916"/>
      <c r="E401" s="916"/>
      <c r="F401" s="916"/>
      <c r="G401" s="917"/>
    </row>
    <row r="402" spans="1:7" x14ac:dyDescent="0.2">
      <c r="A402" s="6"/>
      <c r="B402" s="99"/>
      <c r="C402" s="8"/>
      <c r="D402" s="9"/>
      <c r="E402" s="99"/>
      <c r="F402" s="10"/>
      <c r="G402" s="11" t="s">
        <v>20</v>
      </c>
    </row>
    <row r="403" spans="1:7" x14ac:dyDescent="0.2">
      <c r="A403" s="12" t="s">
        <v>1</v>
      </c>
      <c r="B403" s="13"/>
      <c r="C403" s="14" t="s">
        <v>19</v>
      </c>
      <c r="D403" s="13"/>
      <c r="E403" s="362" t="s">
        <v>1627</v>
      </c>
      <c r="F403" s="98"/>
      <c r="G403" s="363" t="s">
        <v>1521</v>
      </c>
    </row>
    <row r="404" spans="1:7" x14ac:dyDescent="0.2">
      <c r="A404" s="17" t="s">
        <v>8</v>
      </c>
      <c r="B404" s="100"/>
      <c r="C404" s="19"/>
      <c r="D404" s="4"/>
      <c r="E404" s="918"/>
      <c r="F404" s="919"/>
      <c r="G404" s="20"/>
    </row>
    <row r="405" spans="1:7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7" x14ac:dyDescent="0.2">
      <c r="A406" s="6"/>
      <c r="B406" s="99"/>
      <c r="C406" s="8"/>
      <c r="D406" s="8"/>
      <c r="E406" s="920"/>
      <c r="F406" s="921"/>
      <c r="G406" s="25"/>
    </row>
    <row r="407" spans="1:7" ht="26.25" thickBot="1" x14ac:dyDescent="0.25">
      <c r="A407" s="207" t="s">
        <v>47</v>
      </c>
      <c r="B407" s="28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7" ht="13.5" thickTop="1" x14ac:dyDescent="0.2">
      <c r="A408" s="29">
        <v>1</v>
      </c>
      <c r="B408" s="101"/>
      <c r="C408" s="371" t="s">
        <v>242</v>
      </c>
      <c r="D408" s="376" t="s">
        <v>305</v>
      </c>
      <c r="E408" s="158">
        <v>35</v>
      </c>
      <c r="F408" s="128">
        <v>450</v>
      </c>
      <c r="G408" s="35">
        <f>F408*E408</f>
        <v>15750</v>
      </c>
    </row>
    <row r="409" spans="1:7" x14ac:dyDescent="0.2">
      <c r="A409" s="29"/>
      <c r="B409" s="101"/>
      <c r="C409" s="371"/>
      <c r="D409" s="370" t="s">
        <v>886</v>
      </c>
      <c r="E409" s="158"/>
      <c r="F409" s="128"/>
      <c r="G409" s="35"/>
    </row>
    <row r="410" spans="1:7" x14ac:dyDescent="0.2">
      <c r="A410" s="29"/>
      <c r="B410" s="101"/>
      <c r="C410" s="41"/>
      <c r="D410" s="370"/>
      <c r="E410" s="157"/>
      <c r="F410" s="149"/>
      <c r="G410" s="372"/>
    </row>
    <row r="411" spans="1:7" x14ac:dyDescent="0.2">
      <c r="A411" s="29"/>
      <c r="B411" s="101"/>
      <c r="C411" s="371"/>
      <c r="D411" s="370"/>
      <c r="E411" s="158"/>
      <c r="F411" s="128"/>
      <c r="G411" s="35"/>
    </row>
    <row r="412" spans="1:7" x14ac:dyDescent="0.2">
      <c r="A412" s="29"/>
      <c r="B412" s="105"/>
      <c r="C412" s="41"/>
      <c r="D412" s="136"/>
      <c r="E412" s="102"/>
      <c r="F412" s="128"/>
      <c r="G412" s="35"/>
    </row>
    <row r="413" spans="1:7" x14ac:dyDescent="0.2">
      <c r="A413" s="29"/>
      <c r="B413" s="105"/>
      <c r="C413" s="41"/>
      <c r="D413" s="136"/>
      <c r="E413" s="102"/>
      <c r="F413" s="128"/>
      <c r="G413" s="35"/>
    </row>
    <row r="414" spans="1:7" x14ac:dyDescent="0.2">
      <c r="A414" s="29"/>
      <c r="B414" s="151"/>
      <c r="C414" s="119"/>
      <c r="D414" s="136"/>
      <c r="E414" s="108"/>
      <c r="F414" s="150"/>
      <c r="G414" s="35"/>
    </row>
    <row r="415" spans="1:7" x14ac:dyDescent="0.2">
      <c r="A415" s="29"/>
      <c r="B415" s="151"/>
      <c r="C415" s="119"/>
      <c r="D415" s="144"/>
      <c r="E415" s="108"/>
      <c r="F415" s="150"/>
      <c r="G415" s="35"/>
    </row>
    <row r="416" spans="1:7" x14ac:dyDescent="0.2">
      <c r="A416" s="29"/>
      <c r="B416" s="101"/>
      <c r="C416" s="41"/>
      <c r="D416" s="144"/>
      <c r="E416" s="155"/>
      <c r="F416" s="128"/>
      <c r="G416" s="35"/>
    </row>
    <row r="417" spans="1:7" x14ac:dyDescent="0.2">
      <c r="A417" s="29"/>
      <c r="B417" s="106"/>
      <c r="C417" s="41"/>
      <c r="D417" s="136"/>
      <c r="E417" s="104"/>
      <c r="F417" s="128"/>
      <c r="G417" s="35"/>
    </row>
    <row r="418" spans="1:7" x14ac:dyDescent="0.2">
      <c r="A418" s="29"/>
      <c r="B418" s="105"/>
      <c r="C418" s="41"/>
      <c r="D418" s="136"/>
      <c r="E418" s="108"/>
      <c r="F418" s="152"/>
      <c r="G418" s="35"/>
    </row>
    <row r="419" spans="1:7" x14ac:dyDescent="0.2">
      <c r="A419" s="29"/>
      <c r="B419" s="107"/>
      <c r="C419" s="41"/>
      <c r="D419" s="136"/>
      <c r="E419" s="153"/>
      <c r="F419" s="128"/>
      <c r="G419" s="35"/>
    </row>
    <row r="420" spans="1:7" x14ac:dyDescent="0.2">
      <c r="A420" s="29"/>
      <c r="B420" s="107"/>
      <c r="C420" s="41"/>
      <c r="D420" s="67"/>
      <c r="E420" s="153"/>
      <c r="F420" s="128"/>
      <c r="G420" s="35"/>
    </row>
    <row r="421" spans="1:7" x14ac:dyDescent="0.2">
      <c r="A421" s="29"/>
      <c r="B421" s="101"/>
      <c r="C421" s="41"/>
      <c r="D421" s="67"/>
      <c r="E421" s="108"/>
      <c r="F421" s="128"/>
      <c r="G421" s="35"/>
    </row>
    <row r="422" spans="1:7" x14ac:dyDescent="0.2">
      <c r="A422" s="29"/>
      <c r="B422" s="101"/>
      <c r="C422" s="41"/>
      <c r="D422" s="67"/>
      <c r="E422" s="153"/>
      <c r="F422" s="128"/>
      <c r="G422" s="35"/>
    </row>
    <row r="423" spans="1:7" x14ac:dyDescent="0.2">
      <c r="A423" s="29"/>
      <c r="B423" s="106"/>
      <c r="C423" s="41"/>
      <c r="D423" s="67"/>
      <c r="E423" s="104"/>
      <c r="F423" s="154"/>
      <c r="G423" s="35"/>
    </row>
    <row r="424" spans="1:7" x14ac:dyDescent="0.2">
      <c r="A424" s="29"/>
      <c r="B424" s="105"/>
      <c r="C424" s="41"/>
      <c r="D424" s="130"/>
      <c r="E424" s="104"/>
      <c r="F424" s="154"/>
      <c r="G424" s="35"/>
    </row>
    <row r="425" spans="1:7" x14ac:dyDescent="0.2">
      <c r="A425" s="29"/>
      <c r="B425" s="105"/>
      <c r="C425" s="41"/>
      <c r="D425" s="67"/>
      <c r="E425" s="104"/>
      <c r="F425" s="154"/>
      <c r="G425" s="35"/>
    </row>
    <row r="426" spans="1:7" x14ac:dyDescent="0.2">
      <c r="A426" s="29"/>
      <c r="B426" s="101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136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62"/>
      <c r="E429" s="104"/>
      <c r="F429" s="154"/>
      <c r="G429" s="35"/>
    </row>
    <row r="430" spans="1:7" x14ac:dyDescent="0.2">
      <c r="A430" s="29"/>
      <c r="B430" s="101"/>
      <c r="C430" s="41"/>
      <c r="D430" s="67"/>
      <c r="E430" s="104"/>
      <c r="F430" s="154"/>
      <c r="G430" s="35"/>
    </row>
    <row r="431" spans="1:7" x14ac:dyDescent="0.2">
      <c r="A431" s="29"/>
      <c r="B431" s="101"/>
      <c r="C431" s="41"/>
      <c r="D431" s="67"/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/>
      <c r="F432" s="154"/>
      <c r="G432" s="35"/>
    </row>
    <row r="433" spans="1:7" x14ac:dyDescent="0.2">
      <c r="A433" s="29"/>
      <c r="B433" s="101"/>
      <c r="C433" s="41"/>
      <c r="D433" s="67"/>
      <c r="E433" s="104"/>
      <c r="F433" s="154"/>
      <c r="G433" s="35"/>
    </row>
    <row r="434" spans="1:7" x14ac:dyDescent="0.2">
      <c r="A434" s="29"/>
      <c r="B434" s="101"/>
      <c r="C434" s="41"/>
      <c r="D434" s="67"/>
      <c r="E434" s="104"/>
      <c r="F434" s="154"/>
      <c r="G434" s="35"/>
    </row>
    <row r="435" spans="1:7" x14ac:dyDescent="0.2">
      <c r="A435" s="29"/>
      <c r="B435" s="101"/>
      <c r="C435" s="41"/>
      <c r="D435" s="159"/>
      <c r="E435" s="104"/>
      <c r="F435" s="154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02"/>
      <c r="F438" s="128"/>
      <c r="G438" s="35"/>
    </row>
    <row r="439" spans="1:7" x14ac:dyDescent="0.2">
      <c r="A439" s="29"/>
      <c r="B439" s="101"/>
      <c r="C439" s="31"/>
      <c r="D439" s="67"/>
      <c r="E439" s="131"/>
      <c r="F439" s="117"/>
      <c r="G439" s="35"/>
    </row>
    <row r="440" spans="1:7" x14ac:dyDescent="0.2">
      <c r="A440" s="29"/>
      <c r="B440" s="101"/>
      <c r="C440" s="41"/>
      <c r="D440" s="118"/>
      <c r="E440" s="108"/>
      <c r="F440" s="149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ht="13.5" thickBot="1" x14ac:dyDescent="0.25">
      <c r="A442" s="45"/>
      <c r="B442" s="132"/>
      <c r="C442" s="115"/>
      <c r="D442" s="115"/>
      <c r="E442" s="132"/>
      <c r="F442" s="49" t="s">
        <v>15</v>
      </c>
      <c r="G442" s="50">
        <f>SUM(G408:G441)</f>
        <v>15750</v>
      </c>
    </row>
    <row r="443" spans="1:7" ht="13.5" thickTop="1" x14ac:dyDescent="0.2">
      <c r="A443" s="875" t="s">
        <v>1558</v>
      </c>
      <c r="B443" s="899"/>
      <c r="C443" s="899"/>
      <c r="D443" s="899"/>
      <c r="E443" s="899"/>
      <c r="F443" s="899"/>
      <c r="G443" s="900"/>
    </row>
    <row r="444" spans="1:7" ht="13.5" thickBot="1" x14ac:dyDescent="0.25">
      <c r="A444" s="926" t="s">
        <v>1559</v>
      </c>
      <c r="B444" s="927"/>
      <c r="C444" s="927"/>
      <c r="D444" s="927"/>
      <c r="E444" s="927"/>
      <c r="F444" s="927"/>
      <c r="G444" s="928"/>
    </row>
    <row r="445" spans="1:7" ht="13.5" thickTop="1" x14ac:dyDescent="0.2">
      <c r="A445" s="906"/>
      <c r="B445" s="907"/>
      <c r="C445" s="907"/>
      <c r="D445" s="57" t="s">
        <v>11</v>
      </c>
      <c r="E445" s="908" t="s">
        <v>12</v>
      </c>
      <c r="F445" s="908"/>
      <c r="G445" s="909"/>
    </row>
    <row r="446" spans="1:7" x14ac:dyDescent="0.2">
      <c r="A446" s="910" t="s">
        <v>17</v>
      </c>
      <c r="B446" s="911"/>
      <c r="C446" s="911"/>
      <c r="D446" s="39"/>
      <c r="E446" s="912"/>
      <c r="F446" s="913"/>
      <c r="G446" s="914"/>
    </row>
    <row r="447" spans="1:7" x14ac:dyDescent="0.2">
      <c r="A447" s="910" t="s">
        <v>38</v>
      </c>
      <c r="B447" s="911"/>
      <c r="C447" s="911"/>
      <c r="D447" s="58" t="s">
        <v>887</v>
      </c>
      <c r="E447" s="868" t="s">
        <v>142</v>
      </c>
      <c r="F447" s="868"/>
      <c r="G447" s="869"/>
    </row>
    <row r="448" spans="1:7" ht="13.5" thickBot="1" x14ac:dyDescent="0.25">
      <c r="A448" s="901" t="s">
        <v>39</v>
      </c>
      <c r="B448" s="902"/>
      <c r="C448" s="902"/>
      <c r="D448" s="59" t="s">
        <v>44</v>
      </c>
      <c r="E448" s="904" t="s">
        <v>0</v>
      </c>
      <c r="F448" s="904"/>
      <c r="G448" s="905"/>
    </row>
    <row r="449" spans="1:7" ht="16.5" x14ac:dyDescent="0.25">
      <c r="A449" s="885" t="s">
        <v>29</v>
      </c>
      <c r="B449" s="886"/>
      <c r="C449" s="886"/>
      <c r="D449" s="886"/>
      <c r="E449" s="886"/>
      <c r="F449" s="886"/>
      <c r="G449" s="887"/>
    </row>
    <row r="450" spans="1:7" x14ac:dyDescent="0.2">
      <c r="A450" s="888" t="s">
        <v>48</v>
      </c>
      <c r="B450" s="889"/>
      <c r="C450" s="889"/>
      <c r="D450" s="889"/>
      <c r="E450" s="889"/>
      <c r="F450" s="889"/>
      <c r="G450" s="890"/>
    </row>
    <row r="451" spans="1:7" x14ac:dyDescent="0.2">
      <c r="A451" s="915" t="s">
        <v>49</v>
      </c>
      <c r="B451" s="916"/>
      <c r="C451" s="916"/>
      <c r="D451" s="916"/>
      <c r="E451" s="916"/>
      <c r="F451" s="916"/>
      <c r="G451" s="917"/>
    </row>
    <row r="452" spans="1:7" x14ac:dyDescent="0.2">
      <c r="A452" s="6"/>
      <c r="B452" s="99"/>
      <c r="C452" s="8"/>
      <c r="D452" s="9"/>
      <c r="E452" s="99"/>
      <c r="F452" s="10"/>
      <c r="G452" s="11" t="s">
        <v>20</v>
      </c>
    </row>
    <row r="453" spans="1:7" x14ac:dyDescent="0.2">
      <c r="A453" s="12" t="s">
        <v>1</v>
      </c>
      <c r="B453" s="13"/>
      <c r="C453" s="14" t="s">
        <v>19</v>
      </c>
      <c r="D453" s="13"/>
      <c r="E453" s="362" t="s">
        <v>1630</v>
      </c>
      <c r="F453" s="98"/>
      <c r="G453" s="363" t="s">
        <v>1521</v>
      </c>
    </row>
    <row r="454" spans="1:7" x14ac:dyDescent="0.2">
      <c r="A454" s="17" t="s">
        <v>8</v>
      </c>
      <c r="B454" s="100"/>
      <c r="C454" s="19"/>
      <c r="D454" s="4"/>
      <c r="E454" s="918"/>
      <c r="F454" s="919"/>
      <c r="G454" s="20"/>
    </row>
    <row r="455" spans="1:7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7" x14ac:dyDescent="0.2">
      <c r="A456" s="6"/>
      <c r="B456" s="99"/>
      <c r="C456" s="8"/>
      <c r="D456" s="8"/>
      <c r="E456" s="920"/>
      <c r="F456" s="921"/>
      <c r="G456" s="25"/>
    </row>
    <row r="457" spans="1:7" ht="26.25" thickBot="1" x14ac:dyDescent="0.25">
      <c r="A457" s="207" t="s">
        <v>47</v>
      </c>
      <c r="B457" s="28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7" ht="13.5" thickTop="1" x14ac:dyDescent="0.2">
      <c r="A458" s="29">
        <v>1</v>
      </c>
      <c r="B458" s="101"/>
      <c r="C458" s="371" t="s">
        <v>242</v>
      </c>
      <c r="D458" s="376" t="s">
        <v>305</v>
      </c>
      <c r="E458" s="158">
        <v>50</v>
      </c>
      <c r="F458" s="128">
        <v>450</v>
      </c>
      <c r="G458" s="35">
        <f>F458*E458</f>
        <v>22500</v>
      </c>
    </row>
    <row r="459" spans="1:7" x14ac:dyDescent="0.2">
      <c r="A459" s="29"/>
      <c r="B459" s="101"/>
      <c r="C459" s="371"/>
      <c r="D459" s="370" t="s">
        <v>886</v>
      </c>
      <c r="E459" s="158"/>
      <c r="F459" s="128"/>
      <c r="G459" s="35"/>
    </row>
    <row r="460" spans="1:7" x14ac:dyDescent="0.2">
      <c r="A460" s="29"/>
      <c r="B460" s="101"/>
      <c r="C460" s="41"/>
      <c r="D460" s="370"/>
      <c r="E460" s="157"/>
      <c r="F460" s="149"/>
      <c r="G460" s="372"/>
    </row>
    <row r="461" spans="1:7" x14ac:dyDescent="0.2">
      <c r="A461" s="29"/>
      <c r="B461" s="101"/>
      <c r="C461" s="371"/>
      <c r="D461" s="370"/>
      <c r="E461" s="158"/>
      <c r="F461" s="128"/>
      <c r="G461" s="35"/>
    </row>
    <row r="462" spans="1:7" x14ac:dyDescent="0.2">
      <c r="A462" s="29"/>
      <c r="B462" s="105"/>
      <c r="C462" s="41"/>
      <c r="D462" s="136"/>
      <c r="E462" s="102"/>
      <c r="F462" s="128"/>
      <c r="G462" s="35"/>
    </row>
    <row r="463" spans="1:7" x14ac:dyDescent="0.2">
      <c r="A463" s="29"/>
      <c r="B463" s="105"/>
      <c r="C463" s="41"/>
      <c r="D463" s="136"/>
      <c r="E463" s="102"/>
      <c r="F463" s="128"/>
      <c r="G463" s="35"/>
    </row>
    <row r="464" spans="1:7" x14ac:dyDescent="0.2">
      <c r="A464" s="29"/>
      <c r="B464" s="151"/>
      <c r="C464" s="119"/>
      <c r="D464" s="136"/>
      <c r="E464" s="108"/>
      <c r="F464" s="150"/>
      <c r="G464" s="35"/>
    </row>
    <row r="465" spans="1:7" x14ac:dyDescent="0.2">
      <c r="A465" s="29"/>
      <c r="B465" s="151"/>
      <c r="C465" s="119"/>
      <c r="D465" s="144"/>
      <c r="E465" s="108"/>
      <c r="F465" s="150"/>
      <c r="G465" s="35"/>
    </row>
    <row r="466" spans="1:7" x14ac:dyDescent="0.2">
      <c r="A466" s="29"/>
      <c r="B466" s="101"/>
      <c r="C466" s="41"/>
      <c r="D466" s="144"/>
      <c r="E466" s="155"/>
      <c r="F466" s="128"/>
      <c r="G466" s="35"/>
    </row>
    <row r="467" spans="1:7" x14ac:dyDescent="0.2">
      <c r="A467" s="29"/>
      <c r="B467" s="106"/>
      <c r="C467" s="41"/>
      <c r="D467" s="136"/>
      <c r="E467" s="104"/>
      <c r="F467" s="128"/>
      <c r="G467" s="35"/>
    </row>
    <row r="468" spans="1:7" x14ac:dyDescent="0.2">
      <c r="A468" s="29"/>
      <c r="B468" s="105"/>
      <c r="C468" s="41"/>
      <c r="D468" s="136"/>
      <c r="E468" s="108"/>
      <c r="F468" s="152"/>
      <c r="G468" s="35"/>
    </row>
    <row r="469" spans="1:7" x14ac:dyDescent="0.2">
      <c r="A469" s="29"/>
      <c r="B469" s="107"/>
      <c r="C469" s="41"/>
      <c r="D469" s="136"/>
      <c r="E469" s="153"/>
      <c r="F469" s="128"/>
      <c r="G469" s="35"/>
    </row>
    <row r="470" spans="1:7" x14ac:dyDescent="0.2">
      <c r="A470" s="29"/>
      <c r="B470" s="107"/>
      <c r="C470" s="41"/>
      <c r="D470" s="67"/>
      <c r="E470" s="153"/>
      <c r="F470" s="128"/>
      <c r="G470" s="35"/>
    </row>
    <row r="471" spans="1:7" x14ac:dyDescent="0.2">
      <c r="A471" s="29"/>
      <c r="B471" s="101"/>
      <c r="C471" s="41"/>
      <c r="D471" s="67"/>
      <c r="E471" s="108"/>
      <c r="F471" s="128"/>
      <c r="G471" s="35"/>
    </row>
    <row r="472" spans="1:7" x14ac:dyDescent="0.2">
      <c r="A472" s="29"/>
      <c r="B472" s="101"/>
      <c r="C472" s="41"/>
      <c r="D472" s="67"/>
      <c r="E472" s="153"/>
      <c r="F472" s="128"/>
      <c r="G472" s="35"/>
    </row>
    <row r="473" spans="1:7" x14ac:dyDescent="0.2">
      <c r="A473" s="29"/>
      <c r="B473" s="106"/>
      <c r="C473" s="41"/>
      <c r="D473" s="67"/>
      <c r="E473" s="104"/>
      <c r="F473" s="154"/>
      <c r="G473" s="35"/>
    </row>
    <row r="474" spans="1:7" x14ac:dyDescent="0.2">
      <c r="A474" s="29"/>
      <c r="B474" s="105"/>
      <c r="C474" s="41"/>
      <c r="D474" s="130"/>
      <c r="E474" s="104"/>
      <c r="F474" s="154"/>
      <c r="G474" s="35"/>
    </row>
    <row r="475" spans="1:7" x14ac:dyDescent="0.2">
      <c r="A475" s="29"/>
      <c r="B475" s="105"/>
      <c r="C475" s="41"/>
      <c r="D475" s="67"/>
      <c r="E475" s="104"/>
      <c r="F475" s="154"/>
      <c r="G475" s="35"/>
    </row>
    <row r="476" spans="1:7" x14ac:dyDescent="0.2">
      <c r="A476" s="29"/>
      <c r="B476" s="101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136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62"/>
      <c r="E479" s="104"/>
      <c r="F479" s="154"/>
      <c r="G479" s="35"/>
    </row>
    <row r="480" spans="1:7" x14ac:dyDescent="0.2">
      <c r="A480" s="29"/>
      <c r="B480" s="101"/>
      <c r="C480" s="41"/>
      <c r="D480" s="67"/>
      <c r="E480" s="104"/>
      <c r="F480" s="154"/>
      <c r="G480" s="35"/>
    </row>
    <row r="481" spans="1:7" x14ac:dyDescent="0.2">
      <c r="A481" s="29"/>
      <c r="B481" s="101"/>
      <c r="C481" s="41"/>
      <c r="D481" s="67"/>
      <c r="E481" s="104"/>
      <c r="F481" s="154"/>
      <c r="G481" s="35"/>
    </row>
    <row r="482" spans="1:7" x14ac:dyDescent="0.2">
      <c r="A482" s="29"/>
      <c r="B482" s="101"/>
      <c r="C482" s="41"/>
      <c r="D482" s="67"/>
      <c r="E482" s="104"/>
      <c r="F482" s="154"/>
      <c r="G482" s="35"/>
    </row>
    <row r="483" spans="1:7" x14ac:dyDescent="0.2">
      <c r="A483" s="29"/>
      <c r="B483" s="101"/>
      <c r="C483" s="41"/>
      <c r="D483" s="67"/>
      <c r="E483" s="104"/>
      <c r="F483" s="154"/>
      <c r="G483" s="35"/>
    </row>
    <row r="484" spans="1:7" x14ac:dyDescent="0.2">
      <c r="A484" s="29"/>
      <c r="B484" s="101"/>
      <c r="C484" s="41"/>
      <c r="D484" s="67"/>
      <c r="E484" s="104"/>
      <c r="F484" s="154"/>
      <c r="G484" s="35"/>
    </row>
    <row r="485" spans="1:7" x14ac:dyDescent="0.2">
      <c r="A485" s="29"/>
      <c r="B485" s="101"/>
      <c r="C485" s="41"/>
      <c r="D485" s="159"/>
      <c r="E485" s="104"/>
      <c r="F485" s="154"/>
      <c r="G485" s="35"/>
    </row>
    <row r="486" spans="1:7" x14ac:dyDescent="0.2">
      <c r="A486" s="29"/>
      <c r="B486" s="101"/>
      <c r="C486" s="41"/>
      <c r="D486" s="160"/>
      <c r="E486" s="108"/>
      <c r="F486" s="128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02"/>
      <c r="F488" s="128"/>
      <c r="G488" s="35"/>
    </row>
    <row r="489" spans="1:7" x14ac:dyDescent="0.2">
      <c r="A489" s="29"/>
      <c r="B489" s="101"/>
      <c r="C489" s="31"/>
      <c r="D489" s="67"/>
      <c r="E489" s="131"/>
      <c r="F489" s="117"/>
      <c r="G489" s="35"/>
    </row>
    <row r="490" spans="1:7" x14ac:dyDescent="0.2">
      <c r="A490" s="29"/>
      <c r="B490" s="101"/>
      <c r="C490" s="41"/>
      <c r="D490" s="118"/>
      <c r="E490" s="108"/>
      <c r="F490" s="149"/>
      <c r="G490" s="35"/>
    </row>
    <row r="491" spans="1:7" x14ac:dyDescent="0.2">
      <c r="A491" s="29"/>
      <c r="B491" s="101"/>
      <c r="C491" s="41"/>
      <c r="D491" s="144"/>
      <c r="E491" s="108"/>
      <c r="F491" s="149"/>
      <c r="G491" s="35"/>
    </row>
    <row r="492" spans="1:7" ht="13.5" thickBot="1" x14ac:dyDescent="0.25">
      <c r="A492" s="45"/>
      <c r="B492" s="132"/>
      <c r="C492" s="115"/>
      <c r="D492" s="115"/>
      <c r="E492" s="132"/>
      <c r="F492" s="49" t="s">
        <v>15</v>
      </c>
      <c r="G492" s="50">
        <f>SUM(G458:G491)</f>
        <v>22500</v>
      </c>
    </row>
    <row r="493" spans="1:7" ht="13.5" thickTop="1" x14ac:dyDescent="0.2">
      <c r="A493" s="875" t="s">
        <v>1563</v>
      </c>
      <c r="B493" s="899"/>
      <c r="C493" s="899"/>
      <c r="D493" s="899"/>
      <c r="E493" s="899"/>
      <c r="F493" s="899"/>
      <c r="G493" s="900"/>
    </row>
    <row r="494" spans="1:7" ht="13.5" thickBot="1" x14ac:dyDescent="0.25">
      <c r="A494" s="926" t="s">
        <v>1564</v>
      </c>
      <c r="B494" s="927"/>
      <c r="C494" s="927"/>
      <c r="D494" s="927"/>
      <c r="E494" s="927"/>
      <c r="F494" s="927"/>
      <c r="G494" s="928"/>
    </row>
    <row r="495" spans="1:7" ht="13.5" thickTop="1" x14ac:dyDescent="0.2">
      <c r="A495" s="906"/>
      <c r="B495" s="907"/>
      <c r="C495" s="907"/>
      <c r="D495" s="57" t="s">
        <v>11</v>
      </c>
      <c r="E495" s="908" t="s">
        <v>12</v>
      </c>
      <c r="F495" s="908"/>
      <c r="G495" s="909"/>
    </row>
    <row r="496" spans="1:7" x14ac:dyDescent="0.2">
      <c r="A496" s="910" t="s">
        <v>17</v>
      </c>
      <c r="B496" s="911"/>
      <c r="C496" s="911"/>
      <c r="D496" s="39"/>
      <c r="E496" s="912"/>
      <c r="F496" s="913"/>
      <c r="G496" s="914"/>
    </row>
    <row r="497" spans="1:7" x14ac:dyDescent="0.2">
      <c r="A497" s="910" t="s">
        <v>38</v>
      </c>
      <c r="B497" s="911"/>
      <c r="C497" s="911"/>
      <c r="D497" s="58" t="s">
        <v>887</v>
      </c>
      <c r="E497" s="868" t="s">
        <v>142</v>
      </c>
      <c r="F497" s="868"/>
      <c r="G497" s="869"/>
    </row>
    <row r="498" spans="1:7" ht="13.5" thickBot="1" x14ac:dyDescent="0.25">
      <c r="A498" s="901" t="s">
        <v>39</v>
      </c>
      <c r="B498" s="902"/>
      <c r="C498" s="902"/>
      <c r="D498" s="59" t="s">
        <v>44</v>
      </c>
      <c r="E498" s="904" t="s">
        <v>0</v>
      </c>
      <c r="F498" s="904"/>
      <c r="G498" s="905"/>
    </row>
    <row r="499" spans="1:7" ht="16.5" x14ac:dyDescent="0.25">
      <c r="A499" s="885" t="s">
        <v>29</v>
      </c>
      <c r="B499" s="886"/>
      <c r="C499" s="886"/>
      <c r="D499" s="886"/>
      <c r="E499" s="886"/>
      <c r="F499" s="886"/>
      <c r="G499" s="887"/>
    </row>
    <row r="500" spans="1:7" x14ac:dyDescent="0.2">
      <c r="A500" s="888" t="s">
        <v>48</v>
      </c>
      <c r="B500" s="889"/>
      <c r="C500" s="889"/>
      <c r="D500" s="889"/>
      <c r="E500" s="889"/>
      <c r="F500" s="889"/>
      <c r="G500" s="890"/>
    </row>
    <row r="501" spans="1:7" x14ac:dyDescent="0.2">
      <c r="A501" s="915" t="s">
        <v>49</v>
      </c>
      <c r="B501" s="916"/>
      <c r="C501" s="916"/>
      <c r="D501" s="916"/>
      <c r="E501" s="916"/>
      <c r="F501" s="916"/>
      <c r="G501" s="917"/>
    </row>
    <row r="502" spans="1:7" x14ac:dyDescent="0.2">
      <c r="A502" s="6"/>
      <c r="B502" s="99"/>
      <c r="C502" s="8"/>
      <c r="D502" s="9"/>
      <c r="E502" s="99"/>
      <c r="F502" s="10"/>
      <c r="G502" s="11" t="s">
        <v>20</v>
      </c>
    </row>
    <row r="503" spans="1:7" x14ac:dyDescent="0.2">
      <c r="A503" s="12" t="s">
        <v>1</v>
      </c>
      <c r="B503" s="13"/>
      <c r="C503" s="14" t="s">
        <v>19</v>
      </c>
      <c r="D503" s="13"/>
      <c r="E503" s="362" t="s">
        <v>1526</v>
      </c>
      <c r="F503" s="98"/>
      <c r="G503" s="363" t="s">
        <v>1521</v>
      </c>
    </row>
    <row r="504" spans="1:7" x14ac:dyDescent="0.2">
      <c r="A504" s="17" t="s">
        <v>8</v>
      </c>
      <c r="B504" s="100"/>
      <c r="C504" s="19"/>
      <c r="D504" s="4"/>
      <c r="E504" s="918"/>
      <c r="F504" s="919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920"/>
      <c r="F506" s="921"/>
      <c r="G506" s="25"/>
    </row>
    <row r="507" spans="1:7" ht="26.25" thickBot="1" x14ac:dyDescent="0.25">
      <c r="A507" s="207" t="s">
        <v>47</v>
      </c>
      <c r="B507" s="28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29">
        <v>1</v>
      </c>
      <c r="B508" s="101"/>
      <c r="C508" s="371" t="s">
        <v>242</v>
      </c>
      <c r="D508" s="376" t="s">
        <v>305</v>
      </c>
      <c r="E508" s="158">
        <v>35</v>
      </c>
      <c r="F508" s="128">
        <v>450</v>
      </c>
      <c r="G508" s="35">
        <f>F508*E508</f>
        <v>15750</v>
      </c>
    </row>
    <row r="509" spans="1:7" x14ac:dyDescent="0.2">
      <c r="A509" s="29"/>
      <c r="B509" s="101"/>
      <c r="C509" s="371"/>
      <c r="D509" s="370" t="s">
        <v>886</v>
      </c>
      <c r="E509" s="158"/>
      <c r="F509" s="128"/>
      <c r="G509" s="35"/>
    </row>
    <row r="510" spans="1:7" x14ac:dyDescent="0.2">
      <c r="A510" s="29"/>
      <c r="B510" s="101"/>
      <c r="C510" s="41"/>
      <c r="D510" s="370"/>
      <c r="E510" s="157"/>
      <c r="F510" s="149"/>
      <c r="G510" s="372"/>
    </row>
    <row r="511" spans="1:7" x14ac:dyDescent="0.2">
      <c r="A511" s="29"/>
      <c r="B511" s="101"/>
      <c r="C511" s="371"/>
      <c r="D511" s="370"/>
      <c r="E511" s="158"/>
      <c r="F511" s="128"/>
      <c r="G511" s="35"/>
    </row>
    <row r="512" spans="1:7" x14ac:dyDescent="0.2">
      <c r="A512" s="29"/>
      <c r="B512" s="105"/>
      <c r="C512" s="41"/>
      <c r="D512" s="136"/>
      <c r="E512" s="102"/>
      <c r="F512" s="128"/>
      <c r="G512" s="35"/>
    </row>
    <row r="513" spans="1:7" x14ac:dyDescent="0.2">
      <c r="A513" s="29"/>
      <c r="B513" s="105"/>
      <c r="C513" s="41"/>
      <c r="D513" s="136"/>
      <c r="E513" s="102"/>
      <c r="F513" s="128"/>
      <c r="G513" s="35"/>
    </row>
    <row r="514" spans="1:7" x14ac:dyDescent="0.2">
      <c r="A514" s="29"/>
      <c r="B514" s="151"/>
      <c r="C514" s="119"/>
      <c r="D514" s="136"/>
      <c r="E514" s="108"/>
      <c r="F514" s="150"/>
      <c r="G514" s="35"/>
    </row>
    <row r="515" spans="1:7" x14ac:dyDescent="0.2">
      <c r="A515" s="29"/>
      <c r="B515" s="151"/>
      <c r="C515" s="119"/>
      <c r="D515" s="144"/>
      <c r="E515" s="108"/>
      <c r="F515" s="150"/>
      <c r="G515" s="35"/>
    </row>
    <row r="516" spans="1:7" x14ac:dyDescent="0.2">
      <c r="A516" s="29"/>
      <c r="B516" s="101"/>
      <c r="C516" s="41"/>
      <c r="D516" s="144"/>
      <c r="E516" s="155"/>
      <c r="F516" s="128"/>
      <c r="G516" s="35"/>
    </row>
    <row r="517" spans="1:7" x14ac:dyDescent="0.2">
      <c r="A517" s="29"/>
      <c r="B517" s="106"/>
      <c r="C517" s="41"/>
      <c r="D517" s="136"/>
      <c r="E517" s="104"/>
      <c r="F517" s="128"/>
      <c r="G517" s="35"/>
    </row>
    <row r="518" spans="1:7" x14ac:dyDescent="0.2">
      <c r="A518" s="29"/>
      <c r="B518" s="105"/>
      <c r="C518" s="41"/>
      <c r="D518" s="136"/>
      <c r="E518" s="108"/>
      <c r="F518" s="152"/>
      <c r="G518" s="35"/>
    </row>
    <row r="519" spans="1:7" x14ac:dyDescent="0.2">
      <c r="A519" s="29"/>
      <c r="B519" s="107"/>
      <c r="C519" s="41"/>
      <c r="D519" s="136"/>
      <c r="E519" s="153"/>
      <c r="F519" s="128"/>
      <c r="G519" s="35"/>
    </row>
    <row r="520" spans="1:7" x14ac:dyDescent="0.2">
      <c r="A520" s="29"/>
      <c r="B520" s="107"/>
      <c r="C520" s="41"/>
      <c r="D520" s="67"/>
      <c r="E520" s="153"/>
      <c r="F520" s="128"/>
      <c r="G520" s="35"/>
    </row>
    <row r="521" spans="1:7" x14ac:dyDescent="0.2">
      <c r="A521" s="29"/>
      <c r="B521" s="101"/>
      <c r="C521" s="41"/>
      <c r="D521" s="67"/>
      <c r="E521" s="108"/>
      <c r="F521" s="128"/>
      <c r="G521" s="35"/>
    </row>
    <row r="522" spans="1:7" x14ac:dyDescent="0.2">
      <c r="A522" s="29"/>
      <c r="B522" s="101"/>
      <c r="C522" s="41"/>
      <c r="D522" s="67"/>
      <c r="E522" s="153"/>
      <c r="F522" s="128"/>
      <c r="G522" s="35"/>
    </row>
    <row r="523" spans="1:7" x14ac:dyDescent="0.2">
      <c r="A523" s="29"/>
      <c r="B523" s="106"/>
      <c r="C523" s="41"/>
      <c r="D523" s="67"/>
      <c r="E523" s="104"/>
      <c r="F523" s="154"/>
      <c r="G523" s="35"/>
    </row>
    <row r="524" spans="1:7" x14ac:dyDescent="0.2">
      <c r="A524" s="29"/>
      <c r="B524" s="105"/>
      <c r="C524" s="41"/>
      <c r="D524" s="130"/>
      <c r="E524" s="104"/>
      <c r="F524" s="154"/>
      <c r="G524" s="35"/>
    </row>
    <row r="525" spans="1:7" x14ac:dyDescent="0.2">
      <c r="A525" s="29"/>
      <c r="B525" s="105"/>
      <c r="C525" s="41"/>
      <c r="D525" s="67"/>
      <c r="E525" s="104"/>
      <c r="F525" s="154"/>
      <c r="G525" s="35"/>
    </row>
    <row r="526" spans="1:7" x14ac:dyDescent="0.2">
      <c r="A526" s="29"/>
      <c r="B526" s="101"/>
      <c r="C526" s="41"/>
      <c r="D526" s="67"/>
      <c r="E526" s="104"/>
      <c r="F526" s="154"/>
      <c r="G526" s="35"/>
    </row>
    <row r="527" spans="1:7" x14ac:dyDescent="0.2">
      <c r="A527" s="29"/>
      <c r="B527" s="101"/>
      <c r="C527" s="41"/>
      <c r="D527" s="136"/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62"/>
      <c r="E529" s="104"/>
      <c r="F529" s="154"/>
      <c r="G529" s="35"/>
    </row>
    <row r="530" spans="1:7" x14ac:dyDescent="0.2">
      <c r="A530" s="29"/>
      <c r="B530" s="101"/>
      <c r="C530" s="41"/>
      <c r="D530" s="67"/>
      <c r="E530" s="104"/>
      <c r="F530" s="154"/>
      <c r="G530" s="35"/>
    </row>
    <row r="531" spans="1:7" x14ac:dyDescent="0.2">
      <c r="A531" s="29"/>
      <c r="B531" s="101"/>
      <c r="C531" s="41"/>
      <c r="D531" s="67"/>
      <c r="E531" s="104"/>
      <c r="F531" s="154"/>
      <c r="G531" s="35"/>
    </row>
    <row r="532" spans="1:7" x14ac:dyDescent="0.2">
      <c r="A532" s="29"/>
      <c r="B532" s="101"/>
      <c r="C532" s="41"/>
      <c r="D532" s="67"/>
      <c r="E532" s="104"/>
      <c r="F532" s="154"/>
      <c r="G532" s="35"/>
    </row>
    <row r="533" spans="1:7" x14ac:dyDescent="0.2">
      <c r="A533" s="29"/>
      <c r="B533" s="101"/>
      <c r="C533" s="41"/>
      <c r="D533" s="67"/>
      <c r="E533" s="104"/>
      <c r="F533" s="154"/>
      <c r="G533" s="35"/>
    </row>
    <row r="534" spans="1:7" x14ac:dyDescent="0.2">
      <c r="A534" s="29"/>
      <c r="B534" s="101"/>
      <c r="C534" s="41"/>
      <c r="D534" s="67"/>
      <c r="E534" s="104"/>
      <c r="F534" s="154"/>
      <c r="G534" s="35"/>
    </row>
    <row r="535" spans="1:7" x14ac:dyDescent="0.2">
      <c r="A535" s="29"/>
      <c r="B535" s="101"/>
      <c r="C535" s="41"/>
      <c r="D535" s="159"/>
      <c r="E535" s="104"/>
      <c r="F535" s="154"/>
      <c r="G535" s="35"/>
    </row>
    <row r="536" spans="1:7" x14ac:dyDescent="0.2">
      <c r="A536" s="29"/>
      <c r="B536" s="101"/>
      <c r="C536" s="41"/>
      <c r="D536" s="160"/>
      <c r="E536" s="108"/>
      <c r="F536" s="128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02"/>
      <c r="F538" s="128"/>
      <c r="G538" s="35"/>
    </row>
    <row r="539" spans="1:7" x14ac:dyDescent="0.2">
      <c r="A539" s="29"/>
      <c r="B539" s="101"/>
      <c r="C539" s="31"/>
      <c r="D539" s="67"/>
      <c r="E539" s="131"/>
      <c r="F539" s="117"/>
      <c r="G539" s="35"/>
    </row>
    <row r="540" spans="1:7" x14ac:dyDescent="0.2">
      <c r="A540" s="29"/>
      <c r="B540" s="101"/>
      <c r="C540" s="41"/>
      <c r="D540" s="118"/>
      <c r="E540" s="108"/>
      <c r="F540" s="149"/>
      <c r="G540" s="35"/>
    </row>
    <row r="541" spans="1:7" x14ac:dyDescent="0.2">
      <c r="A541" s="29"/>
      <c r="B541" s="101"/>
      <c r="C541" s="41"/>
      <c r="D541" s="144"/>
      <c r="E541" s="108"/>
      <c r="F541" s="149"/>
      <c r="G541" s="35"/>
    </row>
    <row r="542" spans="1:7" ht="13.5" thickBot="1" x14ac:dyDescent="0.25">
      <c r="A542" s="45"/>
      <c r="B542" s="132"/>
      <c r="C542" s="115"/>
      <c r="D542" s="115"/>
      <c r="E542" s="132"/>
      <c r="F542" s="49" t="s">
        <v>15</v>
      </c>
      <c r="G542" s="50">
        <f>SUM(G508:G541)</f>
        <v>15750</v>
      </c>
    </row>
    <row r="543" spans="1:7" ht="13.5" thickTop="1" x14ac:dyDescent="0.2">
      <c r="A543" s="875" t="s">
        <v>1568</v>
      </c>
      <c r="B543" s="899"/>
      <c r="C543" s="899"/>
      <c r="D543" s="899"/>
      <c r="E543" s="899"/>
      <c r="F543" s="899"/>
      <c r="G543" s="900"/>
    </row>
    <row r="544" spans="1:7" ht="13.5" thickBot="1" x14ac:dyDescent="0.25">
      <c r="A544" s="926" t="s">
        <v>1569</v>
      </c>
      <c r="B544" s="927"/>
      <c r="C544" s="927"/>
      <c r="D544" s="927"/>
      <c r="E544" s="927"/>
      <c r="F544" s="927"/>
      <c r="G544" s="928"/>
    </row>
    <row r="545" spans="1:7" ht="13.5" thickTop="1" x14ac:dyDescent="0.2">
      <c r="A545" s="906"/>
      <c r="B545" s="907"/>
      <c r="C545" s="907"/>
      <c r="D545" s="57" t="s">
        <v>11</v>
      </c>
      <c r="E545" s="908" t="s">
        <v>12</v>
      </c>
      <c r="F545" s="908"/>
      <c r="G545" s="909"/>
    </row>
    <row r="546" spans="1:7" x14ac:dyDescent="0.2">
      <c r="A546" s="910" t="s">
        <v>17</v>
      </c>
      <c r="B546" s="911"/>
      <c r="C546" s="911"/>
      <c r="D546" s="39"/>
      <c r="E546" s="912"/>
      <c r="F546" s="913"/>
      <c r="G546" s="914"/>
    </row>
    <row r="547" spans="1:7" x14ac:dyDescent="0.2">
      <c r="A547" s="910" t="s">
        <v>38</v>
      </c>
      <c r="B547" s="911"/>
      <c r="C547" s="911"/>
      <c r="D547" s="58" t="s">
        <v>887</v>
      </c>
      <c r="E547" s="868" t="s">
        <v>142</v>
      </c>
      <c r="F547" s="868"/>
      <c r="G547" s="869"/>
    </row>
    <row r="548" spans="1:7" ht="13.5" thickBot="1" x14ac:dyDescent="0.25">
      <c r="A548" s="901" t="s">
        <v>39</v>
      </c>
      <c r="B548" s="902"/>
      <c r="C548" s="902"/>
      <c r="D548" s="59" t="s">
        <v>44</v>
      </c>
      <c r="E548" s="904" t="s">
        <v>0</v>
      </c>
      <c r="F548" s="904"/>
      <c r="G548" s="905"/>
    </row>
    <row r="549" spans="1:7" ht="16.5" x14ac:dyDescent="0.25">
      <c r="A549" s="885" t="s">
        <v>29</v>
      </c>
      <c r="B549" s="886"/>
      <c r="C549" s="886"/>
      <c r="D549" s="886"/>
      <c r="E549" s="886"/>
      <c r="F549" s="886"/>
      <c r="G549" s="887"/>
    </row>
    <row r="550" spans="1:7" x14ac:dyDescent="0.2">
      <c r="A550" s="888" t="s">
        <v>48</v>
      </c>
      <c r="B550" s="889"/>
      <c r="C550" s="889"/>
      <c r="D550" s="889"/>
      <c r="E550" s="889"/>
      <c r="F550" s="889"/>
      <c r="G550" s="890"/>
    </row>
    <row r="551" spans="1:7" x14ac:dyDescent="0.2">
      <c r="A551" s="915" t="s">
        <v>49</v>
      </c>
      <c r="B551" s="916"/>
      <c r="C551" s="916"/>
      <c r="D551" s="916"/>
      <c r="E551" s="916"/>
      <c r="F551" s="916"/>
      <c r="G551" s="917"/>
    </row>
    <row r="552" spans="1:7" x14ac:dyDescent="0.2">
      <c r="A552" s="6"/>
      <c r="B552" s="99"/>
      <c r="C552" s="8"/>
      <c r="D552" s="9"/>
      <c r="E552" s="99"/>
      <c r="F552" s="10"/>
      <c r="G552" s="11" t="s">
        <v>20</v>
      </c>
    </row>
    <row r="553" spans="1:7" x14ac:dyDescent="0.2">
      <c r="A553" s="12" t="s">
        <v>1</v>
      </c>
      <c r="B553" s="13"/>
      <c r="C553" s="14" t="s">
        <v>19</v>
      </c>
      <c r="D553" s="13"/>
      <c r="E553" s="362" t="s">
        <v>1526</v>
      </c>
      <c r="F553" s="98"/>
      <c r="G553" s="363" t="s">
        <v>1521</v>
      </c>
    </row>
    <row r="554" spans="1:7" x14ac:dyDescent="0.2">
      <c r="A554" s="17" t="s">
        <v>8</v>
      </c>
      <c r="B554" s="100"/>
      <c r="C554" s="19"/>
      <c r="D554" s="4"/>
      <c r="E554" s="918"/>
      <c r="F554" s="919"/>
      <c r="G554" s="20"/>
    </row>
    <row r="555" spans="1:7" x14ac:dyDescent="0.2">
      <c r="A555" s="21" t="s">
        <v>37</v>
      </c>
      <c r="B555" s="22"/>
      <c r="C555" s="22"/>
      <c r="D555" s="22"/>
      <c r="E555" s="23" t="s">
        <v>46</v>
      </c>
      <c r="F555" s="24"/>
      <c r="G555" s="20" t="s">
        <v>50</v>
      </c>
    </row>
    <row r="556" spans="1:7" x14ac:dyDescent="0.2">
      <c r="A556" s="6"/>
      <c r="B556" s="99"/>
      <c r="C556" s="8"/>
      <c r="D556" s="8"/>
      <c r="E556" s="920"/>
      <c r="F556" s="921"/>
      <c r="G556" s="25"/>
    </row>
    <row r="557" spans="1:7" ht="26.25" thickBot="1" x14ac:dyDescent="0.25">
      <c r="A557" s="207" t="s">
        <v>47</v>
      </c>
      <c r="B557" s="28" t="s">
        <v>23</v>
      </c>
      <c r="C557" s="28" t="s">
        <v>34</v>
      </c>
      <c r="D557" s="110" t="s">
        <v>53</v>
      </c>
      <c r="E557" s="114" t="s">
        <v>54</v>
      </c>
      <c r="F557" s="111" t="s">
        <v>55</v>
      </c>
      <c r="G557" s="112" t="s">
        <v>35</v>
      </c>
    </row>
    <row r="558" spans="1:7" ht="13.5" thickTop="1" x14ac:dyDescent="0.2">
      <c r="A558" s="29">
        <v>1</v>
      </c>
      <c r="B558" s="101"/>
      <c r="C558" s="371" t="s">
        <v>242</v>
      </c>
      <c r="D558" s="376" t="s">
        <v>305</v>
      </c>
      <c r="E558" s="158">
        <v>35</v>
      </c>
      <c r="F558" s="128">
        <v>450</v>
      </c>
      <c r="G558" s="35">
        <f>F558*E558</f>
        <v>15750</v>
      </c>
    </row>
    <row r="559" spans="1:7" x14ac:dyDescent="0.2">
      <c r="A559" s="29"/>
      <c r="B559" s="101"/>
      <c r="C559" s="371"/>
      <c r="D559" s="370" t="s">
        <v>886</v>
      </c>
      <c r="E559" s="158"/>
      <c r="F559" s="128"/>
      <c r="G559" s="35"/>
    </row>
    <row r="560" spans="1:7" x14ac:dyDescent="0.2">
      <c r="A560" s="29"/>
      <c r="B560" s="101"/>
      <c r="C560" s="41"/>
      <c r="D560" s="370"/>
      <c r="E560" s="157"/>
      <c r="F560" s="149"/>
      <c r="G560" s="372"/>
    </row>
    <row r="561" spans="1:7" x14ac:dyDescent="0.2">
      <c r="A561" s="29"/>
      <c r="B561" s="101"/>
      <c r="C561" s="371"/>
      <c r="D561" s="370"/>
      <c r="E561" s="158"/>
      <c r="F561" s="128"/>
      <c r="G561" s="35"/>
    </row>
    <row r="562" spans="1:7" x14ac:dyDescent="0.2">
      <c r="A562" s="29"/>
      <c r="B562" s="105"/>
      <c r="C562" s="41"/>
      <c r="D562" s="136"/>
      <c r="E562" s="102"/>
      <c r="F562" s="128"/>
      <c r="G562" s="35"/>
    </row>
    <row r="563" spans="1:7" x14ac:dyDescent="0.2">
      <c r="A563" s="29"/>
      <c r="B563" s="105"/>
      <c r="C563" s="41"/>
      <c r="D563" s="136"/>
      <c r="E563" s="102"/>
      <c r="F563" s="128"/>
      <c r="G563" s="35"/>
    </row>
    <row r="564" spans="1:7" x14ac:dyDescent="0.2">
      <c r="A564" s="29"/>
      <c r="B564" s="151"/>
      <c r="C564" s="119"/>
      <c r="D564" s="376" t="s">
        <v>8</v>
      </c>
      <c r="E564" s="108"/>
      <c r="F564" s="150"/>
      <c r="G564" s="35"/>
    </row>
    <row r="565" spans="1:7" x14ac:dyDescent="0.2">
      <c r="A565" s="29"/>
      <c r="B565" s="151"/>
      <c r="C565" s="119"/>
      <c r="D565" s="144"/>
      <c r="E565" s="108"/>
      <c r="F565" s="150"/>
      <c r="G565" s="35"/>
    </row>
    <row r="566" spans="1:7" x14ac:dyDescent="0.2">
      <c r="A566" s="29"/>
      <c r="B566" s="101"/>
      <c r="C566" s="41"/>
      <c r="D566" s="144"/>
      <c r="E566" s="155"/>
      <c r="F566" s="128"/>
      <c r="G566" s="35"/>
    </row>
    <row r="567" spans="1:7" x14ac:dyDescent="0.2">
      <c r="A567" s="29"/>
      <c r="B567" s="106"/>
      <c r="C567" s="41"/>
      <c r="D567" s="136"/>
      <c r="E567" s="104"/>
      <c r="F567" s="128"/>
      <c r="G567" s="35"/>
    </row>
    <row r="568" spans="1:7" x14ac:dyDescent="0.2">
      <c r="A568" s="29"/>
      <c r="B568" s="105"/>
      <c r="C568" s="41"/>
      <c r="D568" s="136"/>
      <c r="E568" s="108"/>
      <c r="F568" s="152"/>
      <c r="G568" s="35"/>
    </row>
    <row r="569" spans="1:7" x14ac:dyDescent="0.2">
      <c r="A569" s="29"/>
      <c r="B569" s="107"/>
      <c r="C569" s="41"/>
      <c r="D569" s="136"/>
      <c r="E569" s="153"/>
      <c r="F569" s="128"/>
      <c r="G569" s="35"/>
    </row>
    <row r="570" spans="1:7" x14ac:dyDescent="0.2">
      <c r="A570" s="29"/>
      <c r="B570" s="107"/>
      <c r="C570" s="41"/>
      <c r="D570" s="67"/>
      <c r="E570" s="153"/>
      <c r="F570" s="128"/>
      <c r="G570" s="35"/>
    </row>
    <row r="571" spans="1:7" x14ac:dyDescent="0.2">
      <c r="A571" s="29"/>
      <c r="B571" s="101"/>
      <c r="C571" s="41"/>
      <c r="D571" s="67"/>
      <c r="E571" s="108"/>
      <c r="F571" s="128"/>
      <c r="G571" s="35"/>
    </row>
    <row r="572" spans="1:7" x14ac:dyDescent="0.2">
      <c r="A572" s="29"/>
      <c r="B572" s="101"/>
      <c r="C572" s="41"/>
      <c r="D572" s="67"/>
      <c r="E572" s="153"/>
      <c r="F572" s="128"/>
      <c r="G572" s="35"/>
    </row>
    <row r="573" spans="1:7" x14ac:dyDescent="0.2">
      <c r="A573" s="29"/>
      <c r="B573" s="106"/>
      <c r="C573" s="41"/>
      <c r="D573" s="67"/>
      <c r="E573" s="104"/>
      <c r="F573" s="154"/>
      <c r="G573" s="35"/>
    </row>
    <row r="574" spans="1:7" x14ac:dyDescent="0.2">
      <c r="A574" s="29"/>
      <c r="B574" s="105"/>
      <c r="C574" s="41"/>
      <c r="D574" s="130"/>
      <c r="E574" s="104"/>
      <c r="F574" s="154"/>
      <c r="G574" s="35"/>
    </row>
    <row r="575" spans="1:7" x14ac:dyDescent="0.2">
      <c r="A575" s="29"/>
      <c r="B575" s="105"/>
      <c r="C575" s="41"/>
      <c r="D575" s="67"/>
      <c r="E575" s="104"/>
      <c r="F575" s="154"/>
      <c r="G575" s="35"/>
    </row>
    <row r="576" spans="1:7" x14ac:dyDescent="0.2">
      <c r="A576" s="29"/>
      <c r="B576" s="101"/>
      <c r="C576" s="41"/>
      <c r="D576" s="67"/>
      <c r="E576" s="104"/>
      <c r="F576" s="154"/>
      <c r="G576" s="35"/>
    </row>
    <row r="577" spans="1:7" x14ac:dyDescent="0.2">
      <c r="A577" s="29"/>
      <c r="B577" s="101"/>
      <c r="C577" s="41"/>
      <c r="D577" s="136"/>
      <c r="E577" s="104"/>
      <c r="F577" s="154"/>
      <c r="G577" s="35"/>
    </row>
    <row r="578" spans="1:7" x14ac:dyDescent="0.2">
      <c r="A578" s="29"/>
      <c r="B578" s="101"/>
      <c r="C578" s="41"/>
      <c r="D578" s="136"/>
      <c r="E578" s="104"/>
      <c r="F578" s="154"/>
      <c r="G578" s="35"/>
    </row>
    <row r="579" spans="1:7" x14ac:dyDescent="0.2">
      <c r="A579" s="29"/>
      <c r="B579" s="101"/>
      <c r="C579" s="41"/>
      <c r="D579" s="62"/>
      <c r="E579" s="104"/>
      <c r="F579" s="154"/>
      <c r="G579" s="35"/>
    </row>
    <row r="580" spans="1:7" x14ac:dyDescent="0.2">
      <c r="A580" s="29"/>
      <c r="B580" s="101"/>
      <c r="C580" s="41"/>
      <c r="D580" s="67"/>
      <c r="E580" s="104"/>
      <c r="F580" s="154"/>
      <c r="G580" s="35"/>
    </row>
    <row r="581" spans="1:7" x14ac:dyDescent="0.2">
      <c r="A581" s="29"/>
      <c r="B581" s="101"/>
      <c r="C581" s="41"/>
      <c r="D581" s="67"/>
      <c r="E581" s="104"/>
      <c r="F581" s="154"/>
      <c r="G581" s="35"/>
    </row>
    <row r="582" spans="1:7" x14ac:dyDescent="0.2">
      <c r="A582" s="29"/>
      <c r="B582" s="101"/>
      <c r="C582" s="41"/>
      <c r="D582" s="67"/>
      <c r="E582" s="104"/>
      <c r="F582" s="154"/>
      <c r="G582" s="35"/>
    </row>
    <row r="583" spans="1:7" x14ac:dyDescent="0.2">
      <c r="A583" s="29"/>
      <c r="B583" s="101"/>
      <c r="C583" s="41"/>
      <c r="D583" s="67"/>
      <c r="E583" s="104"/>
      <c r="F583" s="154"/>
      <c r="G583" s="35"/>
    </row>
    <row r="584" spans="1:7" x14ac:dyDescent="0.2">
      <c r="A584" s="29"/>
      <c r="B584" s="101"/>
      <c r="C584" s="41"/>
      <c r="D584" s="67"/>
      <c r="E584" s="104"/>
      <c r="F584" s="154"/>
      <c r="G584" s="35"/>
    </row>
    <row r="585" spans="1:7" x14ac:dyDescent="0.2">
      <c r="A585" s="29"/>
      <c r="B585" s="101"/>
      <c r="C585" s="41"/>
      <c r="D585" s="159"/>
      <c r="E585" s="104"/>
      <c r="F585" s="154"/>
      <c r="G585" s="35"/>
    </row>
    <row r="586" spans="1:7" x14ac:dyDescent="0.2">
      <c r="A586" s="29"/>
      <c r="B586" s="101"/>
      <c r="C586" s="41"/>
      <c r="D586" s="160"/>
      <c r="E586" s="108"/>
      <c r="F586" s="128"/>
      <c r="G586" s="35"/>
    </row>
    <row r="587" spans="1:7" x14ac:dyDescent="0.2">
      <c r="A587" s="29"/>
      <c r="B587" s="101"/>
      <c r="C587" s="41"/>
      <c r="D587" s="136"/>
      <c r="E587" s="153"/>
      <c r="F587" s="128"/>
      <c r="G587" s="35"/>
    </row>
    <row r="588" spans="1:7" x14ac:dyDescent="0.2">
      <c r="A588" s="29"/>
      <c r="B588" s="101"/>
      <c r="C588" s="41"/>
      <c r="D588" s="136"/>
      <c r="E588" s="102"/>
      <c r="F588" s="128"/>
      <c r="G588" s="35"/>
    </row>
    <row r="589" spans="1:7" x14ac:dyDescent="0.2">
      <c r="A589" s="29"/>
      <c r="B589" s="101"/>
      <c r="C589" s="31"/>
      <c r="D589" s="67"/>
      <c r="E589" s="131"/>
      <c r="F589" s="117"/>
      <c r="G589" s="35"/>
    </row>
    <row r="590" spans="1:7" x14ac:dyDescent="0.2">
      <c r="A590" s="29"/>
      <c r="B590" s="101"/>
      <c r="C590" s="41"/>
      <c r="D590" s="118"/>
      <c r="E590" s="108"/>
      <c r="F590" s="149"/>
      <c r="G590" s="35"/>
    </row>
    <row r="591" spans="1:7" x14ac:dyDescent="0.2">
      <c r="A591" s="29"/>
      <c r="B591" s="101"/>
      <c r="C591" s="41"/>
      <c r="D591" s="144"/>
      <c r="E591" s="108"/>
      <c r="F591" s="149"/>
      <c r="G591" s="35"/>
    </row>
    <row r="592" spans="1:7" ht="13.5" thickBot="1" x14ac:dyDescent="0.25">
      <c r="A592" s="45"/>
      <c r="B592" s="132"/>
      <c r="C592" s="115"/>
      <c r="D592" s="115"/>
      <c r="E592" s="132"/>
      <c r="F592" s="49" t="s">
        <v>15</v>
      </c>
      <c r="G592" s="50">
        <f>SUM(G558:G591)</f>
        <v>15750</v>
      </c>
    </row>
    <row r="593" spans="1:7" ht="13.5" thickTop="1" x14ac:dyDescent="0.2">
      <c r="A593" s="875" t="s">
        <v>1568</v>
      </c>
      <c r="B593" s="899"/>
      <c r="C593" s="899"/>
      <c r="D593" s="899"/>
      <c r="E593" s="899"/>
      <c r="F593" s="899"/>
      <c r="G593" s="900"/>
    </row>
    <row r="594" spans="1:7" ht="13.5" thickBot="1" x14ac:dyDescent="0.25">
      <c r="A594" s="926" t="s">
        <v>8</v>
      </c>
      <c r="B594" s="927"/>
      <c r="C594" s="927"/>
      <c r="D594" s="927"/>
      <c r="E594" s="927"/>
      <c r="F594" s="927"/>
      <c r="G594" s="928"/>
    </row>
    <row r="595" spans="1:7" ht="13.5" thickTop="1" x14ac:dyDescent="0.2">
      <c r="A595" s="906"/>
      <c r="B595" s="907"/>
      <c r="C595" s="907"/>
      <c r="D595" s="57" t="s">
        <v>11</v>
      </c>
      <c r="E595" s="908" t="s">
        <v>12</v>
      </c>
      <c r="F595" s="908"/>
      <c r="G595" s="909"/>
    </row>
    <row r="596" spans="1:7" x14ac:dyDescent="0.2">
      <c r="A596" s="910" t="s">
        <v>17</v>
      </c>
      <c r="B596" s="911"/>
      <c r="C596" s="911"/>
      <c r="D596" s="39"/>
      <c r="E596" s="912"/>
      <c r="F596" s="913"/>
      <c r="G596" s="914"/>
    </row>
    <row r="597" spans="1:7" x14ac:dyDescent="0.2">
      <c r="A597" s="910" t="s">
        <v>38</v>
      </c>
      <c r="B597" s="911"/>
      <c r="C597" s="911"/>
      <c r="D597" s="58" t="s">
        <v>887</v>
      </c>
      <c r="E597" s="868" t="s">
        <v>142</v>
      </c>
      <c r="F597" s="868"/>
      <c r="G597" s="869"/>
    </row>
    <row r="598" spans="1:7" ht="13.5" thickBot="1" x14ac:dyDescent="0.25">
      <c r="A598" s="901" t="s">
        <v>39</v>
      </c>
      <c r="B598" s="902"/>
      <c r="C598" s="902"/>
      <c r="D598" s="59" t="s">
        <v>44</v>
      </c>
      <c r="E598" s="904" t="s">
        <v>0</v>
      </c>
      <c r="F598" s="904"/>
      <c r="G598" s="905"/>
    </row>
    <row r="599" spans="1:7" ht="16.5" x14ac:dyDescent="0.25">
      <c r="A599" s="885" t="s">
        <v>29</v>
      </c>
      <c r="B599" s="886"/>
      <c r="C599" s="886"/>
      <c r="D599" s="886"/>
      <c r="E599" s="886"/>
      <c r="F599" s="886"/>
      <c r="G599" s="887"/>
    </row>
    <row r="600" spans="1:7" x14ac:dyDescent="0.2">
      <c r="A600" s="888" t="s">
        <v>48</v>
      </c>
      <c r="B600" s="889"/>
      <c r="C600" s="889"/>
      <c r="D600" s="889"/>
      <c r="E600" s="889"/>
      <c r="F600" s="889"/>
      <c r="G600" s="890"/>
    </row>
    <row r="601" spans="1:7" x14ac:dyDescent="0.2">
      <c r="A601" s="915" t="s">
        <v>49</v>
      </c>
      <c r="B601" s="916"/>
      <c r="C601" s="916"/>
      <c r="D601" s="916"/>
      <c r="E601" s="916"/>
      <c r="F601" s="916"/>
      <c r="G601" s="917"/>
    </row>
    <row r="602" spans="1:7" x14ac:dyDescent="0.2">
      <c r="A602" s="6"/>
      <c r="B602" s="99"/>
      <c r="C602" s="8"/>
      <c r="D602" s="9"/>
      <c r="E602" s="99"/>
      <c r="F602" s="10"/>
      <c r="G602" s="11" t="s">
        <v>20</v>
      </c>
    </row>
    <row r="603" spans="1:7" x14ac:dyDescent="0.2">
      <c r="A603" s="12" t="s">
        <v>1</v>
      </c>
      <c r="B603" s="13"/>
      <c r="C603" s="14" t="s">
        <v>19</v>
      </c>
      <c r="D603" s="13"/>
      <c r="E603" s="362" t="s">
        <v>1795</v>
      </c>
      <c r="F603" s="98"/>
      <c r="G603" s="363" t="s">
        <v>1739</v>
      </c>
    </row>
    <row r="604" spans="1:7" x14ac:dyDescent="0.2">
      <c r="A604" s="17" t="s">
        <v>8</v>
      </c>
      <c r="B604" s="100"/>
      <c r="C604" s="19"/>
      <c r="D604" s="4"/>
      <c r="E604" s="918"/>
      <c r="F604" s="919"/>
      <c r="G604" s="20"/>
    </row>
    <row r="605" spans="1:7" x14ac:dyDescent="0.2">
      <c r="A605" s="21" t="s">
        <v>37</v>
      </c>
      <c r="B605" s="22"/>
      <c r="C605" s="22"/>
      <c r="D605" s="22"/>
      <c r="E605" s="23" t="s">
        <v>46</v>
      </c>
      <c r="F605" s="24"/>
      <c r="G605" s="20" t="s">
        <v>50</v>
      </c>
    </row>
    <row r="606" spans="1:7" x14ac:dyDescent="0.2">
      <c r="A606" s="6"/>
      <c r="B606" s="99"/>
      <c r="C606" s="8"/>
      <c r="D606" s="8"/>
      <c r="E606" s="920"/>
      <c r="F606" s="921"/>
      <c r="G606" s="25"/>
    </row>
    <row r="607" spans="1:7" ht="26.25" thickBot="1" x14ac:dyDescent="0.25">
      <c r="A607" s="207" t="s">
        <v>47</v>
      </c>
      <c r="B607" s="28" t="s">
        <v>23</v>
      </c>
      <c r="C607" s="28" t="s">
        <v>34</v>
      </c>
      <c r="D607" s="110" t="s">
        <v>53</v>
      </c>
      <c r="E607" s="114" t="s">
        <v>54</v>
      </c>
      <c r="F607" s="111" t="s">
        <v>55</v>
      </c>
      <c r="G607" s="112" t="s">
        <v>35</v>
      </c>
    </row>
    <row r="608" spans="1:7" ht="13.5" thickTop="1" x14ac:dyDescent="0.2">
      <c r="A608" s="29">
        <v>1</v>
      </c>
      <c r="B608" s="101"/>
      <c r="C608" s="371" t="s">
        <v>242</v>
      </c>
      <c r="D608" s="376" t="s">
        <v>305</v>
      </c>
      <c r="E608" s="158">
        <v>35</v>
      </c>
      <c r="F608" s="128">
        <v>450</v>
      </c>
      <c r="G608" s="35">
        <f>F608*E608</f>
        <v>15750</v>
      </c>
    </row>
    <row r="609" spans="1:7" x14ac:dyDescent="0.2">
      <c r="A609" s="29"/>
      <c r="B609" s="101"/>
      <c r="C609" s="371"/>
      <c r="D609" s="370" t="s">
        <v>886</v>
      </c>
      <c r="E609" s="158"/>
      <c r="F609" s="128"/>
      <c r="G609" s="35"/>
    </row>
    <row r="610" spans="1:7" x14ac:dyDescent="0.2">
      <c r="A610" s="29"/>
      <c r="B610" s="101"/>
      <c r="C610" s="41"/>
      <c r="D610" s="370"/>
      <c r="E610" s="157"/>
      <c r="F610" s="149"/>
      <c r="G610" s="372"/>
    </row>
    <row r="611" spans="1:7" x14ac:dyDescent="0.2">
      <c r="A611" s="29"/>
      <c r="B611" s="101"/>
      <c r="C611" s="371"/>
      <c r="D611" s="370"/>
      <c r="E611" s="158"/>
      <c r="F611" s="128"/>
      <c r="G611" s="35"/>
    </row>
    <row r="612" spans="1:7" x14ac:dyDescent="0.2">
      <c r="A612" s="29"/>
      <c r="B612" s="105"/>
      <c r="C612" s="41"/>
      <c r="D612" s="136"/>
      <c r="E612" s="102"/>
      <c r="F612" s="128"/>
      <c r="G612" s="35"/>
    </row>
    <row r="613" spans="1:7" x14ac:dyDescent="0.2">
      <c r="A613" s="29"/>
      <c r="B613" s="105"/>
      <c r="C613" s="41"/>
      <c r="D613" s="136"/>
      <c r="E613" s="102"/>
      <c r="F613" s="128"/>
      <c r="G613" s="35"/>
    </row>
    <row r="614" spans="1:7" x14ac:dyDescent="0.2">
      <c r="A614" s="29"/>
      <c r="B614" s="151"/>
      <c r="C614" s="119"/>
      <c r="D614" s="376" t="s">
        <v>8</v>
      </c>
      <c r="E614" s="108"/>
      <c r="F614" s="150"/>
      <c r="G614" s="35"/>
    </row>
    <row r="615" spans="1:7" x14ac:dyDescent="0.2">
      <c r="A615" s="29"/>
      <c r="B615" s="151"/>
      <c r="C615" s="119"/>
      <c r="D615" s="144"/>
      <c r="E615" s="108"/>
      <c r="F615" s="150"/>
      <c r="G615" s="35"/>
    </row>
    <row r="616" spans="1:7" x14ac:dyDescent="0.2">
      <c r="A616" s="29"/>
      <c r="B616" s="101"/>
      <c r="C616" s="41"/>
      <c r="D616" s="144"/>
      <c r="E616" s="155"/>
      <c r="F616" s="128"/>
      <c r="G616" s="35"/>
    </row>
    <row r="617" spans="1:7" x14ac:dyDescent="0.2">
      <c r="A617" s="29"/>
      <c r="B617" s="106"/>
      <c r="C617" s="41"/>
      <c r="D617" s="136"/>
      <c r="E617" s="104"/>
      <c r="F617" s="128"/>
      <c r="G617" s="35"/>
    </row>
    <row r="618" spans="1:7" x14ac:dyDescent="0.2">
      <c r="A618" s="29"/>
      <c r="B618" s="105"/>
      <c r="C618" s="41"/>
      <c r="D618" s="136"/>
      <c r="E618" s="108"/>
      <c r="F618" s="152"/>
      <c r="G618" s="35"/>
    </row>
    <row r="619" spans="1:7" x14ac:dyDescent="0.2">
      <c r="A619" s="29"/>
      <c r="B619" s="107"/>
      <c r="C619" s="41"/>
      <c r="D619" s="136"/>
      <c r="E619" s="153"/>
      <c r="F619" s="128"/>
      <c r="G619" s="35"/>
    </row>
    <row r="620" spans="1:7" x14ac:dyDescent="0.2">
      <c r="A620" s="29"/>
      <c r="B620" s="107"/>
      <c r="C620" s="41"/>
      <c r="D620" s="67"/>
      <c r="E620" s="153"/>
      <c r="F620" s="128"/>
      <c r="G620" s="35"/>
    </row>
    <row r="621" spans="1:7" x14ac:dyDescent="0.2">
      <c r="A621" s="29"/>
      <c r="B621" s="101"/>
      <c r="C621" s="41"/>
      <c r="D621" s="67"/>
      <c r="E621" s="108"/>
      <c r="F621" s="128"/>
      <c r="G621" s="35"/>
    </row>
    <row r="622" spans="1:7" x14ac:dyDescent="0.2">
      <c r="A622" s="29"/>
      <c r="B622" s="101"/>
      <c r="C622" s="41"/>
      <c r="D622" s="67"/>
      <c r="E622" s="153"/>
      <c r="F622" s="128"/>
      <c r="G622" s="35"/>
    </row>
    <row r="623" spans="1:7" x14ac:dyDescent="0.2">
      <c r="A623" s="29"/>
      <c r="B623" s="106"/>
      <c r="C623" s="41"/>
      <c r="D623" s="67"/>
      <c r="E623" s="104"/>
      <c r="F623" s="154"/>
      <c r="G623" s="35"/>
    </row>
    <row r="624" spans="1:7" x14ac:dyDescent="0.2">
      <c r="A624" s="29"/>
      <c r="B624" s="105"/>
      <c r="C624" s="41"/>
      <c r="D624" s="130"/>
      <c r="E624" s="104"/>
      <c r="F624" s="154"/>
      <c r="G624" s="35"/>
    </row>
    <row r="625" spans="1:7" x14ac:dyDescent="0.2">
      <c r="A625" s="29"/>
      <c r="B625" s="105"/>
      <c r="C625" s="41"/>
      <c r="D625" s="67"/>
      <c r="E625" s="104"/>
      <c r="F625" s="154"/>
      <c r="G625" s="35"/>
    </row>
    <row r="626" spans="1:7" x14ac:dyDescent="0.2">
      <c r="A626" s="29"/>
      <c r="B626" s="101"/>
      <c r="C626" s="41"/>
      <c r="D626" s="67"/>
      <c r="E626" s="104"/>
      <c r="F626" s="154"/>
      <c r="G626" s="35"/>
    </row>
    <row r="627" spans="1:7" x14ac:dyDescent="0.2">
      <c r="A627" s="29"/>
      <c r="B627" s="101"/>
      <c r="C627" s="41"/>
      <c r="D627" s="136"/>
      <c r="E627" s="104"/>
      <c r="F627" s="154"/>
      <c r="G627" s="35"/>
    </row>
    <row r="628" spans="1:7" x14ac:dyDescent="0.2">
      <c r="A628" s="29"/>
      <c r="B628" s="101"/>
      <c r="C628" s="41"/>
      <c r="D628" s="136"/>
      <c r="E628" s="104"/>
      <c r="F628" s="154"/>
      <c r="G628" s="35"/>
    </row>
    <row r="629" spans="1:7" x14ac:dyDescent="0.2">
      <c r="A629" s="29"/>
      <c r="B629" s="101"/>
      <c r="C629" s="41"/>
      <c r="D629" s="62"/>
      <c r="E629" s="104"/>
      <c r="F629" s="154"/>
      <c r="G629" s="35"/>
    </row>
    <row r="630" spans="1:7" x14ac:dyDescent="0.2">
      <c r="A630" s="29"/>
      <c r="B630" s="101"/>
      <c r="C630" s="41"/>
      <c r="D630" s="67"/>
      <c r="E630" s="104"/>
      <c r="F630" s="154"/>
      <c r="G630" s="35"/>
    </row>
    <row r="631" spans="1:7" x14ac:dyDescent="0.2">
      <c r="A631" s="29"/>
      <c r="B631" s="101"/>
      <c r="C631" s="41"/>
      <c r="D631" s="67"/>
      <c r="E631" s="104"/>
      <c r="F631" s="154"/>
      <c r="G631" s="35"/>
    </row>
    <row r="632" spans="1:7" x14ac:dyDescent="0.2">
      <c r="A632" s="29"/>
      <c r="B632" s="101"/>
      <c r="C632" s="41"/>
      <c r="D632" s="67"/>
      <c r="E632" s="104"/>
      <c r="F632" s="154"/>
      <c r="G632" s="35"/>
    </row>
    <row r="633" spans="1:7" x14ac:dyDescent="0.2">
      <c r="A633" s="29"/>
      <c r="B633" s="101"/>
      <c r="C633" s="41"/>
      <c r="D633" s="67"/>
      <c r="E633" s="104"/>
      <c r="F633" s="154"/>
      <c r="G633" s="35"/>
    </row>
    <row r="634" spans="1:7" x14ac:dyDescent="0.2">
      <c r="A634" s="29"/>
      <c r="B634" s="101"/>
      <c r="C634" s="41"/>
      <c r="D634" s="67"/>
      <c r="E634" s="104"/>
      <c r="F634" s="154"/>
      <c r="G634" s="35"/>
    </row>
    <row r="635" spans="1:7" x14ac:dyDescent="0.2">
      <c r="A635" s="29"/>
      <c r="B635" s="101"/>
      <c r="C635" s="41"/>
      <c r="D635" s="159"/>
      <c r="E635" s="104"/>
      <c r="F635" s="154"/>
      <c r="G635" s="35"/>
    </row>
    <row r="636" spans="1:7" x14ac:dyDescent="0.2">
      <c r="A636" s="29"/>
      <c r="B636" s="101"/>
      <c r="C636" s="41"/>
      <c r="D636" s="160"/>
      <c r="E636" s="108"/>
      <c r="F636" s="128"/>
      <c r="G636" s="35"/>
    </row>
    <row r="637" spans="1:7" x14ac:dyDescent="0.2">
      <c r="A637" s="29"/>
      <c r="B637" s="101"/>
      <c r="C637" s="41"/>
      <c r="D637" s="136"/>
      <c r="E637" s="153"/>
      <c r="F637" s="128"/>
      <c r="G637" s="35"/>
    </row>
    <row r="638" spans="1:7" x14ac:dyDescent="0.2">
      <c r="A638" s="29"/>
      <c r="B638" s="101"/>
      <c r="C638" s="41"/>
      <c r="D638" s="136"/>
      <c r="E638" s="102"/>
      <c r="F638" s="128"/>
      <c r="G638" s="35"/>
    </row>
    <row r="639" spans="1:7" x14ac:dyDescent="0.2">
      <c r="A639" s="29"/>
      <c r="B639" s="101"/>
      <c r="C639" s="31"/>
      <c r="D639" s="67"/>
      <c r="E639" s="131"/>
      <c r="F639" s="117"/>
      <c r="G639" s="35"/>
    </row>
    <row r="640" spans="1:7" x14ac:dyDescent="0.2">
      <c r="A640" s="29"/>
      <c r="B640" s="101"/>
      <c r="C640" s="41"/>
      <c r="D640" s="118"/>
      <c r="E640" s="108"/>
      <c r="F640" s="149"/>
      <c r="G640" s="35"/>
    </row>
    <row r="641" spans="1:7" x14ac:dyDescent="0.2">
      <c r="A641" s="29"/>
      <c r="B641" s="101"/>
      <c r="C641" s="41"/>
      <c r="D641" s="144"/>
      <c r="E641" s="108"/>
      <c r="F641" s="149"/>
      <c r="G641" s="35"/>
    </row>
    <row r="642" spans="1:7" ht="13.5" thickBot="1" x14ac:dyDescent="0.25">
      <c r="A642" s="45"/>
      <c r="B642" s="132"/>
      <c r="C642" s="115"/>
      <c r="D642" s="115"/>
      <c r="E642" s="132"/>
      <c r="F642" s="49" t="s">
        <v>15</v>
      </c>
      <c r="G642" s="50">
        <f>SUM(G608:G641)</f>
        <v>15750</v>
      </c>
    </row>
    <row r="643" spans="1:7" ht="13.5" thickTop="1" x14ac:dyDescent="0.2">
      <c r="A643" s="875" t="s">
        <v>1583</v>
      </c>
      <c r="B643" s="899"/>
      <c r="C643" s="899"/>
      <c r="D643" s="899"/>
      <c r="E643" s="899"/>
      <c r="F643" s="899"/>
      <c r="G643" s="900"/>
    </row>
    <row r="644" spans="1:7" ht="13.5" thickBot="1" x14ac:dyDescent="0.25">
      <c r="A644" s="926" t="s">
        <v>1584</v>
      </c>
      <c r="B644" s="927"/>
      <c r="C644" s="927"/>
      <c r="D644" s="927"/>
      <c r="E644" s="927"/>
      <c r="F644" s="927"/>
      <c r="G644" s="928"/>
    </row>
    <row r="645" spans="1:7" ht="13.5" thickTop="1" x14ac:dyDescent="0.2">
      <c r="A645" s="906"/>
      <c r="B645" s="907"/>
      <c r="C645" s="907"/>
      <c r="D645" s="57" t="s">
        <v>11</v>
      </c>
      <c r="E645" s="908" t="s">
        <v>12</v>
      </c>
      <c r="F645" s="908"/>
      <c r="G645" s="909"/>
    </row>
    <row r="646" spans="1:7" x14ac:dyDescent="0.2">
      <c r="A646" s="910" t="s">
        <v>17</v>
      </c>
      <c r="B646" s="911"/>
      <c r="C646" s="911"/>
      <c r="D646" s="39"/>
      <c r="E646" s="912"/>
      <c r="F646" s="913"/>
      <c r="G646" s="914"/>
    </row>
    <row r="647" spans="1:7" x14ac:dyDescent="0.2">
      <c r="A647" s="910" t="s">
        <v>38</v>
      </c>
      <c r="B647" s="911"/>
      <c r="C647" s="911"/>
      <c r="D647" s="58" t="s">
        <v>887</v>
      </c>
      <c r="E647" s="868" t="s">
        <v>142</v>
      </c>
      <c r="F647" s="868"/>
      <c r="G647" s="869"/>
    </row>
    <row r="648" spans="1:7" ht="13.5" thickBot="1" x14ac:dyDescent="0.25">
      <c r="A648" s="901" t="s">
        <v>39</v>
      </c>
      <c r="B648" s="902"/>
      <c r="C648" s="902"/>
      <c r="D648" s="59" t="s">
        <v>44</v>
      </c>
      <c r="E648" s="904" t="s">
        <v>0</v>
      </c>
      <c r="F648" s="904"/>
      <c r="G648" s="905"/>
    </row>
    <row r="649" spans="1:7" ht="16.5" x14ac:dyDescent="0.25">
      <c r="A649" s="885" t="s">
        <v>29</v>
      </c>
      <c r="B649" s="886"/>
      <c r="C649" s="886"/>
      <c r="D649" s="886"/>
      <c r="E649" s="886"/>
      <c r="F649" s="886"/>
      <c r="G649" s="887"/>
    </row>
    <row r="650" spans="1:7" x14ac:dyDescent="0.2">
      <c r="A650" s="888" t="s">
        <v>48</v>
      </c>
      <c r="B650" s="889"/>
      <c r="C650" s="889"/>
      <c r="D650" s="889"/>
      <c r="E650" s="889"/>
      <c r="F650" s="889"/>
      <c r="G650" s="890"/>
    </row>
    <row r="651" spans="1:7" x14ac:dyDescent="0.2">
      <c r="A651" s="915" t="s">
        <v>49</v>
      </c>
      <c r="B651" s="916"/>
      <c r="C651" s="916"/>
      <c r="D651" s="916"/>
      <c r="E651" s="916"/>
      <c r="F651" s="916"/>
      <c r="G651" s="917"/>
    </row>
    <row r="652" spans="1:7" x14ac:dyDescent="0.2">
      <c r="A652" s="6"/>
      <c r="B652" s="99"/>
      <c r="C652" s="8"/>
      <c r="D652" s="9"/>
      <c r="E652" s="99"/>
      <c r="F652" s="10"/>
      <c r="G652" s="11" t="s">
        <v>20</v>
      </c>
    </row>
    <row r="653" spans="1:7" x14ac:dyDescent="0.2">
      <c r="A653" s="12" t="s">
        <v>1</v>
      </c>
      <c r="B653" s="13"/>
      <c r="C653" s="14" t="s">
        <v>19</v>
      </c>
      <c r="D653" s="13"/>
      <c r="E653" s="362" t="s">
        <v>1797</v>
      </c>
      <c r="F653" s="98"/>
      <c r="G653" s="363" t="s">
        <v>1739</v>
      </c>
    </row>
    <row r="654" spans="1:7" x14ac:dyDescent="0.2">
      <c r="A654" s="17" t="s">
        <v>8</v>
      </c>
      <c r="B654" s="100"/>
      <c r="C654" s="19"/>
      <c r="D654" s="4"/>
      <c r="E654" s="918"/>
      <c r="F654" s="919"/>
      <c r="G654" s="20"/>
    </row>
    <row r="655" spans="1:7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7" x14ac:dyDescent="0.2">
      <c r="A656" s="6"/>
      <c r="B656" s="99"/>
      <c r="C656" s="8"/>
      <c r="D656" s="8"/>
      <c r="E656" s="920"/>
      <c r="F656" s="921"/>
      <c r="G656" s="25"/>
    </row>
    <row r="657" spans="1:7" ht="26.25" thickBot="1" x14ac:dyDescent="0.25">
      <c r="A657" s="207" t="s">
        <v>47</v>
      </c>
      <c r="B657" s="28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7" ht="13.5" thickTop="1" x14ac:dyDescent="0.2">
      <c r="A658" s="29">
        <v>1</v>
      </c>
      <c r="B658" s="101"/>
      <c r="C658" s="371" t="s">
        <v>242</v>
      </c>
      <c r="D658" s="376" t="s">
        <v>324</v>
      </c>
      <c r="E658" s="158">
        <v>35</v>
      </c>
      <c r="F658" s="128">
        <v>200</v>
      </c>
      <c r="G658" s="35">
        <f>F658*E658</f>
        <v>7000</v>
      </c>
    </row>
    <row r="659" spans="1:7" x14ac:dyDescent="0.2">
      <c r="A659" s="29">
        <v>2</v>
      </c>
      <c r="B659" s="101"/>
      <c r="C659" s="371" t="s">
        <v>242</v>
      </c>
      <c r="D659" s="370" t="s">
        <v>305</v>
      </c>
      <c r="E659" s="158">
        <v>35</v>
      </c>
      <c r="F659" s="128">
        <v>450</v>
      </c>
      <c r="G659" s="35">
        <f t="shared" ref="G659:G661" si="1">F659*E659</f>
        <v>15750</v>
      </c>
    </row>
    <row r="660" spans="1:7" x14ac:dyDescent="0.2">
      <c r="A660" s="29"/>
      <c r="B660" s="101"/>
      <c r="C660" s="41"/>
      <c r="D660" s="370" t="s">
        <v>886</v>
      </c>
      <c r="E660" s="157"/>
      <c r="F660" s="149"/>
      <c r="G660" s="372" t="s">
        <v>8</v>
      </c>
    </row>
    <row r="661" spans="1:7" x14ac:dyDescent="0.2">
      <c r="A661" s="29">
        <v>3</v>
      </c>
      <c r="B661" s="101"/>
      <c r="C661" s="371" t="s">
        <v>242</v>
      </c>
      <c r="D661" s="370" t="s">
        <v>310</v>
      </c>
      <c r="E661" s="158">
        <v>35</v>
      </c>
      <c r="F661" s="128">
        <v>200</v>
      </c>
      <c r="G661" s="35">
        <f t="shared" si="1"/>
        <v>7000</v>
      </c>
    </row>
    <row r="662" spans="1:7" x14ac:dyDescent="0.2">
      <c r="A662" s="29"/>
      <c r="B662" s="105"/>
      <c r="C662" s="41"/>
      <c r="D662" s="136"/>
      <c r="E662" s="102"/>
      <c r="F662" s="128"/>
      <c r="G662" s="35"/>
    </row>
    <row r="663" spans="1:7" x14ac:dyDescent="0.2">
      <c r="A663" s="29"/>
      <c r="B663" s="105"/>
      <c r="C663" s="41"/>
      <c r="D663" s="136"/>
      <c r="E663" s="102"/>
      <c r="F663" s="128"/>
      <c r="G663" s="35"/>
    </row>
    <row r="664" spans="1:7" x14ac:dyDescent="0.2">
      <c r="A664" s="29"/>
      <c r="B664" s="151"/>
      <c r="C664" s="119"/>
      <c r="D664" s="376" t="s">
        <v>8</v>
      </c>
      <c r="E664" s="108"/>
      <c r="F664" s="150"/>
      <c r="G664" s="35"/>
    </row>
    <row r="665" spans="1:7" x14ac:dyDescent="0.2">
      <c r="A665" s="29"/>
      <c r="B665" s="151"/>
      <c r="C665" s="119"/>
      <c r="D665" s="144"/>
      <c r="E665" s="108"/>
      <c r="F665" s="150"/>
      <c r="G665" s="35"/>
    </row>
    <row r="666" spans="1:7" x14ac:dyDescent="0.2">
      <c r="A666" s="29"/>
      <c r="B666" s="101"/>
      <c r="C666" s="41"/>
      <c r="D666" s="144"/>
      <c r="E666" s="155"/>
      <c r="F666" s="128"/>
      <c r="G666" s="35"/>
    </row>
    <row r="667" spans="1:7" x14ac:dyDescent="0.2">
      <c r="A667" s="29"/>
      <c r="B667" s="106"/>
      <c r="C667" s="41"/>
      <c r="D667" s="136"/>
      <c r="E667" s="104"/>
      <c r="F667" s="128"/>
      <c r="G667" s="35"/>
    </row>
    <row r="668" spans="1:7" x14ac:dyDescent="0.2">
      <c r="A668" s="29"/>
      <c r="B668" s="105"/>
      <c r="C668" s="41"/>
      <c r="D668" s="136"/>
      <c r="E668" s="108"/>
      <c r="F668" s="152"/>
      <c r="G668" s="35"/>
    </row>
    <row r="669" spans="1:7" x14ac:dyDescent="0.2">
      <c r="A669" s="29"/>
      <c r="B669" s="107"/>
      <c r="C669" s="41"/>
      <c r="D669" s="136"/>
      <c r="E669" s="153"/>
      <c r="F669" s="128"/>
      <c r="G669" s="35"/>
    </row>
    <row r="670" spans="1:7" x14ac:dyDescent="0.2">
      <c r="A670" s="29"/>
      <c r="B670" s="107"/>
      <c r="C670" s="41"/>
      <c r="D670" s="67"/>
      <c r="E670" s="153"/>
      <c r="F670" s="128"/>
      <c r="G670" s="35"/>
    </row>
    <row r="671" spans="1:7" x14ac:dyDescent="0.2">
      <c r="A671" s="29"/>
      <c r="B671" s="101"/>
      <c r="C671" s="41"/>
      <c r="D671" s="67"/>
      <c r="E671" s="108"/>
      <c r="F671" s="128"/>
      <c r="G671" s="35"/>
    </row>
    <row r="672" spans="1:7" x14ac:dyDescent="0.2">
      <c r="A672" s="29"/>
      <c r="B672" s="101"/>
      <c r="C672" s="41"/>
      <c r="D672" s="67"/>
      <c r="E672" s="153"/>
      <c r="F672" s="128"/>
      <c r="G672" s="35"/>
    </row>
    <row r="673" spans="1:7" x14ac:dyDescent="0.2">
      <c r="A673" s="29"/>
      <c r="B673" s="106"/>
      <c r="C673" s="41"/>
      <c r="D673" s="67"/>
      <c r="E673" s="104"/>
      <c r="F673" s="154"/>
      <c r="G673" s="35"/>
    </row>
    <row r="674" spans="1:7" x14ac:dyDescent="0.2">
      <c r="A674" s="29"/>
      <c r="B674" s="105"/>
      <c r="C674" s="41"/>
      <c r="D674" s="130"/>
      <c r="E674" s="104"/>
      <c r="F674" s="154"/>
      <c r="G674" s="35"/>
    </row>
    <row r="675" spans="1:7" x14ac:dyDescent="0.2">
      <c r="A675" s="29"/>
      <c r="B675" s="105"/>
      <c r="C675" s="41"/>
      <c r="D675" s="67"/>
      <c r="E675" s="104"/>
      <c r="F675" s="154"/>
      <c r="G675" s="35"/>
    </row>
    <row r="676" spans="1:7" x14ac:dyDescent="0.2">
      <c r="A676" s="29"/>
      <c r="B676" s="101"/>
      <c r="C676" s="41"/>
      <c r="D676" s="67"/>
      <c r="E676" s="104"/>
      <c r="F676" s="154"/>
      <c r="G676" s="35"/>
    </row>
    <row r="677" spans="1:7" x14ac:dyDescent="0.2">
      <c r="A677" s="29"/>
      <c r="B677" s="101"/>
      <c r="C677" s="41"/>
      <c r="D677" s="136"/>
      <c r="E677" s="104"/>
      <c r="F677" s="154"/>
      <c r="G677" s="35"/>
    </row>
    <row r="678" spans="1:7" x14ac:dyDescent="0.2">
      <c r="A678" s="29"/>
      <c r="B678" s="101"/>
      <c r="C678" s="41"/>
      <c r="D678" s="136"/>
      <c r="E678" s="104"/>
      <c r="F678" s="154"/>
      <c r="G678" s="35"/>
    </row>
    <row r="679" spans="1:7" x14ac:dyDescent="0.2">
      <c r="A679" s="29"/>
      <c r="B679" s="101"/>
      <c r="C679" s="41"/>
      <c r="D679" s="62"/>
      <c r="E679" s="104"/>
      <c r="F679" s="154"/>
      <c r="G679" s="35"/>
    </row>
    <row r="680" spans="1:7" x14ac:dyDescent="0.2">
      <c r="A680" s="29"/>
      <c r="B680" s="101"/>
      <c r="C680" s="41"/>
      <c r="D680" s="67"/>
      <c r="E680" s="104"/>
      <c r="F680" s="154"/>
      <c r="G680" s="35"/>
    </row>
    <row r="681" spans="1:7" x14ac:dyDescent="0.2">
      <c r="A681" s="29"/>
      <c r="B681" s="101"/>
      <c r="C681" s="41"/>
      <c r="D681" s="67"/>
      <c r="E681" s="104"/>
      <c r="F681" s="154"/>
      <c r="G681" s="35"/>
    </row>
    <row r="682" spans="1:7" x14ac:dyDescent="0.2">
      <c r="A682" s="29"/>
      <c r="B682" s="101"/>
      <c r="C682" s="41"/>
      <c r="D682" s="67"/>
      <c r="E682" s="104"/>
      <c r="F682" s="154"/>
      <c r="G682" s="35"/>
    </row>
    <row r="683" spans="1:7" x14ac:dyDescent="0.2">
      <c r="A683" s="29"/>
      <c r="B683" s="101"/>
      <c r="C683" s="41"/>
      <c r="D683" s="67"/>
      <c r="E683" s="104"/>
      <c r="F683" s="154"/>
      <c r="G683" s="35"/>
    </row>
    <row r="684" spans="1:7" x14ac:dyDescent="0.2">
      <c r="A684" s="29"/>
      <c r="B684" s="101"/>
      <c r="C684" s="41"/>
      <c r="D684" s="67"/>
      <c r="E684" s="104"/>
      <c r="F684" s="154"/>
      <c r="G684" s="35"/>
    </row>
    <row r="685" spans="1:7" x14ac:dyDescent="0.2">
      <c r="A685" s="29"/>
      <c r="B685" s="101"/>
      <c r="C685" s="41"/>
      <c r="D685" s="159"/>
      <c r="E685" s="104"/>
      <c r="F685" s="154"/>
      <c r="G685" s="35"/>
    </row>
    <row r="686" spans="1:7" x14ac:dyDescent="0.2">
      <c r="A686" s="29"/>
      <c r="B686" s="101"/>
      <c r="C686" s="41"/>
      <c r="D686" s="160"/>
      <c r="E686" s="108"/>
      <c r="F686" s="128"/>
      <c r="G686" s="35"/>
    </row>
    <row r="687" spans="1:7" x14ac:dyDescent="0.2">
      <c r="A687" s="29"/>
      <c r="B687" s="101"/>
      <c r="C687" s="41"/>
      <c r="D687" s="136"/>
      <c r="E687" s="153"/>
      <c r="F687" s="128"/>
      <c r="G687" s="35"/>
    </row>
    <row r="688" spans="1:7" x14ac:dyDescent="0.2">
      <c r="A688" s="29"/>
      <c r="B688" s="101"/>
      <c r="C688" s="41"/>
      <c r="D688" s="136"/>
      <c r="E688" s="102"/>
      <c r="F688" s="128"/>
      <c r="G688" s="35"/>
    </row>
    <row r="689" spans="1:7" x14ac:dyDescent="0.2">
      <c r="A689" s="29"/>
      <c r="B689" s="101"/>
      <c r="C689" s="31"/>
      <c r="D689" s="67"/>
      <c r="E689" s="131"/>
      <c r="F689" s="117"/>
      <c r="G689" s="35"/>
    </row>
    <row r="690" spans="1:7" x14ac:dyDescent="0.2">
      <c r="A690" s="29"/>
      <c r="B690" s="101"/>
      <c r="C690" s="41"/>
      <c r="D690" s="118"/>
      <c r="E690" s="108"/>
      <c r="F690" s="149"/>
      <c r="G690" s="35"/>
    </row>
    <row r="691" spans="1:7" x14ac:dyDescent="0.2">
      <c r="A691" s="29"/>
      <c r="B691" s="101"/>
      <c r="C691" s="41"/>
      <c r="D691" s="144"/>
      <c r="E691" s="108"/>
      <c r="F691" s="149"/>
      <c r="G691" s="35"/>
    </row>
    <row r="692" spans="1:7" ht="13.5" thickBot="1" x14ac:dyDescent="0.25">
      <c r="A692" s="45"/>
      <c r="B692" s="132"/>
      <c r="C692" s="115"/>
      <c r="D692" s="115"/>
      <c r="E692" s="132"/>
      <c r="F692" s="49" t="s">
        <v>15</v>
      </c>
      <c r="G692" s="50">
        <f>SUM(G658:G691)</f>
        <v>29750</v>
      </c>
    </row>
    <row r="693" spans="1:7" ht="13.5" thickTop="1" x14ac:dyDescent="0.2">
      <c r="A693" s="875" t="s">
        <v>1586</v>
      </c>
      <c r="B693" s="899"/>
      <c r="C693" s="899"/>
      <c r="D693" s="899"/>
      <c r="E693" s="899"/>
      <c r="F693" s="899"/>
      <c r="G693" s="900"/>
    </row>
    <row r="694" spans="1:7" ht="13.5" thickBot="1" x14ac:dyDescent="0.25">
      <c r="A694" s="926" t="s">
        <v>8</v>
      </c>
      <c r="B694" s="927"/>
      <c r="C694" s="927"/>
      <c r="D694" s="927"/>
      <c r="E694" s="927"/>
      <c r="F694" s="927"/>
      <c r="G694" s="928"/>
    </row>
    <row r="695" spans="1:7" ht="13.5" thickTop="1" x14ac:dyDescent="0.2">
      <c r="A695" s="906"/>
      <c r="B695" s="907"/>
      <c r="C695" s="907"/>
      <c r="D695" s="57" t="s">
        <v>11</v>
      </c>
      <c r="E695" s="908" t="s">
        <v>12</v>
      </c>
      <c r="F695" s="908"/>
      <c r="G695" s="909"/>
    </row>
    <row r="696" spans="1:7" x14ac:dyDescent="0.2">
      <c r="A696" s="910" t="s">
        <v>17</v>
      </c>
      <c r="B696" s="911"/>
      <c r="C696" s="911"/>
      <c r="D696" s="39"/>
      <c r="E696" s="912"/>
      <c r="F696" s="913"/>
      <c r="G696" s="914"/>
    </row>
    <row r="697" spans="1:7" x14ac:dyDescent="0.2">
      <c r="A697" s="910" t="s">
        <v>38</v>
      </c>
      <c r="B697" s="911"/>
      <c r="C697" s="911"/>
      <c r="D697" s="58" t="s">
        <v>887</v>
      </c>
      <c r="E697" s="868" t="s">
        <v>142</v>
      </c>
      <c r="F697" s="868"/>
      <c r="G697" s="869"/>
    </row>
    <row r="698" spans="1:7" ht="13.5" thickBot="1" x14ac:dyDescent="0.25">
      <c r="A698" s="901" t="s">
        <v>39</v>
      </c>
      <c r="B698" s="902"/>
      <c r="C698" s="902"/>
      <c r="D698" s="59" t="s">
        <v>44</v>
      </c>
      <c r="E698" s="904" t="s">
        <v>0</v>
      </c>
      <c r="F698" s="904"/>
      <c r="G698" s="905"/>
    </row>
    <row r="699" spans="1:7" ht="16.5" x14ac:dyDescent="0.25">
      <c r="A699" s="885" t="s">
        <v>29</v>
      </c>
      <c r="B699" s="886"/>
      <c r="C699" s="886"/>
      <c r="D699" s="886"/>
      <c r="E699" s="886"/>
      <c r="F699" s="886"/>
      <c r="G699" s="887"/>
    </row>
    <row r="700" spans="1:7" x14ac:dyDescent="0.2">
      <c r="A700" s="888" t="s">
        <v>48</v>
      </c>
      <c r="B700" s="889"/>
      <c r="C700" s="889"/>
      <c r="D700" s="889"/>
      <c r="E700" s="889"/>
      <c r="F700" s="889"/>
      <c r="G700" s="890"/>
    </row>
    <row r="701" spans="1:7" x14ac:dyDescent="0.2">
      <c r="A701" s="915" t="s">
        <v>49</v>
      </c>
      <c r="B701" s="916"/>
      <c r="C701" s="916"/>
      <c r="D701" s="916"/>
      <c r="E701" s="916"/>
      <c r="F701" s="916"/>
      <c r="G701" s="917"/>
    </row>
    <row r="702" spans="1:7" x14ac:dyDescent="0.2">
      <c r="A702" s="6"/>
      <c r="B702" s="99"/>
      <c r="C702" s="8"/>
      <c r="D702" s="9"/>
      <c r="E702" s="99"/>
      <c r="F702" s="10"/>
      <c r="G702" s="11" t="s">
        <v>20</v>
      </c>
    </row>
    <row r="703" spans="1:7" x14ac:dyDescent="0.2">
      <c r="A703" s="12" t="s">
        <v>1</v>
      </c>
      <c r="B703" s="13"/>
      <c r="C703" s="14" t="s">
        <v>19</v>
      </c>
      <c r="D703" s="13"/>
      <c r="E703" s="362" t="s">
        <v>1798</v>
      </c>
      <c r="F703" s="98"/>
      <c r="G703" s="363" t="s">
        <v>1739</v>
      </c>
    </row>
    <row r="704" spans="1:7" x14ac:dyDescent="0.2">
      <c r="A704" s="17" t="s">
        <v>8</v>
      </c>
      <c r="B704" s="100"/>
      <c r="C704" s="19"/>
      <c r="D704" s="4"/>
      <c r="E704" s="918"/>
      <c r="F704" s="919"/>
      <c r="G704" s="20"/>
    </row>
    <row r="705" spans="1:7" x14ac:dyDescent="0.2">
      <c r="A705" s="21" t="s">
        <v>37</v>
      </c>
      <c r="B705" s="22"/>
      <c r="C705" s="22"/>
      <c r="D705" s="22"/>
      <c r="E705" s="23" t="s">
        <v>46</v>
      </c>
      <c r="F705" s="24"/>
      <c r="G705" s="20" t="s">
        <v>50</v>
      </c>
    </row>
    <row r="706" spans="1:7" x14ac:dyDescent="0.2">
      <c r="A706" s="6"/>
      <c r="B706" s="99"/>
      <c r="C706" s="8"/>
      <c r="D706" s="8"/>
      <c r="E706" s="920"/>
      <c r="F706" s="921"/>
      <c r="G706" s="25"/>
    </row>
    <row r="707" spans="1:7" ht="26.25" thickBot="1" x14ac:dyDescent="0.25">
      <c r="A707" s="207" t="s">
        <v>47</v>
      </c>
      <c r="B707" s="28" t="s">
        <v>23</v>
      </c>
      <c r="C707" s="28" t="s">
        <v>34</v>
      </c>
      <c r="D707" s="110" t="s">
        <v>53</v>
      </c>
      <c r="E707" s="114" t="s">
        <v>54</v>
      </c>
      <c r="F707" s="111" t="s">
        <v>55</v>
      </c>
      <c r="G707" s="112" t="s">
        <v>35</v>
      </c>
    </row>
    <row r="708" spans="1:7" ht="13.5" thickTop="1" x14ac:dyDescent="0.2">
      <c r="A708" s="29">
        <v>1</v>
      </c>
      <c r="B708" s="101"/>
      <c r="C708" s="371" t="s">
        <v>242</v>
      </c>
      <c r="D708" s="376" t="s">
        <v>305</v>
      </c>
      <c r="E708" s="158">
        <v>35</v>
      </c>
      <c r="F708" s="128">
        <v>450</v>
      </c>
      <c r="G708" s="35">
        <f>F708*E708</f>
        <v>15750</v>
      </c>
    </row>
    <row r="709" spans="1:7" x14ac:dyDescent="0.2">
      <c r="A709" s="29"/>
      <c r="B709" s="101"/>
      <c r="C709" s="371"/>
      <c r="D709" s="370" t="s">
        <v>886</v>
      </c>
      <c r="E709" s="158"/>
      <c r="F709" s="128"/>
      <c r="G709" s="35"/>
    </row>
    <row r="710" spans="1:7" x14ac:dyDescent="0.2">
      <c r="A710" s="29"/>
      <c r="B710" s="101"/>
      <c r="C710" s="41"/>
      <c r="D710" s="370"/>
      <c r="E710" s="157"/>
      <c r="F710" s="149"/>
      <c r="G710" s="372"/>
    </row>
    <row r="711" spans="1:7" x14ac:dyDescent="0.2">
      <c r="A711" s="29"/>
      <c r="B711" s="101"/>
      <c r="C711" s="371"/>
      <c r="D711" s="370"/>
      <c r="E711" s="158"/>
      <c r="F711" s="128"/>
      <c r="G711" s="35"/>
    </row>
    <row r="712" spans="1:7" x14ac:dyDescent="0.2">
      <c r="A712" s="29"/>
      <c r="B712" s="105"/>
      <c r="C712" s="41"/>
      <c r="D712" s="136"/>
      <c r="E712" s="102"/>
      <c r="F712" s="128"/>
      <c r="G712" s="35"/>
    </row>
    <row r="713" spans="1:7" x14ac:dyDescent="0.2">
      <c r="A713" s="29"/>
      <c r="B713" s="105"/>
      <c r="C713" s="41"/>
      <c r="D713" s="136"/>
      <c r="E713" s="102"/>
      <c r="F713" s="128"/>
      <c r="G713" s="35"/>
    </row>
    <row r="714" spans="1:7" x14ac:dyDescent="0.2">
      <c r="A714" s="29"/>
      <c r="B714" s="151"/>
      <c r="C714" s="119"/>
      <c r="D714" s="376" t="s">
        <v>8</v>
      </c>
      <c r="E714" s="108"/>
      <c r="F714" s="150"/>
      <c r="G714" s="35"/>
    </row>
    <row r="715" spans="1:7" x14ac:dyDescent="0.2">
      <c r="A715" s="29"/>
      <c r="B715" s="151"/>
      <c r="C715" s="119"/>
      <c r="D715" s="144"/>
      <c r="E715" s="108"/>
      <c r="F715" s="150"/>
      <c r="G715" s="35"/>
    </row>
    <row r="716" spans="1:7" x14ac:dyDescent="0.2">
      <c r="A716" s="29"/>
      <c r="B716" s="101"/>
      <c r="C716" s="41"/>
      <c r="D716" s="144"/>
      <c r="E716" s="155"/>
      <c r="F716" s="128"/>
      <c r="G716" s="35"/>
    </row>
    <row r="717" spans="1:7" x14ac:dyDescent="0.2">
      <c r="A717" s="29"/>
      <c r="B717" s="106"/>
      <c r="C717" s="41"/>
      <c r="D717" s="136"/>
      <c r="E717" s="104"/>
      <c r="F717" s="128"/>
      <c r="G717" s="35"/>
    </row>
    <row r="718" spans="1:7" x14ac:dyDescent="0.2">
      <c r="A718" s="29"/>
      <c r="B718" s="105"/>
      <c r="C718" s="41"/>
      <c r="D718" s="136"/>
      <c r="E718" s="108"/>
      <c r="F718" s="152"/>
      <c r="G718" s="35"/>
    </row>
    <row r="719" spans="1:7" x14ac:dyDescent="0.2">
      <c r="A719" s="29"/>
      <c r="B719" s="107"/>
      <c r="C719" s="41"/>
      <c r="D719" s="136"/>
      <c r="E719" s="153"/>
      <c r="F719" s="128"/>
      <c r="G719" s="35"/>
    </row>
    <row r="720" spans="1:7" x14ac:dyDescent="0.2">
      <c r="A720" s="29"/>
      <c r="B720" s="107"/>
      <c r="C720" s="41"/>
      <c r="D720" s="67"/>
      <c r="E720" s="153"/>
      <c r="F720" s="128"/>
      <c r="G720" s="35"/>
    </row>
    <row r="721" spans="1:7" x14ac:dyDescent="0.2">
      <c r="A721" s="29"/>
      <c r="B721" s="101"/>
      <c r="C721" s="41"/>
      <c r="D721" s="67"/>
      <c r="E721" s="108"/>
      <c r="F721" s="128"/>
      <c r="G721" s="35"/>
    </row>
    <row r="722" spans="1:7" x14ac:dyDescent="0.2">
      <c r="A722" s="29"/>
      <c r="B722" s="101"/>
      <c r="C722" s="41"/>
      <c r="D722" s="67"/>
      <c r="E722" s="153"/>
      <c r="F722" s="128"/>
      <c r="G722" s="35"/>
    </row>
    <row r="723" spans="1:7" x14ac:dyDescent="0.2">
      <c r="A723" s="29"/>
      <c r="B723" s="106"/>
      <c r="C723" s="41"/>
      <c r="D723" s="67"/>
      <c r="E723" s="104"/>
      <c r="F723" s="154"/>
      <c r="G723" s="35"/>
    </row>
    <row r="724" spans="1:7" x14ac:dyDescent="0.2">
      <c r="A724" s="29"/>
      <c r="B724" s="105"/>
      <c r="C724" s="41"/>
      <c r="D724" s="130"/>
      <c r="E724" s="104"/>
      <c r="F724" s="154"/>
      <c r="G724" s="35"/>
    </row>
    <row r="725" spans="1:7" x14ac:dyDescent="0.2">
      <c r="A725" s="29"/>
      <c r="B725" s="105"/>
      <c r="C725" s="41"/>
      <c r="D725" s="67"/>
      <c r="E725" s="104"/>
      <c r="F725" s="154"/>
      <c r="G725" s="35"/>
    </row>
    <row r="726" spans="1:7" x14ac:dyDescent="0.2">
      <c r="A726" s="29"/>
      <c r="B726" s="101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136"/>
      <c r="E727" s="104"/>
      <c r="F727" s="154"/>
      <c r="G727" s="35"/>
    </row>
    <row r="728" spans="1:7" x14ac:dyDescent="0.2">
      <c r="A728" s="29"/>
      <c r="B728" s="101"/>
      <c r="C728" s="41"/>
      <c r="D728" s="136"/>
      <c r="E728" s="104"/>
      <c r="F728" s="154"/>
      <c r="G728" s="35"/>
    </row>
    <row r="729" spans="1:7" x14ac:dyDescent="0.2">
      <c r="A729" s="29"/>
      <c r="B729" s="101"/>
      <c r="C729" s="41"/>
      <c r="D729" s="62"/>
      <c r="E729" s="104"/>
      <c r="F729" s="154"/>
      <c r="G729" s="35"/>
    </row>
    <row r="730" spans="1:7" x14ac:dyDescent="0.2">
      <c r="A730" s="29"/>
      <c r="B730" s="101"/>
      <c r="C730" s="41"/>
      <c r="D730" s="67"/>
      <c r="E730" s="104"/>
      <c r="F730" s="154"/>
      <c r="G730" s="35"/>
    </row>
    <row r="731" spans="1:7" x14ac:dyDescent="0.2">
      <c r="A731" s="29"/>
      <c r="B731" s="101"/>
      <c r="C731" s="41"/>
      <c r="D731" s="67"/>
      <c r="E731" s="104"/>
      <c r="F731" s="154"/>
      <c r="G731" s="35"/>
    </row>
    <row r="732" spans="1:7" x14ac:dyDescent="0.2">
      <c r="A732" s="29"/>
      <c r="B732" s="101"/>
      <c r="C732" s="41"/>
      <c r="D732" s="67"/>
      <c r="E732" s="104"/>
      <c r="F732" s="154"/>
      <c r="G732" s="35"/>
    </row>
    <row r="733" spans="1:7" x14ac:dyDescent="0.2">
      <c r="A733" s="29"/>
      <c r="B733" s="101"/>
      <c r="C733" s="41"/>
      <c r="D733" s="67"/>
      <c r="E733" s="104"/>
      <c r="F733" s="154"/>
      <c r="G733" s="35"/>
    </row>
    <row r="734" spans="1:7" x14ac:dyDescent="0.2">
      <c r="A734" s="29"/>
      <c r="B734" s="101"/>
      <c r="C734" s="41"/>
      <c r="D734" s="67"/>
      <c r="E734" s="104"/>
      <c r="F734" s="154"/>
      <c r="G734" s="35"/>
    </row>
    <row r="735" spans="1:7" x14ac:dyDescent="0.2">
      <c r="A735" s="29"/>
      <c r="B735" s="101"/>
      <c r="C735" s="41"/>
      <c r="D735" s="159"/>
      <c r="E735" s="104"/>
      <c r="F735" s="154"/>
      <c r="G735" s="35"/>
    </row>
    <row r="736" spans="1:7" x14ac:dyDescent="0.2">
      <c r="A736" s="29"/>
      <c r="B736" s="101"/>
      <c r="C736" s="41"/>
      <c r="D736" s="160"/>
      <c r="E736" s="108"/>
      <c r="F736" s="128"/>
      <c r="G736" s="35"/>
    </row>
    <row r="737" spans="1:7" x14ac:dyDescent="0.2">
      <c r="A737" s="29"/>
      <c r="B737" s="101"/>
      <c r="C737" s="41"/>
      <c r="D737" s="136"/>
      <c r="E737" s="153"/>
      <c r="F737" s="128"/>
      <c r="G737" s="35"/>
    </row>
    <row r="738" spans="1:7" x14ac:dyDescent="0.2">
      <c r="A738" s="29"/>
      <c r="B738" s="101"/>
      <c r="C738" s="41"/>
      <c r="D738" s="136"/>
      <c r="E738" s="102"/>
      <c r="F738" s="128"/>
      <c r="G738" s="35"/>
    </row>
    <row r="739" spans="1:7" x14ac:dyDescent="0.2">
      <c r="A739" s="29"/>
      <c r="B739" s="101"/>
      <c r="C739" s="31"/>
      <c r="D739" s="67"/>
      <c r="E739" s="131"/>
      <c r="F739" s="117"/>
      <c r="G739" s="35"/>
    </row>
    <row r="740" spans="1:7" x14ac:dyDescent="0.2">
      <c r="A740" s="29"/>
      <c r="B740" s="101"/>
      <c r="C740" s="41"/>
      <c r="D740" s="118"/>
      <c r="E740" s="108"/>
      <c r="F740" s="149"/>
      <c r="G740" s="35"/>
    </row>
    <row r="741" spans="1:7" x14ac:dyDescent="0.2">
      <c r="A741" s="29"/>
      <c r="B741" s="101"/>
      <c r="C741" s="41"/>
      <c r="D741" s="144"/>
      <c r="E741" s="108"/>
      <c r="F741" s="149"/>
      <c r="G741" s="35"/>
    </row>
    <row r="742" spans="1:7" ht="13.5" thickBot="1" x14ac:dyDescent="0.25">
      <c r="A742" s="45"/>
      <c r="B742" s="132"/>
      <c r="C742" s="115"/>
      <c r="D742" s="115"/>
      <c r="E742" s="132"/>
      <c r="F742" s="49" t="s">
        <v>15</v>
      </c>
      <c r="G742" s="50">
        <f>SUM(G708:G741)</f>
        <v>15750</v>
      </c>
    </row>
    <row r="743" spans="1:7" ht="13.5" thickTop="1" x14ac:dyDescent="0.2">
      <c r="A743" s="875" t="s">
        <v>1304</v>
      </c>
      <c r="B743" s="899"/>
      <c r="C743" s="899"/>
      <c r="D743" s="899"/>
      <c r="E743" s="899"/>
      <c r="F743" s="899"/>
      <c r="G743" s="900"/>
    </row>
    <row r="744" spans="1:7" ht="13.5" thickBot="1" x14ac:dyDescent="0.25">
      <c r="A744" s="926" t="s">
        <v>1655</v>
      </c>
      <c r="B744" s="927"/>
      <c r="C744" s="927"/>
      <c r="D744" s="927"/>
      <c r="E744" s="927"/>
      <c r="F744" s="927"/>
      <c r="G744" s="928"/>
    </row>
    <row r="745" spans="1:7" ht="13.5" thickTop="1" x14ac:dyDescent="0.2">
      <c r="A745" s="906"/>
      <c r="B745" s="907"/>
      <c r="C745" s="907"/>
      <c r="D745" s="57" t="s">
        <v>11</v>
      </c>
      <c r="E745" s="908" t="s">
        <v>12</v>
      </c>
      <c r="F745" s="908"/>
      <c r="G745" s="909"/>
    </row>
    <row r="746" spans="1:7" x14ac:dyDescent="0.2">
      <c r="A746" s="910" t="s">
        <v>17</v>
      </c>
      <c r="B746" s="911"/>
      <c r="C746" s="911"/>
      <c r="D746" s="39"/>
      <c r="E746" s="912"/>
      <c r="F746" s="913"/>
      <c r="G746" s="914"/>
    </row>
    <row r="747" spans="1:7" x14ac:dyDescent="0.2">
      <c r="A747" s="910" t="s">
        <v>38</v>
      </c>
      <c r="B747" s="911"/>
      <c r="C747" s="911"/>
      <c r="D747" s="58" t="s">
        <v>887</v>
      </c>
      <c r="E747" s="868" t="s">
        <v>142</v>
      </c>
      <c r="F747" s="868"/>
      <c r="G747" s="869"/>
    </row>
    <row r="748" spans="1:7" ht="13.5" thickBot="1" x14ac:dyDescent="0.25">
      <c r="A748" s="901" t="s">
        <v>39</v>
      </c>
      <c r="B748" s="902"/>
      <c r="C748" s="902"/>
      <c r="D748" s="59" t="s">
        <v>44</v>
      </c>
      <c r="E748" s="904" t="s">
        <v>0</v>
      </c>
      <c r="F748" s="904"/>
      <c r="G748" s="905"/>
    </row>
    <row r="749" spans="1:7" ht="16.5" x14ac:dyDescent="0.25">
      <c r="A749" s="885" t="s">
        <v>29</v>
      </c>
      <c r="B749" s="886"/>
      <c r="C749" s="886"/>
      <c r="D749" s="886"/>
      <c r="E749" s="886"/>
      <c r="F749" s="886"/>
      <c r="G749" s="887"/>
    </row>
    <row r="750" spans="1:7" x14ac:dyDescent="0.2">
      <c r="A750" s="888" t="s">
        <v>48</v>
      </c>
      <c r="B750" s="889"/>
      <c r="C750" s="889"/>
      <c r="D750" s="889"/>
      <c r="E750" s="889"/>
      <c r="F750" s="889"/>
      <c r="G750" s="890"/>
    </row>
    <row r="751" spans="1:7" x14ac:dyDescent="0.2">
      <c r="A751" s="915" t="s">
        <v>49</v>
      </c>
      <c r="B751" s="916"/>
      <c r="C751" s="916"/>
      <c r="D751" s="916"/>
      <c r="E751" s="916"/>
      <c r="F751" s="916"/>
      <c r="G751" s="917"/>
    </row>
    <row r="752" spans="1:7" x14ac:dyDescent="0.2">
      <c r="A752" s="6"/>
      <c r="B752" s="99"/>
      <c r="C752" s="8"/>
      <c r="D752" s="9"/>
      <c r="E752" s="99"/>
      <c r="F752" s="10"/>
      <c r="G752" s="11" t="s">
        <v>20</v>
      </c>
    </row>
    <row r="753" spans="1:7" x14ac:dyDescent="0.2">
      <c r="A753" s="12" t="s">
        <v>1</v>
      </c>
      <c r="B753" s="13"/>
      <c r="C753" s="14" t="s">
        <v>19</v>
      </c>
      <c r="D753" s="13"/>
      <c r="E753" s="362" t="s">
        <v>1799</v>
      </c>
      <c r="F753" s="98"/>
      <c r="G753" s="363" t="s">
        <v>1739</v>
      </c>
    </row>
    <row r="754" spans="1:7" x14ac:dyDescent="0.2">
      <c r="A754" s="17" t="s">
        <v>8</v>
      </c>
      <c r="B754" s="100"/>
      <c r="C754" s="19"/>
      <c r="D754" s="4"/>
      <c r="E754" s="918"/>
      <c r="F754" s="919"/>
      <c r="G754" s="20"/>
    </row>
    <row r="755" spans="1:7" x14ac:dyDescent="0.2">
      <c r="A755" s="21" t="s">
        <v>37</v>
      </c>
      <c r="B755" s="22"/>
      <c r="C755" s="22"/>
      <c r="D755" s="22"/>
      <c r="E755" s="23" t="s">
        <v>46</v>
      </c>
      <c r="F755" s="24"/>
      <c r="G755" s="20" t="s">
        <v>50</v>
      </c>
    </row>
    <row r="756" spans="1:7" x14ac:dyDescent="0.2">
      <c r="A756" s="6"/>
      <c r="B756" s="99"/>
      <c r="C756" s="8"/>
      <c r="D756" s="8"/>
      <c r="E756" s="920"/>
      <c r="F756" s="921"/>
      <c r="G756" s="25"/>
    </row>
    <row r="757" spans="1:7" ht="26.25" thickBot="1" x14ac:dyDescent="0.25">
      <c r="A757" s="207" t="s">
        <v>47</v>
      </c>
      <c r="B757" s="28" t="s">
        <v>23</v>
      </c>
      <c r="C757" s="28" t="s">
        <v>34</v>
      </c>
      <c r="D757" s="110" t="s">
        <v>53</v>
      </c>
      <c r="E757" s="114" t="s">
        <v>54</v>
      </c>
      <c r="F757" s="111" t="s">
        <v>55</v>
      </c>
      <c r="G757" s="112" t="s">
        <v>35</v>
      </c>
    </row>
    <row r="758" spans="1:7" ht="13.5" thickTop="1" x14ac:dyDescent="0.2">
      <c r="A758" s="29">
        <v>1</v>
      </c>
      <c r="B758" s="101"/>
      <c r="C758" s="371" t="s">
        <v>242</v>
      </c>
      <c r="D758" s="376" t="s">
        <v>305</v>
      </c>
      <c r="E758" s="158">
        <v>35</v>
      </c>
      <c r="F758" s="128">
        <v>450</v>
      </c>
      <c r="G758" s="35">
        <f>F758*E758</f>
        <v>15750</v>
      </c>
    </row>
    <row r="759" spans="1:7" x14ac:dyDescent="0.2">
      <c r="A759" s="29"/>
      <c r="B759" s="101"/>
      <c r="C759" s="371"/>
      <c r="D759" s="370" t="s">
        <v>886</v>
      </c>
      <c r="E759" s="158"/>
      <c r="F759" s="128"/>
      <c r="G759" s="35"/>
    </row>
    <row r="760" spans="1:7" x14ac:dyDescent="0.2">
      <c r="A760" s="29"/>
      <c r="B760" s="101"/>
      <c r="C760" s="41"/>
      <c r="D760" s="370"/>
      <c r="E760" s="157"/>
      <c r="F760" s="149"/>
      <c r="G760" s="372"/>
    </row>
    <row r="761" spans="1:7" x14ac:dyDescent="0.2">
      <c r="A761" s="29"/>
      <c r="B761" s="101"/>
      <c r="C761" s="371"/>
      <c r="D761" s="370"/>
      <c r="E761" s="158"/>
      <c r="F761" s="128"/>
      <c r="G761" s="35"/>
    </row>
    <row r="762" spans="1:7" x14ac:dyDescent="0.2">
      <c r="A762" s="29"/>
      <c r="B762" s="105"/>
      <c r="C762" s="41"/>
      <c r="D762" s="136"/>
      <c r="E762" s="102"/>
      <c r="F762" s="128"/>
      <c r="G762" s="35"/>
    </row>
    <row r="763" spans="1:7" x14ac:dyDescent="0.2">
      <c r="A763" s="29"/>
      <c r="B763" s="105"/>
      <c r="C763" s="41"/>
      <c r="D763" s="136"/>
      <c r="E763" s="102"/>
      <c r="F763" s="128"/>
      <c r="G763" s="35"/>
    </row>
    <row r="764" spans="1:7" x14ac:dyDescent="0.2">
      <c r="A764" s="29"/>
      <c r="B764" s="151"/>
      <c r="C764" s="119"/>
      <c r="D764" s="376" t="s">
        <v>8</v>
      </c>
      <c r="E764" s="108"/>
      <c r="F764" s="150"/>
      <c r="G764" s="35"/>
    </row>
    <row r="765" spans="1:7" x14ac:dyDescent="0.2">
      <c r="A765" s="29"/>
      <c r="B765" s="151"/>
      <c r="C765" s="119"/>
      <c r="D765" s="144"/>
      <c r="E765" s="108"/>
      <c r="F765" s="150"/>
      <c r="G765" s="35"/>
    </row>
    <row r="766" spans="1:7" x14ac:dyDescent="0.2">
      <c r="A766" s="29"/>
      <c r="B766" s="101"/>
      <c r="C766" s="41"/>
      <c r="D766" s="144"/>
      <c r="E766" s="155"/>
      <c r="F766" s="128"/>
      <c r="G766" s="35"/>
    </row>
    <row r="767" spans="1:7" x14ac:dyDescent="0.2">
      <c r="A767" s="29"/>
      <c r="B767" s="106"/>
      <c r="C767" s="41"/>
      <c r="D767" s="136"/>
      <c r="E767" s="104"/>
      <c r="F767" s="128"/>
      <c r="G767" s="35"/>
    </row>
    <row r="768" spans="1:7" x14ac:dyDescent="0.2">
      <c r="A768" s="29"/>
      <c r="B768" s="105"/>
      <c r="C768" s="41"/>
      <c r="D768" s="136"/>
      <c r="E768" s="108"/>
      <c r="F768" s="152"/>
      <c r="G768" s="35"/>
    </row>
    <row r="769" spans="1:7" x14ac:dyDescent="0.2">
      <c r="A769" s="29"/>
      <c r="B769" s="107"/>
      <c r="C769" s="41"/>
      <c r="D769" s="136"/>
      <c r="E769" s="153"/>
      <c r="F769" s="128"/>
      <c r="G769" s="35"/>
    </row>
    <row r="770" spans="1:7" x14ac:dyDescent="0.2">
      <c r="A770" s="29"/>
      <c r="B770" s="107"/>
      <c r="C770" s="41"/>
      <c r="D770" s="67"/>
      <c r="E770" s="153"/>
      <c r="F770" s="128"/>
      <c r="G770" s="35"/>
    </row>
    <row r="771" spans="1:7" x14ac:dyDescent="0.2">
      <c r="A771" s="29"/>
      <c r="B771" s="101"/>
      <c r="C771" s="41"/>
      <c r="D771" s="67"/>
      <c r="E771" s="108"/>
      <c r="F771" s="128"/>
      <c r="G771" s="35"/>
    </row>
    <row r="772" spans="1:7" x14ac:dyDescent="0.2">
      <c r="A772" s="29"/>
      <c r="B772" s="101"/>
      <c r="C772" s="41"/>
      <c r="D772" s="67"/>
      <c r="E772" s="153"/>
      <c r="F772" s="128"/>
      <c r="G772" s="35"/>
    </row>
    <row r="773" spans="1:7" x14ac:dyDescent="0.2">
      <c r="A773" s="29"/>
      <c r="B773" s="106"/>
      <c r="C773" s="41"/>
      <c r="D773" s="67"/>
      <c r="E773" s="104"/>
      <c r="F773" s="154"/>
      <c r="G773" s="35"/>
    </row>
    <row r="774" spans="1:7" x14ac:dyDescent="0.2">
      <c r="A774" s="29"/>
      <c r="B774" s="105"/>
      <c r="C774" s="41"/>
      <c r="D774" s="130"/>
      <c r="E774" s="104"/>
      <c r="F774" s="154"/>
      <c r="G774" s="35"/>
    </row>
    <row r="775" spans="1:7" x14ac:dyDescent="0.2">
      <c r="A775" s="29"/>
      <c r="B775" s="105"/>
      <c r="C775" s="41"/>
      <c r="D775" s="67"/>
      <c r="E775" s="104"/>
      <c r="F775" s="154"/>
      <c r="G775" s="35"/>
    </row>
    <row r="776" spans="1:7" x14ac:dyDescent="0.2">
      <c r="A776" s="29"/>
      <c r="B776" s="101"/>
      <c r="C776" s="41"/>
      <c r="D776" s="67"/>
      <c r="E776" s="104"/>
      <c r="F776" s="154"/>
      <c r="G776" s="35"/>
    </row>
    <row r="777" spans="1:7" x14ac:dyDescent="0.2">
      <c r="A777" s="29"/>
      <c r="B777" s="101"/>
      <c r="C777" s="41"/>
      <c r="D777" s="136"/>
      <c r="E777" s="104"/>
      <c r="F777" s="154"/>
      <c r="G777" s="35"/>
    </row>
    <row r="778" spans="1:7" x14ac:dyDescent="0.2">
      <c r="A778" s="29"/>
      <c r="B778" s="101"/>
      <c r="C778" s="41"/>
      <c r="D778" s="136"/>
      <c r="E778" s="104"/>
      <c r="F778" s="154"/>
      <c r="G778" s="35"/>
    </row>
    <row r="779" spans="1:7" x14ac:dyDescent="0.2">
      <c r="A779" s="29"/>
      <c r="B779" s="101"/>
      <c r="C779" s="41"/>
      <c r="D779" s="62"/>
      <c r="E779" s="104"/>
      <c r="F779" s="154"/>
      <c r="G779" s="35"/>
    </row>
    <row r="780" spans="1:7" x14ac:dyDescent="0.2">
      <c r="A780" s="29"/>
      <c r="B780" s="101"/>
      <c r="C780" s="41"/>
      <c r="D780" s="67"/>
      <c r="E780" s="104"/>
      <c r="F780" s="154"/>
      <c r="G780" s="35"/>
    </row>
    <row r="781" spans="1:7" x14ac:dyDescent="0.2">
      <c r="A781" s="29"/>
      <c r="B781" s="101"/>
      <c r="C781" s="41"/>
      <c r="D781" s="67"/>
      <c r="E781" s="104"/>
      <c r="F781" s="154"/>
      <c r="G781" s="35"/>
    </row>
    <row r="782" spans="1:7" x14ac:dyDescent="0.2">
      <c r="A782" s="29"/>
      <c r="B782" s="101"/>
      <c r="C782" s="41"/>
      <c r="D782" s="67"/>
      <c r="E782" s="104"/>
      <c r="F782" s="154"/>
      <c r="G782" s="35"/>
    </row>
    <row r="783" spans="1:7" x14ac:dyDescent="0.2">
      <c r="A783" s="29"/>
      <c r="B783" s="101"/>
      <c r="C783" s="41"/>
      <c r="D783" s="67"/>
      <c r="E783" s="104"/>
      <c r="F783" s="154"/>
      <c r="G783" s="35"/>
    </row>
    <row r="784" spans="1:7" x14ac:dyDescent="0.2">
      <c r="A784" s="29"/>
      <c r="B784" s="101"/>
      <c r="C784" s="41"/>
      <c r="D784" s="67"/>
      <c r="E784" s="104"/>
      <c r="F784" s="154"/>
      <c r="G784" s="35"/>
    </row>
    <row r="785" spans="1:7" x14ac:dyDescent="0.2">
      <c r="A785" s="29"/>
      <c r="B785" s="101"/>
      <c r="C785" s="41"/>
      <c r="D785" s="159"/>
      <c r="E785" s="104"/>
      <c r="F785" s="154"/>
      <c r="G785" s="35"/>
    </row>
    <row r="786" spans="1:7" x14ac:dyDescent="0.2">
      <c r="A786" s="29"/>
      <c r="B786" s="101"/>
      <c r="C786" s="41"/>
      <c r="D786" s="160"/>
      <c r="E786" s="108"/>
      <c r="F786" s="128"/>
      <c r="G786" s="35"/>
    </row>
    <row r="787" spans="1:7" x14ac:dyDescent="0.2">
      <c r="A787" s="29"/>
      <c r="B787" s="101"/>
      <c r="C787" s="41"/>
      <c r="D787" s="136"/>
      <c r="E787" s="153"/>
      <c r="F787" s="128"/>
      <c r="G787" s="35"/>
    </row>
    <row r="788" spans="1:7" x14ac:dyDescent="0.2">
      <c r="A788" s="29"/>
      <c r="B788" s="101"/>
      <c r="C788" s="41"/>
      <c r="D788" s="136"/>
      <c r="E788" s="102"/>
      <c r="F788" s="128"/>
      <c r="G788" s="35"/>
    </row>
    <row r="789" spans="1:7" x14ac:dyDescent="0.2">
      <c r="A789" s="29"/>
      <c r="B789" s="101"/>
      <c r="C789" s="31"/>
      <c r="D789" s="67"/>
      <c r="E789" s="131"/>
      <c r="F789" s="117"/>
      <c r="G789" s="35"/>
    </row>
    <row r="790" spans="1:7" x14ac:dyDescent="0.2">
      <c r="A790" s="29"/>
      <c r="B790" s="101"/>
      <c r="C790" s="41"/>
      <c r="D790" s="118"/>
      <c r="E790" s="108"/>
      <c r="F790" s="149"/>
      <c r="G790" s="35"/>
    </row>
    <row r="791" spans="1:7" x14ac:dyDescent="0.2">
      <c r="A791" s="29"/>
      <c r="B791" s="101"/>
      <c r="C791" s="41"/>
      <c r="D791" s="144"/>
      <c r="E791" s="108"/>
      <c r="F791" s="149"/>
      <c r="G791" s="35"/>
    </row>
    <row r="792" spans="1:7" ht="13.5" thickBot="1" x14ac:dyDescent="0.25">
      <c r="A792" s="45"/>
      <c r="B792" s="132"/>
      <c r="C792" s="115"/>
      <c r="D792" s="115"/>
      <c r="E792" s="132"/>
      <c r="F792" s="49" t="s">
        <v>15</v>
      </c>
      <c r="G792" s="50">
        <f>SUM(G758:G791)</f>
        <v>15750</v>
      </c>
    </row>
    <row r="793" spans="1:7" ht="13.5" thickTop="1" x14ac:dyDescent="0.2">
      <c r="A793" s="875" t="s">
        <v>1656</v>
      </c>
      <c r="B793" s="899"/>
      <c r="C793" s="899"/>
      <c r="D793" s="899"/>
      <c r="E793" s="899"/>
      <c r="F793" s="899"/>
      <c r="G793" s="900"/>
    </row>
    <row r="794" spans="1:7" ht="13.5" thickBot="1" x14ac:dyDescent="0.25">
      <c r="A794" s="926" t="s">
        <v>1569</v>
      </c>
      <c r="B794" s="927"/>
      <c r="C794" s="927"/>
      <c r="D794" s="927"/>
      <c r="E794" s="927"/>
      <c r="F794" s="927"/>
      <c r="G794" s="928"/>
    </row>
    <row r="795" spans="1:7" ht="13.5" thickTop="1" x14ac:dyDescent="0.2">
      <c r="A795" s="906"/>
      <c r="B795" s="907"/>
      <c r="C795" s="907"/>
      <c r="D795" s="57" t="s">
        <v>11</v>
      </c>
      <c r="E795" s="908" t="s">
        <v>12</v>
      </c>
      <c r="F795" s="908"/>
      <c r="G795" s="909"/>
    </row>
    <row r="796" spans="1:7" x14ac:dyDescent="0.2">
      <c r="A796" s="910" t="s">
        <v>17</v>
      </c>
      <c r="B796" s="911"/>
      <c r="C796" s="911"/>
      <c r="D796" s="39"/>
      <c r="E796" s="912"/>
      <c r="F796" s="913"/>
      <c r="G796" s="914"/>
    </row>
    <row r="797" spans="1:7" x14ac:dyDescent="0.2">
      <c r="A797" s="910" t="s">
        <v>38</v>
      </c>
      <c r="B797" s="911"/>
      <c r="C797" s="911"/>
      <c r="D797" s="58" t="s">
        <v>887</v>
      </c>
      <c r="E797" s="868" t="s">
        <v>142</v>
      </c>
      <c r="F797" s="868"/>
      <c r="G797" s="869"/>
    </row>
    <row r="798" spans="1:7" ht="13.5" thickBot="1" x14ac:dyDescent="0.25">
      <c r="A798" s="901" t="s">
        <v>39</v>
      </c>
      <c r="B798" s="902"/>
      <c r="C798" s="902"/>
      <c r="D798" s="59" t="s">
        <v>44</v>
      </c>
      <c r="E798" s="904" t="s">
        <v>0</v>
      </c>
      <c r="F798" s="904"/>
      <c r="G798" s="905"/>
    </row>
    <row r="799" spans="1:7" ht="16.5" x14ac:dyDescent="0.25">
      <c r="A799" s="885" t="s">
        <v>29</v>
      </c>
      <c r="B799" s="886"/>
      <c r="C799" s="886"/>
      <c r="D799" s="886"/>
      <c r="E799" s="886"/>
      <c r="F799" s="886"/>
      <c r="G799" s="887"/>
    </row>
    <row r="800" spans="1:7" x14ac:dyDescent="0.2">
      <c r="A800" s="888" t="s">
        <v>48</v>
      </c>
      <c r="B800" s="889"/>
      <c r="C800" s="889"/>
      <c r="D800" s="889"/>
      <c r="E800" s="889"/>
      <c r="F800" s="889"/>
      <c r="G800" s="890"/>
    </row>
    <row r="801" spans="1:7" x14ac:dyDescent="0.2">
      <c r="A801" s="915" t="s">
        <v>49</v>
      </c>
      <c r="B801" s="916"/>
      <c r="C801" s="916"/>
      <c r="D801" s="916"/>
      <c r="E801" s="916"/>
      <c r="F801" s="916"/>
      <c r="G801" s="917"/>
    </row>
    <row r="802" spans="1:7" x14ac:dyDescent="0.2">
      <c r="A802" s="6"/>
      <c r="B802" s="99"/>
      <c r="C802" s="8"/>
      <c r="D802" s="9"/>
      <c r="E802" s="99"/>
      <c r="F802" s="10"/>
      <c r="G802" s="11" t="s">
        <v>20</v>
      </c>
    </row>
    <row r="803" spans="1:7" x14ac:dyDescent="0.2">
      <c r="A803" s="12" t="s">
        <v>1</v>
      </c>
      <c r="B803" s="13"/>
      <c r="C803" s="14" t="s">
        <v>19</v>
      </c>
      <c r="D803" s="13"/>
      <c r="E803" s="362" t="s">
        <v>1804</v>
      </c>
      <c r="F803" s="98"/>
      <c r="G803" s="363" t="s">
        <v>1739</v>
      </c>
    </row>
    <row r="804" spans="1:7" x14ac:dyDescent="0.2">
      <c r="A804" s="17" t="s">
        <v>8</v>
      </c>
      <c r="B804" s="100"/>
      <c r="C804" s="19"/>
      <c r="D804" s="4"/>
      <c r="E804" s="918"/>
      <c r="F804" s="919"/>
      <c r="G804" s="20"/>
    </row>
    <row r="805" spans="1:7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7" x14ac:dyDescent="0.2">
      <c r="A806" s="6"/>
      <c r="B806" s="99"/>
      <c r="C806" s="8"/>
      <c r="D806" s="8"/>
      <c r="E806" s="920"/>
      <c r="F806" s="921"/>
      <c r="G806" s="25"/>
    </row>
    <row r="807" spans="1:7" ht="26.25" thickBot="1" x14ac:dyDescent="0.25">
      <c r="A807" s="207" t="s">
        <v>47</v>
      </c>
      <c r="B807" s="28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7" ht="13.5" thickTop="1" x14ac:dyDescent="0.2">
      <c r="A808" s="29">
        <v>1</v>
      </c>
      <c r="B808" s="101"/>
      <c r="C808" s="371" t="s">
        <v>242</v>
      </c>
      <c r="D808" s="376" t="s">
        <v>305</v>
      </c>
      <c r="E808" s="158">
        <v>35</v>
      </c>
      <c r="F808" s="128">
        <v>450</v>
      </c>
      <c r="G808" s="35">
        <f>F808*E808</f>
        <v>15750</v>
      </c>
    </row>
    <row r="809" spans="1:7" x14ac:dyDescent="0.2">
      <c r="A809" s="29"/>
      <c r="B809" s="101"/>
      <c r="C809" s="371"/>
      <c r="D809" s="370" t="s">
        <v>886</v>
      </c>
      <c r="E809" s="158"/>
      <c r="F809" s="128"/>
      <c r="G809" s="35"/>
    </row>
    <row r="810" spans="1:7" x14ac:dyDescent="0.2">
      <c r="A810" s="29"/>
      <c r="B810" s="101"/>
      <c r="C810" s="41"/>
      <c r="D810" s="370"/>
      <c r="E810" s="157"/>
      <c r="F810" s="149"/>
      <c r="G810" s="372"/>
    </row>
    <row r="811" spans="1:7" x14ac:dyDescent="0.2">
      <c r="A811" s="29"/>
      <c r="B811" s="101"/>
      <c r="C811" s="371"/>
      <c r="D811" s="370"/>
      <c r="E811" s="158"/>
      <c r="F811" s="128"/>
      <c r="G811" s="35"/>
    </row>
    <row r="812" spans="1:7" x14ac:dyDescent="0.2">
      <c r="A812" s="29"/>
      <c r="B812" s="105"/>
      <c r="C812" s="41"/>
      <c r="D812" s="136"/>
      <c r="E812" s="102"/>
      <c r="F812" s="128"/>
      <c r="G812" s="35"/>
    </row>
    <row r="813" spans="1:7" x14ac:dyDescent="0.2">
      <c r="A813" s="29"/>
      <c r="B813" s="105"/>
      <c r="C813" s="41"/>
      <c r="D813" s="136"/>
      <c r="E813" s="102"/>
      <c r="F813" s="128"/>
      <c r="G813" s="35"/>
    </row>
    <row r="814" spans="1:7" x14ac:dyDescent="0.2">
      <c r="A814" s="29"/>
      <c r="B814" s="151"/>
      <c r="C814" s="119"/>
      <c r="D814" s="376" t="s">
        <v>8</v>
      </c>
      <c r="E814" s="108"/>
      <c r="F814" s="150"/>
      <c r="G814" s="35"/>
    </row>
    <row r="815" spans="1:7" x14ac:dyDescent="0.2">
      <c r="A815" s="29"/>
      <c r="B815" s="151"/>
      <c r="C815" s="119"/>
      <c r="D815" s="144"/>
      <c r="E815" s="108"/>
      <c r="F815" s="150"/>
      <c r="G815" s="35"/>
    </row>
    <row r="816" spans="1:7" x14ac:dyDescent="0.2">
      <c r="A816" s="29"/>
      <c r="B816" s="101"/>
      <c r="C816" s="41"/>
      <c r="D816" s="144"/>
      <c r="E816" s="155"/>
      <c r="F816" s="128"/>
      <c r="G816" s="35"/>
    </row>
    <row r="817" spans="1:7" x14ac:dyDescent="0.2">
      <c r="A817" s="29"/>
      <c r="B817" s="106"/>
      <c r="C817" s="41"/>
      <c r="D817" s="136"/>
      <c r="E817" s="104"/>
      <c r="F817" s="128"/>
      <c r="G817" s="35"/>
    </row>
    <row r="818" spans="1:7" x14ac:dyDescent="0.2">
      <c r="A818" s="29"/>
      <c r="B818" s="105"/>
      <c r="C818" s="41"/>
      <c r="D818" s="136"/>
      <c r="E818" s="108"/>
      <c r="F818" s="152"/>
      <c r="G818" s="35"/>
    </row>
    <row r="819" spans="1:7" x14ac:dyDescent="0.2">
      <c r="A819" s="29"/>
      <c r="B819" s="107"/>
      <c r="C819" s="41"/>
      <c r="D819" s="136"/>
      <c r="E819" s="153"/>
      <c r="F819" s="128"/>
      <c r="G819" s="35"/>
    </row>
    <row r="820" spans="1:7" x14ac:dyDescent="0.2">
      <c r="A820" s="29"/>
      <c r="B820" s="107"/>
      <c r="C820" s="41"/>
      <c r="D820" s="67"/>
      <c r="E820" s="153"/>
      <c r="F820" s="128"/>
      <c r="G820" s="35"/>
    </row>
    <row r="821" spans="1:7" x14ac:dyDescent="0.2">
      <c r="A821" s="29"/>
      <c r="B821" s="101"/>
      <c r="C821" s="41"/>
      <c r="D821" s="67"/>
      <c r="E821" s="108"/>
      <c r="F821" s="128"/>
      <c r="G821" s="35"/>
    </row>
    <row r="822" spans="1:7" x14ac:dyDescent="0.2">
      <c r="A822" s="29"/>
      <c r="B822" s="101"/>
      <c r="C822" s="41"/>
      <c r="D822" s="67"/>
      <c r="E822" s="153"/>
      <c r="F822" s="128"/>
      <c r="G822" s="35"/>
    </row>
    <row r="823" spans="1:7" x14ac:dyDescent="0.2">
      <c r="A823" s="29"/>
      <c r="B823" s="106"/>
      <c r="C823" s="41"/>
      <c r="D823" s="67"/>
      <c r="E823" s="104"/>
      <c r="F823" s="154"/>
      <c r="G823" s="35"/>
    </row>
    <row r="824" spans="1:7" x14ac:dyDescent="0.2">
      <c r="A824" s="29"/>
      <c r="B824" s="105"/>
      <c r="C824" s="41"/>
      <c r="D824" s="130"/>
      <c r="E824" s="104"/>
      <c r="F824" s="154"/>
      <c r="G824" s="35"/>
    </row>
    <row r="825" spans="1:7" x14ac:dyDescent="0.2">
      <c r="A825" s="29"/>
      <c r="B825" s="105"/>
      <c r="C825" s="41"/>
      <c r="D825" s="67"/>
      <c r="E825" s="104"/>
      <c r="F825" s="154"/>
      <c r="G825" s="35"/>
    </row>
    <row r="826" spans="1:7" x14ac:dyDescent="0.2">
      <c r="A826" s="29"/>
      <c r="B826" s="101"/>
      <c r="C826" s="41"/>
      <c r="D826" s="67"/>
      <c r="E826" s="104"/>
      <c r="F826" s="154"/>
      <c r="G826" s="35"/>
    </row>
    <row r="827" spans="1:7" x14ac:dyDescent="0.2">
      <c r="A827" s="29"/>
      <c r="B827" s="101"/>
      <c r="C827" s="41"/>
      <c r="D827" s="136"/>
      <c r="E827" s="104"/>
      <c r="F827" s="154"/>
      <c r="G827" s="35"/>
    </row>
    <row r="828" spans="1:7" x14ac:dyDescent="0.2">
      <c r="A828" s="29"/>
      <c r="B828" s="101"/>
      <c r="C828" s="41"/>
      <c r="D828" s="136"/>
      <c r="E828" s="104"/>
      <c r="F828" s="154"/>
      <c r="G828" s="35"/>
    </row>
    <row r="829" spans="1:7" x14ac:dyDescent="0.2">
      <c r="A829" s="29"/>
      <c r="B829" s="101"/>
      <c r="C829" s="41"/>
      <c r="D829" s="62"/>
      <c r="E829" s="104"/>
      <c r="F829" s="154"/>
      <c r="G829" s="35"/>
    </row>
    <row r="830" spans="1:7" x14ac:dyDescent="0.2">
      <c r="A830" s="29"/>
      <c r="B830" s="101"/>
      <c r="C830" s="41"/>
      <c r="D830" s="67"/>
      <c r="E830" s="104"/>
      <c r="F830" s="154"/>
      <c r="G830" s="35"/>
    </row>
    <row r="831" spans="1:7" x14ac:dyDescent="0.2">
      <c r="A831" s="29"/>
      <c r="B831" s="101"/>
      <c r="C831" s="41"/>
      <c r="D831" s="67"/>
      <c r="E831" s="104"/>
      <c r="F831" s="154"/>
      <c r="G831" s="35"/>
    </row>
    <row r="832" spans="1:7" x14ac:dyDescent="0.2">
      <c r="A832" s="29"/>
      <c r="B832" s="101"/>
      <c r="C832" s="41"/>
      <c r="D832" s="67"/>
      <c r="E832" s="104"/>
      <c r="F832" s="154"/>
      <c r="G832" s="35"/>
    </row>
    <row r="833" spans="1:7" x14ac:dyDescent="0.2">
      <c r="A833" s="29"/>
      <c r="B833" s="101"/>
      <c r="C833" s="41"/>
      <c r="D833" s="67"/>
      <c r="E833" s="104"/>
      <c r="F833" s="154"/>
      <c r="G833" s="35"/>
    </row>
    <row r="834" spans="1:7" x14ac:dyDescent="0.2">
      <c r="A834" s="29"/>
      <c r="B834" s="101"/>
      <c r="C834" s="41"/>
      <c r="D834" s="67"/>
      <c r="E834" s="104"/>
      <c r="F834" s="154"/>
      <c r="G834" s="35"/>
    </row>
    <row r="835" spans="1:7" x14ac:dyDescent="0.2">
      <c r="A835" s="29"/>
      <c r="B835" s="101"/>
      <c r="C835" s="41"/>
      <c r="D835" s="159"/>
      <c r="E835" s="104"/>
      <c r="F835" s="154"/>
      <c r="G835" s="35"/>
    </row>
    <row r="836" spans="1:7" x14ac:dyDescent="0.2">
      <c r="A836" s="29"/>
      <c r="B836" s="101"/>
      <c r="C836" s="41"/>
      <c r="D836" s="160"/>
      <c r="E836" s="108"/>
      <c r="F836" s="128"/>
      <c r="G836" s="35"/>
    </row>
    <row r="837" spans="1:7" x14ac:dyDescent="0.2">
      <c r="A837" s="29"/>
      <c r="B837" s="101"/>
      <c r="C837" s="41"/>
      <c r="D837" s="136"/>
      <c r="E837" s="153"/>
      <c r="F837" s="128"/>
      <c r="G837" s="35"/>
    </row>
    <row r="838" spans="1:7" x14ac:dyDescent="0.2">
      <c r="A838" s="29"/>
      <c r="B838" s="101"/>
      <c r="C838" s="41"/>
      <c r="D838" s="136"/>
      <c r="E838" s="102"/>
      <c r="F838" s="128"/>
      <c r="G838" s="35"/>
    </row>
    <row r="839" spans="1:7" x14ac:dyDescent="0.2">
      <c r="A839" s="29"/>
      <c r="B839" s="101"/>
      <c r="C839" s="31"/>
      <c r="D839" s="67"/>
      <c r="E839" s="131"/>
      <c r="F839" s="117"/>
      <c r="G839" s="35"/>
    </row>
    <row r="840" spans="1:7" x14ac:dyDescent="0.2">
      <c r="A840" s="29"/>
      <c r="B840" s="101"/>
      <c r="C840" s="41"/>
      <c r="D840" s="118"/>
      <c r="E840" s="108"/>
      <c r="F840" s="149"/>
      <c r="G840" s="35"/>
    </row>
    <row r="841" spans="1:7" x14ac:dyDescent="0.2">
      <c r="A841" s="29"/>
      <c r="B841" s="101"/>
      <c r="C841" s="41"/>
      <c r="D841" s="144"/>
      <c r="E841" s="108"/>
      <c r="F841" s="149"/>
      <c r="G841" s="35"/>
    </row>
    <row r="842" spans="1:7" ht="13.5" thickBot="1" x14ac:dyDescent="0.25">
      <c r="A842" s="45"/>
      <c r="B842" s="132"/>
      <c r="C842" s="115"/>
      <c r="D842" s="115"/>
      <c r="E842" s="132"/>
      <c r="F842" s="49" t="s">
        <v>15</v>
      </c>
      <c r="G842" s="50">
        <f>SUM(G808:G841)</f>
        <v>15750</v>
      </c>
    </row>
    <row r="843" spans="1:7" ht="13.5" thickTop="1" x14ac:dyDescent="0.2">
      <c r="A843" s="875" t="s">
        <v>1664</v>
      </c>
      <c r="B843" s="899"/>
      <c r="C843" s="899"/>
      <c r="D843" s="899"/>
      <c r="E843" s="899"/>
      <c r="F843" s="899"/>
      <c r="G843" s="900"/>
    </row>
    <row r="844" spans="1:7" ht="13.5" thickBot="1" x14ac:dyDescent="0.25">
      <c r="A844" s="926" t="s">
        <v>1665</v>
      </c>
      <c r="B844" s="927"/>
      <c r="C844" s="927"/>
      <c r="D844" s="927"/>
      <c r="E844" s="927"/>
      <c r="F844" s="927"/>
      <c r="G844" s="928"/>
    </row>
    <row r="845" spans="1:7" ht="13.5" thickTop="1" x14ac:dyDescent="0.2">
      <c r="A845" s="906"/>
      <c r="B845" s="907"/>
      <c r="C845" s="907"/>
      <c r="D845" s="57" t="s">
        <v>11</v>
      </c>
      <c r="E845" s="908" t="s">
        <v>12</v>
      </c>
      <c r="F845" s="908"/>
      <c r="G845" s="909"/>
    </row>
    <row r="846" spans="1:7" x14ac:dyDescent="0.2">
      <c r="A846" s="910" t="s">
        <v>17</v>
      </c>
      <c r="B846" s="911"/>
      <c r="C846" s="911"/>
      <c r="D846" s="39"/>
      <c r="E846" s="912"/>
      <c r="F846" s="913"/>
      <c r="G846" s="914"/>
    </row>
    <row r="847" spans="1:7" x14ac:dyDescent="0.2">
      <c r="A847" s="910" t="s">
        <v>38</v>
      </c>
      <c r="B847" s="911"/>
      <c r="C847" s="911"/>
      <c r="D847" s="58" t="s">
        <v>887</v>
      </c>
      <c r="E847" s="868" t="s">
        <v>142</v>
      </c>
      <c r="F847" s="868"/>
      <c r="G847" s="869"/>
    </row>
    <row r="848" spans="1:7" ht="13.5" thickBot="1" x14ac:dyDescent="0.25">
      <c r="A848" s="901" t="s">
        <v>39</v>
      </c>
      <c r="B848" s="902"/>
      <c r="C848" s="902"/>
      <c r="D848" s="59" t="s">
        <v>44</v>
      </c>
      <c r="E848" s="904" t="s">
        <v>0</v>
      </c>
      <c r="F848" s="904"/>
      <c r="G848" s="905"/>
    </row>
    <row r="849" spans="1:7" ht="16.5" x14ac:dyDescent="0.25">
      <c r="A849" s="885" t="s">
        <v>29</v>
      </c>
      <c r="B849" s="886"/>
      <c r="C849" s="886"/>
      <c r="D849" s="886"/>
      <c r="E849" s="886"/>
      <c r="F849" s="886"/>
      <c r="G849" s="887"/>
    </row>
    <row r="850" spans="1:7" x14ac:dyDescent="0.2">
      <c r="A850" s="888" t="s">
        <v>48</v>
      </c>
      <c r="B850" s="889"/>
      <c r="C850" s="889"/>
      <c r="D850" s="889"/>
      <c r="E850" s="889"/>
      <c r="F850" s="889"/>
      <c r="G850" s="890"/>
    </row>
    <row r="851" spans="1:7" x14ac:dyDescent="0.2">
      <c r="A851" s="915" t="s">
        <v>49</v>
      </c>
      <c r="B851" s="916"/>
      <c r="C851" s="916"/>
      <c r="D851" s="916"/>
      <c r="E851" s="916"/>
      <c r="F851" s="916"/>
      <c r="G851" s="917"/>
    </row>
    <row r="852" spans="1:7" x14ac:dyDescent="0.2">
      <c r="A852" s="6"/>
      <c r="B852" s="99"/>
      <c r="C852" s="8"/>
      <c r="D852" s="9"/>
      <c r="E852" s="99"/>
      <c r="F852" s="10"/>
      <c r="G852" s="11" t="s">
        <v>20</v>
      </c>
    </row>
    <row r="853" spans="1:7" x14ac:dyDescent="0.2">
      <c r="A853" s="12" t="s">
        <v>1</v>
      </c>
      <c r="B853" s="13"/>
      <c r="C853" s="14" t="s">
        <v>19</v>
      </c>
      <c r="D853" s="13"/>
      <c r="E853" s="362" t="s">
        <v>1805</v>
      </c>
      <c r="F853" s="98"/>
      <c r="G853" s="363" t="s">
        <v>1739</v>
      </c>
    </row>
    <row r="854" spans="1:7" x14ac:dyDescent="0.2">
      <c r="A854" s="17" t="s">
        <v>8</v>
      </c>
      <c r="B854" s="100"/>
      <c r="C854" s="19"/>
      <c r="D854" s="4"/>
      <c r="E854" s="918"/>
      <c r="F854" s="919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920"/>
      <c r="F856" s="921"/>
      <c r="G856" s="25"/>
    </row>
    <row r="857" spans="1:7" ht="26.25" thickBot="1" x14ac:dyDescent="0.25">
      <c r="A857" s="207" t="s">
        <v>47</v>
      </c>
      <c r="B857" s="28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371" t="s">
        <v>242</v>
      </c>
      <c r="D858" s="376" t="s">
        <v>305</v>
      </c>
      <c r="E858" s="158">
        <v>10</v>
      </c>
      <c r="F858" s="128">
        <v>450</v>
      </c>
      <c r="G858" s="35">
        <f>F858*E858</f>
        <v>4500</v>
      </c>
    </row>
    <row r="859" spans="1:7" x14ac:dyDescent="0.2">
      <c r="A859" s="29"/>
      <c r="B859" s="101"/>
      <c r="C859" s="371"/>
      <c r="D859" s="370" t="s">
        <v>886</v>
      </c>
      <c r="E859" s="158"/>
      <c r="F859" s="128"/>
      <c r="G859" s="35"/>
    </row>
    <row r="860" spans="1:7" x14ac:dyDescent="0.2">
      <c r="A860" s="29"/>
      <c r="B860" s="101"/>
      <c r="C860" s="41"/>
      <c r="D860" s="370"/>
      <c r="E860" s="157"/>
      <c r="F860" s="149"/>
      <c r="G860" s="372"/>
    </row>
    <row r="861" spans="1:7" x14ac:dyDescent="0.2">
      <c r="A861" s="29"/>
      <c r="B861" s="101"/>
      <c r="C861" s="371"/>
      <c r="D861" s="370"/>
      <c r="E861" s="158"/>
      <c r="F861" s="128"/>
      <c r="G861" s="35"/>
    </row>
    <row r="862" spans="1:7" x14ac:dyDescent="0.2">
      <c r="A862" s="29"/>
      <c r="B862" s="105"/>
      <c r="C862" s="41"/>
      <c r="D862" s="136"/>
      <c r="E862" s="102"/>
      <c r="F862" s="128"/>
      <c r="G862" s="35"/>
    </row>
    <row r="863" spans="1:7" x14ac:dyDescent="0.2">
      <c r="A863" s="29"/>
      <c r="B863" s="105"/>
      <c r="C863" s="41"/>
      <c r="D863" s="136"/>
      <c r="E863" s="102"/>
      <c r="F863" s="128"/>
      <c r="G863" s="35"/>
    </row>
    <row r="864" spans="1:7" x14ac:dyDescent="0.2">
      <c r="A864" s="29"/>
      <c r="B864" s="151"/>
      <c r="C864" s="119"/>
      <c r="D864" s="376" t="s">
        <v>8</v>
      </c>
      <c r="E864" s="108"/>
      <c r="F864" s="150"/>
      <c r="G864" s="35"/>
    </row>
    <row r="865" spans="1:7" x14ac:dyDescent="0.2">
      <c r="A865" s="29"/>
      <c r="B865" s="151"/>
      <c r="C865" s="119"/>
      <c r="D865" s="144"/>
      <c r="E865" s="108"/>
      <c r="F865" s="150"/>
      <c r="G865" s="35"/>
    </row>
    <row r="866" spans="1:7" x14ac:dyDescent="0.2">
      <c r="A866" s="29"/>
      <c r="B866" s="101"/>
      <c r="C866" s="41"/>
      <c r="D866" s="144"/>
      <c r="E866" s="155"/>
      <c r="F866" s="128"/>
      <c r="G866" s="35"/>
    </row>
    <row r="867" spans="1:7" x14ac:dyDescent="0.2">
      <c r="A867" s="29"/>
      <c r="B867" s="106"/>
      <c r="C867" s="41"/>
      <c r="D867" s="136"/>
      <c r="E867" s="104"/>
      <c r="F867" s="128"/>
      <c r="G867" s="35"/>
    </row>
    <row r="868" spans="1:7" x14ac:dyDescent="0.2">
      <c r="A868" s="29"/>
      <c r="B868" s="105"/>
      <c r="C868" s="41"/>
      <c r="D868" s="136"/>
      <c r="E868" s="108"/>
      <c r="F868" s="152"/>
      <c r="G868" s="35"/>
    </row>
    <row r="869" spans="1:7" x14ac:dyDescent="0.2">
      <c r="A869" s="29"/>
      <c r="B869" s="107"/>
      <c r="C869" s="41"/>
      <c r="D869" s="136"/>
      <c r="E869" s="153"/>
      <c r="F869" s="128"/>
      <c r="G869" s="35"/>
    </row>
    <row r="870" spans="1:7" x14ac:dyDescent="0.2">
      <c r="A870" s="29"/>
      <c r="B870" s="107"/>
      <c r="C870" s="41"/>
      <c r="D870" s="67"/>
      <c r="E870" s="153"/>
      <c r="F870" s="128"/>
      <c r="G870" s="35"/>
    </row>
    <row r="871" spans="1:7" x14ac:dyDescent="0.2">
      <c r="A871" s="29"/>
      <c r="B871" s="101"/>
      <c r="C871" s="41"/>
      <c r="D871" s="67"/>
      <c r="E871" s="108"/>
      <c r="F871" s="128"/>
      <c r="G871" s="35"/>
    </row>
    <row r="872" spans="1:7" x14ac:dyDescent="0.2">
      <c r="A872" s="29"/>
      <c r="B872" s="101"/>
      <c r="C872" s="41"/>
      <c r="D872" s="67"/>
      <c r="E872" s="153"/>
      <c r="F872" s="128"/>
      <c r="G872" s="35"/>
    </row>
    <row r="873" spans="1:7" x14ac:dyDescent="0.2">
      <c r="A873" s="29"/>
      <c r="B873" s="106"/>
      <c r="C873" s="41"/>
      <c r="D873" s="67"/>
      <c r="E873" s="104"/>
      <c r="F873" s="154"/>
      <c r="G873" s="35"/>
    </row>
    <row r="874" spans="1:7" x14ac:dyDescent="0.2">
      <c r="A874" s="29"/>
      <c r="B874" s="105"/>
      <c r="C874" s="41"/>
      <c r="D874" s="130"/>
      <c r="E874" s="104"/>
      <c r="F874" s="154"/>
      <c r="G874" s="35"/>
    </row>
    <row r="875" spans="1:7" x14ac:dyDescent="0.2">
      <c r="A875" s="29"/>
      <c r="B875" s="105"/>
      <c r="C875" s="41"/>
      <c r="D875" s="67"/>
      <c r="E875" s="104"/>
      <c r="F875" s="154"/>
      <c r="G875" s="35"/>
    </row>
    <row r="876" spans="1:7" x14ac:dyDescent="0.2">
      <c r="A876" s="29"/>
      <c r="B876" s="101"/>
      <c r="C876" s="41"/>
      <c r="D876" s="67"/>
      <c r="E876" s="104"/>
      <c r="F876" s="154"/>
      <c r="G876" s="35"/>
    </row>
    <row r="877" spans="1:7" x14ac:dyDescent="0.2">
      <c r="A877" s="29"/>
      <c r="B877" s="101"/>
      <c r="C877" s="41"/>
      <c r="D877" s="136"/>
      <c r="E877" s="104"/>
      <c r="F877" s="154"/>
      <c r="G877" s="35"/>
    </row>
    <row r="878" spans="1:7" x14ac:dyDescent="0.2">
      <c r="A878" s="29"/>
      <c r="B878" s="101"/>
      <c r="C878" s="41"/>
      <c r="D878" s="136"/>
      <c r="E878" s="104"/>
      <c r="F878" s="154"/>
      <c r="G878" s="35"/>
    </row>
    <row r="879" spans="1:7" x14ac:dyDescent="0.2">
      <c r="A879" s="29"/>
      <c r="B879" s="101"/>
      <c r="C879" s="41"/>
      <c r="D879" s="62"/>
      <c r="E879" s="104"/>
      <c r="F879" s="154"/>
      <c r="G879" s="35"/>
    </row>
    <row r="880" spans="1:7" x14ac:dyDescent="0.2">
      <c r="A880" s="29"/>
      <c r="B880" s="101"/>
      <c r="C880" s="41"/>
      <c r="D880" s="67"/>
      <c r="E880" s="104"/>
      <c r="F880" s="154"/>
      <c r="G880" s="35"/>
    </row>
    <row r="881" spans="1:7" x14ac:dyDescent="0.2">
      <c r="A881" s="29"/>
      <c r="B881" s="101"/>
      <c r="C881" s="41"/>
      <c r="D881" s="67"/>
      <c r="E881" s="104"/>
      <c r="F881" s="154"/>
      <c r="G881" s="35"/>
    </row>
    <row r="882" spans="1:7" x14ac:dyDescent="0.2">
      <c r="A882" s="29"/>
      <c r="B882" s="101"/>
      <c r="C882" s="41"/>
      <c r="D882" s="67"/>
      <c r="E882" s="104"/>
      <c r="F882" s="154"/>
      <c r="G882" s="35"/>
    </row>
    <row r="883" spans="1:7" x14ac:dyDescent="0.2">
      <c r="A883" s="29"/>
      <c r="B883" s="101"/>
      <c r="C883" s="41"/>
      <c r="D883" s="67"/>
      <c r="E883" s="104"/>
      <c r="F883" s="154"/>
      <c r="G883" s="35"/>
    </row>
    <row r="884" spans="1:7" x14ac:dyDescent="0.2">
      <c r="A884" s="29"/>
      <c r="B884" s="101"/>
      <c r="C884" s="41"/>
      <c r="D884" s="67"/>
      <c r="E884" s="104"/>
      <c r="F884" s="154"/>
      <c r="G884" s="35"/>
    </row>
    <row r="885" spans="1:7" x14ac:dyDescent="0.2">
      <c r="A885" s="29"/>
      <c r="B885" s="101"/>
      <c r="C885" s="41"/>
      <c r="D885" s="159"/>
      <c r="E885" s="104"/>
      <c r="F885" s="154"/>
      <c r="G885" s="35"/>
    </row>
    <row r="886" spans="1:7" x14ac:dyDescent="0.2">
      <c r="A886" s="29"/>
      <c r="B886" s="101"/>
      <c r="C886" s="41"/>
      <c r="D886" s="160"/>
      <c r="E886" s="108"/>
      <c r="F886" s="128"/>
      <c r="G886" s="35"/>
    </row>
    <row r="887" spans="1:7" x14ac:dyDescent="0.2">
      <c r="A887" s="29"/>
      <c r="B887" s="101"/>
      <c r="C887" s="41"/>
      <c r="D887" s="136"/>
      <c r="E887" s="153"/>
      <c r="F887" s="128"/>
      <c r="G887" s="35"/>
    </row>
    <row r="888" spans="1:7" x14ac:dyDescent="0.2">
      <c r="A888" s="29"/>
      <c r="B888" s="101"/>
      <c r="C888" s="41"/>
      <c r="D888" s="136"/>
      <c r="E888" s="102"/>
      <c r="F888" s="128"/>
      <c r="G888" s="35"/>
    </row>
    <row r="889" spans="1:7" x14ac:dyDescent="0.2">
      <c r="A889" s="29"/>
      <c r="B889" s="101"/>
      <c r="C889" s="31"/>
      <c r="D889" s="67"/>
      <c r="E889" s="131"/>
      <c r="F889" s="117"/>
      <c r="G889" s="35"/>
    </row>
    <row r="890" spans="1:7" x14ac:dyDescent="0.2">
      <c r="A890" s="29"/>
      <c r="B890" s="101"/>
      <c r="C890" s="41"/>
      <c r="D890" s="118"/>
      <c r="E890" s="108"/>
      <c r="F890" s="149"/>
      <c r="G890" s="35"/>
    </row>
    <row r="891" spans="1:7" x14ac:dyDescent="0.2">
      <c r="A891" s="29"/>
      <c r="B891" s="101"/>
      <c r="C891" s="41"/>
      <c r="D891" s="144"/>
      <c r="E891" s="108"/>
      <c r="F891" s="149"/>
      <c r="G891" s="35"/>
    </row>
    <row r="892" spans="1:7" ht="13.5" thickBot="1" x14ac:dyDescent="0.25">
      <c r="A892" s="45"/>
      <c r="B892" s="132"/>
      <c r="C892" s="115"/>
      <c r="D892" s="115"/>
      <c r="E892" s="132"/>
      <c r="F892" s="49" t="s">
        <v>15</v>
      </c>
      <c r="G892" s="50">
        <f>SUM(G858:G891)</f>
        <v>4500</v>
      </c>
    </row>
    <row r="893" spans="1:7" ht="13.5" thickTop="1" x14ac:dyDescent="0.2">
      <c r="A893" s="875" t="s">
        <v>1666</v>
      </c>
      <c r="B893" s="899"/>
      <c r="C893" s="899"/>
      <c r="D893" s="899"/>
      <c r="E893" s="899"/>
      <c r="F893" s="899"/>
      <c r="G893" s="900"/>
    </row>
    <row r="894" spans="1:7" ht="13.5" thickBot="1" x14ac:dyDescent="0.25">
      <c r="A894" s="926" t="s">
        <v>8</v>
      </c>
      <c r="B894" s="927"/>
      <c r="C894" s="927"/>
      <c r="D894" s="927"/>
      <c r="E894" s="927"/>
      <c r="F894" s="927"/>
      <c r="G894" s="928"/>
    </row>
    <row r="895" spans="1:7" ht="13.5" thickTop="1" x14ac:dyDescent="0.2">
      <c r="A895" s="906"/>
      <c r="B895" s="907"/>
      <c r="C895" s="907"/>
      <c r="D895" s="57" t="s">
        <v>11</v>
      </c>
      <c r="E895" s="908" t="s">
        <v>12</v>
      </c>
      <c r="F895" s="908"/>
      <c r="G895" s="909"/>
    </row>
    <row r="896" spans="1:7" x14ac:dyDescent="0.2">
      <c r="A896" s="910" t="s">
        <v>17</v>
      </c>
      <c r="B896" s="911"/>
      <c r="C896" s="911"/>
      <c r="D896" s="39"/>
      <c r="E896" s="912"/>
      <c r="F896" s="913"/>
      <c r="G896" s="914"/>
    </row>
    <row r="897" spans="1:7" x14ac:dyDescent="0.2">
      <c r="A897" s="910" t="s">
        <v>38</v>
      </c>
      <c r="B897" s="911"/>
      <c r="C897" s="911"/>
      <c r="D897" s="58" t="s">
        <v>887</v>
      </c>
      <c r="E897" s="868" t="s">
        <v>142</v>
      </c>
      <c r="F897" s="868"/>
      <c r="G897" s="869"/>
    </row>
    <row r="898" spans="1:7" ht="13.5" thickBot="1" x14ac:dyDescent="0.25">
      <c r="A898" s="901" t="s">
        <v>39</v>
      </c>
      <c r="B898" s="902"/>
      <c r="C898" s="902"/>
      <c r="D898" s="59" t="s">
        <v>44</v>
      </c>
      <c r="E898" s="904" t="s">
        <v>0</v>
      </c>
      <c r="F898" s="904"/>
      <c r="G898" s="905"/>
    </row>
    <row r="899" spans="1:7" ht="16.5" x14ac:dyDescent="0.25">
      <c r="A899" s="885" t="s">
        <v>29</v>
      </c>
      <c r="B899" s="886"/>
      <c r="C899" s="886"/>
      <c r="D899" s="886"/>
      <c r="E899" s="886"/>
      <c r="F899" s="886"/>
      <c r="G899" s="887"/>
    </row>
    <row r="900" spans="1:7" x14ac:dyDescent="0.2">
      <c r="A900" s="888" t="s">
        <v>48</v>
      </c>
      <c r="B900" s="889"/>
      <c r="C900" s="889"/>
      <c r="D900" s="889"/>
      <c r="E900" s="889"/>
      <c r="F900" s="889"/>
      <c r="G900" s="890"/>
    </row>
    <row r="901" spans="1:7" x14ac:dyDescent="0.2">
      <c r="A901" s="915" t="s">
        <v>49</v>
      </c>
      <c r="B901" s="916"/>
      <c r="C901" s="916"/>
      <c r="D901" s="916"/>
      <c r="E901" s="916"/>
      <c r="F901" s="916"/>
      <c r="G901" s="917"/>
    </row>
    <row r="902" spans="1:7" x14ac:dyDescent="0.2">
      <c r="A902" s="6"/>
      <c r="B902" s="99"/>
      <c r="C902" s="8"/>
      <c r="D902" s="9"/>
      <c r="E902" s="99"/>
      <c r="F902" s="10"/>
      <c r="G902" s="11" t="s">
        <v>20</v>
      </c>
    </row>
    <row r="903" spans="1:7" x14ac:dyDescent="0.2">
      <c r="A903" s="12" t="s">
        <v>1</v>
      </c>
      <c r="B903" s="13"/>
      <c r="C903" s="14" t="s">
        <v>19</v>
      </c>
      <c r="D903" s="13"/>
      <c r="E903" s="362" t="s">
        <v>1806</v>
      </c>
      <c r="F903" s="98"/>
      <c r="G903" s="363" t="s">
        <v>1739</v>
      </c>
    </row>
    <row r="904" spans="1:7" x14ac:dyDescent="0.2">
      <c r="A904" s="17" t="s">
        <v>8</v>
      </c>
      <c r="B904" s="100"/>
      <c r="C904" s="19"/>
      <c r="D904" s="4"/>
      <c r="E904" s="918"/>
      <c r="F904" s="919"/>
      <c r="G904" s="20"/>
    </row>
    <row r="905" spans="1:7" x14ac:dyDescent="0.2">
      <c r="A905" s="21" t="s">
        <v>37</v>
      </c>
      <c r="B905" s="22"/>
      <c r="C905" s="22"/>
      <c r="D905" s="22"/>
      <c r="E905" s="23" t="s">
        <v>46</v>
      </c>
      <c r="F905" s="24"/>
      <c r="G905" s="20" t="s">
        <v>50</v>
      </c>
    </row>
    <row r="906" spans="1:7" x14ac:dyDescent="0.2">
      <c r="A906" s="6"/>
      <c r="B906" s="99"/>
      <c r="C906" s="8"/>
      <c r="D906" s="8"/>
      <c r="E906" s="920"/>
      <c r="F906" s="921"/>
      <c r="G906" s="25"/>
    </row>
    <row r="907" spans="1:7" ht="26.25" thickBot="1" x14ac:dyDescent="0.25">
      <c r="A907" s="207" t="s">
        <v>47</v>
      </c>
      <c r="B907" s="28" t="s">
        <v>23</v>
      </c>
      <c r="C907" s="28" t="s">
        <v>34</v>
      </c>
      <c r="D907" s="110" t="s">
        <v>53</v>
      </c>
      <c r="E907" s="114" t="s">
        <v>54</v>
      </c>
      <c r="F907" s="111" t="s">
        <v>55</v>
      </c>
      <c r="G907" s="112" t="s">
        <v>35</v>
      </c>
    </row>
    <row r="908" spans="1:7" ht="13.5" thickTop="1" x14ac:dyDescent="0.2">
      <c r="A908" s="29">
        <v>1</v>
      </c>
      <c r="B908" s="101"/>
      <c r="C908" s="371" t="s">
        <v>242</v>
      </c>
      <c r="D908" s="376" t="s">
        <v>305</v>
      </c>
      <c r="E908" s="158">
        <v>35</v>
      </c>
      <c r="F908" s="128">
        <v>450</v>
      </c>
      <c r="G908" s="35">
        <f>F908*E908</f>
        <v>15750</v>
      </c>
    </row>
    <row r="909" spans="1:7" x14ac:dyDescent="0.2">
      <c r="A909" s="29"/>
      <c r="B909" s="101"/>
      <c r="C909" s="371"/>
      <c r="D909" s="370" t="s">
        <v>886</v>
      </c>
      <c r="E909" s="158"/>
      <c r="F909" s="128"/>
      <c r="G909" s="35"/>
    </row>
    <row r="910" spans="1:7" x14ac:dyDescent="0.2">
      <c r="A910" s="29"/>
      <c r="B910" s="101"/>
      <c r="C910" s="41"/>
      <c r="D910" s="370"/>
      <c r="E910" s="157"/>
      <c r="F910" s="149"/>
      <c r="G910" s="372"/>
    </row>
    <row r="911" spans="1:7" x14ac:dyDescent="0.2">
      <c r="A911" s="29"/>
      <c r="B911" s="101"/>
      <c r="C911" s="371"/>
      <c r="D911" s="370"/>
      <c r="E911" s="158"/>
      <c r="F911" s="128"/>
      <c r="G911" s="35"/>
    </row>
    <row r="912" spans="1:7" x14ac:dyDescent="0.2">
      <c r="A912" s="29"/>
      <c r="B912" s="105"/>
      <c r="C912" s="41"/>
      <c r="D912" s="136"/>
      <c r="E912" s="102"/>
      <c r="F912" s="128"/>
      <c r="G912" s="35"/>
    </row>
    <row r="913" spans="1:7" x14ac:dyDescent="0.2">
      <c r="A913" s="29"/>
      <c r="B913" s="105"/>
      <c r="C913" s="41"/>
      <c r="D913" s="136"/>
      <c r="E913" s="102"/>
      <c r="F913" s="128"/>
      <c r="G913" s="35"/>
    </row>
    <row r="914" spans="1:7" x14ac:dyDescent="0.2">
      <c r="A914" s="29"/>
      <c r="B914" s="151"/>
      <c r="C914" s="119"/>
      <c r="D914" s="376" t="s">
        <v>8</v>
      </c>
      <c r="E914" s="108"/>
      <c r="F914" s="150"/>
      <c r="G914" s="35"/>
    </row>
    <row r="915" spans="1:7" x14ac:dyDescent="0.2">
      <c r="A915" s="29"/>
      <c r="B915" s="151"/>
      <c r="C915" s="119"/>
      <c r="D915" s="144"/>
      <c r="E915" s="108"/>
      <c r="F915" s="150"/>
      <c r="G915" s="35"/>
    </row>
    <row r="916" spans="1:7" x14ac:dyDescent="0.2">
      <c r="A916" s="29"/>
      <c r="B916" s="101"/>
      <c r="C916" s="41"/>
      <c r="D916" s="144"/>
      <c r="E916" s="155"/>
      <c r="F916" s="128"/>
      <c r="G916" s="35"/>
    </row>
    <row r="917" spans="1:7" x14ac:dyDescent="0.2">
      <c r="A917" s="29"/>
      <c r="B917" s="106"/>
      <c r="C917" s="41"/>
      <c r="D917" s="136"/>
      <c r="E917" s="104"/>
      <c r="F917" s="128"/>
      <c r="G917" s="35"/>
    </row>
    <row r="918" spans="1:7" x14ac:dyDescent="0.2">
      <c r="A918" s="29"/>
      <c r="B918" s="105"/>
      <c r="C918" s="41"/>
      <c r="D918" s="136"/>
      <c r="E918" s="108"/>
      <c r="F918" s="152"/>
      <c r="G918" s="35"/>
    </row>
    <row r="919" spans="1:7" x14ac:dyDescent="0.2">
      <c r="A919" s="29"/>
      <c r="B919" s="107"/>
      <c r="C919" s="41"/>
      <c r="D919" s="136"/>
      <c r="E919" s="153"/>
      <c r="F919" s="128"/>
      <c r="G919" s="35"/>
    </row>
    <row r="920" spans="1:7" x14ac:dyDescent="0.2">
      <c r="A920" s="29"/>
      <c r="B920" s="107"/>
      <c r="C920" s="41"/>
      <c r="D920" s="67"/>
      <c r="E920" s="153"/>
      <c r="F920" s="128"/>
      <c r="G920" s="35"/>
    </row>
    <row r="921" spans="1:7" x14ac:dyDescent="0.2">
      <c r="A921" s="29"/>
      <c r="B921" s="101"/>
      <c r="C921" s="41"/>
      <c r="D921" s="67"/>
      <c r="E921" s="108"/>
      <c r="F921" s="128"/>
      <c r="G921" s="35"/>
    </row>
    <row r="922" spans="1:7" x14ac:dyDescent="0.2">
      <c r="A922" s="29"/>
      <c r="B922" s="101"/>
      <c r="C922" s="41"/>
      <c r="D922" s="67"/>
      <c r="E922" s="153"/>
      <c r="F922" s="128"/>
      <c r="G922" s="35"/>
    </row>
    <row r="923" spans="1:7" x14ac:dyDescent="0.2">
      <c r="A923" s="29"/>
      <c r="B923" s="106"/>
      <c r="C923" s="41"/>
      <c r="D923" s="67"/>
      <c r="E923" s="104"/>
      <c r="F923" s="154"/>
      <c r="G923" s="35"/>
    </row>
    <row r="924" spans="1:7" x14ac:dyDescent="0.2">
      <c r="A924" s="29"/>
      <c r="B924" s="105"/>
      <c r="C924" s="41"/>
      <c r="D924" s="130"/>
      <c r="E924" s="104"/>
      <c r="F924" s="154"/>
      <c r="G924" s="35"/>
    </row>
    <row r="925" spans="1:7" x14ac:dyDescent="0.2">
      <c r="A925" s="29"/>
      <c r="B925" s="105"/>
      <c r="C925" s="41"/>
      <c r="D925" s="67"/>
      <c r="E925" s="104"/>
      <c r="F925" s="154"/>
      <c r="G925" s="35"/>
    </row>
    <row r="926" spans="1:7" x14ac:dyDescent="0.2">
      <c r="A926" s="29"/>
      <c r="B926" s="101"/>
      <c r="C926" s="41"/>
      <c r="D926" s="67"/>
      <c r="E926" s="104"/>
      <c r="F926" s="154"/>
      <c r="G926" s="35"/>
    </row>
    <row r="927" spans="1:7" x14ac:dyDescent="0.2">
      <c r="A927" s="29"/>
      <c r="B927" s="101"/>
      <c r="C927" s="41"/>
      <c r="D927" s="136"/>
      <c r="E927" s="104"/>
      <c r="F927" s="154"/>
      <c r="G927" s="35"/>
    </row>
    <row r="928" spans="1:7" x14ac:dyDescent="0.2">
      <c r="A928" s="29"/>
      <c r="B928" s="101"/>
      <c r="C928" s="41"/>
      <c r="D928" s="136"/>
      <c r="E928" s="104"/>
      <c r="F928" s="154"/>
      <c r="G928" s="35"/>
    </row>
    <row r="929" spans="1:7" x14ac:dyDescent="0.2">
      <c r="A929" s="29"/>
      <c r="B929" s="101"/>
      <c r="C929" s="41"/>
      <c r="D929" s="62"/>
      <c r="E929" s="104"/>
      <c r="F929" s="154"/>
      <c r="G929" s="35"/>
    </row>
    <row r="930" spans="1:7" x14ac:dyDescent="0.2">
      <c r="A930" s="29"/>
      <c r="B930" s="101"/>
      <c r="C930" s="41"/>
      <c r="D930" s="67"/>
      <c r="E930" s="104"/>
      <c r="F930" s="154"/>
      <c r="G930" s="35"/>
    </row>
    <row r="931" spans="1:7" x14ac:dyDescent="0.2">
      <c r="A931" s="29"/>
      <c r="B931" s="101"/>
      <c r="C931" s="41"/>
      <c r="D931" s="67"/>
      <c r="E931" s="104"/>
      <c r="F931" s="154"/>
      <c r="G931" s="35"/>
    </row>
    <row r="932" spans="1:7" x14ac:dyDescent="0.2">
      <c r="A932" s="29"/>
      <c r="B932" s="101"/>
      <c r="C932" s="41"/>
      <c r="D932" s="67"/>
      <c r="E932" s="104"/>
      <c r="F932" s="154"/>
      <c r="G932" s="35"/>
    </row>
    <row r="933" spans="1:7" x14ac:dyDescent="0.2">
      <c r="A933" s="29"/>
      <c r="B933" s="101"/>
      <c r="C933" s="41"/>
      <c r="D933" s="67"/>
      <c r="E933" s="104"/>
      <c r="F933" s="154"/>
      <c r="G933" s="35"/>
    </row>
    <row r="934" spans="1:7" x14ac:dyDescent="0.2">
      <c r="A934" s="29"/>
      <c r="B934" s="101"/>
      <c r="C934" s="41"/>
      <c r="D934" s="67"/>
      <c r="E934" s="104"/>
      <c r="F934" s="154"/>
      <c r="G934" s="35"/>
    </row>
    <row r="935" spans="1:7" x14ac:dyDescent="0.2">
      <c r="A935" s="29"/>
      <c r="B935" s="101"/>
      <c r="C935" s="41"/>
      <c r="D935" s="159"/>
      <c r="E935" s="104"/>
      <c r="F935" s="154"/>
      <c r="G935" s="35"/>
    </row>
    <row r="936" spans="1:7" x14ac:dyDescent="0.2">
      <c r="A936" s="29"/>
      <c r="B936" s="101"/>
      <c r="C936" s="41"/>
      <c r="D936" s="160"/>
      <c r="E936" s="108"/>
      <c r="F936" s="128"/>
      <c r="G936" s="35"/>
    </row>
    <row r="937" spans="1:7" x14ac:dyDescent="0.2">
      <c r="A937" s="29"/>
      <c r="B937" s="101"/>
      <c r="C937" s="41"/>
      <c r="D937" s="136"/>
      <c r="E937" s="153"/>
      <c r="F937" s="128"/>
      <c r="G937" s="35"/>
    </row>
    <row r="938" spans="1:7" x14ac:dyDescent="0.2">
      <c r="A938" s="29"/>
      <c r="B938" s="101"/>
      <c r="C938" s="41"/>
      <c r="D938" s="136"/>
      <c r="E938" s="102"/>
      <c r="F938" s="128"/>
      <c r="G938" s="35"/>
    </row>
    <row r="939" spans="1:7" x14ac:dyDescent="0.2">
      <c r="A939" s="29"/>
      <c r="B939" s="101"/>
      <c r="C939" s="31"/>
      <c r="D939" s="67"/>
      <c r="E939" s="131"/>
      <c r="F939" s="117"/>
      <c r="G939" s="35"/>
    </row>
    <row r="940" spans="1:7" x14ac:dyDescent="0.2">
      <c r="A940" s="29"/>
      <c r="B940" s="101"/>
      <c r="C940" s="41"/>
      <c r="D940" s="118"/>
      <c r="E940" s="108"/>
      <c r="F940" s="149"/>
      <c r="G940" s="35"/>
    </row>
    <row r="941" spans="1:7" x14ac:dyDescent="0.2">
      <c r="A941" s="29"/>
      <c r="B941" s="101"/>
      <c r="C941" s="41"/>
      <c r="D941" s="144"/>
      <c r="E941" s="108"/>
      <c r="F941" s="149"/>
      <c r="G941" s="35"/>
    </row>
    <row r="942" spans="1:7" ht="13.5" thickBot="1" x14ac:dyDescent="0.25">
      <c r="A942" s="45"/>
      <c r="B942" s="132"/>
      <c r="C942" s="115"/>
      <c r="D942" s="115"/>
      <c r="E942" s="132"/>
      <c r="F942" s="49" t="s">
        <v>15</v>
      </c>
      <c r="G942" s="50">
        <f>SUM(G908:G941)</f>
        <v>15750</v>
      </c>
    </row>
    <row r="943" spans="1:7" ht="13.5" thickTop="1" x14ac:dyDescent="0.2">
      <c r="A943" s="875" t="s">
        <v>1667</v>
      </c>
      <c r="B943" s="899"/>
      <c r="C943" s="899"/>
      <c r="D943" s="899"/>
      <c r="E943" s="899"/>
      <c r="F943" s="899"/>
      <c r="G943" s="900"/>
    </row>
    <row r="944" spans="1:7" ht="13.5" thickBot="1" x14ac:dyDescent="0.25">
      <c r="A944" s="926" t="s">
        <v>1668</v>
      </c>
      <c r="B944" s="927"/>
      <c r="C944" s="927"/>
      <c r="D944" s="927"/>
      <c r="E944" s="927"/>
      <c r="F944" s="927"/>
      <c r="G944" s="928"/>
    </row>
    <row r="945" spans="1:7" ht="13.5" thickTop="1" x14ac:dyDescent="0.2">
      <c r="A945" s="906"/>
      <c r="B945" s="907"/>
      <c r="C945" s="907"/>
      <c r="D945" s="57" t="s">
        <v>11</v>
      </c>
      <c r="E945" s="908" t="s">
        <v>12</v>
      </c>
      <c r="F945" s="908"/>
      <c r="G945" s="909"/>
    </row>
    <row r="946" spans="1:7" x14ac:dyDescent="0.2">
      <c r="A946" s="910" t="s">
        <v>17</v>
      </c>
      <c r="B946" s="911"/>
      <c r="C946" s="911"/>
      <c r="D946" s="39"/>
      <c r="E946" s="912"/>
      <c r="F946" s="913"/>
      <c r="G946" s="914"/>
    </row>
    <row r="947" spans="1:7" x14ac:dyDescent="0.2">
      <c r="A947" s="910" t="s">
        <v>38</v>
      </c>
      <c r="B947" s="911"/>
      <c r="C947" s="911"/>
      <c r="D947" s="58" t="s">
        <v>887</v>
      </c>
      <c r="E947" s="868" t="s">
        <v>142</v>
      </c>
      <c r="F947" s="868"/>
      <c r="G947" s="869"/>
    </row>
    <row r="948" spans="1:7" ht="13.5" thickBot="1" x14ac:dyDescent="0.25">
      <c r="A948" s="901" t="s">
        <v>39</v>
      </c>
      <c r="B948" s="902"/>
      <c r="C948" s="902"/>
      <c r="D948" s="59" t="s">
        <v>44</v>
      </c>
      <c r="E948" s="904" t="s">
        <v>0</v>
      </c>
      <c r="F948" s="904"/>
      <c r="G948" s="905"/>
    </row>
    <row r="949" spans="1:7" ht="16.5" x14ac:dyDescent="0.25">
      <c r="A949" s="885" t="s">
        <v>29</v>
      </c>
      <c r="B949" s="886"/>
      <c r="C949" s="886"/>
      <c r="D949" s="886"/>
      <c r="E949" s="886"/>
      <c r="F949" s="886"/>
      <c r="G949" s="887"/>
    </row>
    <row r="950" spans="1:7" x14ac:dyDescent="0.2">
      <c r="A950" s="888" t="s">
        <v>48</v>
      </c>
      <c r="B950" s="889"/>
      <c r="C950" s="889"/>
      <c r="D950" s="889"/>
      <c r="E950" s="889"/>
      <c r="F950" s="889"/>
      <c r="G950" s="890"/>
    </row>
    <row r="951" spans="1:7" x14ac:dyDescent="0.2">
      <c r="A951" s="915" t="s">
        <v>49</v>
      </c>
      <c r="B951" s="916"/>
      <c r="C951" s="916"/>
      <c r="D951" s="916"/>
      <c r="E951" s="916"/>
      <c r="F951" s="916"/>
      <c r="G951" s="917"/>
    </row>
    <row r="952" spans="1:7" x14ac:dyDescent="0.2">
      <c r="A952" s="6"/>
      <c r="B952" s="99"/>
      <c r="C952" s="8"/>
      <c r="D952" s="9"/>
      <c r="E952" s="99"/>
      <c r="F952" s="10"/>
      <c r="G952" s="11" t="s">
        <v>20</v>
      </c>
    </row>
    <row r="953" spans="1:7" x14ac:dyDescent="0.2">
      <c r="A953" s="12" t="s">
        <v>1</v>
      </c>
      <c r="B953" s="13"/>
      <c r="C953" s="14" t="s">
        <v>19</v>
      </c>
      <c r="D953" s="13"/>
      <c r="E953" s="362" t="s">
        <v>1810</v>
      </c>
      <c r="F953" s="98"/>
      <c r="G953" s="363" t="s">
        <v>1739</v>
      </c>
    </row>
    <row r="954" spans="1:7" x14ac:dyDescent="0.2">
      <c r="A954" s="17" t="s">
        <v>8</v>
      </c>
      <c r="B954" s="100"/>
      <c r="C954" s="19"/>
      <c r="D954" s="4"/>
      <c r="E954" s="918"/>
      <c r="F954" s="919"/>
      <c r="G954" s="20"/>
    </row>
    <row r="955" spans="1:7" x14ac:dyDescent="0.2">
      <c r="A955" s="21" t="s">
        <v>37</v>
      </c>
      <c r="B955" s="22"/>
      <c r="C955" s="22"/>
      <c r="D955" s="22"/>
      <c r="E955" s="23" t="s">
        <v>46</v>
      </c>
      <c r="F955" s="24"/>
      <c r="G955" s="20" t="s">
        <v>50</v>
      </c>
    </row>
    <row r="956" spans="1:7" x14ac:dyDescent="0.2">
      <c r="A956" s="6"/>
      <c r="B956" s="99"/>
      <c r="C956" s="8"/>
      <c r="D956" s="8"/>
      <c r="E956" s="920"/>
      <c r="F956" s="921"/>
      <c r="G956" s="25"/>
    </row>
    <row r="957" spans="1:7" ht="26.25" thickBot="1" x14ac:dyDescent="0.25">
      <c r="A957" s="207" t="s">
        <v>47</v>
      </c>
      <c r="B957" s="28" t="s">
        <v>23</v>
      </c>
      <c r="C957" s="28" t="s">
        <v>34</v>
      </c>
      <c r="D957" s="110" t="s">
        <v>53</v>
      </c>
      <c r="E957" s="114" t="s">
        <v>54</v>
      </c>
      <c r="F957" s="111" t="s">
        <v>55</v>
      </c>
      <c r="G957" s="112" t="s">
        <v>35</v>
      </c>
    </row>
    <row r="958" spans="1:7" ht="13.5" thickTop="1" x14ac:dyDescent="0.2">
      <c r="A958" s="29">
        <v>1</v>
      </c>
      <c r="B958" s="101"/>
      <c r="C958" s="371" t="s">
        <v>242</v>
      </c>
      <c r="D958" s="376" t="s">
        <v>305</v>
      </c>
      <c r="E958" s="158">
        <v>15</v>
      </c>
      <c r="F958" s="128">
        <v>450</v>
      </c>
      <c r="G958" s="35">
        <f>F958*E958</f>
        <v>6750</v>
      </c>
    </row>
    <row r="959" spans="1:7" x14ac:dyDescent="0.2">
      <c r="A959" s="29"/>
      <c r="B959" s="101"/>
      <c r="C959" s="371"/>
      <c r="D959" s="370" t="s">
        <v>886</v>
      </c>
      <c r="E959" s="158"/>
      <c r="F959" s="128"/>
      <c r="G959" s="35"/>
    </row>
    <row r="960" spans="1:7" x14ac:dyDescent="0.2">
      <c r="A960" s="29"/>
      <c r="B960" s="101"/>
      <c r="C960" s="41"/>
      <c r="D960" s="370"/>
      <c r="E960" s="157"/>
      <c r="F960" s="149"/>
      <c r="G960" s="372"/>
    </row>
    <row r="961" spans="1:7" x14ac:dyDescent="0.2">
      <c r="A961" s="29"/>
      <c r="B961" s="101"/>
      <c r="C961" s="371"/>
      <c r="D961" s="370"/>
      <c r="E961" s="158"/>
      <c r="F961" s="128"/>
      <c r="G961" s="35"/>
    </row>
    <row r="962" spans="1:7" x14ac:dyDescent="0.2">
      <c r="A962" s="29"/>
      <c r="B962" s="105"/>
      <c r="C962" s="41"/>
      <c r="D962" s="136"/>
      <c r="E962" s="102"/>
      <c r="F962" s="128"/>
      <c r="G962" s="35"/>
    </row>
    <row r="963" spans="1:7" x14ac:dyDescent="0.2">
      <c r="A963" s="29"/>
      <c r="B963" s="105"/>
      <c r="C963" s="41"/>
      <c r="D963" s="136"/>
      <c r="E963" s="102"/>
      <c r="F963" s="128"/>
      <c r="G963" s="35"/>
    </row>
    <row r="964" spans="1:7" x14ac:dyDescent="0.2">
      <c r="A964" s="29"/>
      <c r="B964" s="151"/>
      <c r="C964" s="119"/>
      <c r="D964" s="376" t="s">
        <v>8</v>
      </c>
      <c r="E964" s="108"/>
      <c r="F964" s="150"/>
      <c r="G964" s="35"/>
    </row>
    <row r="965" spans="1:7" x14ac:dyDescent="0.2">
      <c r="A965" s="29"/>
      <c r="B965" s="151"/>
      <c r="C965" s="119"/>
      <c r="D965" s="144"/>
      <c r="E965" s="108"/>
      <c r="F965" s="150"/>
      <c r="G965" s="35"/>
    </row>
    <row r="966" spans="1:7" x14ac:dyDescent="0.2">
      <c r="A966" s="29"/>
      <c r="B966" s="101"/>
      <c r="C966" s="41"/>
      <c r="D966" s="144"/>
      <c r="E966" s="155"/>
      <c r="F966" s="128"/>
      <c r="G966" s="35"/>
    </row>
    <row r="967" spans="1:7" x14ac:dyDescent="0.2">
      <c r="A967" s="29"/>
      <c r="B967" s="106"/>
      <c r="C967" s="41"/>
      <c r="D967" s="136"/>
      <c r="E967" s="104"/>
      <c r="F967" s="128"/>
      <c r="G967" s="35"/>
    </row>
    <row r="968" spans="1:7" x14ac:dyDescent="0.2">
      <c r="A968" s="29"/>
      <c r="B968" s="105"/>
      <c r="C968" s="41"/>
      <c r="D968" s="136"/>
      <c r="E968" s="108"/>
      <c r="F968" s="152"/>
      <c r="G968" s="35"/>
    </row>
    <row r="969" spans="1:7" x14ac:dyDescent="0.2">
      <c r="A969" s="29"/>
      <c r="B969" s="107"/>
      <c r="C969" s="41"/>
      <c r="D969" s="136"/>
      <c r="E969" s="153"/>
      <c r="F969" s="128"/>
      <c r="G969" s="35"/>
    </row>
    <row r="970" spans="1:7" x14ac:dyDescent="0.2">
      <c r="A970" s="29"/>
      <c r="B970" s="107"/>
      <c r="C970" s="41"/>
      <c r="D970" s="67"/>
      <c r="E970" s="153"/>
      <c r="F970" s="128"/>
      <c r="G970" s="35"/>
    </row>
    <row r="971" spans="1:7" x14ac:dyDescent="0.2">
      <c r="A971" s="29"/>
      <c r="B971" s="101"/>
      <c r="C971" s="41"/>
      <c r="D971" s="67"/>
      <c r="E971" s="108"/>
      <c r="F971" s="128"/>
      <c r="G971" s="35"/>
    </row>
    <row r="972" spans="1:7" x14ac:dyDescent="0.2">
      <c r="A972" s="29"/>
      <c r="B972" s="101"/>
      <c r="C972" s="41"/>
      <c r="D972" s="67"/>
      <c r="E972" s="153"/>
      <c r="F972" s="128"/>
      <c r="G972" s="35"/>
    </row>
    <row r="973" spans="1:7" x14ac:dyDescent="0.2">
      <c r="A973" s="29"/>
      <c r="B973" s="106"/>
      <c r="C973" s="41"/>
      <c r="D973" s="67"/>
      <c r="E973" s="104"/>
      <c r="F973" s="154"/>
      <c r="G973" s="35"/>
    </row>
    <row r="974" spans="1:7" x14ac:dyDescent="0.2">
      <c r="A974" s="29"/>
      <c r="B974" s="105"/>
      <c r="C974" s="41"/>
      <c r="D974" s="130"/>
      <c r="E974" s="104"/>
      <c r="F974" s="154"/>
      <c r="G974" s="35"/>
    </row>
    <row r="975" spans="1:7" x14ac:dyDescent="0.2">
      <c r="A975" s="29"/>
      <c r="B975" s="105"/>
      <c r="C975" s="41"/>
      <c r="D975" s="67"/>
      <c r="E975" s="104"/>
      <c r="F975" s="154"/>
      <c r="G975" s="35"/>
    </row>
    <row r="976" spans="1:7" x14ac:dyDescent="0.2">
      <c r="A976" s="29"/>
      <c r="B976" s="101"/>
      <c r="C976" s="41"/>
      <c r="D976" s="67"/>
      <c r="E976" s="104"/>
      <c r="F976" s="154"/>
      <c r="G976" s="35"/>
    </row>
    <row r="977" spans="1:7" x14ac:dyDescent="0.2">
      <c r="A977" s="29"/>
      <c r="B977" s="101"/>
      <c r="C977" s="41"/>
      <c r="D977" s="136"/>
      <c r="E977" s="104"/>
      <c r="F977" s="154"/>
      <c r="G977" s="35"/>
    </row>
    <row r="978" spans="1:7" x14ac:dyDescent="0.2">
      <c r="A978" s="29"/>
      <c r="B978" s="101"/>
      <c r="C978" s="41"/>
      <c r="D978" s="136"/>
      <c r="E978" s="104"/>
      <c r="F978" s="154"/>
      <c r="G978" s="35"/>
    </row>
    <row r="979" spans="1:7" x14ac:dyDescent="0.2">
      <c r="A979" s="29"/>
      <c r="B979" s="101"/>
      <c r="C979" s="41"/>
      <c r="D979" s="62"/>
      <c r="E979" s="104"/>
      <c r="F979" s="154"/>
      <c r="G979" s="35"/>
    </row>
    <row r="980" spans="1:7" x14ac:dyDescent="0.2">
      <c r="A980" s="29"/>
      <c r="B980" s="101"/>
      <c r="C980" s="41"/>
      <c r="D980" s="67"/>
      <c r="E980" s="104"/>
      <c r="F980" s="154"/>
      <c r="G980" s="35"/>
    </row>
    <row r="981" spans="1:7" x14ac:dyDescent="0.2">
      <c r="A981" s="29"/>
      <c r="B981" s="101"/>
      <c r="C981" s="41"/>
      <c r="D981" s="67"/>
      <c r="E981" s="104"/>
      <c r="F981" s="154"/>
      <c r="G981" s="35"/>
    </row>
    <row r="982" spans="1:7" x14ac:dyDescent="0.2">
      <c r="A982" s="29"/>
      <c r="B982" s="101"/>
      <c r="C982" s="41"/>
      <c r="D982" s="67"/>
      <c r="E982" s="104"/>
      <c r="F982" s="154"/>
      <c r="G982" s="35"/>
    </row>
    <row r="983" spans="1:7" x14ac:dyDescent="0.2">
      <c r="A983" s="29"/>
      <c r="B983" s="101"/>
      <c r="C983" s="41"/>
      <c r="D983" s="67"/>
      <c r="E983" s="104"/>
      <c r="F983" s="154"/>
      <c r="G983" s="35"/>
    </row>
    <row r="984" spans="1:7" x14ac:dyDescent="0.2">
      <c r="A984" s="29"/>
      <c r="B984" s="101"/>
      <c r="C984" s="41"/>
      <c r="D984" s="67"/>
      <c r="E984" s="104"/>
      <c r="F984" s="154"/>
      <c r="G984" s="35"/>
    </row>
    <row r="985" spans="1:7" x14ac:dyDescent="0.2">
      <c r="A985" s="29"/>
      <c r="B985" s="101"/>
      <c r="C985" s="41"/>
      <c r="D985" s="159"/>
      <c r="E985" s="104"/>
      <c r="F985" s="154"/>
      <c r="G985" s="35"/>
    </row>
    <row r="986" spans="1:7" x14ac:dyDescent="0.2">
      <c r="A986" s="29"/>
      <c r="B986" s="101"/>
      <c r="C986" s="41"/>
      <c r="D986" s="160"/>
      <c r="E986" s="108"/>
      <c r="F986" s="128"/>
      <c r="G986" s="35"/>
    </row>
    <row r="987" spans="1:7" x14ac:dyDescent="0.2">
      <c r="A987" s="29"/>
      <c r="B987" s="101"/>
      <c r="C987" s="41"/>
      <c r="D987" s="136"/>
      <c r="E987" s="153"/>
      <c r="F987" s="128"/>
      <c r="G987" s="35"/>
    </row>
    <row r="988" spans="1:7" x14ac:dyDescent="0.2">
      <c r="A988" s="29"/>
      <c r="B988" s="101"/>
      <c r="C988" s="41"/>
      <c r="D988" s="136"/>
      <c r="E988" s="102"/>
      <c r="F988" s="128"/>
      <c r="G988" s="35"/>
    </row>
    <row r="989" spans="1:7" x14ac:dyDescent="0.2">
      <c r="A989" s="29"/>
      <c r="B989" s="101"/>
      <c r="C989" s="31"/>
      <c r="D989" s="67"/>
      <c r="E989" s="131"/>
      <c r="F989" s="117"/>
      <c r="G989" s="35"/>
    </row>
    <row r="990" spans="1:7" x14ac:dyDescent="0.2">
      <c r="A990" s="29"/>
      <c r="B990" s="101"/>
      <c r="C990" s="41"/>
      <c r="D990" s="118"/>
      <c r="E990" s="108"/>
      <c r="F990" s="149"/>
      <c r="G990" s="35"/>
    </row>
    <row r="991" spans="1:7" x14ac:dyDescent="0.2">
      <c r="A991" s="29"/>
      <c r="B991" s="101"/>
      <c r="C991" s="41"/>
      <c r="D991" s="144"/>
      <c r="E991" s="108"/>
      <c r="F991" s="149"/>
      <c r="G991" s="35"/>
    </row>
    <row r="992" spans="1:7" ht="13.5" thickBot="1" x14ac:dyDescent="0.25">
      <c r="A992" s="45"/>
      <c r="B992" s="132"/>
      <c r="C992" s="115"/>
      <c r="D992" s="115"/>
      <c r="E992" s="132"/>
      <c r="F992" s="49" t="s">
        <v>15</v>
      </c>
      <c r="G992" s="50">
        <f>SUM(G958:G991)</f>
        <v>6750</v>
      </c>
    </row>
    <row r="993" spans="1:7" ht="13.5" thickTop="1" x14ac:dyDescent="0.2">
      <c r="A993" s="875" t="s">
        <v>1679</v>
      </c>
      <c r="B993" s="899"/>
      <c r="C993" s="899"/>
      <c r="D993" s="899"/>
      <c r="E993" s="899"/>
      <c r="F993" s="899"/>
      <c r="G993" s="900"/>
    </row>
    <row r="994" spans="1:7" ht="13.5" thickBot="1" x14ac:dyDescent="0.25">
      <c r="A994" s="926" t="s">
        <v>1680</v>
      </c>
      <c r="B994" s="927"/>
      <c r="C994" s="927"/>
      <c r="D994" s="927"/>
      <c r="E994" s="927"/>
      <c r="F994" s="927"/>
      <c r="G994" s="928"/>
    </row>
    <row r="995" spans="1:7" ht="13.5" thickTop="1" x14ac:dyDescent="0.2">
      <c r="A995" s="906"/>
      <c r="B995" s="907"/>
      <c r="C995" s="907"/>
      <c r="D995" s="57" t="s">
        <v>11</v>
      </c>
      <c r="E995" s="908" t="s">
        <v>12</v>
      </c>
      <c r="F995" s="908"/>
      <c r="G995" s="909"/>
    </row>
    <row r="996" spans="1:7" x14ac:dyDescent="0.2">
      <c r="A996" s="910" t="s">
        <v>17</v>
      </c>
      <c r="B996" s="911"/>
      <c r="C996" s="911"/>
      <c r="D996" s="39"/>
      <c r="E996" s="912"/>
      <c r="F996" s="913"/>
      <c r="G996" s="914"/>
    </row>
    <row r="997" spans="1:7" x14ac:dyDescent="0.2">
      <c r="A997" s="910" t="s">
        <v>38</v>
      </c>
      <c r="B997" s="911"/>
      <c r="C997" s="911"/>
      <c r="D997" s="58" t="s">
        <v>887</v>
      </c>
      <c r="E997" s="868" t="s">
        <v>142</v>
      </c>
      <c r="F997" s="868"/>
      <c r="G997" s="869"/>
    </row>
    <row r="998" spans="1:7" ht="13.5" thickBot="1" x14ac:dyDescent="0.25">
      <c r="A998" s="901" t="s">
        <v>39</v>
      </c>
      <c r="B998" s="902"/>
      <c r="C998" s="902"/>
      <c r="D998" s="59" t="s">
        <v>44</v>
      </c>
      <c r="E998" s="904" t="s">
        <v>0</v>
      </c>
      <c r="F998" s="904"/>
      <c r="G998" s="905"/>
    </row>
    <row r="999" spans="1:7" ht="16.5" x14ac:dyDescent="0.25">
      <c r="A999" s="885" t="s">
        <v>29</v>
      </c>
      <c r="B999" s="886"/>
      <c r="C999" s="886"/>
      <c r="D999" s="886"/>
      <c r="E999" s="886"/>
      <c r="F999" s="886"/>
      <c r="G999" s="887"/>
    </row>
    <row r="1000" spans="1:7" x14ac:dyDescent="0.2">
      <c r="A1000" s="888" t="s">
        <v>48</v>
      </c>
      <c r="B1000" s="889"/>
      <c r="C1000" s="889"/>
      <c r="D1000" s="889"/>
      <c r="E1000" s="889"/>
      <c r="F1000" s="889"/>
      <c r="G1000" s="890"/>
    </row>
    <row r="1001" spans="1:7" x14ac:dyDescent="0.2">
      <c r="A1001" s="915" t="s">
        <v>49</v>
      </c>
      <c r="B1001" s="916"/>
      <c r="C1001" s="916"/>
      <c r="D1001" s="916"/>
      <c r="E1001" s="916"/>
      <c r="F1001" s="916"/>
      <c r="G1001" s="917"/>
    </row>
    <row r="1002" spans="1:7" x14ac:dyDescent="0.2">
      <c r="A1002" s="6"/>
      <c r="B1002" s="99"/>
      <c r="C1002" s="8"/>
      <c r="D1002" s="9"/>
      <c r="E1002" s="99"/>
      <c r="F1002" s="10"/>
      <c r="G1002" s="11" t="s">
        <v>20</v>
      </c>
    </row>
    <row r="1003" spans="1:7" x14ac:dyDescent="0.2">
      <c r="A1003" s="12" t="s">
        <v>1</v>
      </c>
      <c r="B1003" s="13"/>
      <c r="C1003" s="14" t="s">
        <v>19</v>
      </c>
      <c r="D1003" s="13"/>
      <c r="E1003" s="362" t="s">
        <v>1811</v>
      </c>
      <c r="F1003" s="98"/>
      <c r="G1003" s="363" t="s">
        <v>1739</v>
      </c>
    </row>
    <row r="1004" spans="1:7" x14ac:dyDescent="0.2">
      <c r="A1004" s="17" t="s">
        <v>8</v>
      </c>
      <c r="B1004" s="100"/>
      <c r="C1004" s="19"/>
      <c r="D1004" s="4"/>
      <c r="E1004" s="918"/>
      <c r="F1004" s="919"/>
      <c r="G1004" s="20"/>
    </row>
    <row r="1005" spans="1:7" x14ac:dyDescent="0.2">
      <c r="A1005" s="21" t="s">
        <v>37</v>
      </c>
      <c r="B1005" s="22"/>
      <c r="C1005" s="22"/>
      <c r="D1005" s="22"/>
      <c r="E1005" s="23" t="s">
        <v>46</v>
      </c>
      <c r="F1005" s="24"/>
      <c r="G1005" s="20" t="s">
        <v>50</v>
      </c>
    </row>
    <row r="1006" spans="1:7" x14ac:dyDescent="0.2">
      <c r="A1006" s="6"/>
      <c r="B1006" s="99"/>
      <c r="C1006" s="8"/>
      <c r="D1006" s="8"/>
      <c r="E1006" s="920"/>
      <c r="F1006" s="921"/>
      <c r="G1006" s="25"/>
    </row>
    <row r="1007" spans="1:7" ht="26.25" thickBot="1" x14ac:dyDescent="0.25">
      <c r="A1007" s="207" t="s">
        <v>47</v>
      </c>
      <c r="B1007" s="28" t="s">
        <v>23</v>
      </c>
      <c r="C1007" s="28" t="s">
        <v>34</v>
      </c>
      <c r="D1007" s="110" t="s">
        <v>53</v>
      </c>
      <c r="E1007" s="114" t="s">
        <v>54</v>
      </c>
      <c r="F1007" s="111" t="s">
        <v>55</v>
      </c>
      <c r="G1007" s="112" t="s">
        <v>35</v>
      </c>
    </row>
    <row r="1008" spans="1:7" ht="13.5" thickTop="1" x14ac:dyDescent="0.2">
      <c r="A1008" s="29">
        <v>1</v>
      </c>
      <c r="B1008" s="101"/>
      <c r="C1008" s="371" t="s">
        <v>242</v>
      </c>
      <c r="D1008" s="376" t="s">
        <v>305</v>
      </c>
      <c r="E1008" s="158">
        <v>35</v>
      </c>
      <c r="F1008" s="128">
        <v>450</v>
      </c>
      <c r="G1008" s="35">
        <f>F1008*E1008</f>
        <v>15750</v>
      </c>
    </row>
    <row r="1009" spans="1:7" x14ac:dyDescent="0.2">
      <c r="A1009" s="29"/>
      <c r="B1009" s="101"/>
      <c r="C1009" s="371"/>
      <c r="D1009" s="370" t="s">
        <v>886</v>
      </c>
      <c r="E1009" s="158"/>
      <c r="F1009" s="128"/>
      <c r="G1009" s="35"/>
    </row>
    <row r="1010" spans="1:7" x14ac:dyDescent="0.2">
      <c r="A1010" s="29"/>
      <c r="B1010" s="101"/>
      <c r="C1010" s="41"/>
      <c r="D1010" s="370"/>
      <c r="E1010" s="157"/>
      <c r="F1010" s="149"/>
      <c r="G1010" s="372"/>
    </row>
    <row r="1011" spans="1:7" x14ac:dyDescent="0.2">
      <c r="A1011" s="29"/>
      <c r="B1011" s="101"/>
      <c r="C1011" s="371"/>
      <c r="D1011" s="370"/>
      <c r="E1011" s="158"/>
      <c r="F1011" s="128"/>
      <c r="G1011" s="35"/>
    </row>
    <row r="1012" spans="1:7" x14ac:dyDescent="0.2">
      <c r="A1012" s="29"/>
      <c r="B1012" s="105"/>
      <c r="C1012" s="41"/>
      <c r="D1012" s="136"/>
      <c r="E1012" s="102"/>
      <c r="F1012" s="128"/>
      <c r="G1012" s="35"/>
    </row>
    <row r="1013" spans="1:7" x14ac:dyDescent="0.2">
      <c r="A1013" s="29"/>
      <c r="B1013" s="105"/>
      <c r="C1013" s="41"/>
      <c r="D1013" s="136"/>
      <c r="E1013" s="102"/>
      <c r="F1013" s="128"/>
      <c r="G1013" s="35"/>
    </row>
    <row r="1014" spans="1:7" x14ac:dyDescent="0.2">
      <c r="A1014" s="29"/>
      <c r="B1014" s="151"/>
      <c r="C1014" s="119"/>
      <c r="D1014" s="376" t="s">
        <v>8</v>
      </c>
      <c r="E1014" s="108"/>
      <c r="F1014" s="150"/>
      <c r="G1014" s="35"/>
    </row>
    <row r="1015" spans="1:7" x14ac:dyDescent="0.2">
      <c r="A1015" s="29"/>
      <c r="B1015" s="151"/>
      <c r="C1015" s="119"/>
      <c r="D1015" s="144"/>
      <c r="E1015" s="108"/>
      <c r="F1015" s="150"/>
      <c r="G1015" s="35"/>
    </row>
    <row r="1016" spans="1:7" x14ac:dyDescent="0.2">
      <c r="A1016" s="29"/>
      <c r="B1016" s="101"/>
      <c r="C1016" s="41"/>
      <c r="D1016" s="144"/>
      <c r="E1016" s="155"/>
      <c r="F1016" s="128"/>
      <c r="G1016" s="35"/>
    </row>
    <row r="1017" spans="1:7" x14ac:dyDescent="0.2">
      <c r="A1017" s="29"/>
      <c r="B1017" s="106"/>
      <c r="C1017" s="41"/>
      <c r="D1017" s="136"/>
      <c r="E1017" s="104"/>
      <c r="F1017" s="128"/>
      <c r="G1017" s="35"/>
    </row>
    <row r="1018" spans="1:7" x14ac:dyDescent="0.2">
      <c r="A1018" s="29"/>
      <c r="B1018" s="105"/>
      <c r="C1018" s="41"/>
      <c r="D1018" s="136"/>
      <c r="E1018" s="108"/>
      <c r="F1018" s="152"/>
      <c r="G1018" s="35"/>
    </row>
    <row r="1019" spans="1:7" x14ac:dyDescent="0.2">
      <c r="A1019" s="29"/>
      <c r="B1019" s="107"/>
      <c r="C1019" s="41"/>
      <c r="D1019" s="136"/>
      <c r="E1019" s="153"/>
      <c r="F1019" s="128"/>
      <c r="G1019" s="35"/>
    </row>
    <row r="1020" spans="1:7" x14ac:dyDescent="0.2">
      <c r="A1020" s="29"/>
      <c r="B1020" s="107"/>
      <c r="C1020" s="41"/>
      <c r="D1020" s="67"/>
      <c r="E1020" s="153"/>
      <c r="F1020" s="128"/>
      <c r="G1020" s="35"/>
    </row>
    <row r="1021" spans="1:7" x14ac:dyDescent="0.2">
      <c r="A1021" s="29"/>
      <c r="B1021" s="101"/>
      <c r="C1021" s="41"/>
      <c r="D1021" s="67"/>
      <c r="E1021" s="108"/>
      <c r="F1021" s="128"/>
      <c r="G1021" s="35"/>
    </row>
    <row r="1022" spans="1:7" x14ac:dyDescent="0.2">
      <c r="A1022" s="29"/>
      <c r="B1022" s="101"/>
      <c r="C1022" s="41"/>
      <c r="D1022" s="67"/>
      <c r="E1022" s="153"/>
      <c r="F1022" s="128"/>
      <c r="G1022" s="35"/>
    </row>
    <row r="1023" spans="1:7" x14ac:dyDescent="0.2">
      <c r="A1023" s="29"/>
      <c r="B1023" s="106"/>
      <c r="C1023" s="41"/>
      <c r="D1023" s="67"/>
      <c r="E1023" s="104"/>
      <c r="F1023" s="154"/>
      <c r="G1023" s="35"/>
    </row>
    <row r="1024" spans="1:7" x14ac:dyDescent="0.2">
      <c r="A1024" s="29"/>
      <c r="B1024" s="105"/>
      <c r="C1024" s="41"/>
      <c r="D1024" s="130"/>
      <c r="E1024" s="104"/>
      <c r="F1024" s="154"/>
      <c r="G1024" s="35"/>
    </row>
    <row r="1025" spans="1:7" x14ac:dyDescent="0.2">
      <c r="A1025" s="29"/>
      <c r="B1025" s="105"/>
      <c r="C1025" s="41"/>
      <c r="D1025" s="67"/>
      <c r="E1025" s="104"/>
      <c r="F1025" s="154"/>
      <c r="G1025" s="35"/>
    </row>
    <row r="1026" spans="1:7" x14ac:dyDescent="0.2">
      <c r="A1026" s="29"/>
      <c r="B1026" s="101"/>
      <c r="C1026" s="41"/>
      <c r="D1026" s="67"/>
      <c r="E1026" s="104"/>
      <c r="F1026" s="154"/>
      <c r="G1026" s="35"/>
    </row>
    <row r="1027" spans="1:7" x14ac:dyDescent="0.2">
      <c r="A1027" s="29"/>
      <c r="B1027" s="101"/>
      <c r="C1027" s="41"/>
      <c r="D1027" s="136"/>
      <c r="E1027" s="104"/>
      <c r="F1027" s="154"/>
      <c r="G1027" s="35"/>
    </row>
    <row r="1028" spans="1:7" x14ac:dyDescent="0.2">
      <c r="A1028" s="29"/>
      <c r="B1028" s="101"/>
      <c r="C1028" s="41"/>
      <c r="D1028" s="136"/>
      <c r="E1028" s="104"/>
      <c r="F1028" s="154"/>
      <c r="G1028" s="35"/>
    </row>
    <row r="1029" spans="1:7" x14ac:dyDescent="0.2">
      <c r="A1029" s="29"/>
      <c r="B1029" s="101"/>
      <c r="C1029" s="41"/>
      <c r="D1029" s="62"/>
      <c r="E1029" s="104"/>
      <c r="F1029" s="154"/>
      <c r="G1029" s="35"/>
    </row>
    <row r="1030" spans="1:7" x14ac:dyDescent="0.2">
      <c r="A1030" s="29"/>
      <c r="B1030" s="101"/>
      <c r="C1030" s="41"/>
      <c r="D1030" s="67"/>
      <c r="E1030" s="104"/>
      <c r="F1030" s="154"/>
      <c r="G1030" s="35"/>
    </row>
    <row r="1031" spans="1:7" x14ac:dyDescent="0.2">
      <c r="A1031" s="29"/>
      <c r="B1031" s="101"/>
      <c r="C1031" s="41"/>
      <c r="D1031" s="67"/>
      <c r="E1031" s="104"/>
      <c r="F1031" s="154"/>
      <c r="G1031" s="35"/>
    </row>
    <row r="1032" spans="1:7" x14ac:dyDescent="0.2">
      <c r="A1032" s="29"/>
      <c r="B1032" s="101"/>
      <c r="C1032" s="41"/>
      <c r="D1032" s="67"/>
      <c r="E1032" s="104"/>
      <c r="F1032" s="154"/>
      <c r="G1032" s="35"/>
    </row>
    <row r="1033" spans="1:7" x14ac:dyDescent="0.2">
      <c r="A1033" s="29"/>
      <c r="B1033" s="101"/>
      <c r="C1033" s="41"/>
      <c r="D1033" s="67"/>
      <c r="E1033" s="104"/>
      <c r="F1033" s="154"/>
      <c r="G1033" s="35"/>
    </row>
    <row r="1034" spans="1:7" x14ac:dyDescent="0.2">
      <c r="A1034" s="29"/>
      <c r="B1034" s="101"/>
      <c r="C1034" s="41"/>
      <c r="D1034" s="67"/>
      <c r="E1034" s="104"/>
      <c r="F1034" s="154"/>
      <c r="G1034" s="35"/>
    </row>
    <row r="1035" spans="1:7" x14ac:dyDescent="0.2">
      <c r="A1035" s="29"/>
      <c r="B1035" s="101"/>
      <c r="C1035" s="41"/>
      <c r="D1035" s="159"/>
      <c r="E1035" s="104"/>
      <c r="F1035" s="154"/>
      <c r="G1035" s="35"/>
    </row>
    <row r="1036" spans="1:7" x14ac:dyDescent="0.2">
      <c r="A1036" s="29"/>
      <c r="B1036" s="101"/>
      <c r="C1036" s="41"/>
      <c r="D1036" s="160"/>
      <c r="E1036" s="108"/>
      <c r="F1036" s="128"/>
      <c r="G1036" s="35"/>
    </row>
    <row r="1037" spans="1:7" x14ac:dyDescent="0.2">
      <c r="A1037" s="29"/>
      <c r="B1037" s="101"/>
      <c r="C1037" s="41"/>
      <c r="D1037" s="136"/>
      <c r="E1037" s="153"/>
      <c r="F1037" s="128"/>
      <c r="G1037" s="35"/>
    </row>
    <row r="1038" spans="1:7" x14ac:dyDescent="0.2">
      <c r="A1038" s="29"/>
      <c r="B1038" s="101"/>
      <c r="C1038" s="41"/>
      <c r="D1038" s="136"/>
      <c r="E1038" s="102"/>
      <c r="F1038" s="128"/>
      <c r="G1038" s="35"/>
    </row>
    <row r="1039" spans="1:7" x14ac:dyDescent="0.2">
      <c r="A1039" s="29"/>
      <c r="B1039" s="101"/>
      <c r="C1039" s="31"/>
      <c r="D1039" s="67"/>
      <c r="E1039" s="131"/>
      <c r="F1039" s="117"/>
      <c r="G1039" s="35"/>
    </row>
    <row r="1040" spans="1:7" x14ac:dyDescent="0.2">
      <c r="A1040" s="29"/>
      <c r="B1040" s="101"/>
      <c r="C1040" s="41"/>
      <c r="D1040" s="118"/>
      <c r="E1040" s="108"/>
      <c r="F1040" s="149"/>
      <c r="G1040" s="35"/>
    </row>
    <row r="1041" spans="1:7" x14ac:dyDescent="0.2">
      <c r="A1041" s="29"/>
      <c r="B1041" s="101"/>
      <c r="C1041" s="41"/>
      <c r="D1041" s="144"/>
      <c r="E1041" s="108"/>
      <c r="F1041" s="149"/>
      <c r="G1041" s="35"/>
    </row>
    <row r="1042" spans="1:7" ht="13.5" thickBot="1" x14ac:dyDescent="0.25">
      <c r="A1042" s="45"/>
      <c r="B1042" s="132"/>
      <c r="C1042" s="115"/>
      <c r="D1042" s="115"/>
      <c r="E1042" s="132"/>
      <c r="F1042" s="49" t="s">
        <v>15</v>
      </c>
      <c r="G1042" s="50">
        <f>SUM(G1008:G1041)</f>
        <v>15750</v>
      </c>
    </row>
    <row r="1043" spans="1:7" ht="13.5" thickTop="1" x14ac:dyDescent="0.2">
      <c r="A1043" s="875" t="s">
        <v>1681</v>
      </c>
      <c r="B1043" s="899"/>
      <c r="C1043" s="899"/>
      <c r="D1043" s="899"/>
      <c r="E1043" s="899"/>
      <c r="F1043" s="899"/>
      <c r="G1043" s="900"/>
    </row>
    <row r="1044" spans="1:7" ht="13.5" thickBot="1" x14ac:dyDescent="0.25">
      <c r="A1044" s="926" t="s">
        <v>1682</v>
      </c>
      <c r="B1044" s="927"/>
      <c r="C1044" s="927"/>
      <c r="D1044" s="927"/>
      <c r="E1044" s="927"/>
      <c r="F1044" s="927"/>
      <c r="G1044" s="928"/>
    </row>
    <row r="1045" spans="1:7" ht="13.5" thickTop="1" x14ac:dyDescent="0.2">
      <c r="A1045" s="906"/>
      <c r="B1045" s="907"/>
      <c r="C1045" s="907"/>
      <c r="D1045" s="57" t="s">
        <v>11</v>
      </c>
      <c r="E1045" s="908" t="s">
        <v>12</v>
      </c>
      <c r="F1045" s="908"/>
      <c r="G1045" s="909"/>
    </row>
    <row r="1046" spans="1:7" x14ac:dyDescent="0.2">
      <c r="A1046" s="910" t="s">
        <v>17</v>
      </c>
      <c r="B1046" s="911"/>
      <c r="C1046" s="911"/>
      <c r="D1046" s="39"/>
      <c r="E1046" s="912"/>
      <c r="F1046" s="913"/>
      <c r="G1046" s="914"/>
    </row>
    <row r="1047" spans="1:7" x14ac:dyDescent="0.2">
      <c r="A1047" s="910" t="s">
        <v>38</v>
      </c>
      <c r="B1047" s="911"/>
      <c r="C1047" s="911"/>
      <c r="D1047" s="58" t="s">
        <v>887</v>
      </c>
      <c r="E1047" s="868" t="s">
        <v>142</v>
      </c>
      <c r="F1047" s="868"/>
      <c r="G1047" s="869"/>
    </row>
    <row r="1048" spans="1:7" ht="13.5" thickBot="1" x14ac:dyDescent="0.25">
      <c r="A1048" s="901" t="s">
        <v>39</v>
      </c>
      <c r="B1048" s="902"/>
      <c r="C1048" s="902"/>
      <c r="D1048" s="59" t="s">
        <v>44</v>
      </c>
      <c r="E1048" s="904" t="s">
        <v>0</v>
      </c>
      <c r="F1048" s="904"/>
      <c r="G1048" s="905"/>
    </row>
    <row r="1049" spans="1:7" ht="16.5" x14ac:dyDescent="0.25">
      <c r="A1049" s="885" t="s">
        <v>29</v>
      </c>
      <c r="B1049" s="886"/>
      <c r="C1049" s="886"/>
      <c r="D1049" s="886"/>
      <c r="E1049" s="886"/>
      <c r="F1049" s="886"/>
      <c r="G1049" s="887"/>
    </row>
    <row r="1050" spans="1:7" x14ac:dyDescent="0.2">
      <c r="A1050" s="888" t="s">
        <v>48</v>
      </c>
      <c r="B1050" s="889"/>
      <c r="C1050" s="889"/>
      <c r="D1050" s="889"/>
      <c r="E1050" s="889"/>
      <c r="F1050" s="889"/>
      <c r="G1050" s="890"/>
    </row>
    <row r="1051" spans="1:7" x14ac:dyDescent="0.2">
      <c r="A1051" s="915" t="s">
        <v>49</v>
      </c>
      <c r="B1051" s="916"/>
      <c r="C1051" s="916"/>
      <c r="D1051" s="916"/>
      <c r="E1051" s="916"/>
      <c r="F1051" s="916"/>
      <c r="G1051" s="917"/>
    </row>
    <row r="1052" spans="1:7" x14ac:dyDescent="0.2">
      <c r="A1052" s="6"/>
      <c r="B1052" s="99"/>
      <c r="C1052" s="8"/>
      <c r="D1052" s="9"/>
      <c r="E1052" s="99"/>
      <c r="F1052" s="10"/>
      <c r="G1052" s="11" t="s">
        <v>20</v>
      </c>
    </row>
    <row r="1053" spans="1:7" x14ac:dyDescent="0.2">
      <c r="A1053" s="12" t="s">
        <v>1</v>
      </c>
      <c r="B1053" s="13"/>
      <c r="C1053" s="14" t="s">
        <v>19</v>
      </c>
      <c r="D1053" s="13"/>
      <c r="E1053" s="362" t="s">
        <v>1816</v>
      </c>
      <c r="F1053" s="98"/>
      <c r="G1053" s="363" t="s">
        <v>1739</v>
      </c>
    </row>
    <row r="1054" spans="1:7" x14ac:dyDescent="0.2">
      <c r="A1054" s="17" t="s">
        <v>8</v>
      </c>
      <c r="B1054" s="100"/>
      <c r="C1054" s="19"/>
      <c r="D1054" s="4"/>
      <c r="E1054" s="918"/>
      <c r="F1054" s="919"/>
      <c r="G1054" s="20"/>
    </row>
    <row r="1055" spans="1:7" x14ac:dyDescent="0.2">
      <c r="A1055" s="21" t="s">
        <v>37</v>
      </c>
      <c r="B1055" s="22"/>
      <c r="C1055" s="22"/>
      <c r="D1055" s="22"/>
      <c r="E1055" s="23" t="s">
        <v>46</v>
      </c>
      <c r="F1055" s="24"/>
      <c r="G1055" s="20" t="s">
        <v>50</v>
      </c>
    </row>
    <row r="1056" spans="1:7" x14ac:dyDescent="0.2">
      <c r="A1056" s="6"/>
      <c r="B1056" s="99"/>
      <c r="C1056" s="8"/>
      <c r="D1056" s="8"/>
      <c r="E1056" s="920"/>
      <c r="F1056" s="921"/>
      <c r="G1056" s="25"/>
    </row>
    <row r="1057" spans="1:7" ht="26.25" thickBot="1" x14ac:dyDescent="0.25">
      <c r="A1057" s="207" t="s">
        <v>47</v>
      </c>
      <c r="B1057" s="28" t="s">
        <v>23</v>
      </c>
      <c r="C1057" s="28" t="s">
        <v>34</v>
      </c>
      <c r="D1057" s="110" t="s">
        <v>53</v>
      </c>
      <c r="E1057" s="114" t="s">
        <v>54</v>
      </c>
      <c r="F1057" s="111" t="s">
        <v>55</v>
      </c>
      <c r="G1057" s="112" t="s">
        <v>35</v>
      </c>
    </row>
    <row r="1058" spans="1:7" ht="13.5" thickTop="1" x14ac:dyDescent="0.2">
      <c r="A1058" s="29">
        <v>1</v>
      </c>
      <c r="B1058" s="101"/>
      <c r="C1058" s="371" t="s">
        <v>242</v>
      </c>
      <c r="D1058" s="376" t="s">
        <v>324</v>
      </c>
      <c r="E1058" s="158">
        <v>30</v>
      </c>
      <c r="F1058" s="128">
        <v>200</v>
      </c>
      <c r="G1058" s="35">
        <f>F1058*E1058</f>
        <v>6000</v>
      </c>
    </row>
    <row r="1059" spans="1:7" x14ac:dyDescent="0.2">
      <c r="A1059" s="29">
        <v>2</v>
      </c>
      <c r="B1059" s="101"/>
      <c r="C1059" s="371" t="s">
        <v>242</v>
      </c>
      <c r="D1059" s="370" t="s">
        <v>305</v>
      </c>
      <c r="E1059" s="158">
        <v>30</v>
      </c>
      <c r="F1059" s="128">
        <v>450</v>
      </c>
      <c r="G1059" s="35">
        <f t="shared" ref="G1059:G1061" si="2">F1059*E1059</f>
        <v>13500</v>
      </c>
    </row>
    <row r="1060" spans="1:7" x14ac:dyDescent="0.2">
      <c r="A1060" s="29"/>
      <c r="B1060" s="101"/>
      <c r="C1060" s="41"/>
      <c r="D1060" s="370" t="s">
        <v>886</v>
      </c>
      <c r="E1060" s="157"/>
      <c r="F1060" s="149"/>
      <c r="G1060" s="372" t="s">
        <v>8</v>
      </c>
    </row>
    <row r="1061" spans="1:7" x14ac:dyDescent="0.2">
      <c r="A1061" s="29">
        <v>3</v>
      </c>
      <c r="B1061" s="101"/>
      <c r="C1061" s="371" t="s">
        <v>242</v>
      </c>
      <c r="D1061" s="370" t="s">
        <v>310</v>
      </c>
      <c r="E1061" s="158">
        <v>30</v>
      </c>
      <c r="F1061" s="128">
        <v>200</v>
      </c>
      <c r="G1061" s="35">
        <f t="shared" si="2"/>
        <v>6000</v>
      </c>
    </row>
    <row r="1062" spans="1:7" x14ac:dyDescent="0.2">
      <c r="A1062" s="29"/>
      <c r="B1062" s="105"/>
      <c r="C1062" s="41"/>
      <c r="D1062" s="136"/>
      <c r="E1062" s="102"/>
      <c r="F1062" s="128"/>
      <c r="G1062" s="35"/>
    </row>
    <row r="1063" spans="1:7" x14ac:dyDescent="0.2">
      <c r="A1063" s="29"/>
      <c r="B1063" s="105"/>
      <c r="C1063" s="41"/>
      <c r="D1063" s="136"/>
      <c r="E1063" s="102"/>
      <c r="F1063" s="128"/>
      <c r="G1063" s="35"/>
    </row>
    <row r="1064" spans="1:7" x14ac:dyDescent="0.2">
      <c r="A1064" s="29"/>
      <c r="B1064" s="151"/>
      <c r="C1064" s="119"/>
      <c r="D1064" s="376" t="s">
        <v>8</v>
      </c>
      <c r="E1064" s="108"/>
      <c r="F1064" s="150"/>
      <c r="G1064" s="35"/>
    </row>
    <row r="1065" spans="1:7" x14ac:dyDescent="0.2">
      <c r="A1065" s="29"/>
      <c r="B1065" s="151"/>
      <c r="C1065" s="119"/>
      <c r="D1065" s="144"/>
      <c r="E1065" s="108"/>
      <c r="F1065" s="150"/>
      <c r="G1065" s="35"/>
    </row>
    <row r="1066" spans="1:7" x14ac:dyDescent="0.2">
      <c r="A1066" s="29"/>
      <c r="B1066" s="101"/>
      <c r="C1066" s="41"/>
      <c r="D1066" s="144"/>
      <c r="E1066" s="155"/>
      <c r="F1066" s="128"/>
      <c r="G1066" s="35"/>
    </row>
    <row r="1067" spans="1:7" x14ac:dyDescent="0.2">
      <c r="A1067" s="29"/>
      <c r="B1067" s="106"/>
      <c r="C1067" s="41"/>
      <c r="D1067" s="136"/>
      <c r="E1067" s="104"/>
      <c r="F1067" s="128"/>
      <c r="G1067" s="35"/>
    </row>
    <row r="1068" spans="1:7" x14ac:dyDescent="0.2">
      <c r="A1068" s="29"/>
      <c r="B1068" s="105"/>
      <c r="C1068" s="41"/>
      <c r="D1068" s="136"/>
      <c r="E1068" s="108"/>
      <c r="F1068" s="152"/>
      <c r="G1068" s="35"/>
    </row>
    <row r="1069" spans="1:7" x14ac:dyDescent="0.2">
      <c r="A1069" s="29"/>
      <c r="B1069" s="107"/>
      <c r="C1069" s="41"/>
      <c r="D1069" s="136"/>
      <c r="E1069" s="153"/>
      <c r="F1069" s="128"/>
      <c r="G1069" s="35"/>
    </row>
    <row r="1070" spans="1:7" x14ac:dyDescent="0.2">
      <c r="A1070" s="29"/>
      <c r="B1070" s="107"/>
      <c r="C1070" s="41"/>
      <c r="D1070" s="67"/>
      <c r="E1070" s="153"/>
      <c r="F1070" s="128"/>
      <c r="G1070" s="35"/>
    </row>
    <row r="1071" spans="1:7" x14ac:dyDescent="0.2">
      <c r="A1071" s="29"/>
      <c r="B1071" s="101"/>
      <c r="C1071" s="41"/>
      <c r="D1071" s="67"/>
      <c r="E1071" s="108"/>
      <c r="F1071" s="128"/>
      <c r="G1071" s="35"/>
    </row>
    <row r="1072" spans="1:7" x14ac:dyDescent="0.2">
      <c r="A1072" s="29"/>
      <c r="B1072" s="101"/>
      <c r="C1072" s="41"/>
      <c r="D1072" s="67"/>
      <c r="E1072" s="153"/>
      <c r="F1072" s="128"/>
      <c r="G1072" s="35"/>
    </row>
    <row r="1073" spans="1:7" x14ac:dyDescent="0.2">
      <c r="A1073" s="29"/>
      <c r="B1073" s="106"/>
      <c r="C1073" s="41"/>
      <c r="D1073" s="67"/>
      <c r="E1073" s="104"/>
      <c r="F1073" s="154"/>
      <c r="G1073" s="35"/>
    </row>
    <row r="1074" spans="1:7" x14ac:dyDescent="0.2">
      <c r="A1074" s="29"/>
      <c r="B1074" s="105"/>
      <c r="C1074" s="41"/>
      <c r="D1074" s="130"/>
      <c r="E1074" s="104"/>
      <c r="F1074" s="154"/>
      <c r="G1074" s="35"/>
    </row>
    <row r="1075" spans="1:7" x14ac:dyDescent="0.2">
      <c r="A1075" s="29"/>
      <c r="B1075" s="105"/>
      <c r="C1075" s="41"/>
      <c r="D1075" s="67"/>
      <c r="E1075" s="104"/>
      <c r="F1075" s="154"/>
      <c r="G1075" s="35"/>
    </row>
    <row r="1076" spans="1:7" x14ac:dyDescent="0.2">
      <c r="A1076" s="29"/>
      <c r="B1076" s="101"/>
      <c r="C1076" s="41"/>
      <c r="D1076" s="67"/>
      <c r="E1076" s="104"/>
      <c r="F1076" s="154"/>
      <c r="G1076" s="35"/>
    </row>
    <row r="1077" spans="1:7" x14ac:dyDescent="0.2">
      <c r="A1077" s="29"/>
      <c r="B1077" s="101"/>
      <c r="C1077" s="41"/>
      <c r="D1077" s="136"/>
      <c r="E1077" s="104"/>
      <c r="F1077" s="154"/>
      <c r="G1077" s="35"/>
    </row>
    <row r="1078" spans="1:7" x14ac:dyDescent="0.2">
      <c r="A1078" s="29"/>
      <c r="B1078" s="101"/>
      <c r="C1078" s="41"/>
      <c r="D1078" s="136"/>
      <c r="E1078" s="104"/>
      <c r="F1078" s="154"/>
      <c r="G1078" s="35"/>
    </row>
    <row r="1079" spans="1:7" x14ac:dyDescent="0.2">
      <c r="A1079" s="29"/>
      <c r="B1079" s="101"/>
      <c r="C1079" s="41"/>
      <c r="D1079" s="62"/>
      <c r="E1079" s="104"/>
      <c r="F1079" s="154"/>
      <c r="G1079" s="35"/>
    </row>
    <row r="1080" spans="1:7" x14ac:dyDescent="0.2">
      <c r="A1080" s="29"/>
      <c r="B1080" s="101"/>
      <c r="C1080" s="41"/>
      <c r="D1080" s="67"/>
      <c r="E1080" s="104"/>
      <c r="F1080" s="154"/>
      <c r="G1080" s="35"/>
    </row>
    <row r="1081" spans="1:7" x14ac:dyDescent="0.2">
      <c r="A1081" s="29"/>
      <c r="B1081" s="101"/>
      <c r="C1081" s="41"/>
      <c r="D1081" s="67"/>
      <c r="E1081" s="104"/>
      <c r="F1081" s="154"/>
      <c r="G1081" s="35"/>
    </row>
    <row r="1082" spans="1:7" x14ac:dyDescent="0.2">
      <c r="A1082" s="29"/>
      <c r="B1082" s="101"/>
      <c r="C1082" s="41"/>
      <c r="D1082" s="67"/>
      <c r="E1082" s="104"/>
      <c r="F1082" s="154"/>
      <c r="G1082" s="35"/>
    </row>
    <row r="1083" spans="1:7" x14ac:dyDescent="0.2">
      <c r="A1083" s="29"/>
      <c r="B1083" s="101"/>
      <c r="C1083" s="41"/>
      <c r="D1083" s="67"/>
      <c r="E1083" s="104"/>
      <c r="F1083" s="154"/>
      <c r="G1083" s="35"/>
    </row>
    <row r="1084" spans="1:7" x14ac:dyDescent="0.2">
      <c r="A1084" s="29"/>
      <c r="B1084" s="101"/>
      <c r="C1084" s="41"/>
      <c r="D1084" s="67"/>
      <c r="E1084" s="104"/>
      <c r="F1084" s="154"/>
      <c r="G1084" s="35"/>
    </row>
    <row r="1085" spans="1:7" x14ac:dyDescent="0.2">
      <c r="A1085" s="29"/>
      <c r="B1085" s="101"/>
      <c r="C1085" s="41"/>
      <c r="D1085" s="159"/>
      <c r="E1085" s="104"/>
      <c r="F1085" s="154"/>
      <c r="G1085" s="35"/>
    </row>
    <row r="1086" spans="1:7" x14ac:dyDescent="0.2">
      <c r="A1086" s="29"/>
      <c r="B1086" s="101"/>
      <c r="C1086" s="41"/>
      <c r="D1086" s="160"/>
      <c r="E1086" s="108"/>
      <c r="F1086" s="128"/>
      <c r="G1086" s="35"/>
    </row>
    <row r="1087" spans="1:7" x14ac:dyDescent="0.2">
      <c r="A1087" s="29"/>
      <c r="B1087" s="101"/>
      <c r="C1087" s="41"/>
      <c r="D1087" s="136"/>
      <c r="E1087" s="153"/>
      <c r="F1087" s="128"/>
      <c r="G1087" s="35"/>
    </row>
    <row r="1088" spans="1:7" x14ac:dyDescent="0.2">
      <c r="A1088" s="29"/>
      <c r="B1088" s="101"/>
      <c r="C1088" s="41"/>
      <c r="D1088" s="136"/>
      <c r="E1088" s="102"/>
      <c r="F1088" s="128"/>
      <c r="G1088" s="35"/>
    </row>
    <row r="1089" spans="1:7" x14ac:dyDescent="0.2">
      <c r="A1089" s="29"/>
      <c r="B1089" s="101"/>
      <c r="C1089" s="31"/>
      <c r="D1089" s="67"/>
      <c r="E1089" s="131"/>
      <c r="F1089" s="117"/>
      <c r="G1089" s="35"/>
    </row>
    <row r="1090" spans="1:7" x14ac:dyDescent="0.2">
      <c r="A1090" s="29"/>
      <c r="B1090" s="101"/>
      <c r="C1090" s="41"/>
      <c r="D1090" s="118"/>
      <c r="E1090" s="108"/>
      <c r="F1090" s="149"/>
      <c r="G1090" s="35"/>
    </row>
    <row r="1091" spans="1:7" x14ac:dyDescent="0.2">
      <c r="A1091" s="29"/>
      <c r="B1091" s="101"/>
      <c r="C1091" s="41"/>
      <c r="D1091" s="144"/>
      <c r="E1091" s="108"/>
      <c r="F1091" s="149"/>
      <c r="G1091" s="35"/>
    </row>
    <row r="1092" spans="1:7" ht="13.5" thickBot="1" x14ac:dyDescent="0.25">
      <c r="A1092" s="45"/>
      <c r="B1092" s="132"/>
      <c r="C1092" s="115"/>
      <c r="D1092" s="115"/>
      <c r="E1092" s="132"/>
      <c r="F1092" s="49" t="s">
        <v>15</v>
      </c>
      <c r="G1092" s="50">
        <f>SUM(G1058:G1091)</f>
        <v>25500</v>
      </c>
    </row>
    <row r="1093" spans="1:7" ht="13.5" thickTop="1" x14ac:dyDescent="0.2">
      <c r="A1093" s="875" t="s">
        <v>1686</v>
      </c>
      <c r="B1093" s="899"/>
      <c r="C1093" s="899"/>
      <c r="D1093" s="899"/>
      <c r="E1093" s="899"/>
      <c r="F1093" s="899"/>
      <c r="G1093" s="900"/>
    </row>
    <row r="1094" spans="1:7" ht="13.5" thickBot="1" x14ac:dyDescent="0.25">
      <c r="A1094" s="926" t="s">
        <v>8</v>
      </c>
      <c r="B1094" s="927"/>
      <c r="C1094" s="927"/>
      <c r="D1094" s="927"/>
      <c r="E1094" s="927"/>
      <c r="F1094" s="927"/>
      <c r="G1094" s="928"/>
    </row>
    <row r="1095" spans="1:7" ht="13.5" thickTop="1" x14ac:dyDescent="0.2">
      <c r="A1095" s="906"/>
      <c r="B1095" s="907"/>
      <c r="C1095" s="907"/>
      <c r="D1095" s="57" t="s">
        <v>11</v>
      </c>
      <c r="E1095" s="908" t="s">
        <v>12</v>
      </c>
      <c r="F1095" s="908"/>
      <c r="G1095" s="909"/>
    </row>
    <row r="1096" spans="1:7" x14ac:dyDescent="0.2">
      <c r="A1096" s="910" t="s">
        <v>17</v>
      </c>
      <c r="B1096" s="911"/>
      <c r="C1096" s="911"/>
      <c r="D1096" s="39"/>
      <c r="E1096" s="912"/>
      <c r="F1096" s="913"/>
      <c r="G1096" s="914"/>
    </row>
    <row r="1097" spans="1:7" x14ac:dyDescent="0.2">
      <c r="A1097" s="910" t="s">
        <v>38</v>
      </c>
      <c r="B1097" s="911"/>
      <c r="C1097" s="911"/>
      <c r="D1097" s="58" t="s">
        <v>887</v>
      </c>
      <c r="E1097" s="868" t="s">
        <v>142</v>
      </c>
      <c r="F1097" s="868"/>
      <c r="G1097" s="869"/>
    </row>
    <row r="1098" spans="1:7" ht="13.5" thickBot="1" x14ac:dyDescent="0.25">
      <c r="A1098" s="901" t="s">
        <v>39</v>
      </c>
      <c r="B1098" s="902"/>
      <c r="C1098" s="902"/>
      <c r="D1098" s="59" t="s">
        <v>44</v>
      </c>
      <c r="E1098" s="904" t="s">
        <v>0</v>
      </c>
      <c r="F1098" s="904"/>
      <c r="G1098" s="905"/>
    </row>
    <row r="1099" spans="1:7" ht="16.5" x14ac:dyDescent="0.25">
      <c r="A1099" s="885" t="s">
        <v>29</v>
      </c>
      <c r="B1099" s="886"/>
      <c r="C1099" s="886"/>
      <c r="D1099" s="886"/>
      <c r="E1099" s="886"/>
      <c r="F1099" s="886"/>
      <c r="G1099" s="887"/>
    </row>
    <row r="1100" spans="1:7" x14ac:dyDescent="0.2">
      <c r="A1100" s="888" t="s">
        <v>48</v>
      </c>
      <c r="B1100" s="889"/>
      <c r="C1100" s="889"/>
      <c r="D1100" s="889"/>
      <c r="E1100" s="889"/>
      <c r="F1100" s="889"/>
      <c r="G1100" s="890"/>
    </row>
    <row r="1101" spans="1:7" x14ac:dyDescent="0.2">
      <c r="A1101" s="915" t="s">
        <v>49</v>
      </c>
      <c r="B1101" s="916"/>
      <c r="C1101" s="916"/>
      <c r="D1101" s="916"/>
      <c r="E1101" s="916"/>
      <c r="F1101" s="916"/>
      <c r="G1101" s="917"/>
    </row>
    <row r="1102" spans="1:7" x14ac:dyDescent="0.2">
      <c r="A1102" s="6"/>
      <c r="B1102" s="99"/>
      <c r="C1102" s="8"/>
      <c r="D1102" s="9"/>
      <c r="E1102" s="99"/>
      <c r="F1102" s="10"/>
      <c r="G1102" s="11" t="s">
        <v>20</v>
      </c>
    </row>
    <row r="1103" spans="1:7" x14ac:dyDescent="0.2">
      <c r="A1103" s="12" t="s">
        <v>1</v>
      </c>
      <c r="B1103" s="13"/>
      <c r="C1103" s="14" t="s">
        <v>19</v>
      </c>
      <c r="D1103" s="13"/>
      <c r="E1103" s="362" t="s">
        <v>1817</v>
      </c>
      <c r="F1103" s="98"/>
      <c r="G1103" s="363" t="s">
        <v>1739</v>
      </c>
    </row>
    <row r="1104" spans="1:7" x14ac:dyDescent="0.2">
      <c r="A1104" s="17" t="s">
        <v>8</v>
      </c>
      <c r="B1104" s="100"/>
      <c r="C1104" s="19"/>
      <c r="D1104" s="4"/>
      <c r="E1104" s="918"/>
      <c r="F1104" s="919"/>
      <c r="G1104" s="20"/>
    </row>
    <row r="1105" spans="1:7" x14ac:dyDescent="0.2">
      <c r="A1105" s="21" t="s">
        <v>37</v>
      </c>
      <c r="B1105" s="22"/>
      <c r="C1105" s="22"/>
      <c r="D1105" s="22"/>
      <c r="E1105" s="23" t="s">
        <v>46</v>
      </c>
      <c r="F1105" s="24"/>
      <c r="G1105" s="20" t="s">
        <v>50</v>
      </c>
    </row>
    <row r="1106" spans="1:7" x14ac:dyDescent="0.2">
      <c r="A1106" s="6"/>
      <c r="B1106" s="99"/>
      <c r="C1106" s="8"/>
      <c r="D1106" s="8"/>
      <c r="E1106" s="920"/>
      <c r="F1106" s="921"/>
      <c r="G1106" s="25"/>
    </row>
    <row r="1107" spans="1:7" ht="26.25" thickBot="1" x14ac:dyDescent="0.25">
      <c r="A1107" s="207" t="s">
        <v>47</v>
      </c>
      <c r="B1107" s="28" t="s">
        <v>23</v>
      </c>
      <c r="C1107" s="28" t="s">
        <v>34</v>
      </c>
      <c r="D1107" s="110" t="s">
        <v>53</v>
      </c>
      <c r="E1107" s="114" t="s">
        <v>54</v>
      </c>
      <c r="F1107" s="111" t="s">
        <v>55</v>
      </c>
      <c r="G1107" s="112" t="s">
        <v>35</v>
      </c>
    </row>
    <row r="1108" spans="1:7" ht="13.5" thickTop="1" x14ac:dyDescent="0.2">
      <c r="A1108" s="29">
        <v>1</v>
      </c>
      <c r="B1108" s="101"/>
      <c r="C1108" s="371" t="s">
        <v>242</v>
      </c>
      <c r="D1108" s="376" t="s">
        <v>1288</v>
      </c>
      <c r="E1108" s="158">
        <v>20</v>
      </c>
      <c r="F1108" s="128">
        <v>450</v>
      </c>
      <c r="G1108" s="35">
        <f>F1108*E1108</f>
        <v>9000</v>
      </c>
    </row>
    <row r="1109" spans="1:7" x14ac:dyDescent="0.2">
      <c r="A1109" s="29"/>
      <c r="B1109" s="101"/>
      <c r="C1109" s="371"/>
      <c r="D1109" s="370" t="s">
        <v>886</v>
      </c>
      <c r="E1109" s="158"/>
      <c r="F1109" s="128"/>
      <c r="G1109" s="35"/>
    </row>
    <row r="1110" spans="1:7" x14ac:dyDescent="0.2">
      <c r="A1110" s="29"/>
      <c r="B1110" s="101"/>
      <c r="C1110" s="41"/>
      <c r="D1110" s="370"/>
      <c r="E1110" s="157"/>
      <c r="F1110" s="149"/>
      <c r="G1110" s="372"/>
    </row>
    <row r="1111" spans="1:7" x14ac:dyDescent="0.2">
      <c r="A1111" s="29"/>
      <c r="B1111" s="101"/>
      <c r="C1111" s="371"/>
      <c r="D1111" s="370"/>
      <c r="E1111" s="158"/>
      <c r="F1111" s="128"/>
      <c r="G1111" s="35"/>
    </row>
    <row r="1112" spans="1:7" x14ac:dyDescent="0.2">
      <c r="A1112" s="29"/>
      <c r="B1112" s="105"/>
      <c r="C1112" s="41"/>
      <c r="D1112" s="136"/>
      <c r="E1112" s="102"/>
      <c r="F1112" s="128"/>
      <c r="G1112" s="35"/>
    </row>
    <row r="1113" spans="1:7" x14ac:dyDescent="0.2">
      <c r="A1113" s="29"/>
      <c r="B1113" s="105"/>
      <c r="C1113" s="41"/>
      <c r="D1113" s="136"/>
      <c r="E1113" s="102"/>
      <c r="F1113" s="128"/>
      <c r="G1113" s="35"/>
    </row>
    <row r="1114" spans="1:7" x14ac:dyDescent="0.2">
      <c r="A1114" s="29"/>
      <c r="B1114" s="151"/>
      <c r="C1114" s="119"/>
      <c r="D1114" s="376" t="s">
        <v>8</v>
      </c>
      <c r="E1114" s="108"/>
      <c r="F1114" s="150"/>
      <c r="G1114" s="35"/>
    </row>
    <row r="1115" spans="1:7" x14ac:dyDescent="0.2">
      <c r="A1115" s="29"/>
      <c r="B1115" s="151"/>
      <c r="C1115" s="119"/>
      <c r="D1115" s="144"/>
      <c r="E1115" s="108"/>
      <c r="F1115" s="150"/>
      <c r="G1115" s="35"/>
    </row>
    <row r="1116" spans="1:7" x14ac:dyDescent="0.2">
      <c r="A1116" s="29"/>
      <c r="B1116" s="101"/>
      <c r="C1116" s="41"/>
      <c r="D1116" s="144"/>
      <c r="E1116" s="155"/>
      <c r="F1116" s="128"/>
      <c r="G1116" s="35"/>
    </row>
    <row r="1117" spans="1:7" x14ac:dyDescent="0.2">
      <c r="A1117" s="29"/>
      <c r="B1117" s="106"/>
      <c r="C1117" s="41"/>
      <c r="D1117" s="136"/>
      <c r="E1117" s="104"/>
      <c r="F1117" s="128"/>
      <c r="G1117" s="35"/>
    </row>
    <row r="1118" spans="1:7" x14ac:dyDescent="0.2">
      <c r="A1118" s="29"/>
      <c r="B1118" s="105"/>
      <c r="C1118" s="41"/>
      <c r="D1118" s="136"/>
      <c r="E1118" s="108"/>
      <c r="F1118" s="152"/>
      <c r="G1118" s="35"/>
    </row>
    <row r="1119" spans="1:7" x14ac:dyDescent="0.2">
      <c r="A1119" s="29"/>
      <c r="B1119" s="107"/>
      <c r="C1119" s="41"/>
      <c r="D1119" s="136"/>
      <c r="E1119" s="153"/>
      <c r="F1119" s="128"/>
      <c r="G1119" s="35"/>
    </row>
    <row r="1120" spans="1:7" x14ac:dyDescent="0.2">
      <c r="A1120" s="29"/>
      <c r="B1120" s="107"/>
      <c r="C1120" s="41"/>
      <c r="D1120" s="67"/>
      <c r="E1120" s="153"/>
      <c r="F1120" s="128"/>
      <c r="G1120" s="35"/>
    </row>
    <row r="1121" spans="1:7" x14ac:dyDescent="0.2">
      <c r="A1121" s="29"/>
      <c r="B1121" s="101"/>
      <c r="C1121" s="41"/>
      <c r="D1121" s="67"/>
      <c r="E1121" s="108"/>
      <c r="F1121" s="128"/>
      <c r="G1121" s="35"/>
    </row>
    <row r="1122" spans="1:7" x14ac:dyDescent="0.2">
      <c r="A1122" s="29"/>
      <c r="B1122" s="101"/>
      <c r="C1122" s="41"/>
      <c r="D1122" s="67"/>
      <c r="E1122" s="153"/>
      <c r="F1122" s="128"/>
      <c r="G1122" s="35"/>
    </row>
    <row r="1123" spans="1:7" x14ac:dyDescent="0.2">
      <c r="A1123" s="29"/>
      <c r="B1123" s="106"/>
      <c r="C1123" s="41"/>
      <c r="D1123" s="67"/>
      <c r="E1123" s="104"/>
      <c r="F1123" s="154"/>
      <c r="G1123" s="35"/>
    </row>
    <row r="1124" spans="1:7" x14ac:dyDescent="0.2">
      <c r="A1124" s="29"/>
      <c r="B1124" s="105"/>
      <c r="C1124" s="41"/>
      <c r="D1124" s="130"/>
      <c r="E1124" s="104"/>
      <c r="F1124" s="154"/>
      <c r="G1124" s="35"/>
    </row>
    <row r="1125" spans="1:7" x14ac:dyDescent="0.2">
      <c r="A1125" s="29"/>
      <c r="B1125" s="105"/>
      <c r="C1125" s="41"/>
      <c r="D1125" s="67"/>
      <c r="E1125" s="104"/>
      <c r="F1125" s="154"/>
      <c r="G1125" s="35"/>
    </row>
    <row r="1126" spans="1:7" x14ac:dyDescent="0.2">
      <c r="A1126" s="29"/>
      <c r="B1126" s="101"/>
      <c r="C1126" s="41"/>
      <c r="D1126" s="67"/>
      <c r="E1126" s="104"/>
      <c r="F1126" s="154"/>
      <c r="G1126" s="35"/>
    </row>
    <row r="1127" spans="1:7" x14ac:dyDescent="0.2">
      <c r="A1127" s="29"/>
      <c r="B1127" s="101"/>
      <c r="C1127" s="41"/>
      <c r="D1127" s="136"/>
      <c r="E1127" s="104"/>
      <c r="F1127" s="154"/>
      <c r="G1127" s="35"/>
    </row>
    <row r="1128" spans="1:7" x14ac:dyDescent="0.2">
      <c r="A1128" s="29"/>
      <c r="B1128" s="101"/>
      <c r="C1128" s="41"/>
      <c r="D1128" s="136"/>
      <c r="E1128" s="104"/>
      <c r="F1128" s="154"/>
      <c r="G1128" s="35"/>
    </row>
    <row r="1129" spans="1:7" x14ac:dyDescent="0.2">
      <c r="A1129" s="29"/>
      <c r="B1129" s="101"/>
      <c r="C1129" s="41"/>
      <c r="D1129" s="62"/>
      <c r="E1129" s="104"/>
      <c r="F1129" s="154"/>
      <c r="G1129" s="35"/>
    </row>
    <row r="1130" spans="1:7" x14ac:dyDescent="0.2">
      <c r="A1130" s="29"/>
      <c r="B1130" s="101"/>
      <c r="C1130" s="41"/>
      <c r="D1130" s="67"/>
      <c r="E1130" s="104"/>
      <c r="F1130" s="154"/>
      <c r="G1130" s="35"/>
    </row>
    <row r="1131" spans="1:7" x14ac:dyDescent="0.2">
      <c r="A1131" s="29"/>
      <c r="B1131" s="101"/>
      <c r="C1131" s="41"/>
      <c r="D1131" s="67"/>
      <c r="E1131" s="104"/>
      <c r="F1131" s="154"/>
      <c r="G1131" s="35"/>
    </row>
    <row r="1132" spans="1:7" x14ac:dyDescent="0.2">
      <c r="A1132" s="29"/>
      <c r="B1132" s="101"/>
      <c r="C1132" s="41"/>
      <c r="D1132" s="67"/>
      <c r="E1132" s="104"/>
      <c r="F1132" s="154"/>
      <c r="G1132" s="35"/>
    </row>
    <row r="1133" spans="1:7" x14ac:dyDescent="0.2">
      <c r="A1133" s="29"/>
      <c r="B1133" s="101"/>
      <c r="C1133" s="41"/>
      <c r="D1133" s="67"/>
      <c r="E1133" s="104"/>
      <c r="F1133" s="154"/>
      <c r="G1133" s="35"/>
    </row>
    <row r="1134" spans="1:7" x14ac:dyDescent="0.2">
      <c r="A1134" s="29"/>
      <c r="B1134" s="101"/>
      <c r="C1134" s="41"/>
      <c r="D1134" s="67"/>
      <c r="E1134" s="104"/>
      <c r="F1134" s="154"/>
      <c r="G1134" s="35"/>
    </row>
    <row r="1135" spans="1:7" x14ac:dyDescent="0.2">
      <c r="A1135" s="29"/>
      <c r="B1135" s="101"/>
      <c r="C1135" s="41"/>
      <c r="D1135" s="159"/>
      <c r="E1135" s="104"/>
      <c r="F1135" s="154"/>
      <c r="G1135" s="35"/>
    </row>
    <row r="1136" spans="1:7" x14ac:dyDescent="0.2">
      <c r="A1136" s="29"/>
      <c r="B1136" s="101"/>
      <c r="C1136" s="41"/>
      <c r="D1136" s="160"/>
      <c r="E1136" s="108"/>
      <c r="F1136" s="128"/>
      <c r="G1136" s="35"/>
    </row>
    <row r="1137" spans="1:7" x14ac:dyDescent="0.2">
      <c r="A1137" s="29"/>
      <c r="B1137" s="101"/>
      <c r="C1137" s="41"/>
      <c r="D1137" s="136"/>
      <c r="E1137" s="153"/>
      <c r="F1137" s="128"/>
      <c r="G1137" s="35"/>
    </row>
    <row r="1138" spans="1:7" x14ac:dyDescent="0.2">
      <c r="A1138" s="29"/>
      <c r="B1138" s="101"/>
      <c r="C1138" s="41"/>
      <c r="D1138" s="136"/>
      <c r="E1138" s="102"/>
      <c r="F1138" s="128"/>
      <c r="G1138" s="35"/>
    </row>
    <row r="1139" spans="1:7" x14ac:dyDescent="0.2">
      <c r="A1139" s="29"/>
      <c r="B1139" s="101"/>
      <c r="C1139" s="31"/>
      <c r="D1139" s="67"/>
      <c r="E1139" s="131"/>
      <c r="F1139" s="117"/>
      <c r="G1139" s="35"/>
    </row>
    <row r="1140" spans="1:7" x14ac:dyDescent="0.2">
      <c r="A1140" s="29"/>
      <c r="B1140" s="101"/>
      <c r="C1140" s="41"/>
      <c r="D1140" s="118"/>
      <c r="E1140" s="108"/>
      <c r="F1140" s="149"/>
      <c r="G1140" s="35"/>
    </row>
    <row r="1141" spans="1:7" x14ac:dyDescent="0.2">
      <c r="A1141" s="29"/>
      <c r="B1141" s="101"/>
      <c r="C1141" s="41"/>
      <c r="D1141" s="144"/>
      <c r="E1141" s="108"/>
      <c r="F1141" s="149"/>
      <c r="G1141" s="35"/>
    </row>
    <row r="1142" spans="1:7" ht="13.5" thickBot="1" x14ac:dyDescent="0.25">
      <c r="A1142" s="45"/>
      <c r="B1142" s="132"/>
      <c r="C1142" s="115"/>
      <c r="D1142" s="115"/>
      <c r="E1142" s="132"/>
      <c r="F1142" s="49" t="s">
        <v>15</v>
      </c>
      <c r="G1142" s="50">
        <f>SUM(G1108:G1141)</f>
        <v>9000</v>
      </c>
    </row>
    <row r="1143" spans="1:7" ht="13.5" thickTop="1" x14ac:dyDescent="0.2">
      <c r="A1143" s="875" t="s">
        <v>1687</v>
      </c>
      <c r="B1143" s="899"/>
      <c r="C1143" s="899"/>
      <c r="D1143" s="899"/>
      <c r="E1143" s="899"/>
      <c r="F1143" s="899"/>
      <c r="G1143" s="900"/>
    </row>
    <row r="1144" spans="1:7" ht="13.5" thickBot="1" x14ac:dyDescent="0.25">
      <c r="A1144" s="926" t="s">
        <v>8</v>
      </c>
      <c r="B1144" s="927"/>
      <c r="C1144" s="927"/>
      <c r="D1144" s="927"/>
      <c r="E1144" s="927"/>
      <c r="F1144" s="927"/>
      <c r="G1144" s="928"/>
    </row>
    <row r="1145" spans="1:7" ht="13.5" thickTop="1" x14ac:dyDescent="0.2">
      <c r="A1145" s="906"/>
      <c r="B1145" s="907"/>
      <c r="C1145" s="907"/>
      <c r="D1145" s="57" t="s">
        <v>11</v>
      </c>
      <c r="E1145" s="908" t="s">
        <v>12</v>
      </c>
      <c r="F1145" s="908"/>
      <c r="G1145" s="909"/>
    </row>
    <row r="1146" spans="1:7" x14ac:dyDescent="0.2">
      <c r="A1146" s="910" t="s">
        <v>17</v>
      </c>
      <c r="B1146" s="911"/>
      <c r="C1146" s="911"/>
      <c r="D1146" s="39"/>
      <c r="E1146" s="912"/>
      <c r="F1146" s="913"/>
      <c r="G1146" s="914"/>
    </row>
    <row r="1147" spans="1:7" x14ac:dyDescent="0.2">
      <c r="A1147" s="910" t="s">
        <v>38</v>
      </c>
      <c r="B1147" s="911"/>
      <c r="C1147" s="911"/>
      <c r="D1147" s="58" t="s">
        <v>887</v>
      </c>
      <c r="E1147" s="868" t="s">
        <v>142</v>
      </c>
      <c r="F1147" s="868"/>
      <c r="G1147" s="869"/>
    </row>
    <row r="1148" spans="1:7" ht="13.5" thickBot="1" x14ac:dyDescent="0.25">
      <c r="A1148" s="901" t="s">
        <v>39</v>
      </c>
      <c r="B1148" s="902"/>
      <c r="C1148" s="902"/>
      <c r="D1148" s="59" t="s">
        <v>44</v>
      </c>
      <c r="E1148" s="904" t="s">
        <v>0</v>
      </c>
      <c r="F1148" s="904"/>
      <c r="G1148" s="905"/>
    </row>
    <row r="1149" spans="1:7" ht="16.5" x14ac:dyDescent="0.25">
      <c r="A1149" s="885" t="s">
        <v>29</v>
      </c>
      <c r="B1149" s="886"/>
      <c r="C1149" s="886"/>
      <c r="D1149" s="886"/>
      <c r="E1149" s="886"/>
      <c r="F1149" s="886"/>
      <c r="G1149" s="887"/>
    </row>
    <row r="1150" spans="1:7" x14ac:dyDescent="0.2">
      <c r="A1150" s="888" t="s">
        <v>48</v>
      </c>
      <c r="B1150" s="889"/>
      <c r="C1150" s="889"/>
      <c r="D1150" s="889"/>
      <c r="E1150" s="889"/>
      <c r="F1150" s="889"/>
      <c r="G1150" s="890"/>
    </row>
    <row r="1151" spans="1:7" x14ac:dyDescent="0.2">
      <c r="A1151" s="915" t="s">
        <v>49</v>
      </c>
      <c r="B1151" s="916"/>
      <c r="C1151" s="916"/>
      <c r="D1151" s="916"/>
      <c r="E1151" s="916"/>
      <c r="F1151" s="916"/>
      <c r="G1151" s="917"/>
    </row>
    <row r="1152" spans="1:7" x14ac:dyDescent="0.2">
      <c r="A1152" s="6"/>
      <c r="B1152" s="99"/>
      <c r="C1152" s="8"/>
      <c r="D1152" s="9"/>
      <c r="E1152" s="99"/>
      <c r="F1152" s="10"/>
      <c r="G1152" s="11" t="s">
        <v>20</v>
      </c>
    </row>
    <row r="1153" spans="1:7" x14ac:dyDescent="0.2">
      <c r="A1153" s="12" t="s">
        <v>1</v>
      </c>
      <c r="B1153" s="13"/>
      <c r="C1153" s="14" t="s">
        <v>19</v>
      </c>
      <c r="D1153" s="13"/>
      <c r="E1153" s="362" t="s">
        <v>1819</v>
      </c>
      <c r="F1153" s="98"/>
      <c r="G1153" s="363" t="s">
        <v>1739</v>
      </c>
    </row>
    <row r="1154" spans="1:7" x14ac:dyDescent="0.2">
      <c r="A1154" s="17" t="s">
        <v>8</v>
      </c>
      <c r="B1154" s="100"/>
      <c r="C1154" s="19"/>
      <c r="D1154" s="4"/>
      <c r="E1154" s="918"/>
      <c r="F1154" s="919"/>
      <c r="G1154" s="20"/>
    </row>
    <row r="1155" spans="1:7" x14ac:dyDescent="0.2">
      <c r="A1155" s="21" t="s">
        <v>37</v>
      </c>
      <c r="B1155" s="22"/>
      <c r="C1155" s="22"/>
      <c r="D1155" s="22"/>
      <c r="E1155" s="23" t="s">
        <v>46</v>
      </c>
      <c r="F1155" s="24"/>
      <c r="G1155" s="20" t="s">
        <v>50</v>
      </c>
    </row>
    <row r="1156" spans="1:7" x14ac:dyDescent="0.2">
      <c r="A1156" s="6"/>
      <c r="B1156" s="99"/>
      <c r="C1156" s="8"/>
      <c r="D1156" s="8"/>
      <c r="E1156" s="920"/>
      <c r="F1156" s="921"/>
      <c r="G1156" s="25"/>
    </row>
    <row r="1157" spans="1:7" ht="26.25" thickBot="1" x14ac:dyDescent="0.25">
      <c r="A1157" s="207" t="s">
        <v>47</v>
      </c>
      <c r="B1157" s="28" t="s">
        <v>23</v>
      </c>
      <c r="C1157" s="28" t="s">
        <v>34</v>
      </c>
      <c r="D1157" s="110" t="s">
        <v>53</v>
      </c>
      <c r="E1157" s="114" t="s">
        <v>54</v>
      </c>
      <c r="F1157" s="111" t="s">
        <v>55</v>
      </c>
      <c r="G1157" s="112" t="s">
        <v>35</v>
      </c>
    </row>
    <row r="1158" spans="1:7" ht="13.5" thickTop="1" x14ac:dyDescent="0.2">
      <c r="A1158" s="29">
        <v>1</v>
      </c>
      <c r="B1158" s="101"/>
      <c r="C1158" s="371" t="s">
        <v>242</v>
      </c>
      <c r="D1158" s="376" t="s">
        <v>1288</v>
      </c>
      <c r="E1158" s="158">
        <v>35</v>
      </c>
      <c r="F1158" s="128">
        <v>450</v>
      </c>
      <c r="G1158" s="35">
        <f>F1158*E1158</f>
        <v>15750</v>
      </c>
    </row>
    <row r="1159" spans="1:7" x14ac:dyDescent="0.2">
      <c r="A1159" s="29"/>
      <c r="B1159" s="101"/>
      <c r="C1159" s="371"/>
      <c r="D1159" s="370" t="s">
        <v>886</v>
      </c>
      <c r="E1159" s="158"/>
      <c r="F1159" s="128"/>
      <c r="G1159" s="35"/>
    </row>
    <row r="1160" spans="1:7" x14ac:dyDescent="0.2">
      <c r="A1160" s="29"/>
      <c r="B1160" s="101"/>
      <c r="C1160" s="41"/>
      <c r="D1160" s="370"/>
      <c r="E1160" s="157"/>
      <c r="F1160" s="149"/>
      <c r="G1160" s="372"/>
    </row>
    <row r="1161" spans="1:7" x14ac:dyDescent="0.2">
      <c r="A1161" s="29"/>
      <c r="B1161" s="101"/>
      <c r="C1161" s="371"/>
      <c r="D1161" s="370"/>
      <c r="E1161" s="158"/>
      <c r="F1161" s="128"/>
      <c r="G1161" s="35"/>
    </row>
    <row r="1162" spans="1:7" x14ac:dyDescent="0.2">
      <c r="A1162" s="29"/>
      <c r="B1162" s="105"/>
      <c r="C1162" s="41"/>
      <c r="D1162" s="136"/>
      <c r="E1162" s="102"/>
      <c r="F1162" s="128"/>
      <c r="G1162" s="35"/>
    </row>
    <row r="1163" spans="1:7" x14ac:dyDescent="0.2">
      <c r="A1163" s="29"/>
      <c r="B1163" s="105"/>
      <c r="C1163" s="41"/>
      <c r="D1163" s="136"/>
      <c r="E1163" s="102"/>
      <c r="F1163" s="128"/>
      <c r="G1163" s="35"/>
    </row>
    <row r="1164" spans="1:7" x14ac:dyDescent="0.2">
      <c r="A1164" s="29"/>
      <c r="B1164" s="151"/>
      <c r="C1164" s="119"/>
      <c r="D1164" s="376" t="s">
        <v>8</v>
      </c>
      <c r="E1164" s="108"/>
      <c r="F1164" s="150"/>
      <c r="G1164" s="35"/>
    </row>
    <row r="1165" spans="1:7" x14ac:dyDescent="0.2">
      <c r="A1165" s="29"/>
      <c r="B1165" s="151"/>
      <c r="C1165" s="119"/>
      <c r="D1165" s="144"/>
      <c r="E1165" s="108"/>
      <c r="F1165" s="150"/>
      <c r="G1165" s="35"/>
    </row>
    <row r="1166" spans="1:7" x14ac:dyDescent="0.2">
      <c r="A1166" s="29"/>
      <c r="B1166" s="101"/>
      <c r="C1166" s="41"/>
      <c r="D1166" s="144"/>
      <c r="E1166" s="155"/>
      <c r="F1166" s="128"/>
      <c r="G1166" s="35"/>
    </row>
    <row r="1167" spans="1:7" x14ac:dyDescent="0.2">
      <c r="A1167" s="29"/>
      <c r="B1167" s="106"/>
      <c r="C1167" s="41"/>
      <c r="D1167" s="136"/>
      <c r="E1167" s="104"/>
      <c r="F1167" s="128"/>
      <c r="G1167" s="35"/>
    </row>
    <row r="1168" spans="1:7" x14ac:dyDescent="0.2">
      <c r="A1168" s="29"/>
      <c r="B1168" s="105"/>
      <c r="C1168" s="41"/>
      <c r="D1168" s="136"/>
      <c r="E1168" s="108"/>
      <c r="F1168" s="152"/>
      <c r="G1168" s="35"/>
    </row>
    <row r="1169" spans="1:7" x14ac:dyDescent="0.2">
      <c r="A1169" s="29"/>
      <c r="B1169" s="107"/>
      <c r="C1169" s="41"/>
      <c r="D1169" s="136"/>
      <c r="E1169" s="153"/>
      <c r="F1169" s="128"/>
      <c r="G1169" s="35"/>
    </row>
    <row r="1170" spans="1:7" x14ac:dyDescent="0.2">
      <c r="A1170" s="29"/>
      <c r="B1170" s="107"/>
      <c r="C1170" s="41"/>
      <c r="D1170" s="67"/>
      <c r="E1170" s="153"/>
      <c r="F1170" s="128"/>
      <c r="G1170" s="35"/>
    </row>
    <row r="1171" spans="1:7" x14ac:dyDescent="0.2">
      <c r="A1171" s="29"/>
      <c r="B1171" s="101"/>
      <c r="C1171" s="41"/>
      <c r="D1171" s="67"/>
      <c r="E1171" s="108"/>
      <c r="F1171" s="128"/>
      <c r="G1171" s="35"/>
    </row>
    <row r="1172" spans="1:7" x14ac:dyDescent="0.2">
      <c r="A1172" s="29"/>
      <c r="B1172" s="101"/>
      <c r="C1172" s="41"/>
      <c r="D1172" s="67"/>
      <c r="E1172" s="153"/>
      <c r="F1172" s="128"/>
      <c r="G1172" s="35"/>
    </row>
    <row r="1173" spans="1:7" x14ac:dyDescent="0.2">
      <c r="A1173" s="29"/>
      <c r="B1173" s="106"/>
      <c r="C1173" s="41"/>
      <c r="D1173" s="67"/>
      <c r="E1173" s="104"/>
      <c r="F1173" s="154"/>
      <c r="G1173" s="35"/>
    </row>
    <row r="1174" spans="1:7" x14ac:dyDescent="0.2">
      <c r="A1174" s="29"/>
      <c r="B1174" s="105"/>
      <c r="C1174" s="41"/>
      <c r="D1174" s="130"/>
      <c r="E1174" s="104"/>
      <c r="F1174" s="154"/>
      <c r="G1174" s="35"/>
    </row>
    <row r="1175" spans="1:7" x14ac:dyDescent="0.2">
      <c r="A1175" s="29"/>
      <c r="B1175" s="105"/>
      <c r="C1175" s="41"/>
      <c r="D1175" s="67"/>
      <c r="E1175" s="104"/>
      <c r="F1175" s="154"/>
      <c r="G1175" s="35"/>
    </row>
    <row r="1176" spans="1:7" x14ac:dyDescent="0.2">
      <c r="A1176" s="29"/>
      <c r="B1176" s="101"/>
      <c r="C1176" s="41"/>
      <c r="D1176" s="67"/>
      <c r="E1176" s="104"/>
      <c r="F1176" s="154"/>
      <c r="G1176" s="35"/>
    </row>
    <row r="1177" spans="1:7" x14ac:dyDescent="0.2">
      <c r="A1177" s="29"/>
      <c r="B1177" s="101"/>
      <c r="C1177" s="41"/>
      <c r="D1177" s="136"/>
      <c r="E1177" s="104"/>
      <c r="F1177" s="154"/>
      <c r="G1177" s="35"/>
    </row>
    <row r="1178" spans="1:7" x14ac:dyDescent="0.2">
      <c r="A1178" s="29"/>
      <c r="B1178" s="101"/>
      <c r="C1178" s="41"/>
      <c r="D1178" s="136"/>
      <c r="E1178" s="104"/>
      <c r="F1178" s="154"/>
      <c r="G1178" s="35"/>
    </row>
    <row r="1179" spans="1:7" x14ac:dyDescent="0.2">
      <c r="A1179" s="29"/>
      <c r="B1179" s="101"/>
      <c r="C1179" s="41"/>
      <c r="D1179" s="62"/>
      <c r="E1179" s="104"/>
      <c r="F1179" s="154"/>
      <c r="G1179" s="35"/>
    </row>
    <row r="1180" spans="1:7" x14ac:dyDescent="0.2">
      <c r="A1180" s="29"/>
      <c r="B1180" s="101"/>
      <c r="C1180" s="41"/>
      <c r="D1180" s="67"/>
      <c r="E1180" s="104"/>
      <c r="F1180" s="154"/>
      <c r="G1180" s="35"/>
    </row>
    <row r="1181" spans="1:7" x14ac:dyDescent="0.2">
      <c r="A1181" s="29"/>
      <c r="B1181" s="101"/>
      <c r="C1181" s="41"/>
      <c r="D1181" s="67"/>
      <c r="E1181" s="104"/>
      <c r="F1181" s="154"/>
      <c r="G1181" s="35"/>
    </row>
    <row r="1182" spans="1:7" x14ac:dyDescent="0.2">
      <c r="A1182" s="29"/>
      <c r="B1182" s="101"/>
      <c r="C1182" s="41"/>
      <c r="D1182" s="67"/>
      <c r="E1182" s="104"/>
      <c r="F1182" s="154"/>
      <c r="G1182" s="35"/>
    </row>
    <row r="1183" spans="1:7" x14ac:dyDescent="0.2">
      <c r="A1183" s="29"/>
      <c r="B1183" s="101"/>
      <c r="C1183" s="41"/>
      <c r="D1183" s="67"/>
      <c r="E1183" s="104"/>
      <c r="F1183" s="154"/>
      <c r="G1183" s="35"/>
    </row>
    <row r="1184" spans="1:7" x14ac:dyDescent="0.2">
      <c r="A1184" s="29"/>
      <c r="B1184" s="101"/>
      <c r="C1184" s="41"/>
      <c r="D1184" s="67"/>
      <c r="E1184" s="104"/>
      <c r="F1184" s="154"/>
      <c r="G1184" s="35"/>
    </row>
    <row r="1185" spans="1:7" x14ac:dyDescent="0.2">
      <c r="A1185" s="29"/>
      <c r="B1185" s="101"/>
      <c r="C1185" s="41"/>
      <c r="D1185" s="159"/>
      <c r="E1185" s="104"/>
      <c r="F1185" s="154"/>
      <c r="G1185" s="35"/>
    </row>
    <row r="1186" spans="1:7" x14ac:dyDescent="0.2">
      <c r="A1186" s="29"/>
      <c r="B1186" s="101"/>
      <c r="C1186" s="41"/>
      <c r="D1186" s="160"/>
      <c r="E1186" s="108"/>
      <c r="F1186" s="128"/>
      <c r="G1186" s="35"/>
    </row>
    <row r="1187" spans="1:7" x14ac:dyDescent="0.2">
      <c r="A1187" s="29"/>
      <c r="B1187" s="101"/>
      <c r="C1187" s="41"/>
      <c r="D1187" s="136"/>
      <c r="E1187" s="153"/>
      <c r="F1187" s="128"/>
      <c r="G1187" s="35"/>
    </row>
    <row r="1188" spans="1:7" x14ac:dyDescent="0.2">
      <c r="A1188" s="29"/>
      <c r="B1188" s="101"/>
      <c r="C1188" s="41"/>
      <c r="D1188" s="136"/>
      <c r="E1188" s="102"/>
      <c r="F1188" s="128"/>
      <c r="G1188" s="35"/>
    </row>
    <row r="1189" spans="1:7" x14ac:dyDescent="0.2">
      <c r="A1189" s="29"/>
      <c r="B1189" s="101"/>
      <c r="C1189" s="31"/>
      <c r="D1189" s="67"/>
      <c r="E1189" s="131"/>
      <c r="F1189" s="117"/>
      <c r="G1189" s="35"/>
    </row>
    <row r="1190" spans="1:7" x14ac:dyDescent="0.2">
      <c r="A1190" s="29"/>
      <c r="B1190" s="101"/>
      <c r="C1190" s="41"/>
      <c r="D1190" s="118"/>
      <c r="E1190" s="108"/>
      <c r="F1190" s="149"/>
      <c r="G1190" s="35"/>
    </row>
    <row r="1191" spans="1:7" x14ac:dyDescent="0.2">
      <c r="A1191" s="29"/>
      <c r="B1191" s="101"/>
      <c r="C1191" s="41"/>
      <c r="D1191" s="144"/>
      <c r="E1191" s="108"/>
      <c r="F1191" s="149"/>
      <c r="G1191" s="35"/>
    </row>
    <row r="1192" spans="1:7" ht="13.5" thickBot="1" x14ac:dyDescent="0.25">
      <c r="A1192" s="45"/>
      <c r="B1192" s="132"/>
      <c r="C1192" s="115"/>
      <c r="D1192" s="115"/>
      <c r="E1192" s="132"/>
      <c r="F1192" s="49" t="s">
        <v>15</v>
      </c>
      <c r="G1192" s="50">
        <f>SUM(G1158:G1191)</f>
        <v>15750</v>
      </c>
    </row>
    <row r="1193" spans="1:7" ht="13.5" thickTop="1" x14ac:dyDescent="0.2">
      <c r="A1193" s="875" t="s">
        <v>1701</v>
      </c>
      <c r="B1193" s="899"/>
      <c r="C1193" s="899"/>
      <c r="D1193" s="899"/>
      <c r="E1193" s="899"/>
      <c r="F1193" s="899"/>
      <c r="G1193" s="900"/>
    </row>
    <row r="1194" spans="1:7" ht="13.5" thickBot="1" x14ac:dyDescent="0.25">
      <c r="A1194" s="926" t="s">
        <v>1702</v>
      </c>
      <c r="B1194" s="927"/>
      <c r="C1194" s="927"/>
      <c r="D1194" s="927"/>
      <c r="E1194" s="927"/>
      <c r="F1194" s="927"/>
      <c r="G1194" s="928"/>
    </row>
    <row r="1195" spans="1:7" ht="13.5" thickTop="1" x14ac:dyDescent="0.2">
      <c r="A1195" s="906"/>
      <c r="B1195" s="907"/>
      <c r="C1195" s="907"/>
      <c r="D1195" s="57" t="s">
        <v>11</v>
      </c>
      <c r="E1195" s="908" t="s">
        <v>12</v>
      </c>
      <c r="F1195" s="908"/>
      <c r="G1195" s="909"/>
    </row>
    <row r="1196" spans="1:7" x14ac:dyDescent="0.2">
      <c r="A1196" s="910" t="s">
        <v>17</v>
      </c>
      <c r="B1196" s="911"/>
      <c r="C1196" s="911"/>
      <c r="D1196" s="39"/>
      <c r="E1196" s="912"/>
      <c r="F1196" s="913"/>
      <c r="G1196" s="914"/>
    </row>
    <row r="1197" spans="1:7" x14ac:dyDescent="0.2">
      <c r="A1197" s="910" t="s">
        <v>38</v>
      </c>
      <c r="B1197" s="911"/>
      <c r="C1197" s="911"/>
      <c r="D1197" s="58" t="s">
        <v>887</v>
      </c>
      <c r="E1197" s="868" t="s">
        <v>142</v>
      </c>
      <c r="F1197" s="868"/>
      <c r="G1197" s="869"/>
    </row>
    <row r="1198" spans="1:7" ht="13.5" thickBot="1" x14ac:dyDescent="0.25">
      <c r="A1198" s="901" t="s">
        <v>39</v>
      </c>
      <c r="B1198" s="902"/>
      <c r="C1198" s="902"/>
      <c r="D1198" s="59" t="s">
        <v>44</v>
      </c>
      <c r="E1198" s="904" t="s">
        <v>0</v>
      </c>
      <c r="F1198" s="904"/>
      <c r="G1198" s="905"/>
    </row>
    <row r="1199" spans="1:7" ht="16.5" x14ac:dyDescent="0.25">
      <c r="A1199" s="885" t="s">
        <v>29</v>
      </c>
      <c r="B1199" s="886"/>
      <c r="C1199" s="886"/>
      <c r="D1199" s="886"/>
      <c r="E1199" s="886"/>
      <c r="F1199" s="886"/>
      <c r="G1199" s="887"/>
    </row>
    <row r="1200" spans="1:7" x14ac:dyDescent="0.2">
      <c r="A1200" s="888" t="s">
        <v>48</v>
      </c>
      <c r="B1200" s="889"/>
      <c r="C1200" s="889"/>
      <c r="D1200" s="889"/>
      <c r="E1200" s="889"/>
      <c r="F1200" s="889"/>
      <c r="G1200" s="890"/>
    </row>
    <row r="1201" spans="1:7" x14ac:dyDescent="0.2">
      <c r="A1201" s="915" t="s">
        <v>49</v>
      </c>
      <c r="B1201" s="916"/>
      <c r="C1201" s="916"/>
      <c r="D1201" s="916"/>
      <c r="E1201" s="916"/>
      <c r="F1201" s="916"/>
      <c r="G1201" s="917"/>
    </row>
    <row r="1202" spans="1:7" x14ac:dyDescent="0.2">
      <c r="A1202" s="6"/>
      <c r="B1202" s="99"/>
      <c r="C1202" s="8"/>
      <c r="D1202" s="9"/>
      <c r="E1202" s="99"/>
      <c r="F1202" s="10"/>
      <c r="G1202" s="11" t="s">
        <v>20</v>
      </c>
    </row>
    <row r="1203" spans="1:7" x14ac:dyDescent="0.2">
      <c r="A1203" s="12" t="s">
        <v>1</v>
      </c>
      <c r="B1203" s="13"/>
      <c r="C1203" s="14" t="s">
        <v>19</v>
      </c>
      <c r="D1203" s="13"/>
      <c r="E1203" s="362" t="s">
        <v>1820</v>
      </c>
      <c r="F1203" s="98"/>
      <c r="G1203" s="363" t="s">
        <v>1739</v>
      </c>
    </row>
    <row r="1204" spans="1:7" x14ac:dyDescent="0.2">
      <c r="A1204" s="17" t="s">
        <v>8</v>
      </c>
      <c r="B1204" s="100"/>
      <c r="C1204" s="19"/>
      <c r="D1204" s="4"/>
      <c r="E1204" s="918"/>
      <c r="F1204" s="919"/>
      <c r="G1204" s="20"/>
    </row>
    <row r="1205" spans="1:7" x14ac:dyDescent="0.2">
      <c r="A1205" s="21" t="s">
        <v>37</v>
      </c>
      <c r="B1205" s="22"/>
      <c r="C1205" s="22"/>
      <c r="D1205" s="22"/>
      <c r="E1205" s="23" t="s">
        <v>46</v>
      </c>
      <c r="F1205" s="24"/>
      <c r="G1205" s="20" t="s">
        <v>50</v>
      </c>
    </row>
    <row r="1206" spans="1:7" x14ac:dyDescent="0.2">
      <c r="A1206" s="6"/>
      <c r="B1206" s="99"/>
      <c r="C1206" s="8"/>
      <c r="D1206" s="8"/>
      <c r="E1206" s="920"/>
      <c r="F1206" s="921"/>
      <c r="G1206" s="25"/>
    </row>
    <row r="1207" spans="1:7" ht="26.25" thickBot="1" x14ac:dyDescent="0.25">
      <c r="A1207" s="207" t="s">
        <v>47</v>
      </c>
      <c r="B1207" s="28" t="s">
        <v>23</v>
      </c>
      <c r="C1207" s="28" t="s">
        <v>34</v>
      </c>
      <c r="D1207" s="110" t="s">
        <v>53</v>
      </c>
      <c r="E1207" s="114" t="s">
        <v>54</v>
      </c>
      <c r="F1207" s="111" t="s">
        <v>55</v>
      </c>
      <c r="G1207" s="112" t="s">
        <v>35</v>
      </c>
    </row>
    <row r="1208" spans="1:7" ht="13.5" thickTop="1" x14ac:dyDescent="0.2">
      <c r="A1208" s="29">
        <v>1</v>
      </c>
      <c r="B1208" s="101"/>
      <c r="C1208" s="371" t="s">
        <v>242</v>
      </c>
      <c r="D1208" s="376" t="s">
        <v>1288</v>
      </c>
      <c r="E1208" s="158">
        <v>30</v>
      </c>
      <c r="F1208" s="128">
        <v>450</v>
      </c>
      <c r="G1208" s="35">
        <f>F1208*E1208</f>
        <v>13500</v>
      </c>
    </row>
    <row r="1209" spans="1:7" x14ac:dyDescent="0.2">
      <c r="A1209" s="29"/>
      <c r="B1209" s="101"/>
      <c r="C1209" s="371"/>
      <c r="D1209" s="370" t="s">
        <v>886</v>
      </c>
      <c r="E1209" s="158"/>
      <c r="F1209" s="128"/>
      <c r="G1209" s="35"/>
    </row>
    <row r="1210" spans="1:7" x14ac:dyDescent="0.2">
      <c r="A1210" s="29"/>
      <c r="B1210" s="101"/>
      <c r="C1210" s="41"/>
      <c r="D1210" s="370"/>
      <c r="E1210" s="157"/>
      <c r="F1210" s="149"/>
      <c r="G1210" s="372"/>
    </row>
    <row r="1211" spans="1:7" x14ac:dyDescent="0.2">
      <c r="A1211" s="29"/>
      <c r="B1211" s="101"/>
      <c r="C1211" s="371"/>
      <c r="D1211" s="370"/>
      <c r="E1211" s="158"/>
      <c r="F1211" s="128"/>
      <c r="G1211" s="35"/>
    </row>
    <row r="1212" spans="1:7" x14ac:dyDescent="0.2">
      <c r="A1212" s="29"/>
      <c r="B1212" s="105"/>
      <c r="C1212" s="41"/>
      <c r="D1212" s="136"/>
      <c r="E1212" s="102"/>
      <c r="F1212" s="128"/>
      <c r="G1212" s="35"/>
    </row>
    <row r="1213" spans="1:7" x14ac:dyDescent="0.2">
      <c r="A1213" s="29"/>
      <c r="B1213" s="105"/>
      <c r="C1213" s="41"/>
      <c r="D1213" s="136"/>
      <c r="E1213" s="102"/>
      <c r="F1213" s="128"/>
      <c r="G1213" s="35"/>
    </row>
    <row r="1214" spans="1:7" x14ac:dyDescent="0.2">
      <c r="A1214" s="29"/>
      <c r="B1214" s="151"/>
      <c r="C1214" s="119"/>
      <c r="D1214" s="376" t="s">
        <v>8</v>
      </c>
      <c r="E1214" s="108"/>
      <c r="F1214" s="150"/>
      <c r="G1214" s="35"/>
    </row>
    <row r="1215" spans="1:7" x14ac:dyDescent="0.2">
      <c r="A1215" s="29"/>
      <c r="B1215" s="151"/>
      <c r="C1215" s="119"/>
      <c r="D1215" s="144"/>
      <c r="E1215" s="108"/>
      <c r="F1215" s="150"/>
      <c r="G1215" s="35"/>
    </row>
    <row r="1216" spans="1:7" x14ac:dyDescent="0.2">
      <c r="A1216" s="29"/>
      <c r="B1216" s="101"/>
      <c r="C1216" s="41"/>
      <c r="D1216" s="144"/>
      <c r="E1216" s="155"/>
      <c r="F1216" s="128"/>
      <c r="G1216" s="35"/>
    </row>
    <row r="1217" spans="1:7" x14ac:dyDescent="0.2">
      <c r="A1217" s="29"/>
      <c r="B1217" s="106"/>
      <c r="C1217" s="41"/>
      <c r="D1217" s="136"/>
      <c r="E1217" s="104"/>
      <c r="F1217" s="128"/>
      <c r="G1217" s="35"/>
    </row>
    <row r="1218" spans="1:7" x14ac:dyDescent="0.2">
      <c r="A1218" s="29"/>
      <c r="B1218" s="105"/>
      <c r="C1218" s="41"/>
      <c r="D1218" s="136"/>
      <c r="E1218" s="108"/>
      <c r="F1218" s="152"/>
      <c r="G1218" s="35"/>
    </row>
    <row r="1219" spans="1:7" x14ac:dyDescent="0.2">
      <c r="A1219" s="29"/>
      <c r="B1219" s="107"/>
      <c r="C1219" s="41"/>
      <c r="D1219" s="136"/>
      <c r="E1219" s="153"/>
      <c r="F1219" s="128"/>
      <c r="G1219" s="35"/>
    </row>
    <row r="1220" spans="1:7" x14ac:dyDescent="0.2">
      <c r="A1220" s="29"/>
      <c r="B1220" s="107"/>
      <c r="C1220" s="41"/>
      <c r="D1220" s="67"/>
      <c r="E1220" s="153"/>
      <c r="F1220" s="128"/>
      <c r="G1220" s="35"/>
    </row>
    <row r="1221" spans="1:7" x14ac:dyDescent="0.2">
      <c r="A1221" s="29"/>
      <c r="B1221" s="101"/>
      <c r="C1221" s="41"/>
      <c r="D1221" s="67"/>
      <c r="E1221" s="108"/>
      <c r="F1221" s="128"/>
      <c r="G1221" s="35"/>
    </row>
    <row r="1222" spans="1:7" x14ac:dyDescent="0.2">
      <c r="A1222" s="29"/>
      <c r="B1222" s="101"/>
      <c r="C1222" s="41"/>
      <c r="D1222" s="67"/>
      <c r="E1222" s="153"/>
      <c r="F1222" s="128"/>
      <c r="G1222" s="35"/>
    </row>
    <row r="1223" spans="1:7" x14ac:dyDescent="0.2">
      <c r="A1223" s="29"/>
      <c r="B1223" s="106"/>
      <c r="C1223" s="41"/>
      <c r="D1223" s="67"/>
      <c r="E1223" s="104"/>
      <c r="F1223" s="154"/>
      <c r="G1223" s="35"/>
    </row>
    <row r="1224" spans="1:7" x14ac:dyDescent="0.2">
      <c r="A1224" s="29"/>
      <c r="B1224" s="105"/>
      <c r="C1224" s="41"/>
      <c r="D1224" s="130"/>
      <c r="E1224" s="104"/>
      <c r="F1224" s="154"/>
      <c r="G1224" s="35"/>
    </row>
    <row r="1225" spans="1:7" x14ac:dyDescent="0.2">
      <c r="A1225" s="29"/>
      <c r="B1225" s="105"/>
      <c r="C1225" s="41"/>
      <c r="D1225" s="67"/>
      <c r="E1225" s="104"/>
      <c r="F1225" s="154"/>
      <c r="G1225" s="35"/>
    </row>
    <row r="1226" spans="1:7" x14ac:dyDescent="0.2">
      <c r="A1226" s="29"/>
      <c r="B1226" s="101"/>
      <c r="C1226" s="41"/>
      <c r="D1226" s="67"/>
      <c r="E1226" s="104"/>
      <c r="F1226" s="154"/>
      <c r="G1226" s="35"/>
    </row>
    <row r="1227" spans="1:7" x14ac:dyDescent="0.2">
      <c r="A1227" s="29"/>
      <c r="B1227" s="101"/>
      <c r="C1227" s="41"/>
      <c r="D1227" s="136"/>
      <c r="E1227" s="104"/>
      <c r="F1227" s="154"/>
      <c r="G1227" s="35"/>
    </row>
    <row r="1228" spans="1:7" x14ac:dyDescent="0.2">
      <c r="A1228" s="29"/>
      <c r="B1228" s="101"/>
      <c r="C1228" s="41"/>
      <c r="D1228" s="136"/>
      <c r="E1228" s="104"/>
      <c r="F1228" s="154"/>
      <c r="G1228" s="35"/>
    </row>
    <row r="1229" spans="1:7" x14ac:dyDescent="0.2">
      <c r="A1229" s="29"/>
      <c r="B1229" s="101"/>
      <c r="C1229" s="41"/>
      <c r="D1229" s="62"/>
      <c r="E1229" s="104"/>
      <c r="F1229" s="154"/>
      <c r="G1229" s="35"/>
    </row>
    <row r="1230" spans="1:7" x14ac:dyDescent="0.2">
      <c r="A1230" s="29"/>
      <c r="B1230" s="101"/>
      <c r="C1230" s="41"/>
      <c r="D1230" s="67"/>
      <c r="E1230" s="104"/>
      <c r="F1230" s="154"/>
      <c r="G1230" s="35"/>
    </row>
    <row r="1231" spans="1:7" x14ac:dyDescent="0.2">
      <c r="A1231" s="29"/>
      <c r="B1231" s="101"/>
      <c r="C1231" s="41"/>
      <c r="D1231" s="67"/>
      <c r="E1231" s="104"/>
      <c r="F1231" s="154"/>
      <c r="G1231" s="35"/>
    </row>
    <row r="1232" spans="1:7" x14ac:dyDescent="0.2">
      <c r="A1232" s="29"/>
      <c r="B1232" s="101"/>
      <c r="C1232" s="41"/>
      <c r="D1232" s="67"/>
      <c r="E1232" s="104"/>
      <c r="F1232" s="154"/>
      <c r="G1232" s="35"/>
    </row>
    <row r="1233" spans="1:7" x14ac:dyDescent="0.2">
      <c r="A1233" s="29"/>
      <c r="B1233" s="101"/>
      <c r="C1233" s="41"/>
      <c r="D1233" s="67"/>
      <c r="E1233" s="104"/>
      <c r="F1233" s="154"/>
      <c r="G1233" s="35"/>
    </row>
    <row r="1234" spans="1:7" x14ac:dyDescent="0.2">
      <c r="A1234" s="29"/>
      <c r="B1234" s="101"/>
      <c r="C1234" s="41"/>
      <c r="D1234" s="67"/>
      <c r="E1234" s="104"/>
      <c r="F1234" s="154"/>
      <c r="G1234" s="35"/>
    </row>
    <row r="1235" spans="1:7" x14ac:dyDescent="0.2">
      <c r="A1235" s="29"/>
      <c r="B1235" s="101"/>
      <c r="C1235" s="41"/>
      <c r="D1235" s="159"/>
      <c r="E1235" s="104"/>
      <c r="F1235" s="154"/>
      <c r="G1235" s="35"/>
    </row>
    <row r="1236" spans="1:7" x14ac:dyDescent="0.2">
      <c r="A1236" s="29"/>
      <c r="B1236" s="101"/>
      <c r="C1236" s="41"/>
      <c r="D1236" s="160"/>
      <c r="E1236" s="108"/>
      <c r="F1236" s="128"/>
      <c r="G1236" s="35"/>
    </row>
    <row r="1237" spans="1:7" x14ac:dyDescent="0.2">
      <c r="A1237" s="29"/>
      <c r="B1237" s="101"/>
      <c r="C1237" s="41"/>
      <c r="D1237" s="136"/>
      <c r="E1237" s="153"/>
      <c r="F1237" s="128"/>
      <c r="G1237" s="35"/>
    </row>
    <row r="1238" spans="1:7" x14ac:dyDescent="0.2">
      <c r="A1238" s="29"/>
      <c r="B1238" s="101"/>
      <c r="C1238" s="41"/>
      <c r="D1238" s="136"/>
      <c r="E1238" s="102"/>
      <c r="F1238" s="128"/>
      <c r="G1238" s="35"/>
    </row>
    <row r="1239" spans="1:7" x14ac:dyDescent="0.2">
      <c r="A1239" s="29"/>
      <c r="B1239" s="101"/>
      <c r="C1239" s="31"/>
      <c r="D1239" s="67"/>
      <c r="E1239" s="131"/>
      <c r="F1239" s="117"/>
      <c r="G1239" s="35"/>
    </row>
    <row r="1240" spans="1:7" x14ac:dyDescent="0.2">
      <c r="A1240" s="29"/>
      <c r="B1240" s="101"/>
      <c r="C1240" s="41"/>
      <c r="D1240" s="118"/>
      <c r="E1240" s="108"/>
      <c r="F1240" s="149"/>
      <c r="G1240" s="35"/>
    </row>
    <row r="1241" spans="1:7" x14ac:dyDescent="0.2">
      <c r="A1241" s="29"/>
      <c r="B1241" s="101"/>
      <c r="C1241" s="41"/>
      <c r="D1241" s="144"/>
      <c r="E1241" s="108"/>
      <c r="F1241" s="149"/>
      <c r="G1241" s="35"/>
    </row>
    <row r="1242" spans="1:7" ht="13.5" thickBot="1" x14ac:dyDescent="0.25">
      <c r="A1242" s="45"/>
      <c r="B1242" s="132"/>
      <c r="C1242" s="115"/>
      <c r="D1242" s="115"/>
      <c r="E1242" s="132"/>
      <c r="F1242" s="49" t="s">
        <v>15</v>
      </c>
      <c r="G1242" s="50">
        <f>SUM(G1208:G1241)</f>
        <v>13500</v>
      </c>
    </row>
    <row r="1243" spans="1:7" ht="13.5" thickTop="1" x14ac:dyDescent="0.2">
      <c r="A1243" s="875" t="s">
        <v>1703</v>
      </c>
      <c r="B1243" s="899"/>
      <c r="C1243" s="899"/>
      <c r="D1243" s="899"/>
      <c r="E1243" s="899"/>
      <c r="F1243" s="899"/>
      <c r="G1243" s="900"/>
    </row>
    <row r="1244" spans="1:7" ht="13.5" thickBot="1" x14ac:dyDescent="0.25">
      <c r="A1244" s="926" t="s">
        <v>1704</v>
      </c>
      <c r="B1244" s="927"/>
      <c r="C1244" s="927"/>
      <c r="D1244" s="927"/>
      <c r="E1244" s="927"/>
      <c r="F1244" s="927"/>
      <c r="G1244" s="928"/>
    </row>
    <row r="1245" spans="1:7" ht="13.5" thickTop="1" x14ac:dyDescent="0.2">
      <c r="A1245" s="906"/>
      <c r="B1245" s="907"/>
      <c r="C1245" s="907"/>
      <c r="D1245" s="57" t="s">
        <v>11</v>
      </c>
      <c r="E1245" s="908" t="s">
        <v>12</v>
      </c>
      <c r="F1245" s="908"/>
      <c r="G1245" s="909"/>
    </row>
    <row r="1246" spans="1:7" x14ac:dyDescent="0.2">
      <c r="A1246" s="910" t="s">
        <v>17</v>
      </c>
      <c r="B1246" s="911"/>
      <c r="C1246" s="911"/>
      <c r="D1246" s="39"/>
      <c r="E1246" s="912"/>
      <c r="F1246" s="913"/>
      <c r="G1246" s="914"/>
    </row>
    <row r="1247" spans="1:7" x14ac:dyDescent="0.2">
      <c r="A1247" s="910" t="s">
        <v>38</v>
      </c>
      <c r="B1247" s="911"/>
      <c r="C1247" s="911"/>
      <c r="D1247" s="58" t="s">
        <v>887</v>
      </c>
      <c r="E1247" s="868" t="s">
        <v>142</v>
      </c>
      <c r="F1247" s="868"/>
      <c r="G1247" s="869"/>
    </row>
    <row r="1248" spans="1:7" ht="13.5" thickBot="1" x14ac:dyDescent="0.25">
      <c r="A1248" s="901" t="s">
        <v>39</v>
      </c>
      <c r="B1248" s="902"/>
      <c r="C1248" s="902"/>
      <c r="D1248" s="59" t="s">
        <v>44</v>
      </c>
      <c r="E1248" s="904" t="s">
        <v>0</v>
      </c>
      <c r="F1248" s="904"/>
      <c r="G1248" s="905"/>
    </row>
    <row r="1249" spans="1:7" ht="16.5" x14ac:dyDescent="0.25">
      <c r="A1249" s="885" t="s">
        <v>29</v>
      </c>
      <c r="B1249" s="886"/>
      <c r="C1249" s="886"/>
      <c r="D1249" s="886"/>
      <c r="E1249" s="886"/>
      <c r="F1249" s="886"/>
      <c r="G1249" s="887"/>
    </row>
    <row r="1250" spans="1:7" x14ac:dyDescent="0.2">
      <c r="A1250" s="888" t="s">
        <v>48</v>
      </c>
      <c r="B1250" s="889"/>
      <c r="C1250" s="889"/>
      <c r="D1250" s="889"/>
      <c r="E1250" s="889"/>
      <c r="F1250" s="889"/>
      <c r="G1250" s="890"/>
    </row>
    <row r="1251" spans="1:7" x14ac:dyDescent="0.2">
      <c r="A1251" s="915" t="s">
        <v>49</v>
      </c>
      <c r="B1251" s="916"/>
      <c r="C1251" s="916"/>
      <c r="D1251" s="916"/>
      <c r="E1251" s="916"/>
      <c r="F1251" s="916"/>
      <c r="G1251" s="917"/>
    </row>
    <row r="1252" spans="1:7" x14ac:dyDescent="0.2">
      <c r="A1252" s="6"/>
      <c r="B1252" s="99"/>
      <c r="C1252" s="8"/>
      <c r="D1252" s="9"/>
      <c r="E1252" s="99"/>
      <c r="F1252" s="10"/>
      <c r="G1252" s="11" t="s">
        <v>20</v>
      </c>
    </row>
    <row r="1253" spans="1:7" x14ac:dyDescent="0.2">
      <c r="A1253" s="12" t="s">
        <v>1</v>
      </c>
      <c r="B1253" s="13"/>
      <c r="C1253" s="14" t="s">
        <v>19</v>
      </c>
      <c r="D1253" s="13"/>
      <c r="E1253" s="362" t="s">
        <v>1526</v>
      </c>
      <c r="F1253" s="98"/>
      <c r="G1253" s="363" t="s">
        <v>1521</v>
      </c>
    </row>
    <row r="1254" spans="1:7" x14ac:dyDescent="0.2">
      <c r="A1254" s="17" t="s">
        <v>8</v>
      </c>
      <c r="B1254" s="100"/>
      <c r="C1254" s="19"/>
      <c r="D1254" s="4"/>
      <c r="E1254" s="918"/>
      <c r="F1254" s="919"/>
      <c r="G1254" s="20"/>
    </row>
    <row r="1255" spans="1:7" x14ac:dyDescent="0.2">
      <c r="A1255" s="21" t="s">
        <v>37</v>
      </c>
      <c r="B1255" s="22"/>
      <c r="C1255" s="22"/>
      <c r="D1255" s="22"/>
      <c r="E1255" s="23" t="s">
        <v>46</v>
      </c>
      <c r="F1255" s="24"/>
      <c r="G1255" s="20" t="s">
        <v>50</v>
      </c>
    </row>
    <row r="1256" spans="1:7" x14ac:dyDescent="0.2">
      <c r="A1256" s="6"/>
      <c r="B1256" s="99"/>
      <c r="C1256" s="8"/>
      <c r="D1256" s="8"/>
      <c r="E1256" s="920"/>
      <c r="F1256" s="921"/>
      <c r="G1256" s="25"/>
    </row>
    <row r="1257" spans="1:7" ht="26.25" thickBot="1" x14ac:dyDescent="0.25">
      <c r="A1257" s="207" t="s">
        <v>47</v>
      </c>
      <c r="B1257" s="28" t="s">
        <v>23</v>
      </c>
      <c r="C1257" s="28" t="s">
        <v>34</v>
      </c>
      <c r="D1257" s="110" t="s">
        <v>53</v>
      </c>
      <c r="E1257" s="114" t="s">
        <v>54</v>
      </c>
      <c r="F1257" s="111" t="s">
        <v>55</v>
      </c>
      <c r="G1257" s="112" t="s">
        <v>35</v>
      </c>
    </row>
    <row r="1258" spans="1:7" ht="13.5" thickTop="1" x14ac:dyDescent="0.2">
      <c r="A1258" s="29">
        <v>1</v>
      </c>
      <c r="B1258" s="101"/>
      <c r="C1258" s="371" t="s">
        <v>242</v>
      </c>
      <c r="D1258" s="376" t="s">
        <v>1288</v>
      </c>
      <c r="E1258" s="158">
        <v>50</v>
      </c>
      <c r="F1258" s="128">
        <v>450</v>
      </c>
      <c r="G1258" s="35">
        <f>F1258*E1258</f>
        <v>22500</v>
      </c>
    </row>
    <row r="1259" spans="1:7" x14ac:dyDescent="0.2">
      <c r="A1259" s="29"/>
      <c r="B1259" s="101"/>
      <c r="C1259" s="371"/>
      <c r="D1259" s="370" t="s">
        <v>886</v>
      </c>
      <c r="E1259" s="158"/>
      <c r="F1259" s="128"/>
      <c r="G1259" s="35"/>
    </row>
    <row r="1260" spans="1:7" x14ac:dyDescent="0.2">
      <c r="A1260" s="29"/>
      <c r="B1260" s="101"/>
      <c r="C1260" s="41"/>
      <c r="D1260" s="370"/>
      <c r="E1260" s="157"/>
      <c r="F1260" s="149"/>
      <c r="G1260" s="372"/>
    </row>
    <row r="1261" spans="1:7" x14ac:dyDescent="0.2">
      <c r="A1261" s="29"/>
      <c r="B1261" s="101"/>
      <c r="C1261" s="371"/>
      <c r="D1261" s="370"/>
      <c r="E1261" s="158"/>
      <c r="F1261" s="128"/>
      <c r="G1261" s="35"/>
    </row>
    <row r="1262" spans="1:7" x14ac:dyDescent="0.2">
      <c r="A1262" s="29"/>
      <c r="B1262" s="105"/>
      <c r="C1262" s="41"/>
      <c r="D1262" s="136"/>
      <c r="E1262" s="102"/>
      <c r="F1262" s="128"/>
      <c r="G1262" s="35"/>
    </row>
    <row r="1263" spans="1:7" x14ac:dyDescent="0.2">
      <c r="A1263" s="29"/>
      <c r="B1263" s="105"/>
      <c r="C1263" s="41"/>
      <c r="D1263" s="136"/>
      <c r="E1263" s="102"/>
      <c r="F1263" s="128"/>
      <c r="G1263" s="35"/>
    </row>
    <row r="1264" spans="1:7" x14ac:dyDescent="0.2">
      <c r="A1264" s="29"/>
      <c r="B1264" s="151"/>
      <c r="C1264" s="119"/>
      <c r="D1264" s="376" t="s">
        <v>8</v>
      </c>
      <c r="E1264" s="108"/>
      <c r="F1264" s="150"/>
      <c r="G1264" s="35"/>
    </row>
    <row r="1265" spans="1:7" x14ac:dyDescent="0.2">
      <c r="A1265" s="29"/>
      <c r="B1265" s="151"/>
      <c r="C1265" s="119"/>
      <c r="D1265" s="144"/>
      <c r="E1265" s="108"/>
      <c r="F1265" s="150"/>
      <c r="G1265" s="35"/>
    </row>
    <row r="1266" spans="1:7" x14ac:dyDescent="0.2">
      <c r="A1266" s="29"/>
      <c r="B1266" s="101"/>
      <c r="C1266" s="41"/>
      <c r="D1266" s="144"/>
      <c r="E1266" s="155"/>
      <c r="F1266" s="128"/>
      <c r="G1266" s="35"/>
    </row>
    <row r="1267" spans="1:7" x14ac:dyDescent="0.2">
      <c r="A1267" s="29"/>
      <c r="B1267" s="106"/>
      <c r="C1267" s="41"/>
      <c r="D1267" s="136"/>
      <c r="E1267" s="104"/>
      <c r="F1267" s="128"/>
      <c r="G1267" s="35"/>
    </row>
    <row r="1268" spans="1:7" x14ac:dyDescent="0.2">
      <c r="A1268" s="29"/>
      <c r="B1268" s="105"/>
      <c r="C1268" s="41"/>
      <c r="D1268" s="136"/>
      <c r="E1268" s="108"/>
      <c r="F1268" s="152"/>
      <c r="G1268" s="35"/>
    </row>
    <row r="1269" spans="1:7" x14ac:dyDescent="0.2">
      <c r="A1269" s="29"/>
      <c r="B1269" s="107"/>
      <c r="C1269" s="41"/>
      <c r="D1269" s="136"/>
      <c r="E1269" s="153"/>
      <c r="F1269" s="128"/>
      <c r="G1269" s="35"/>
    </row>
    <row r="1270" spans="1:7" x14ac:dyDescent="0.2">
      <c r="A1270" s="29"/>
      <c r="B1270" s="107"/>
      <c r="C1270" s="41"/>
      <c r="D1270" s="67"/>
      <c r="E1270" s="153"/>
      <c r="F1270" s="128"/>
      <c r="G1270" s="35"/>
    </row>
    <row r="1271" spans="1:7" x14ac:dyDescent="0.2">
      <c r="A1271" s="29"/>
      <c r="B1271" s="101"/>
      <c r="C1271" s="41"/>
      <c r="D1271" s="67"/>
      <c r="E1271" s="108"/>
      <c r="F1271" s="128"/>
      <c r="G1271" s="35"/>
    </row>
    <row r="1272" spans="1:7" x14ac:dyDescent="0.2">
      <c r="A1272" s="29"/>
      <c r="B1272" s="101"/>
      <c r="C1272" s="41"/>
      <c r="D1272" s="67"/>
      <c r="E1272" s="153"/>
      <c r="F1272" s="128"/>
      <c r="G1272" s="35"/>
    </row>
    <row r="1273" spans="1:7" x14ac:dyDescent="0.2">
      <c r="A1273" s="29"/>
      <c r="B1273" s="106"/>
      <c r="C1273" s="41"/>
      <c r="D1273" s="67"/>
      <c r="E1273" s="104"/>
      <c r="F1273" s="154"/>
      <c r="G1273" s="35"/>
    </row>
    <row r="1274" spans="1:7" x14ac:dyDescent="0.2">
      <c r="A1274" s="29"/>
      <c r="B1274" s="105"/>
      <c r="C1274" s="41"/>
      <c r="D1274" s="130"/>
      <c r="E1274" s="104"/>
      <c r="F1274" s="154"/>
      <c r="G1274" s="35"/>
    </row>
    <row r="1275" spans="1:7" x14ac:dyDescent="0.2">
      <c r="A1275" s="29"/>
      <c r="B1275" s="105"/>
      <c r="C1275" s="41"/>
      <c r="D1275" s="67"/>
      <c r="E1275" s="104"/>
      <c r="F1275" s="154"/>
      <c r="G1275" s="35"/>
    </row>
    <row r="1276" spans="1:7" x14ac:dyDescent="0.2">
      <c r="A1276" s="29"/>
      <c r="B1276" s="101"/>
      <c r="C1276" s="41"/>
      <c r="D1276" s="67"/>
      <c r="E1276" s="104"/>
      <c r="F1276" s="154"/>
      <c r="G1276" s="35"/>
    </row>
    <row r="1277" spans="1:7" x14ac:dyDescent="0.2">
      <c r="A1277" s="29"/>
      <c r="B1277" s="101"/>
      <c r="C1277" s="41"/>
      <c r="D1277" s="136"/>
      <c r="E1277" s="104"/>
      <c r="F1277" s="154"/>
      <c r="G1277" s="35"/>
    </row>
    <row r="1278" spans="1:7" x14ac:dyDescent="0.2">
      <c r="A1278" s="29"/>
      <c r="B1278" s="101"/>
      <c r="C1278" s="41"/>
      <c r="D1278" s="136"/>
      <c r="E1278" s="104"/>
      <c r="F1278" s="154"/>
      <c r="G1278" s="35"/>
    </row>
    <row r="1279" spans="1:7" x14ac:dyDescent="0.2">
      <c r="A1279" s="29"/>
      <c r="B1279" s="101"/>
      <c r="C1279" s="41"/>
      <c r="D1279" s="62"/>
      <c r="E1279" s="104"/>
      <c r="F1279" s="154"/>
      <c r="G1279" s="35"/>
    </row>
    <row r="1280" spans="1:7" x14ac:dyDescent="0.2">
      <c r="A1280" s="29"/>
      <c r="B1280" s="101"/>
      <c r="C1280" s="41"/>
      <c r="D1280" s="67"/>
      <c r="E1280" s="104"/>
      <c r="F1280" s="154"/>
      <c r="G1280" s="35"/>
    </row>
    <row r="1281" spans="1:7" x14ac:dyDescent="0.2">
      <c r="A1281" s="29"/>
      <c r="B1281" s="101"/>
      <c r="C1281" s="41"/>
      <c r="D1281" s="67"/>
      <c r="E1281" s="104"/>
      <c r="F1281" s="154"/>
      <c r="G1281" s="35"/>
    </row>
    <row r="1282" spans="1:7" x14ac:dyDescent="0.2">
      <c r="A1282" s="29"/>
      <c r="B1282" s="101"/>
      <c r="C1282" s="41"/>
      <c r="D1282" s="67"/>
      <c r="E1282" s="104"/>
      <c r="F1282" s="154"/>
      <c r="G1282" s="35"/>
    </row>
    <row r="1283" spans="1:7" x14ac:dyDescent="0.2">
      <c r="A1283" s="29"/>
      <c r="B1283" s="101"/>
      <c r="C1283" s="41"/>
      <c r="D1283" s="67"/>
      <c r="E1283" s="104"/>
      <c r="F1283" s="154"/>
      <c r="G1283" s="35"/>
    </row>
    <row r="1284" spans="1:7" x14ac:dyDescent="0.2">
      <c r="A1284" s="29"/>
      <c r="B1284" s="101"/>
      <c r="C1284" s="41"/>
      <c r="D1284" s="67"/>
      <c r="E1284" s="104"/>
      <c r="F1284" s="154"/>
      <c r="G1284" s="35"/>
    </row>
    <row r="1285" spans="1:7" x14ac:dyDescent="0.2">
      <c r="A1285" s="29"/>
      <c r="B1285" s="101"/>
      <c r="C1285" s="41"/>
      <c r="D1285" s="159"/>
      <c r="E1285" s="104"/>
      <c r="F1285" s="154"/>
      <c r="G1285" s="35"/>
    </row>
    <row r="1286" spans="1:7" x14ac:dyDescent="0.2">
      <c r="A1286" s="29"/>
      <c r="B1286" s="101"/>
      <c r="C1286" s="41"/>
      <c r="D1286" s="160"/>
      <c r="E1286" s="108"/>
      <c r="F1286" s="128"/>
      <c r="G1286" s="35"/>
    </row>
    <row r="1287" spans="1:7" x14ac:dyDescent="0.2">
      <c r="A1287" s="29"/>
      <c r="B1287" s="101"/>
      <c r="C1287" s="41"/>
      <c r="D1287" s="136"/>
      <c r="E1287" s="153"/>
      <c r="F1287" s="128"/>
      <c r="G1287" s="35"/>
    </row>
    <row r="1288" spans="1:7" x14ac:dyDescent="0.2">
      <c r="A1288" s="29"/>
      <c r="B1288" s="101"/>
      <c r="C1288" s="41"/>
      <c r="D1288" s="136"/>
      <c r="E1288" s="102"/>
      <c r="F1288" s="128"/>
      <c r="G1288" s="35"/>
    </row>
    <row r="1289" spans="1:7" x14ac:dyDescent="0.2">
      <c r="A1289" s="29"/>
      <c r="B1289" s="101"/>
      <c r="C1289" s="31"/>
      <c r="D1289" s="67"/>
      <c r="E1289" s="131"/>
      <c r="F1289" s="117"/>
      <c r="G1289" s="35"/>
    </row>
    <row r="1290" spans="1:7" x14ac:dyDescent="0.2">
      <c r="A1290" s="29"/>
      <c r="B1290" s="101"/>
      <c r="C1290" s="41"/>
      <c r="D1290" s="118"/>
      <c r="E1290" s="108"/>
      <c r="F1290" s="149"/>
      <c r="G1290" s="35"/>
    </row>
    <row r="1291" spans="1:7" x14ac:dyDescent="0.2">
      <c r="A1291" s="29"/>
      <c r="B1291" s="101"/>
      <c r="C1291" s="41"/>
      <c r="D1291" s="144"/>
      <c r="E1291" s="108"/>
      <c r="F1291" s="149"/>
      <c r="G1291" s="35"/>
    </row>
    <row r="1292" spans="1:7" ht="13.5" thickBot="1" x14ac:dyDescent="0.25">
      <c r="A1292" s="45"/>
      <c r="B1292" s="132"/>
      <c r="C1292" s="115"/>
      <c r="D1292" s="115"/>
      <c r="E1292" s="132"/>
      <c r="F1292" s="49" t="s">
        <v>15</v>
      </c>
      <c r="G1292" s="50">
        <f>SUM(G1258:G1291)</f>
        <v>22500</v>
      </c>
    </row>
    <row r="1293" spans="1:7" ht="13.5" thickTop="1" x14ac:dyDescent="0.2">
      <c r="A1293" s="875" t="s">
        <v>1705</v>
      </c>
      <c r="B1293" s="899"/>
      <c r="C1293" s="899"/>
      <c r="D1293" s="899"/>
      <c r="E1293" s="899"/>
      <c r="F1293" s="899"/>
      <c r="G1293" s="900"/>
    </row>
    <row r="1294" spans="1:7" ht="13.5" thickBot="1" x14ac:dyDescent="0.25">
      <c r="A1294" s="926" t="s">
        <v>1706</v>
      </c>
      <c r="B1294" s="927"/>
      <c r="C1294" s="927"/>
      <c r="D1294" s="927"/>
      <c r="E1294" s="927"/>
      <c r="F1294" s="927"/>
      <c r="G1294" s="928"/>
    </row>
    <row r="1295" spans="1:7" ht="13.5" thickTop="1" x14ac:dyDescent="0.2">
      <c r="A1295" s="906"/>
      <c r="B1295" s="907"/>
      <c r="C1295" s="907"/>
      <c r="D1295" s="57" t="s">
        <v>11</v>
      </c>
      <c r="E1295" s="908" t="s">
        <v>12</v>
      </c>
      <c r="F1295" s="908"/>
      <c r="G1295" s="909"/>
    </row>
    <row r="1296" spans="1:7" x14ac:dyDescent="0.2">
      <c r="A1296" s="910" t="s">
        <v>17</v>
      </c>
      <c r="B1296" s="911"/>
      <c r="C1296" s="911"/>
      <c r="D1296" s="39"/>
      <c r="E1296" s="912"/>
      <c r="F1296" s="913"/>
      <c r="G1296" s="914"/>
    </row>
    <row r="1297" spans="1:7" x14ac:dyDescent="0.2">
      <c r="A1297" s="910" t="s">
        <v>38</v>
      </c>
      <c r="B1297" s="911"/>
      <c r="C1297" s="911"/>
      <c r="D1297" s="58" t="s">
        <v>887</v>
      </c>
      <c r="E1297" s="868" t="s">
        <v>142</v>
      </c>
      <c r="F1297" s="868"/>
      <c r="G1297" s="869"/>
    </row>
    <row r="1298" spans="1:7" ht="13.5" thickBot="1" x14ac:dyDescent="0.25">
      <c r="A1298" s="901" t="s">
        <v>39</v>
      </c>
      <c r="B1298" s="902"/>
      <c r="C1298" s="902"/>
      <c r="D1298" s="59" t="s">
        <v>44</v>
      </c>
      <c r="E1298" s="904" t="s">
        <v>0</v>
      </c>
      <c r="F1298" s="904"/>
      <c r="G1298" s="905"/>
    </row>
    <row r="1299" spans="1:7" ht="16.5" x14ac:dyDescent="0.25">
      <c r="A1299" s="885" t="s">
        <v>29</v>
      </c>
      <c r="B1299" s="886"/>
      <c r="C1299" s="886"/>
      <c r="D1299" s="886"/>
      <c r="E1299" s="886"/>
      <c r="F1299" s="886"/>
      <c r="G1299" s="887"/>
    </row>
    <row r="1300" spans="1:7" x14ac:dyDescent="0.2">
      <c r="A1300" s="888" t="s">
        <v>48</v>
      </c>
      <c r="B1300" s="889"/>
      <c r="C1300" s="889"/>
      <c r="D1300" s="889"/>
      <c r="E1300" s="889"/>
      <c r="F1300" s="889"/>
      <c r="G1300" s="890"/>
    </row>
    <row r="1301" spans="1:7" x14ac:dyDescent="0.2">
      <c r="A1301" s="915" t="s">
        <v>49</v>
      </c>
      <c r="B1301" s="916"/>
      <c r="C1301" s="916"/>
      <c r="D1301" s="916"/>
      <c r="E1301" s="916"/>
      <c r="F1301" s="916"/>
      <c r="G1301" s="917"/>
    </row>
    <row r="1302" spans="1:7" x14ac:dyDescent="0.2">
      <c r="A1302" s="6"/>
      <c r="B1302" s="99"/>
      <c r="C1302" s="8"/>
      <c r="D1302" s="9"/>
      <c r="E1302" s="99"/>
      <c r="F1302" s="10"/>
      <c r="G1302" s="11" t="s">
        <v>20</v>
      </c>
    </row>
    <row r="1303" spans="1:7" x14ac:dyDescent="0.2">
      <c r="A1303" s="12" t="s">
        <v>1</v>
      </c>
      <c r="B1303" s="13"/>
      <c r="C1303" s="14" t="s">
        <v>19</v>
      </c>
      <c r="D1303" s="13"/>
      <c r="E1303" s="362" t="s">
        <v>1526</v>
      </c>
      <c r="F1303" s="98"/>
      <c r="G1303" s="363" t="s">
        <v>1521</v>
      </c>
    </row>
    <row r="1304" spans="1:7" x14ac:dyDescent="0.2">
      <c r="A1304" s="17" t="s">
        <v>8</v>
      </c>
      <c r="B1304" s="100"/>
      <c r="C1304" s="19"/>
      <c r="D1304" s="4"/>
      <c r="E1304" s="918"/>
      <c r="F1304" s="919"/>
      <c r="G1304" s="20"/>
    </row>
    <row r="1305" spans="1:7" x14ac:dyDescent="0.2">
      <c r="A1305" s="21" t="s">
        <v>37</v>
      </c>
      <c r="B1305" s="22"/>
      <c r="C1305" s="22"/>
      <c r="D1305" s="22"/>
      <c r="E1305" s="23" t="s">
        <v>46</v>
      </c>
      <c r="F1305" s="24"/>
      <c r="G1305" s="20" t="s">
        <v>50</v>
      </c>
    </row>
    <row r="1306" spans="1:7" x14ac:dyDescent="0.2">
      <c r="A1306" s="6"/>
      <c r="B1306" s="99"/>
      <c r="C1306" s="8"/>
      <c r="D1306" s="8"/>
      <c r="E1306" s="920"/>
      <c r="F1306" s="921"/>
      <c r="G1306" s="25"/>
    </row>
    <row r="1307" spans="1:7" ht="26.25" thickBot="1" x14ac:dyDescent="0.25">
      <c r="A1307" s="207" t="s">
        <v>47</v>
      </c>
      <c r="B1307" s="28" t="s">
        <v>23</v>
      </c>
      <c r="C1307" s="28" t="s">
        <v>34</v>
      </c>
      <c r="D1307" s="110" t="s">
        <v>53</v>
      </c>
      <c r="E1307" s="114" t="s">
        <v>54</v>
      </c>
      <c r="F1307" s="111" t="s">
        <v>55</v>
      </c>
      <c r="G1307" s="112" t="s">
        <v>35</v>
      </c>
    </row>
    <row r="1308" spans="1:7" ht="13.5" thickTop="1" x14ac:dyDescent="0.2">
      <c r="A1308" s="29">
        <v>1</v>
      </c>
      <c r="B1308" s="101"/>
      <c r="C1308" s="371" t="s">
        <v>242</v>
      </c>
      <c r="D1308" s="376" t="s">
        <v>1288</v>
      </c>
      <c r="E1308" s="158">
        <v>35</v>
      </c>
      <c r="F1308" s="128">
        <v>450</v>
      </c>
      <c r="G1308" s="35">
        <f>F1308*E1308</f>
        <v>15750</v>
      </c>
    </row>
    <row r="1309" spans="1:7" x14ac:dyDescent="0.2">
      <c r="A1309" s="29"/>
      <c r="B1309" s="101"/>
      <c r="C1309" s="371"/>
      <c r="D1309" s="370" t="s">
        <v>886</v>
      </c>
      <c r="E1309" s="158"/>
      <c r="F1309" s="128"/>
      <c r="G1309" s="35"/>
    </row>
    <row r="1310" spans="1:7" x14ac:dyDescent="0.2">
      <c r="A1310" s="29"/>
      <c r="B1310" s="101"/>
      <c r="C1310" s="41"/>
      <c r="D1310" s="370"/>
      <c r="E1310" s="157"/>
      <c r="F1310" s="149"/>
      <c r="G1310" s="372"/>
    </row>
    <row r="1311" spans="1:7" x14ac:dyDescent="0.2">
      <c r="A1311" s="29"/>
      <c r="B1311" s="101"/>
      <c r="C1311" s="371"/>
      <c r="D1311" s="370"/>
      <c r="E1311" s="158"/>
      <c r="F1311" s="128"/>
      <c r="G1311" s="35"/>
    </row>
    <row r="1312" spans="1:7" x14ac:dyDescent="0.2">
      <c r="A1312" s="29"/>
      <c r="B1312" s="105"/>
      <c r="C1312" s="41"/>
      <c r="D1312" s="136"/>
      <c r="E1312" s="102"/>
      <c r="F1312" s="128"/>
      <c r="G1312" s="35"/>
    </row>
    <row r="1313" spans="1:7" x14ac:dyDescent="0.2">
      <c r="A1313" s="29"/>
      <c r="B1313" s="105"/>
      <c r="C1313" s="41"/>
      <c r="D1313" s="136"/>
      <c r="E1313" s="102"/>
      <c r="F1313" s="128"/>
      <c r="G1313" s="35"/>
    </row>
    <row r="1314" spans="1:7" x14ac:dyDescent="0.2">
      <c r="A1314" s="29"/>
      <c r="B1314" s="151"/>
      <c r="C1314" s="119"/>
      <c r="D1314" s="376" t="s">
        <v>8</v>
      </c>
      <c r="E1314" s="108"/>
      <c r="F1314" s="150"/>
      <c r="G1314" s="35"/>
    </row>
    <row r="1315" spans="1:7" x14ac:dyDescent="0.2">
      <c r="A1315" s="29"/>
      <c r="B1315" s="151"/>
      <c r="C1315" s="119"/>
      <c r="D1315" s="144"/>
      <c r="E1315" s="108"/>
      <c r="F1315" s="150"/>
      <c r="G1315" s="35"/>
    </row>
    <row r="1316" spans="1:7" x14ac:dyDescent="0.2">
      <c r="A1316" s="29"/>
      <c r="B1316" s="101"/>
      <c r="C1316" s="41"/>
      <c r="D1316" s="144"/>
      <c r="E1316" s="155"/>
      <c r="F1316" s="128"/>
      <c r="G1316" s="35"/>
    </row>
    <row r="1317" spans="1:7" x14ac:dyDescent="0.2">
      <c r="A1317" s="29"/>
      <c r="B1317" s="106"/>
      <c r="C1317" s="41"/>
      <c r="D1317" s="136"/>
      <c r="E1317" s="104"/>
      <c r="F1317" s="128"/>
      <c r="G1317" s="35"/>
    </row>
    <row r="1318" spans="1:7" x14ac:dyDescent="0.2">
      <c r="A1318" s="29"/>
      <c r="B1318" s="105"/>
      <c r="C1318" s="41"/>
      <c r="D1318" s="136"/>
      <c r="E1318" s="108"/>
      <c r="F1318" s="152"/>
      <c r="G1318" s="35"/>
    </row>
    <row r="1319" spans="1:7" x14ac:dyDescent="0.2">
      <c r="A1319" s="29"/>
      <c r="B1319" s="107"/>
      <c r="C1319" s="41"/>
      <c r="D1319" s="136"/>
      <c r="E1319" s="153"/>
      <c r="F1319" s="128"/>
      <c r="G1319" s="35"/>
    </row>
    <row r="1320" spans="1:7" x14ac:dyDescent="0.2">
      <c r="A1320" s="29"/>
      <c r="B1320" s="107"/>
      <c r="C1320" s="41"/>
      <c r="D1320" s="67"/>
      <c r="E1320" s="153"/>
      <c r="F1320" s="128"/>
      <c r="G1320" s="35"/>
    </row>
    <row r="1321" spans="1:7" x14ac:dyDescent="0.2">
      <c r="A1321" s="29"/>
      <c r="B1321" s="101"/>
      <c r="C1321" s="41"/>
      <c r="D1321" s="67"/>
      <c r="E1321" s="108"/>
      <c r="F1321" s="128"/>
      <c r="G1321" s="35"/>
    </row>
    <row r="1322" spans="1:7" x14ac:dyDescent="0.2">
      <c r="A1322" s="29"/>
      <c r="B1322" s="101"/>
      <c r="C1322" s="41"/>
      <c r="D1322" s="67"/>
      <c r="E1322" s="153"/>
      <c r="F1322" s="128"/>
      <c r="G1322" s="35"/>
    </row>
    <row r="1323" spans="1:7" x14ac:dyDescent="0.2">
      <c r="A1323" s="29"/>
      <c r="B1323" s="106"/>
      <c r="C1323" s="41"/>
      <c r="D1323" s="67"/>
      <c r="E1323" s="104"/>
      <c r="F1323" s="154"/>
      <c r="G1323" s="35"/>
    </row>
    <row r="1324" spans="1:7" x14ac:dyDescent="0.2">
      <c r="A1324" s="29"/>
      <c r="B1324" s="105"/>
      <c r="C1324" s="41"/>
      <c r="D1324" s="130"/>
      <c r="E1324" s="104"/>
      <c r="F1324" s="154"/>
      <c r="G1324" s="35"/>
    </row>
    <row r="1325" spans="1:7" x14ac:dyDescent="0.2">
      <c r="A1325" s="29"/>
      <c r="B1325" s="105"/>
      <c r="C1325" s="41"/>
      <c r="D1325" s="67"/>
      <c r="E1325" s="104"/>
      <c r="F1325" s="154"/>
      <c r="G1325" s="35"/>
    </row>
    <row r="1326" spans="1:7" x14ac:dyDescent="0.2">
      <c r="A1326" s="29"/>
      <c r="B1326" s="101"/>
      <c r="C1326" s="41"/>
      <c r="D1326" s="67"/>
      <c r="E1326" s="104"/>
      <c r="F1326" s="154"/>
      <c r="G1326" s="35"/>
    </row>
    <row r="1327" spans="1:7" x14ac:dyDescent="0.2">
      <c r="A1327" s="29"/>
      <c r="B1327" s="101"/>
      <c r="C1327" s="41"/>
      <c r="D1327" s="136"/>
      <c r="E1327" s="104"/>
      <c r="F1327" s="154"/>
      <c r="G1327" s="35"/>
    </row>
    <row r="1328" spans="1:7" x14ac:dyDescent="0.2">
      <c r="A1328" s="29"/>
      <c r="B1328" s="101"/>
      <c r="C1328" s="41"/>
      <c r="D1328" s="136"/>
      <c r="E1328" s="104"/>
      <c r="F1328" s="154"/>
      <c r="G1328" s="35"/>
    </row>
    <row r="1329" spans="1:7" x14ac:dyDescent="0.2">
      <c r="A1329" s="29"/>
      <c r="B1329" s="101"/>
      <c r="C1329" s="41"/>
      <c r="D1329" s="62"/>
      <c r="E1329" s="104"/>
      <c r="F1329" s="154"/>
      <c r="G1329" s="35"/>
    </row>
    <row r="1330" spans="1:7" x14ac:dyDescent="0.2">
      <c r="A1330" s="29"/>
      <c r="B1330" s="101"/>
      <c r="C1330" s="41"/>
      <c r="D1330" s="67"/>
      <c r="E1330" s="104"/>
      <c r="F1330" s="154"/>
      <c r="G1330" s="35"/>
    </row>
    <row r="1331" spans="1:7" x14ac:dyDescent="0.2">
      <c r="A1331" s="29"/>
      <c r="B1331" s="101"/>
      <c r="C1331" s="41"/>
      <c r="D1331" s="67"/>
      <c r="E1331" s="104"/>
      <c r="F1331" s="154"/>
      <c r="G1331" s="35"/>
    </row>
    <row r="1332" spans="1:7" x14ac:dyDescent="0.2">
      <c r="A1332" s="29"/>
      <c r="B1332" s="101"/>
      <c r="C1332" s="41"/>
      <c r="D1332" s="67"/>
      <c r="E1332" s="104"/>
      <c r="F1332" s="154"/>
      <c r="G1332" s="35"/>
    </row>
    <row r="1333" spans="1:7" x14ac:dyDescent="0.2">
      <c r="A1333" s="29"/>
      <c r="B1333" s="101"/>
      <c r="C1333" s="41"/>
      <c r="D1333" s="67"/>
      <c r="E1333" s="104"/>
      <c r="F1333" s="154"/>
      <c r="G1333" s="35"/>
    </row>
    <row r="1334" spans="1:7" x14ac:dyDescent="0.2">
      <c r="A1334" s="29"/>
      <c r="B1334" s="101"/>
      <c r="C1334" s="41"/>
      <c r="D1334" s="67"/>
      <c r="E1334" s="104"/>
      <c r="F1334" s="154"/>
      <c r="G1334" s="35"/>
    </row>
    <row r="1335" spans="1:7" x14ac:dyDescent="0.2">
      <c r="A1335" s="29"/>
      <c r="B1335" s="101"/>
      <c r="C1335" s="41"/>
      <c r="D1335" s="159"/>
      <c r="E1335" s="104"/>
      <c r="F1335" s="154"/>
      <c r="G1335" s="35"/>
    </row>
    <row r="1336" spans="1:7" x14ac:dyDescent="0.2">
      <c r="A1336" s="29"/>
      <c r="B1336" s="101"/>
      <c r="C1336" s="41"/>
      <c r="D1336" s="160"/>
      <c r="E1336" s="108"/>
      <c r="F1336" s="128"/>
      <c r="G1336" s="35"/>
    </row>
    <row r="1337" spans="1:7" x14ac:dyDescent="0.2">
      <c r="A1337" s="29"/>
      <c r="B1337" s="101"/>
      <c r="C1337" s="41"/>
      <c r="D1337" s="136"/>
      <c r="E1337" s="153"/>
      <c r="F1337" s="128"/>
      <c r="G1337" s="35"/>
    </row>
    <row r="1338" spans="1:7" x14ac:dyDescent="0.2">
      <c r="A1338" s="29"/>
      <c r="B1338" s="101"/>
      <c r="C1338" s="41"/>
      <c r="D1338" s="136"/>
      <c r="E1338" s="102"/>
      <c r="F1338" s="128"/>
      <c r="G1338" s="35"/>
    </row>
    <row r="1339" spans="1:7" x14ac:dyDescent="0.2">
      <c r="A1339" s="29"/>
      <c r="B1339" s="101"/>
      <c r="C1339" s="31"/>
      <c r="D1339" s="67"/>
      <c r="E1339" s="131"/>
      <c r="F1339" s="117"/>
      <c r="G1339" s="35"/>
    </row>
    <row r="1340" spans="1:7" x14ac:dyDescent="0.2">
      <c r="A1340" s="29"/>
      <c r="B1340" s="101"/>
      <c r="C1340" s="41"/>
      <c r="D1340" s="118"/>
      <c r="E1340" s="108"/>
      <c r="F1340" s="149"/>
      <c r="G1340" s="35"/>
    </row>
    <row r="1341" spans="1:7" x14ac:dyDescent="0.2">
      <c r="A1341" s="29"/>
      <c r="B1341" s="101"/>
      <c r="C1341" s="41"/>
      <c r="D1341" s="144"/>
      <c r="E1341" s="108"/>
      <c r="F1341" s="149"/>
      <c r="G1341" s="35"/>
    </row>
    <row r="1342" spans="1:7" ht="13.5" thickBot="1" x14ac:dyDescent="0.25">
      <c r="A1342" s="45"/>
      <c r="B1342" s="132"/>
      <c r="C1342" s="115"/>
      <c r="D1342" s="115"/>
      <c r="E1342" s="132"/>
      <c r="F1342" s="49" t="s">
        <v>15</v>
      </c>
      <c r="G1342" s="50">
        <f>SUM(G1308:G1341)</f>
        <v>15750</v>
      </c>
    </row>
    <row r="1343" spans="1:7" x14ac:dyDescent="0.2">
      <c r="A1343" s="875" t="s">
        <v>1710</v>
      </c>
      <c r="B1343" s="899"/>
      <c r="C1343" s="899"/>
      <c r="D1343" s="899"/>
      <c r="E1343" s="899"/>
      <c r="F1343" s="899"/>
      <c r="G1343" s="900"/>
    </row>
    <row r="1344" spans="1:7" ht="13.5" thickBot="1" x14ac:dyDescent="0.25">
      <c r="A1344" s="926" t="s">
        <v>1711</v>
      </c>
      <c r="B1344" s="927"/>
      <c r="C1344" s="927"/>
      <c r="D1344" s="927"/>
      <c r="E1344" s="927"/>
      <c r="F1344" s="927"/>
      <c r="G1344" s="928"/>
    </row>
    <row r="1345" spans="1:7" ht="13.5" thickTop="1" x14ac:dyDescent="0.2">
      <c r="A1345" s="906"/>
      <c r="B1345" s="907"/>
      <c r="C1345" s="907"/>
      <c r="D1345" s="57" t="s">
        <v>11</v>
      </c>
      <c r="E1345" s="908" t="s">
        <v>12</v>
      </c>
      <c r="F1345" s="908"/>
      <c r="G1345" s="909"/>
    </row>
    <row r="1346" spans="1:7" x14ac:dyDescent="0.2">
      <c r="A1346" s="910" t="s">
        <v>17</v>
      </c>
      <c r="B1346" s="911"/>
      <c r="C1346" s="911"/>
      <c r="D1346" s="39"/>
      <c r="E1346" s="912"/>
      <c r="F1346" s="913"/>
      <c r="G1346" s="914"/>
    </row>
    <row r="1347" spans="1:7" x14ac:dyDescent="0.2">
      <c r="A1347" s="910" t="s">
        <v>38</v>
      </c>
      <c r="B1347" s="911"/>
      <c r="C1347" s="911"/>
      <c r="D1347" s="58" t="s">
        <v>887</v>
      </c>
      <c r="E1347" s="868" t="s">
        <v>142</v>
      </c>
      <c r="F1347" s="868"/>
      <c r="G1347" s="869"/>
    </row>
    <row r="1348" spans="1:7" ht="13.5" thickBot="1" x14ac:dyDescent="0.25">
      <c r="A1348" s="901" t="s">
        <v>39</v>
      </c>
      <c r="B1348" s="902"/>
      <c r="C1348" s="902"/>
      <c r="D1348" s="59" t="s">
        <v>44</v>
      </c>
      <c r="E1348" s="904" t="s">
        <v>0</v>
      </c>
      <c r="F1348" s="904"/>
      <c r="G1348" s="905"/>
    </row>
    <row r="1349" spans="1:7" ht="16.5" x14ac:dyDescent="0.25">
      <c r="A1349" s="885" t="s">
        <v>29</v>
      </c>
      <c r="B1349" s="886"/>
      <c r="C1349" s="886"/>
      <c r="D1349" s="886"/>
      <c r="E1349" s="886"/>
      <c r="F1349" s="886"/>
      <c r="G1349" s="887"/>
    </row>
    <row r="1350" spans="1:7" x14ac:dyDescent="0.2">
      <c r="A1350" s="888" t="s">
        <v>48</v>
      </c>
      <c r="B1350" s="889"/>
      <c r="C1350" s="889"/>
      <c r="D1350" s="889"/>
      <c r="E1350" s="889"/>
      <c r="F1350" s="889"/>
      <c r="G1350" s="890"/>
    </row>
    <row r="1351" spans="1:7" x14ac:dyDescent="0.2">
      <c r="A1351" s="915" t="s">
        <v>49</v>
      </c>
      <c r="B1351" s="916"/>
      <c r="C1351" s="916"/>
      <c r="D1351" s="916"/>
      <c r="E1351" s="916"/>
      <c r="F1351" s="916"/>
      <c r="G1351" s="917"/>
    </row>
    <row r="1352" spans="1:7" x14ac:dyDescent="0.2">
      <c r="A1352" s="6"/>
      <c r="B1352" s="99"/>
      <c r="C1352" s="8"/>
      <c r="D1352" s="9"/>
      <c r="E1352" s="99"/>
      <c r="F1352" s="10"/>
      <c r="G1352" s="11" t="s">
        <v>20</v>
      </c>
    </row>
    <row r="1353" spans="1:7" x14ac:dyDescent="0.2">
      <c r="A1353" s="12" t="s">
        <v>1</v>
      </c>
      <c r="B1353" s="13"/>
      <c r="C1353" s="14" t="s">
        <v>19</v>
      </c>
      <c r="D1353" s="13"/>
      <c r="E1353" s="362" t="s">
        <v>1843</v>
      </c>
      <c r="F1353" s="98"/>
      <c r="G1353" s="363" t="s">
        <v>1829</v>
      </c>
    </row>
    <row r="1354" spans="1:7" x14ac:dyDescent="0.2">
      <c r="A1354" s="17" t="s">
        <v>8</v>
      </c>
      <c r="B1354" s="100"/>
      <c r="C1354" s="19"/>
      <c r="D1354" s="4"/>
      <c r="E1354" s="918"/>
      <c r="F1354" s="919"/>
      <c r="G1354" s="20"/>
    </row>
    <row r="1355" spans="1:7" x14ac:dyDescent="0.2">
      <c r="A1355" s="21" t="s">
        <v>37</v>
      </c>
      <c r="B1355" s="22"/>
      <c r="C1355" s="22"/>
      <c r="D1355" s="22"/>
      <c r="E1355" s="23" t="s">
        <v>46</v>
      </c>
      <c r="F1355" s="24"/>
      <c r="G1355" s="20" t="s">
        <v>50</v>
      </c>
    </row>
    <row r="1356" spans="1:7" x14ac:dyDescent="0.2">
      <c r="A1356" s="6"/>
      <c r="B1356" s="99"/>
      <c r="C1356" s="8"/>
      <c r="D1356" s="8"/>
      <c r="E1356" s="920"/>
      <c r="F1356" s="921"/>
      <c r="G1356" s="25"/>
    </row>
    <row r="1357" spans="1:7" ht="26.25" thickBot="1" x14ac:dyDescent="0.25">
      <c r="A1357" s="207" t="s">
        <v>47</v>
      </c>
      <c r="B1357" s="28" t="s">
        <v>23</v>
      </c>
      <c r="C1357" s="28" t="s">
        <v>34</v>
      </c>
      <c r="D1357" s="110" t="s">
        <v>53</v>
      </c>
      <c r="E1357" s="114" t="s">
        <v>54</v>
      </c>
      <c r="F1357" s="111" t="s">
        <v>55</v>
      </c>
      <c r="G1357" s="112" t="s">
        <v>35</v>
      </c>
    </row>
    <row r="1358" spans="1:7" ht="13.5" thickTop="1" x14ac:dyDescent="0.2">
      <c r="A1358" s="29">
        <v>1</v>
      </c>
      <c r="B1358" s="101"/>
      <c r="C1358" s="371" t="s">
        <v>242</v>
      </c>
      <c r="D1358" s="376" t="s">
        <v>1288</v>
      </c>
      <c r="E1358" s="158">
        <v>50</v>
      </c>
      <c r="F1358" s="128">
        <v>450</v>
      </c>
      <c r="G1358" s="35">
        <f>F1358*E1358</f>
        <v>22500</v>
      </c>
    </row>
    <row r="1359" spans="1:7" x14ac:dyDescent="0.2">
      <c r="A1359" s="29"/>
      <c r="B1359" s="101"/>
      <c r="C1359" s="371"/>
      <c r="D1359" s="370" t="s">
        <v>886</v>
      </c>
      <c r="E1359" s="158"/>
      <c r="F1359" s="128"/>
      <c r="G1359" s="35"/>
    </row>
    <row r="1360" spans="1:7" x14ac:dyDescent="0.2">
      <c r="A1360" s="29"/>
      <c r="B1360" s="101"/>
      <c r="C1360" s="41"/>
      <c r="D1360" s="370"/>
      <c r="E1360" s="157"/>
      <c r="F1360" s="149"/>
      <c r="G1360" s="372"/>
    </row>
    <row r="1361" spans="1:7" x14ac:dyDescent="0.2">
      <c r="A1361" s="29"/>
      <c r="B1361" s="101"/>
      <c r="C1361" s="371"/>
      <c r="D1361" s="370"/>
      <c r="E1361" s="158"/>
      <c r="F1361" s="128"/>
      <c r="G1361" s="35"/>
    </row>
    <row r="1362" spans="1:7" x14ac:dyDescent="0.2">
      <c r="A1362" s="29"/>
      <c r="B1362" s="105"/>
      <c r="C1362" s="41"/>
      <c r="D1362" s="136"/>
      <c r="E1362" s="102"/>
      <c r="F1362" s="128"/>
      <c r="G1362" s="35"/>
    </row>
    <row r="1363" spans="1:7" x14ac:dyDescent="0.2">
      <c r="A1363" s="29"/>
      <c r="B1363" s="105"/>
      <c r="C1363" s="41"/>
      <c r="D1363" s="136"/>
      <c r="E1363" s="102"/>
      <c r="F1363" s="128"/>
      <c r="G1363" s="35"/>
    </row>
    <row r="1364" spans="1:7" x14ac:dyDescent="0.2">
      <c r="A1364" s="29"/>
      <c r="B1364" s="151"/>
      <c r="C1364" s="119"/>
      <c r="D1364" s="376" t="s">
        <v>8</v>
      </c>
      <c r="E1364" s="108"/>
      <c r="F1364" s="150"/>
      <c r="G1364" s="35"/>
    </row>
    <row r="1365" spans="1:7" x14ac:dyDescent="0.2">
      <c r="A1365" s="29"/>
      <c r="B1365" s="151"/>
      <c r="C1365" s="119"/>
      <c r="D1365" s="144"/>
      <c r="E1365" s="108"/>
      <c r="F1365" s="150"/>
      <c r="G1365" s="35"/>
    </row>
    <row r="1366" spans="1:7" x14ac:dyDescent="0.2">
      <c r="A1366" s="29"/>
      <c r="B1366" s="101"/>
      <c r="C1366" s="41"/>
      <c r="D1366" s="144"/>
      <c r="E1366" s="155"/>
      <c r="F1366" s="128"/>
      <c r="G1366" s="35"/>
    </row>
    <row r="1367" spans="1:7" x14ac:dyDescent="0.2">
      <c r="A1367" s="29"/>
      <c r="B1367" s="106"/>
      <c r="C1367" s="41"/>
      <c r="D1367" s="136"/>
      <c r="E1367" s="104"/>
      <c r="F1367" s="128"/>
      <c r="G1367" s="35"/>
    </row>
    <row r="1368" spans="1:7" x14ac:dyDescent="0.2">
      <c r="A1368" s="29"/>
      <c r="B1368" s="105"/>
      <c r="C1368" s="41"/>
      <c r="D1368" s="136"/>
      <c r="E1368" s="108"/>
      <c r="F1368" s="152"/>
      <c r="G1368" s="35"/>
    </row>
    <row r="1369" spans="1:7" x14ac:dyDescent="0.2">
      <c r="A1369" s="29"/>
      <c r="B1369" s="107"/>
      <c r="C1369" s="41"/>
      <c r="D1369" s="136"/>
      <c r="E1369" s="153"/>
      <c r="F1369" s="128"/>
      <c r="G1369" s="35"/>
    </row>
    <row r="1370" spans="1:7" x14ac:dyDescent="0.2">
      <c r="A1370" s="29"/>
      <c r="B1370" s="107"/>
      <c r="C1370" s="41"/>
      <c r="D1370" s="67"/>
      <c r="E1370" s="153"/>
      <c r="F1370" s="128"/>
      <c r="G1370" s="35"/>
    </row>
    <row r="1371" spans="1:7" x14ac:dyDescent="0.2">
      <c r="A1371" s="29"/>
      <c r="B1371" s="101"/>
      <c r="C1371" s="41"/>
      <c r="D1371" s="67"/>
      <c r="E1371" s="108"/>
      <c r="F1371" s="128"/>
      <c r="G1371" s="35"/>
    </row>
    <row r="1372" spans="1:7" x14ac:dyDescent="0.2">
      <c r="A1372" s="29"/>
      <c r="B1372" s="101"/>
      <c r="C1372" s="41"/>
      <c r="D1372" s="67"/>
      <c r="E1372" s="153"/>
      <c r="F1372" s="128"/>
      <c r="G1372" s="35"/>
    </row>
    <row r="1373" spans="1:7" x14ac:dyDescent="0.2">
      <c r="A1373" s="29"/>
      <c r="B1373" s="106"/>
      <c r="C1373" s="41"/>
      <c r="D1373" s="67"/>
      <c r="E1373" s="104"/>
      <c r="F1373" s="154"/>
      <c r="G1373" s="35"/>
    </row>
    <row r="1374" spans="1:7" x14ac:dyDescent="0.2">
      <c r="A1374" s="29"/>
      <c r="B1374" s="105"/>
      <c r="C1374" s="41"/>
      <c r="D1374" s="130"/>
      <c r="E1374" s="104"/>
      <c r="F1374" s="154"/>
      <c r="G1374" s="35"/>
    </row>
    <row r="1375" spans="1:7" x14ac:dyDescent="0.2">
      <c r="A1375" s="29"/>
      <c r="B1375" s="105"/>
      <c r="C1375" s="41"/>
      <c r="D1375" s="67"/>
      <c r="E1375" s="104"/>
      <c r="F1375" s="154"/>
      <c r="G1375" s="35"/>
    </row>
    <row r="1376" spans="1:7" x14ac:dyDescent="0.2">
      <c r="A1376" s="29"/>
      <c r="B1376" s="101"/>
      <c r="C1376" s="41"/>
      <c r="D1376" s="67"/>
      <c r="E1376" s="104"/>
      <c r="F1376" s="154"/>
      <c r="G1376" s="35"/>
    </row>
    <row r="1377" spans="1:7" x14ac:dyDescent="0.2">
      <c r="A1377" s="29"/>
      <c r="B1377" s="101"/>
      <c r="C1377" s="41"/>
      <c r="D1377" s="136"/>
      <c r="E1377" s="104"/>
      <c r="F1377" s="154"/>
      <c r="G1377" s="35"/>
    </row>
    <row r="1378" spans="1:7" x14ac:dyDescent="0.2">
      <c r="A1378" s="29"/>
      <c r="B1378" s="101"/>
      <c r="C1378" s="41"/>
      <c r="D1378" s="136"/>
      <c r="E1378" s="104"/>
      <c r="F1378" s="154"/>
      <c r="G1378" s="35"/>
    </row>
    <row r="1379" spans="1:7" x14ac:dyDescent="0.2">
      <c r="A1379" s="29"/>
      <c r="B1379" s="101"/>
      <c r="C1379" s="41"/>
      <c r="D1379" s="62"/>
      <c r="E1379" s="104"/>
      <c r="F1379" s="154"/>
      <c r="G1379" s="35"/>
    </row>
    <row r="1380" spans="1:7" x14ac:dyDescent="0.2">
      <c r="A1380" s="29"/>
      <c r="B1380" s="101"/>
      <c r="C1380" s="41"/>
      <c r="D1380" s="67"/>
      <c r="E1380" s="104"/>
      <c r="F1380" s="154"/>
      <c r="G1380" s="35"/>
    </row>
    <row r="1381" spans="1:7" x14ac:dyDescent="0.2">
      <c r="A1381" s="29"/>
      <c r="B1381" s="101"/>
      <c r="C1381" s="41"/>
      <c r="D1381" s="67"/>
      <c r="E1381" s="104"/>
      <c r="F1381" s="154"/>
      <c r="G1381" s="35"/>
    </row>
    <row r="1382" spans="1:7" x14ac:dyDescent="0.2">
      <c r="A1382" s="29"/>
      <c r="B1382" s="101"/>
      <c r="C1382" s="41"/>
      <c r="D1382" s="67"/>
      <c r="E1382" s="104"/>
      <c r="F1382" s="154"/>
      <c r="G1382" s="35"/>
    </row>
    <row r="1383" spans="1:7" x14ac:dyDescent="0.2">
      <c r="A1383" s="29"/>
      <c r="B1383" s="101"/>
      <c r="C1383" s="41"/>
      <c r="D1383" s="67"/>
      <c r="E1383" s="104"/>
      <c r="F1383" s="154"/>
      <c r="G1383" s="35"/>
    </row>
    <row r="1384" spans="1:7" x14ac:dyDescent="0.2">
      <c r="A1384" s="29"/>
      <c r="B1384" s="101"/>
      <c r="C1384" s="41"/>
      <c r="D1384" s="67"/>
      <c r="E1384" s="104"/>
      <c r="F1384" s="154"/>
      <c r="G1384" s="35"/>
    </row>
    <row r="1385" spans="1:7" x14ac:dyDescent="0.2">
      <c r="A1385" s="29"/>
      <c r="B1385" s="101"/>
      <c r="C1385" s="41"/>
      <c r="D1385" s="159"/>
      <c r="E1385" s="104"/>
      <c r="F1385" s="154"/>
      <c r="G1385" s="35"/>
    </row>
    <row r="1386" spans="1:7" x14ac:dyDescent="0.2">
      <c r="A1386" s="29"/>
      <c r="B1386" s="101"/>
      <c r="C1386" s="41"/>
      <c r="D1386" s="160"/>
      <c r="E1386" s="108"/>
      <c r="F1386" s="128"/>
      <c r="G1386" s="35"/>
    </row>
    <row r="1387" spans="1:7" x14ac:dyDescent="0.2">
      <c r="A1387" s="29"/>
      <c r="B1387" s="101"/>
      <c r="C1387" s="41"/>
      <c r="D1387" s="136"/>
      <c r="E1387" s="153"/>
      <c r="F1387" s="128"/>
      <c r="G1387" s="35"/>
    </row>
    <row r="1388" spans="1:7" x14ac:dyDescent="0.2">
      <c r="A1388" s="29"/>
      <c r="B1388" s="101"/>
      <c r="C1388" s="41"/>
      <c r="D1388" s="136"/>
      <c r="E1388" s="102"/>
      <c r="F1388" s="128"/>
      <c r="G1388" s="35"/>
    </row>
    <row r="1389" spans="1:7" x14ac:dyDescent="0.2">
      <c r="A1389" s="29"/>
      <c r="B1389" s="101"/>
      <c r="C1389" s="31"/>
      <c r="D1389" s="67"/>
      <c r="E1389" s="131"/>
      <c r="F1389" s="117"/>
      <c r="G1389" s="35"/>
    </row>
    <row r="1390" spans="1:7" x14ac:dyDescent="0.2">
      <c r="A1390" s="29"/>
      <c r="B1390" s="101"/>
      <c r="C1390" s="41"/>
      <c r="D1390" s="118"/>
      <c r="E1390" s="108"/>
      <c r="F1390" s="149"/>
      <c r="G1390" s="35"/>
    </row>
    <row r="1391" spans="1:7" x14ac:dyDescent="0.2">
      <c r="A1391" s="29"/>
      <c r="B1391" s="101"/>
      <c r="C1391" s="41"/>
      <c r="D1391" s="144"/>
      <c r="E1391" s="108"/>
      <c r="F1391" s="149"/>
      <c r="G1391" s="35"/>
    </row>
    <row r="1392" spans="1:7" ht="13.5" thickBot="1" x14ac:dyDescent="0.25">
      <c r="A1392" s="45"/>
      <c r="B1392" s="132"/>
      <c r="C1392" s="115"/>
      <c r="D1392" s="115"/>
      <c r="E1392" s="132"/>
      <c r="F1392" s="49" t="s">
        <v>15</v>
      </c>
      <c r="G1392" s="50">
        <f>SUM(G1358:G1391)</f>
        <v>22500</v>
      </c>
    </row>
    <row r="1393" spans="1:7" ht="13.5" thickTop="1" x14ac:dyDescent="0.2">
      <c r="A1393" s="875" t="s">
        <v>1836</v>
      </c>
      <c r="B1393" s="899"/>
      <c r="C1393" s="899"/>
      <c r="D1393" s="899"/>
      <c r="E1393" s="899"/>
      <c r="F1393" s="899"/>
      <c r="G1393" s="900"/>
    </row>
    <row r="1394" spans="1:7" ht="13.5" thickBot="1" x14ac:dyDescent="0.25">
      <c r="A1394" s="926" t="s">
        <v>1706</v>
      </c>
      <c r="B1394" s="927"/>
      <c r="C1394" s="927"/>
      <c r="D1394" s="927"/>
      <c r="E1394" s="927"/>
      <c r="F1394" s="927"/>
      <c r="G1394" s="928"/>
    </row>
    <row r="1395" spans="1:7" ht="13.5" thickTop="1" x14ac:dyDescent="0.2">
      <c r="A1395" s="906"/>
      <c r="B1395" s="907"/>
      <c r="C1395" s="907"/>
      <c r="D1395" s="57" t="s">
        <v>11</v>
      </c>
      <c r="E1395" s="908" t="s">
        <v>12</v>
      </c>
      <c r="F1395" s="908"/>
      <c r="G1395" s="909"/>
    </row>
    <row r="1396" spans="1:7" x14ac:dyDescent="0.2">
      <c r="A1396" s="910" t="s">
        <v>17</v>
      </c>
      <c r="B1396" s="911"/>
      <c r="C1396" s="911"/>
      <c r="D1396" s="39"/>
      <c r="E1396" s="912"/>
      <c r="F1396" s="913"/>
      <c r="G1396" s="914"/>
    </row>
    <row r="1397" spans="1:7" x14ac:dyDescent="0.2">
      <c r="A1397" s="910" t="s">
        <v>38</v>
      </c>
      <c r="B1397" s="911"/>
      <c r="C1397" s="911"/>
      <c r="D1397" s="58" t="s">
        <v>887</v>
      </c>
      <c r="E1397" s="868" t="s">
        <v>142</v>
      </c>
      <c r="F1397" s="868"/>
      <c r="G1397" s="869"/>
    </row>
    <row r="1398" spans="1:7" ht="13.5" thickBot="1" x14ac:dyDescent="0.25">
      <c r="A1398" s="901" t="s">
        <v>39</v>
      </c>
      <c r="B1398" s="902"/>
      <c r="C1398" s="902"/>
      <c r="D1398" s="59" t="s">
        <v>44</v>
      </c>
      <c r="E1398" s="904" t="s">
        <v>0</v>
      </c>
      <c r="F1398" s="904"/>
      <c r="G1398" s="905"/>
    </row>
    <row r="1399" spans="1:7" ht="16.5" x14ac:dyDescent="0.25">
      <c r="A1399" s="885" t="s">
        <v>29</v>
      </c>
      <c r="B1399" s="886"/>
      <c r="C1399" s="886"/>
      <c r="D1399" s="886"/>
      <c r="E1399" s="886"/>
      <c r="F1399" s="886"/>
      <c r="G1399" s="887"/>
    </row>
    <row r="1400" spans="1:7" x14ac:dyDescent="0.2">
      <c r="A1400" s="888" t="s">
        <v>48</v>
      </c>
      <c r="B1400" s="889"/>
      <c r="C1400" s="889"/>
      <c r="D1400" s="889"/>
      <c r="E1400" s="889"/>
      <c r="F1400" s="889"/>
      <c r="G1400" s="890"/>
    </row>
    <row r="1401" spans="1:7" x14ac:dyDescent="0.2">
      <c r="A1401" s="915" t="s">
        <v>49</v>
      </c>
      <c r="B1401" s="916"/>
      <c r="C1401" s="916"/>
      <c r="D1401" s="916"/>
      <c r="E1401" s="916"/>
      <c r="F1401" s="916"/>
      <c r="G1401" s="917"/>
    </row>
    <row r="1402" spans="1:7" x14ac:dyDescent="0.2">
      <c r="A1402" s="6"/>
      <c r="B1402" s="99"/>
      <c r="C1402" s="8"/>
      <c r="D1402" s="9"/>
      <c r="E1402" s="99"/>
      <c r="F1402" s="10"/>
      <c r="G1402" s="11" t="s">
        <v>20</v>
      </c>
    </row>
    <row r="1403" spans="1:7" x14ac:dyDescent="0.2">
      <c r="A1403" s="12" t="s">
        <v>1</v>
      </c>
      <c r="B1403" s="13"/>
      <c r="C1403" s="14" t="s">
        <v>19</v>
      </c>
      <c r="D1403" s="13"/>
      <c r="E1403" s="362" t="s">
        <v>1839</v>
      </c>
      <c r="F1403" s="98"/>
      <c r="G1403" s="363" t="s">
        <v>1829</v>
      </c>
    </row>
    <row r="1404" spans="1:7" x14ac:dyDescent="0.2">
      <c r="A1404" s="17" t="s">
        <v>8</v>
      </c>
      <c r="B1404" s="100"/>
      <c r="C1404" s="19"/>
      <c r="D1404" s="4"/>
      <c r="E1404" s="918"/>
      <c r="F1404" s="919"/>
      <c r="G1404" s="20"/>
    </row>
    <row r="1405" spans="1:7" x14ac:dyDescent="0.2">
      <c r="A1405" s="21" t="s">
        <v>37</v>
      </c>
      <c r="B1405" s="22"/>
      <c r="C1405" s="22"/>
      <c r="D1405" s="22"/>
      <c r="E1405" s="23" t="s">
        <v>46</v>
      </c>
      <c r="F1405" s="24"/>
      <c r="G1405" s="20" t="s">
        <v>50</v>
      </c>
    </row>
    <row r="1406" spans="1:7" x14ac:dyDescent="0.2">
      <c r="A1406" s="6"/>
      <c r="B1406" s="99"/>
      <c r="C1406" s="8"/>
      <c r="D1406" s="8"/>
      <c r="E1406" s="920"/>
      <c r="F1406" s="921"/>
      <c r="G1406" s="25"/>
    </row>
    <row r="1407" spans="1:7" ht="26.25" thickBot="1" x14ac:dyDescent="0.25">
      <c r="A1407" s="207" t="s">
        <v>47</v>
      </c>
      <c r="B1407" s="28" t="s">
        <v>23</v>
      </c>
      <c r="C1407" s="28" t="s">
        <v>34</v>
      </c>
      <c r="D1407" s="110" t="s">
        <v>53</v>
      </c>
      <c r="E1407" s="114" t="s">
        <v>54</v>
      </c>
      <c r="F1407" s="111" t="s">
        <v>55</v>
      </c>
      <c r="G1407" s="112" t="s">
        <v>35</v>
      </c>
    </row>
    <row r="1408" spans="1:7" ht="13.5" thickTop="1" x14ac:dyDescent="0.2">
      <c r="A1408" s="29">
        <v>1</v>
      </c>
      <c r="B1408" s="101"/>
      <c r="C1408" s="371" t="s">
        <v>242</v>
      </c>
      <c r="D1408" s="376" t="s">
        <v>1288</v>
      </c>
      <c r="E1408" s="158">
        <v>35</v>
      </c>
      <c r="F1408" s="128">
        <v>450</v>
      </c>
      <c r="G1408" s="35">
        <f>F1408*E1408</f>
        <v>15750</v>
      </c>
    </row>
    <row r="1409" spans="1:7" x14ac:dyDescent="0.2">
      <c r="A1409" s="29"/>
      <c r="B1409" s="101"/>
      <c r="C1409" s="371"/>
      <c r="D1409" s="370" t="s">
        <v>886</v>
      </c>
      <c r="E1409" s="158"/>
      <c r="F1409" s="128"/>
      <c r="G1409" s="35"/>
    </row>
    <row r="1410" spans="1:7" x14ac:dyDescent="0.2">
      <c r="A1410" s="29"/>
      <c r="B1410" s="101"/>
      <c r="C1410" s="41"/>
      <c r="D1410" s="370"/>
      <c r="E1410" s="157"/>
      <c r="F1410" s="149"/>
      <c r="G1410" s="372"/>
    </row>
    <row r="1411" spans="1:7" x14ac:dyDescent="0.2">
      <c r="A1411" s="29"/>
      <c r="B1411" s="101"/>
      <c r="C1411" s="371"/>
      <c r="D1411" s="370"/>
      <c r="E1411" s="158"/>
      <c r="F1411" s="128"/>
      <c r="G1411" s="35"/>
    </row>
    <row r="1412" spans="1:7" x14ac:dyDescent="0.2">
      <c r="A1412" s="29"/>
      <c r="B1412" s="105"/>
      <c r="C1412" s="41"/>
      <c r="D1412" s="136"/>
      <c r="E1412" s="102"/>
      <c r="F1412" s="128"/>
      <c r="G1412" s="35"/>
    </row>
    <row r="1413" spans="1:7" x14ac:dyDescent="0.2">
      <c r="A1413" s="29"/>
      <c r="B1413" s="105"/>
      <c r="C1413" s="41"/>
      <c r="D1413" s="136"/>
      <c r="E1413" s="102"/>
      <c r="F1413" s="128"/>
      <c r="G1413" s="35"/>
    </row>
    <row r="1414" spans="1:7" x14ac:dyDescent="0.2">
      <c r="A1414" s="29"/>
      <c r="B1414" s="151"/>
      <c r="C1414" s="119"/>
      <c r="D1414" s="376" t="s">
        <v>8</v>
      </c>
      <c r="E1414" s="108"/>
      <c r="F1414" s="150"/>
      <c r="G1414" s="35"/>
    </row>
    <row r="1415" spans="1:7" x14ac:dyDescent="0.2">
      <c r="A1415" s="29"/>
      <c r="B1415" s="151"/>
      <c r="C1415" s="119"/>
      <c r="D1415" s="144"/>
      <c r="E1415" s="108"/>
      <c r="F1415" s="150"/>
      <c r="G1415" s="35"/>
    </row>
    <row r="1416" spans="1:7" x14ac:dyDescent="0.2">
      <c r="A1416" s="29"/>
      <c r="B1416" s="101"/>
      <c r="C1416" s="41"/>
      <c r="D1416" s="144"/>
      <c r="E1416" s="155"/>
      <c r="F1416" s="128"/>
      <c r="G1416" s="35"/>
    </row>
    <row r="1417" spans="1:7" x14ac:dyDescent="0.2">
      <c r="A1417" s="29"/>
      <c r="B1417" s="106"/>
      <c r="C1417" s="41"/>
      <c r="D1417" s="136"/>
      <c r="E1417" s="104"/>
      <c r="F1417" s="128"/>
      <c r="G1417" s="35"/>
    </row>
    <row r="1418" spans="1:7" x14ac:dyDescent="0.2">
      <c r="A1418" s="29"/>
      <c r="B1418" s="105"/>
      <c r="C1418" s="41"/>
      <c r="D1418" s="136"/>
      <c r="E1418" s="108"/>
      <c r="F1418" s="152"/>
      <c r="G1418" s="35"/>
    </row>
    <row r="1419" spans="1:7" x14ac:dyDescent="0.2">
      <c r="A1419" s="29"/>
      <c r="B1419" s="107"/>
      <c r="C1419" s="41"/>
      <c r="D1419" s="136"/>
      <c r="E1419" s="153"/>
      <c r="F1419" s="128"/>
      <c r="G1419" s="35"/>
    </row>
    <row r="1420" spans="1:7" x14ac:dyDescent="0.2">
      <c r="A1420" s="29"/>
      <c r="B1420" s="107"/>
      <c r="C1420" s="41"/>
      <c r="D1420" s="67"/>
      <c r="E1420" s="153"/>
      <c r="F1420" s="128"/>
      <c r="G1420" s="35"/>
    </row>
    <row r="1421" spans="1:7" x14ac:dyDescent="0.2">
      <c r="A1421" s="29"/>
      <c r="B1421" s="101"/>
      <c r="C1421" s="41"/>
      <c r="D1421" s="67"/>
      <c r="E1421" s="108"/>
      <c r="F1421" s="128"/>
      <c r="G1421" s="35"/>
    </row>
    <row r="1422" spans="1:7" x14ac:dyDescent="0.2">
      <c r="A1422" s="29"/>
      <c r="B1422" s="101"/>
      <c r="C1422" s="41"/>
      <c r="D1422" s="67"/>
      <c r="E1422" s="153"/>
      <c r="F1422" s="128"/>
      <c r="G1422" s="35"/>
    </row>
    <row r="1423" spans="1:7" x14ac:dyDescent="0.2">
      <c r="A1423" s="29"/>
      <c r="B1423" s="106"/>
      <c r="C1423" s="41"/>
      <c r="D1423" s="67"/>
      <c r="E1423" s="104"/>
      <c r="F1423" s="154"/>
      <c r="G1423" s="35"/>
    </row>
    <row r="1424" spans="1:7" x14ac:dyDescent="0.2">
      <c r="A1424" s="29"/>
      <c r="B1424" s="105"/>
      <c r="C1424" s="41"/>
      <c r="D1424" s="130"/>
      <c r="E1424" s="104"/>
      <c r="F1424" s="154"/>
      <c r="G1424" s="35"/>
    </row>
    <row r="1425" spans="1:7" x14ac:dyDescent="0.2">
      <c r="A1425" s="29"/>
      <c r="B1425" s="105"/>
      <c r="C1425" s="41"/>
      <c r="D1425" s="67"/>
      <c r="E1425" s="104"/>
      <c r="F1425" s="154"/>
      <c r="G1425" s="35"/>
    </row>
    <row r="1426" spans="1:7" x14ac:dyDescent="0.2">
      <c r="A1426" s="29"/>
      <c r="B1426" s="101"/>
      <c r="C1426" s="41"/>
      <c r="D1426" s="67"/>
      <c r="E1426" s="104"/>
      <c r="F1426" s="154"/>
      <c r="G1426" s="35"/>
    </row>
    <row r="1427" spans="1:7" x14ac:dyDescent="0.2">
      <c r="A1427" s="29"/>
      <c r="B1427" s="101"/>
      <c r="C1427" s="41"/>
      <c r="D1427" s="136"/>
      <c r="E1427" s="104"/>
      <c r="F1427" s="154"/>
      <c r="G1427" s="35"/>
    </row>
    <row r="1428" spans="1:7" x14ac:dyDescent="0.2">
      <c r="A1428" s="29"/>
      <c r="B1428" s="101"/>
      <c r="C1428" s="41"/>
      <c r="D1428" s="136"/>
      <c r="E1428" s="104"/>
      <c r="F1428" s="154"/>
      <c r="G1428" s="35"/>
    </row>
    <row r="1429" spans="1:7" x14ac:dyDescent="0.2">
      <c r="A1429" s="29"/>
      <c r="B1429" s="101"/>
      <c r="C1429" s="41"/>
      <c r="D1429" s="62"/>
      <c r="E1429" s="104"/>
      <c r="F1429" s="154"/>
      <c r="G1429" s="35"/>
    </row>
    <row r="1430" spans="1:7" x14ac:dyDescent="0.2">
      <c r="A1430" s="29"/>
      <c r="B1430" s="101"/>
      <c r="C1430" s="41"/>
      <c r="D1430" s="67"/>
      <c r="E1430" s="104"/>
      <c r="F1430" s="154"/>
      <c r="G1430" s="35"/>
    </row>
    <row r="1431" spans="1:7" x14ac:dyDescent="0.2">
      <c r="A1431" s="29"/>
      <c r="B1431" s="101"/>
      <c r="C1431" s="41"/>
      <c r="D1431" s="67"/>
      <c r="E1431" s="104"/>
      <c r="F1431" s="154"/>
      <c r="G1431" s="35"/>
    </row>
    <row r="1432" spans="1:7" x14ac:dyDescent="0.2">
      <c r="A1432" s="29"/>
      <c r="B1432" s="101"/>
      <c r="C1432" s="41"/>
      <c r="D1432" s="67"/>
      <c r="E1432" s="104"/>
      <c r="F1432" s="154"/>
      <c r="G1432" s="35"/>
    </row>
    <row r="1433" spans="1:7" x14ac:dyDescent="0.2">
      <c r="A1433" s="29"/>
      <c r="B1433" s="101"/>
      <c r="C1433" s="41"/>
      <c r="D1433" s="67"/>
      <c r="E1433" s="104"/>
      <c r="F1433" s="154"/>
      <c r="G1433" s="35"/>
    </row>
    <row r="1434" spans="1:7" x14ac:dyDescent="0.2">
      <c r="A1434" s="29"/>
      <c r="B1434" s="101"/>
      <c r="C1434" s="41"/>
      <c r="D1434" s="67"/>
      <c r="E1434" s="104"/>
      <c r="F1434" s="154"/>
      <c r="G1434" s="35"/>
    </row>
    <row r="1435" spans="1:7" x14ac:dyDescent="0.2">
      <c r="A1435" s="29"/>
      <c r="B1435" s="101"/>
      <c r="C1435" s="41"/>
      <c r="D1435" s="159"/>
      <c r="E1435" s="104"/>
      <c r="F1435" s="154"/>
      <c r="G1435" s="35"/>
    </row>
    <row r="1436" spans="1:7" x14ac:dyDescent="0.2">
      <c r="A1436" s="29"/>
      <c r="B1436" s="101"/>
      <c r="C1436" s="41"/>
      <c r="D1436" s="160"/>
      <c r="E1436" s="108"/>
      <c r="F1436" s="128"/>
      <c r="G1436" s="35"/>
    </row>
    <row r="1437" spans="1:7" x14ac:dyDescent="0.2">
      <c r="A1437" s="29"/>
      <c r="B1437" s="101"/>
      <c r="C1437" s="41"/>
      <c r="D1437" s="136"/>
      <c r="E1437" s="153"/>
      <c r="F1437" s="128"/>
      <c r="G1437" s="35"/>
    </row>
    <row r="1438" spans="1:7" x14ac:dyDescent="0.2">
      <c r="A1438" s="29"/>
      <c r="B1438" s="101"/>
      <c r="C1438" s="41"/>
      <c r="D1438" s="136"/>
      <c r="E1438" s="102"/>
      <c r="F1438" s="128"/>
      <c r="G1438" s="35"/>
    </row>
    <row r="1439" spans="1:7" x14ac:dyDescent="0.2">
      <c r="A1439" s="29"/>
      <c r="B1439" s="101"/>
      <c r="C1439" s="31"/>
      <c r="D1439" s="67"/>
      <c r="E1439" s="131"/>
      <c r="F1439" s="117"/>
      <c r="G1439" s="35"/>
    </row>
    <row r="1440" spans="1:7" x14ac:dyDescent="0.2">
      <c r="A1440" s="29"/>
      <c r="B1440" s="101"/>
      <c r="C1440" s="41"/>
      <c r="D1440" s="118"/>
      <c r="E1440" s="108"/>
      <c r="F1440" s="149"/>
      <c r="G1440" s="35"/>
    </row>
    <row r="1441" spans="1:7" x14ac:dyDescent="0.2">
      <c r="A1441" s="29"/>
      <c r="B1441" s="101"/>
      <c r="C1441" s="41"/>
      <c r="D1441" s="144"/>
      <c r="E1441" s="108"/>
      <c r="F1441" s="149"/>
      <c r="G1441" s="35"/>
    </row>
    <row r="1442" spans="1:7" ht="13.5" thickBot="1" x14ac:dyDescent="0.25">
      <c r="A1442" s="45"/>
      <c r="B1442" s="132"/>
      <c r="C1442" s="115"/>
      <c r="D1442" s="115"/>
      <c r="E1442" s="132"/>
      <c r="F1442" s="49" t="s">
        <v>15</v>
      </c>
      <c r="G1442" s="50">
        <f>SUM(G1408:G1441)</f>
        <v>15750</v>
      </c>
    </row>
    <row r="1443" spans="1:7" ht="13.5" thickTop="1" x14ac:dyDescent="0.2">
      <c r="A1443" s="875" t="s">
        <v>1710</v>
      </c>
      <c r="B1443" s="899"/>
      <c r="C1443" s="899"/>
      <c r="D1443" s="899"/>
      <c r="E1443" s="899"/>
      <c r="F1443" s="899"/>
      <c r="G1443" s="900"/>
    </row>
    <row r="1444" spans="1:7" ht="13.5" thickBot="1" x14ac:dyDescent="0.25">
      <c r="A1444" s="926" t="s">
        <v>1837</v>
      </c>
      <c r="B1444" s="927"/>
      <c r="C1444" s="927"/>
      <c r="D1444" s="927"/>
      <c r="E1444" s="927"/>
      <c r="F1444" s="927"/>
      <c r="G1444" s="928"/>
    </row>
    <row r="1445" spans="1:7" ht="13.5" thickTop="1" x14ac:dyDescent="0.2">
      <c r="A1445" s="906"/>
      <c r="B1445" s="907"/>
      <c r="C1445" s="907"/>
      <c r="D1445" s="57" t="s">
        <v>11</v>
      </c>
      <c r="E1445" s="908" t="s">
        <v>12</v>
      </c>
      <c r="F1445" s="908"/>
      <c r="G1445" s="909"/>
    </row>
    <row r="1446" spans="1:7" x14ac:dyDescent="0.2">
      <c r="A1446" s="910" t="s">
        <v>17</v>
      </c>
      <c r="B1446" s="911"/>
      <c r="C1446" s="911"/>
      <c r="D1446" s="39"/>
      <c r="E1446" s="912"/>
      <c r="F1446" s="913"/>
      <c r="G1446" s="914"/>
    </row>
    <row r="1447" spans="1:7" x14ac:dyDescent="0.2">
      <c r="A1447" s="910" t="s">
        <v>38</v>
      </c>
      <c r="B1447" s="911"/>
      <c r="C1447" s="911"/>
      <c r="D1447" s="58" t="s">
        <v>887</v>
      </c>
      <c r="E1447" s="868" t="s">
        <v>142</v>
      </c>
      <c r="F1447" s="868"/>
      <c r="G1447" s="869"/>
    </row>
    <row r="1448" spans="1:7" ht="13.5" thickBot="1" x14ac:dyDescent="0.25">
      <c r="A1448" s="901" t="s">
        <v>39</v>
      </c>
      <c r="B1448" s="902"/>
      <c r="C1448" s="902"/>
      <c r="D1448" s="59" t="s">
        <v>44</v>
      </c>
      <c r="E1448" s="904" t="s">
        <v>0</v>
      </c>
      <c r="F1448" s="904"/>
      <c r="G1448" s="905"/>
    </row>
    <row r="1449" spans="1:7" ht="16.5" x14ac:dyDescent="0.25">
      <c r="A1449" s="885" t="s">
        <v>29</v>
      </c>
      <c r="B1449" s="886"/>
      <c r="C1449" s="886"/>
      <c r="D1449" s="886"/>
      <c r="E1449" s="886"/>
      <c r="F1449" s="886"/>
      <c r="G1449" s="887"/>
    </row>
    <row r="1450" spans="1:7" x14ac:dyDescent="0.2">
      <c r="A1450" s="888" t="s">
        <v>48</v>
      </c>
      <c r="B1450" s="889"/>
      <c r="C1450" s="889"/>
      <c r="D1450" s="889"/>
      <c r="E1450" s="889"/>
      <c r="F1450" s="889"/>
      <c r="G1450" s="890"/>
    </row>
    <row r="1451" spans="1:7" x14ac:dyDescent="0.2">
      <c r="A1451" s="915" t="s">
        <v>49</v>
      </c>
      <c r="B1451" s="916"/>
      <c r="C1451" s="916"/>
      <c r="D1451" s="916"/>
      <c r="E1451" s="916"/>
      <c r="F1451" s="916"/>
      <c r="G1451" s="917"/>
    </row>
    <row r="1452" spans="1:7" x14ac:dyDescent="0.2">
      <c r="A1452" s="6"/>
      <c r="B1452" s="99"/>
      <c r="C1452" s="8"/>
      <c r="D1452" s="9"/>
      <c r="E1452" s="99"/>
      <c r="F1452" s="10"/>
      <c r="G1452" s="11" t="s">
        <v>20</v>
      </c>
    </row>
    <row r="1453" spans="1:7" x14ac:dyDescent="0.2">
      <c r="A1453" s="12" t="s">
        <v>1</v>
      </c>
      <c r="B1453" s="13"/>
      <c r="C1453" s="14" t="s">
        <v>19</v>
      </c>
      <c r="D1453" s="13"/>
      <c r="E1453" s="362" t="s">
        <v>1991</v>
      </c>
      <c r="F1453" s="98"/>
      <c r="G1453" s="363" t="s">
        <v>1981</v>
      </c>
    </row>
    <row r="1454" spans="1:7" x14ac:dyDescent="0.2">
      <c r="A1454" s="17" t="s">
        <v>8</v>
      </c>
      <c r="B1454" s="100"/>
      <c r="C1454" s="19"/>
      <c r="D1454" s="4"/>
      <c r="E1454" s="918"/>
      <c r="F1454" s="919"/>
      <c r="G1454" s="20"/>
    </row>
    <row r="1455" spans="1:7" x14ac:dyDescent="0.2">
      <c r="A1455" s="21" t="s">
        <v>37</v>
      </c>
      <c r="B1455" s="22"/>
      <c r="C1455" s="22"/>
      <c r="D1455" s="22"/>
      <c r="E1455" s="23" t="s">
        <v>46</v>
      </c>
      <c r="F1455" s="24"/>
      <c r="G1455" s="20" t="s">
        <v>50</v>
      </c>
    </row>
    <row r="1456" spans="1:7" x14ac:dyDescent="0.2">
      <c r="A1456" s="6"/>
      <c r="B1456" s="99"/>
      <c r="C1456" s="8"/>
      <c r="D1456" s="8"/>
      <c r="E1456" s="920"/>
      <c r="F1456" s="921"/>
      <c r="G1456" s="25"/>
    </row>
    <row r="1457" spans="1:7" ht="26.25" thickBot="1" x14ac:dyDescent="0.25">
      <c r="A1457" s="207" t="s">
        <v>47</v>
      </c>
      <c r="B1457" s="28" t="s">
        <v>23</v>
      </c>
      <c r="C1457" s="28" t="s">
        <v>34</v>
      </c>
      <c r="D1457" s="110" t="s">
        <v>53</v>
      </c>
      <c r="E1457" s="114" t="s">
        <v>54</v>
      </c>
      <c r="F1457" s="111" t="s">
        <v>55</v>
      </c>
      <c r="G1457" s="112" t="s">
        <v>35</v>
      </c>
    </row>
    <row r="1458" spans="1:7" ht="13.5" thickTop="1" x14ac:dyDescent="0.2">
      <c r="A1458" s="29">
        <v>1</v>
      </c>
      <c r="B1458" s="101"/>
      <c r="C1458" s="371" t="s">
        <v>242</v>
      </c>
      <c r="D1458" s="376" t="s">
        <v>1288</v>
      </c>
      <c r="E1458" s="158">
        <v>20</v>
      </c>
      <c r="F1458" s="128">
        <v>450</v>
      </c>
      <c r="G1458" s="35">
        <f>F1458*E1458</f>
        <v>9000</v>
      </c>
    </row>
    <row r="1459" spans="1:7" x14ac:dyDescent="0.2">
      <c r="A1459" s="29"/>
      <c r="B1459" s="101"/>
      <c r="C1459" s="371"/>
      <c r="D1459" s="370" t="s">
        <v>886</v>
      </c>
      <c r="E1459" s="158"/>
      <c r="F1459" s="128"/>
      <c r="G1459" s="35"/>
    </row>
    <row r="1460" spans="1:7" x14ac:dyDescent="0.2">
      <c r="A1460" s="29"/>
      <c r="B1460" s="101"/>
      <c r="C1460" s="41"/>
      <c r="D1460" s="370"/>
      <c r="E1460" s="157"/>
      <c r="F1460" s="149"/>
      <c r="G1460" s="372"/>
    </row>
    <row r="1461" spans="1:7" x14ac:dyDescent="0.2">
      <c r="A1461" s="29"/>
      <c r="B1461" s="101"/>
      <c r="C1461" s="371"/>
      <c r="D1461" s="370"/>
      <c r="E1461" s="158"/>
      <c r="F1461" s="128"/>
      <c r="G1461" s="35"/>
    </row>
    <row r="1462" spans="1:7" x14ac:dyDescent="0.2">
      <c r="A1462" s="29"/>
      <c r="B1462" s="105"/>
      <c r="C1462" s="41"/>
      <c r="D1462" s="136"/>
      <c r="E1462" s="102"/>
      <c r="F1462" s="128"/>
      <c r="G1462" s="35"/>
    </row>
    <row r="1463" spans="1:7" x14ac:dyDescent="0.2">
      <c r="A1463" s="29"/>
      <c r="B1463" s="105"/>
      <c r="C1463" s="41"/>
      <c r="D1463" s="136"/>
      <c r="E1463" s="102"/>
      <c r="F1463" s="128"/>
      <c r="G1463" s="35"/>
    </row>
    <row r="1464" spans="1:7" x14ac:dyDescent="0.2">
      <c r="A1464" s="29"/>
      <c r="B1464" s="151"/>
      <c r="C1464" s="119"/>
      <c r="D1464" s="376" t="s">
        <v>8</v>
      </c>
      <c r="E1464" s="108"/>
      <c r="F1464" s="150"/>
      <c r="G1464" s="35"/>
    </row>
    <row r="1465" spans="1:7" x14ac:dyDescent="0.2">
      <c r="A1465" s="29"/>
      <c r="B1465" s="151"/>
      <c r="C1465" s="119"/>
      <c r="D1465" s="144"/>
      <c r="E1465" s="108"/>
      <c r="F1465" s="150"/>
      <c r="G1465" s="35"/>
    </row>
    <row r="1466" spans="1:7" x14ac:dyDescent="0.2">
      <c r="A1466" s="29"/>
      <c r="B1466" s="101"/>
      <c r="C1466" s="41"/>
      <c r="D1466" s="144"/>
      <c r="E1466" s="155"/>
      <c r="F1466" s="128"/>
      <c r="G1466" s="35"/>
    </row>
    <row r="1467" spans="1:7" x14ac:dyDescent="0.2">
      <c r="A1467" s="29"/>
      <c r="B1467" s="106"/>
      <c r="C1467" s="41"/>
      <c r="D1467" s="136"/>
      <c r="E1467" s="104"/>
      <c r="F1467" s="128"/>
      <c r="G1467" s="35"/>
    </row>
    <row r="1468" spans="1:7" x14ac:dyDescent="0.2">
      <c r="A1468" s="29"/>
      <c r="B1468" s="105"/>
      <c r="C1468" s="41"/>
      <c r="D1468" s="136"/>
      <c r="E1468" s="108"/>
      <c r="F1468" s="152"/>
      <c r="G1468" s="35"/>
    </row>
    <row r="1469" spans="1:7" x14ac:dyDescent="0.2">
      <c r="A1469" s="29"/>
      <c r="B1469" s="107"/>
      <c r="C1469" s="41"/>
      <c r="D1469" s="136"/>
      <c r="E1469" s="153"/>
      <c r="F1469" s="128"/>
      <c r="G1469" s="35"/>
    </row>
    <row r="1470" spans="1:7" x14ac:dyDescent="0.2">
      <c r="A1470" s="29"/>
      <c r="B1470" s="107"/>
      <c r="C1470" s="41"/>
      <c r="D1470" s="67"/>
      <c r="E1470" s="153"/>
      <c r="F1470" s="128"/>
      <c r="G1470" s="35"/>
    </row>
    <row r="1471" spans="1:7" x14ac:dyDescent="0.2">
      <c r="A1471" s="29"/>
      <c r="B1471" s="101"/>
      <c r="C1471" s="41"/>
      <c r="D1471" s="67"/>
      <c r="E1471" s="108"/>
      <c r="F1471" s="128"/>
      <c r="G1471" s="35"/>
    </row>
    <row r="1472" spans="1:7" x14ac:dyDescent="0.2">
      <c r="A1472" s="29"/>
      <c r="B1472" s="101"/>
      <c r="C1472" s="41"/>
      <c r="D1472" s="67"/>
      <c r="E1472" s="153"/>
      <c r="F1472" s="128"/>
      <c r="G1472" s="35"/>
    </row>
    <row r="1473" spans="1:7" x14ac:dyDescent="0.2">
      <c r="A1473" s="29"/>
      <c r="B1473" s="106"/>
      <c r="C1473" s="41"/>
      <c r="D1473" s="67"/>
      <c r="E1473" s="104"/>
      <c r="F1473" s="154"/>
      <c r="G1473" s="35"/>
    </row>
    <row r="1474" spans="1:7" x14ac:dyDescent="0.2">
      <c r="A1474" s="29"/>
      <c r="B1474" s="105"/>
      <c r="C1474" s="41"/>
      <c r="D1474" s="130"/>
      <c r="E1474" s="104"/>
      <c r="F1474" s="154"/>
      <c r="G1474" s="35"/>
    </row>
    <row r="1475" spans="1:7" x14ac:dyDescent="0.2">
      <c r="A1475" s="29"/>
      <c r="B1475" s="105"/>
      <c r="C1475" s="41"/>
      <c r="D1475" s="67"/>
      <c r="E1475" s="104"/>
      <c r="F1475" s="154"/>
      <c r="G1475" s="35"/>
    </row>
    <row r="1476" spans="1:7" x14ac:dyDescent="0.2">
      <c r="A1476" s="29"/>
      <c r="B1476" s="101"/>
      <c r="C1476" s="41"/>
      <c r="D1476" s="67"/>
      <c r="E1476" s="104"/>
      <c r="F1476" s="154"/>
      <c r="G1476" s="35"/>
    </row>
    <row r="1477" spans="1:7" x14ac:dyDescent="0.2">
      <c r="A1477" s="29"/>
      <c r="B1477" s="101"/>
      <c r="C1477" s="41"/>
      <c r="D1477" s="136"/>
      <c r="E1477" s="104"/>
      <c r="F1477" s="154"/>
      <c r="G1477" s="35"/>
    </row>
    <row r="1478" spans="1:7" x14ac:dyDescent="0.2">
      <c r="A1478" s="29"/>
      <c r="B1478" s="101"/>
      <c r="C1478" s="41"/>
      <c r="D1478" s="136"/>
      <c r="E1478" s="104"/>
      <c r="F1478" s="154"/>
      <c r="G1478" s="35"/>
    </row>
    <row r="1479" spans="1:7" x14ac:dyDescent="0.2">
      <c r="A1479" s="29"/>
      <c r="B1479" s="101"/>
      <c r="C1479" s="41"/>
      <c r="D1479" s="62"/>
      <c r="E1479" s="104"/>
      <c r="F1479" s="154"/>
      <c r="G1479" s="35"/>
    </row>
    <row r="1480" spans="1:7" x14ac:dyDescent="0.2">
      <c r="A1480" s="29"/>
      <c r="B1480" s="101"/>
      <c r="C1480" s="41"/>
      <c r="D1480" s="67"/>
      <c r="E1480" s="104"/>
      <c r="F1480" s="154"/>
      <c r="G1480" s="35"/>
    </row>
    <row r="1481" spans="1:7" x14ac:dyDescent="0.2">
      <c r="A1481" s="29"/>
      <c r="B1481" s="101"/>
      <c r="C1481" s="41"/>
      <c r="D1481" s="67"/>
      <c r="E1481" s="104"/>
      <c r="F1481" s="154"/>
      <c r="G1481" s="35"/>
    </row>
    <row r="1482" spans="1:7" x14ac:dyDescent="0.2">
      <c r="A1482" s="29"/>
      <c r="B1482" s="101"/>
      <c r="C1482" s="41"/>
      <c r="D1482" s="67"/>
      <c r="E1482" s="104"/>
      <c r="F1482" s="154"/>
      <c r="G1482" s="35"/>
    </row>
    <row r="1483" spans="1:7" x14ac:dyDescent="0.2">
      <c r="A1483" s="29"/>
      <c r="B1483" s="101"/>
      <c r="C1483" s="41"/>
      <c r="D1483" s="67"/>
      <c r="E1483" s="104"/>
      <c r="F1483" s="154"/>
      <c r="G1483" s="35"/>
    </row>
    <row r="1484" spans="1:7" x14ac:dyDescent="0.2">
      <c r="A1484" s="29"/>
      <c r="B1484" s="101"/>
      <c r="C1484" s="41"/>
      <c r="D1484" s="67"/>
      <c r="E1484" s="104"/>
      <c r="F1484" s="154"/>
      <c r="G1484" s="35"/>
    </row>
    <row r="1485" spans="1:7" x14ac:dyDescent="0.2">
      <c r="A1485" s="29"/>
      <c r="B1485" s="101"/>
      <c r="C1485" s="41"/>
      <c r="D1485" s="159"/>
      <c r="E1485" s="104"/>
      <c r="F1485" s="154"/>
      <c r="G1485" s="35"/>
    </row>
    <row r="1486" spans="1:7" x14ac:dyDescent="0.2">
      <c r="A1486" s="29"/>
      <c r="B1486" s="101"/>
      <c r="C1486" s="41"/>
      <c r="D1486" s="160"/>
      <c r="E1486" s="108"/>
      <c r="F1486" s="128"/>
      <c r="G1486" s="35"/>
    </row>
    <row r="1487" spans="1:7" x14ac:dyDescent="0.2">
      <c r="A1487" s="29"/>
      <c r="B1487" s="101"/>
      <c r="C1487" s="41"/>
      <c r="D1487" s="136"/>
      <c r="E1487" s="153"/>
      <c r="F1487" s="128"/>
      <c r="G1487" s="35"/>
    </row>
    <row r="1488" spans="1:7" x14ac:dyDescent="0.2">
      <c r="A1488" s="29"/>
      <c r="B1488" s="101"/>
      <c r="C1488" s="41"/>
      <c r="D1488" s="136"/>
      <c r="E1488" s="102"/>
      <c r="F1488" s="128"/>
      <c r="G1488" s="35"/>
    </row>
    <row r="1489" spans="1:7" x14ac:dyDescent="0.2">
      <c r="A1489" s="29"/>
      <c r="B1489" s="101"/>
      <c r="C1489" s="31"/>
      <c r="D1489" s="67"/>
      <c r="E1489" s="131"/>
      <c r="F1489" s="117"/>
      <c r="G1489" s="35"/>
    </row>
    <row r="1490" spans="1:7" x14ac:dyDescent="0.2">
      <c r="A1490" s="29"/>
      <c r="B1490" s="101"/>
      <c r="C1490" s="41"/>
      <c r="D1490" s="118"/>
      <c r="E1490" s="108"/>
      <c r="F1490" s="149"/>
      <c r="G1490" s="35"/>
    </row>
    <row r="1491" spans="1:7" x14ac:dyDescent="0.2">
      <c r="A1491" s="29"/>
      <c r="B1491" s="101"/>
      <c r="C1491" s="41"/>
      <c r="D1491" s="144"/>
      <c r="E1491" s="108"/>
      <c r="F1491" s="149"/>
      <c r="G1491" s="35"/>
    </row>
    <row r="1492" spans="1:7" ht="13.5" thickBot="1" x14ac:dyDescent="0.25">
      <c r="A1492" s="45"/>
      <c r="B1492" s="132"/>
      <c r="C1492" s="115"/>
      <c r="D1492" s="115"/>
      <c r="E1492" s="132"/>
      <c r="F1492" s="49" t="s">
        <v>15</v>
      </c>
      <c r="G1492" s="50">
        <f>SUM(G1458:G1491)</f>
        <v>9000</v>
      </c>
    </row>
    <row r="1493" spans="1:7" ht="13.5" thickTop="1" x14ac:dyDescent="0.2">
      <c r="A1493" s="875" t="s">
        <v>1862</v>
      </c>
      <c r="B1493" s="899"/>
      <c r="C1493" s="899"/>
      <c r="D1493" s="899"/>
      <c r="E1493" s="899"/>
      <c r="F1493" s="899"/>
      <c r="G1493" s="900"/>
    </row>
    <row r="1494" spans="1:7" ht="13.5" thickBot="1" x14ac:dyDescent="0.25">
      <c r="A1494" s="926" t="s">
        <v>1863</v>
      </c>
      <c r="B1494" s="927"/>
      <c r="C1494" s="927"/>
      <c r="D1494" s="927"/>
      <c r="E1494" s="927"/>
      <c r="F1494" s="927"/>
      <c r="G1494" s="928"/>
    </row>
    <row r="1495" spans="1:7" ht="13.5" thickTop="1" x14ac:dyDescent="0.2">
      <c r="A1495" s="906"/>
      <c r="B1495" s="907"/>
      <c r="C1495" s="907"/>
      <c r="D1495" s="57" t="s">
        <v>11</v>
      </c>
      <c r="E1495" s="908" t="s">
        <v>12</v>
      </c>
      <c r="F1495" s="908"/>
      <c r="G1495" s="909"/>
    </row>
    <row r="1496" spans="1:7" x14ac:dyDescent="0.2">
      <c r="A1496" s="910" t="s">
        <v>17</v>
      </c>
      <c r="B1496" s="911"/>
      <c r="C1496" s="911"/>
      <c r="D1496" s="39"/>
      <c r="E1496" s="912"/>
      <c r="F1496" s="913"/>
      <c r="G1496" s="914"/>
    </row>
    <row r="1497" spans="1:7" x14ac:dyDescent="0.2">
      <c r="A1497" s="910" t="s">
        <v>38</v>
      </c>
      <c r="B1497" s="911"/>
      <c r="C1497" s="911"/>
      <c r="D1497" s="58" t="s">
        <v>887</v>
      </c>
      <c r="E1497" s="868" t="s">
        <v>142</v>
      </c>
      <c r="F1497" s="868"/>
      <c r="G1497" s="869"/>
    </row>
    <row r="1498" spans="1:7" ht="13.5" thickBot="1" x14ac:dyDescent="0.25">
      <c r="A1498" s="901" t="s">
        <v>39</v>
      </c>
      <c r="B1498" s="902"/>
      <c r="C1498" s="902"/>
      <c r="D1498" s="59" t="s">
        <v>44</v>
      </c>
      <c r="E1498" s="904" t="s">
        <v>0</v>
      </c>
      <c r="F1498" s="904"/>
      <c r="G1498" s="905"/>
    </row>
  </sheetData>
  <mergeCells count="443">
    <mergeCell ref="A1496:C1496"/>
    <mergeCell ref="E1496:G1496"/>
    <mergeCell ref="A1497:C1497"/>
    <mergeCell ref="E1497:G1497"/>
    <mergeCell ref="A1498:C1498"/>
    <mergeCell ref="E1498:G1498"/>
    <mergeCell ref="A1449:G1449"/>
    <mergeCell ref="A1450:G1450"/>
    <mergeCell ref="A1451:G1451"/>
    <mergeCell ref="E1454:F1454"/>
    <mergeCell ref="E1456:F1456"/>
    <mergeCell ref="A1493:G1493"/>
    <mergeCell ref="A1494:G1494"/>
    <mergeCell ref="A1495:C1495"/>
    <mergeCell ref="E1495:G1495"/>
    <mergeCell ref="A1147:C1147"/>
    <mergeCell ref="E1147:G1147"/>
    <mergeCell ref="A1148:C1148"/>
    <mergeCell ref="E1148:G1148"/>
    <mergeCell ref="A1100:G1100"/>
    <mergeCell ref="A1101:G1101"/>
    <mergeCell ref="E1104:F1104"/>
    <mergeCell ref="E1106:F1106"/>
    <mergeCell ref="A1143:G1143"/>
    <mergeCell ref="A1144:G1144"/>
    <mergeCell ref="A1145:C1145"/>
    <mergeCell ref="E1145:G1145"/>
    <mergeCell ref="A1146:C1146"/>
    <mergeCell ref="E1146:G1146"/>
    <mergeCell ref="A1095:C1095"/>
    <mergeCell ref="E1095:G1095"/>
    <mergeCell ref="A1096:C1096"/>
    <mergeCell ref="E1096:G1096"/>
    <mergeCell ref="A1097:C1097"/>
    <mergeCell ref="E1097:G1097"/>
    <mergeCell ref="A1098:C1098"/>
    <mergeCell ref="E1098:G1098"/>
    <mergeCell ref="A1099:G1099"/>
    <mergeCell ref="A1048:C1048"/>
    <mergeCell ref="E1048:G1048"/>
    <mergeCell ref="A1049:G1049"/>
    <mergeCell ref="A1050:G1050"/>
    <mergeCell ref="A1051:G1051"/>
    <mergeCell ref="E1054:F1054"/>
    <mergeCell ref="E1056:F1056"/>
    <mergeCell ref="A1093:G1093"/>
    <mergeCell ref="A1094:G1094"/>
    <mergeCell ref="E1004:F1004"/>
    <mergeCell ref="E1006:F1006"/>
    <mergeCell ref="A1043:G1043"/>
    <mergeCell ref="A1044:G1044"/>
    <mergeCell ref="A1045:C1045"/>
    <mergeCell ref="E1045:G1045"/>
    <mergeCell ref="A1046:C1046"/>
    <mergeCell ref="E1046:G1046"/>
    <mergeCell ref="A1047:C1047"/>
    <mergeCell ref="E1047:G1047"/>
    <mergeCell ref="A996:C996"/>
    <mergeCell ref="E996:G996"/>
    <mergeCell ref="A997:C997"/>
    <mergeCell ref="E997:G997"/>
    <mergeCell ref="A998:C998"/>
    <mergeCell ref="E998:G998"/>
    <mergeCell ref="A999:G999"/>
    <mergeCell ref="A1000:G1000"/>
    <mergeCell ref="A1001:G1001"/>
    <mergeCell ref="A949:G949"/>
    <mergeCell ref="A950:G950"/>
    <mergeCell ref="A951:G951"/>
    <mergeCell ref="E954:F954"/>
    <mergeCell ref="E956:F956"/>
    <mergeCell ref="A993:G993"/>
    <mergeCell ref="A994:G994"/>
    <mergeCell ref="A995:C995"/>
    <mergeCell ref="E995:G995"/>
    <mergeCell ref="A943:G943"/>
    <mergeCell ref="A944:G944"/>
    <mergeCell ref="A945:C945"/>
    <mergeCell ref="E945:G945"/>
    <mergeCell ref="A946:C946"/>
    <mergeCell ref="E946:G946"/>
    <mergeCell ref="A947:C947"/>
    <mergeCell ref="E947:G947"/>
    <mergeCell ref="A948:C948"/>
    <mergeCell ref="E948:G948"/>
    <mergeCell ref="A897:C897"/>
    <mergeCell ref="E897:G897"/>
    <mergeCell ref="A898:C898"/>
    <mergeCell ref="E898:G898"/>
    <mergeCell ref="A899:G899"/>
    <mergeCell ref="A900:G900"/>
    <mergeCell ref="A901:G901"/>
    <mergeCell ref="E904:F904"/>
    <mergeCell ref="E906:F906"/>
    <mergeCell ref="A850:G850"/>
    <mergeCell ref="A851:G851"/>
    <mergeCell ref="E854:F854"/>
    <mergeCell ref="E856:F856"/>
    <mergeCell ref="A893:G893"/>
    <mergeCell ref="A894:G894"/>
    <mergeCell ref="A895:C895"/>
    <mergeCell ref="E895:G895"/>
    <mergeCell ref="A896:C896"/>
    <mergeCell ref="E896:G896"/>
    <mergeCell ref="A845:C845"/>
    <mergeCell ref="E845:G845"/>
    <mergeCell ref="A846:C846"/>
    <mergeCell ref="E846:G846"/>
    <mergeCell ref="A847:C847"/>
    <mergeCell ref="E847:G847"/>
    <mergeCell ref="A848:C848"/>
    <mergeCell ref="E848:G848"/>
    <mergeCell ref="A849:G849"/>
    <mergeCell ref="A798:C798"/>
    <mergeCell ref="E798:G798"/>
    <mergeCell ref="A799:G799"/>
    <mergeCell ref="A800:G800"/>
    <mergeCell ref="A801:G801"/>
    <mergeCell ref="E804:F804"/>
    <mergeCell ref="E806:F806"/>
    <mergeCell ref="A843:G843"/>
    <mergeCell ref="A844:G844"/>
    <mergeCell ref="E754:F754"/>
    <mergeCell ref="E756:F756"/>
    <mergeCell ref="A793:G793"/>
    <mergeCell ref="A794:G794"/>
    <mergeCell ref="A795:C795"/>
    <mergeCell ref="E795:G795"/>
    <mergeCell ref="A796:C796"/>
    <mergeCell ref="E796:G796"/>
    <mergeCell ref="A797:C797"/>
    <mergeCell ref="E797:G797"/>
    <mergeCell ref="A746:C746"/>
    <mergeCell ref="E746:G746"/>
    <mergeCell ref="A747:C747"/>
    <mergeCell ref="E747:G747"/>
    <mergeCell ref="A748:C748"/>
    <mergeCell ref="E748:G748"/>
    <mergeCell ref="A749:G749"/>
    <mergeCell ref="A750:G750"/>
    <mergeCell ref="A751:G751"/>
    <mergeCell ref="A699:G699"/>
    <mergeCell ref="A700:G700"/>
    <mergeCell ref="A701:G701"/>
    <mergeCell ref="E704:F704"/>
    <mergeCell ref="E706:F706"/>
    <mergeCell ref="A743:G743"/>
    <mergeCell ref="A744:G744"/>
    <mergeCell ref="A745:C745"/>
    <mergeCell ref="E745:G745"/>
    <mergeCell ref="A693:G693"/>
    <mergeCell ref="A694:G694"/>
    <mergeCell ref="A695:C695"/>
    <mergeCell ref="E695:G695"/>
    <mergeCell ref="A696:C696"/>
    <mergeCell ref="E696:G696"/>
    <mergeCell ref="A697:C697"/>
    <mergeCell ref="E697:G697"/>
    <mergeCell ref="A698:C698"/>
    <mergeCell ref="E698:G698"/>
    <mergeCell ref="A647:C647"/>
    <mergeCell ref="E647:G647"/>
    <mergeCell ref="A648:C648"/>
    <mergeCell ref="E648:G648"/>
    <mergeCell ref="A649:G649"/>
    <mergeCell ref="A650:G650"/>
    <mergeCell ref="A651:G651"/>
    <mergeCell ref="E654:F654"/>
    <mergeCell ref="E656:F656"/>
    <mergeCell ref="A600:G600"/>
    <mergeCell ref="A601:G601"/>
    <mergeCell ref="E604:F604"/>
    <mergeCell ref="E606:F606"/>
    <mergeCell ref="A643:G643"/>
    <mergeCell ref="A644:G644"/>
    <mergeCell ref="A645:C645"/>
    <mergeCell ref="E645:G645"/>
    <mergeCell ref="A646:C646"/>
    <mergeCell ref="E646:G646"/>
    <mergeCell ref="A595:C595"/>
    <mergeCell ref="E595:G595"/>
    <mergeCell ref="A596:C596"/>
    <mergeCell ref="E596:G596"/>
    <mergeCell ref="A597:C597"/>
    <mergeCell ref="E597:G597"/>
    <mergeCell ref="A598:C598"/>
    <mergeCell ref="E598:G598"/>
    <mergeCell ref="A599:G599"/>
    <mergeCell ref="A548:C548"/>
    <mergeCell ref="E548:G548"/>
    <mergeCell ref="A549:G549"/>
    <mergeCell ref="A550:G550"/>
    <mergeCell ref="A551:G551"/>
    <mergeCell ref="E554:F554"/>
    <mergeCell ref="E556:F556"/>
    <mergeCell ref="A593:G593"/>
    <mergeCell ref="A594:G594"/>
    <mergeCell ref="E504:F504"/>
    <mergeCell ref="E506:F506"/>
    <mergeCell ref="A543:G543"/>
    <mergeCell ref="A544:G544"/>
    <mergeCell ref="A545:C545"/>
    <mergeCell ref="E545:G545"/>
    <mergeCell ref="A546:C546"/>
    <mergeCell ref="E546:G546"/>
    <mergeCell ref="A547:C547"/>
    <mergeCell ref="E547:G547"/>
    <mergeCell ref="A496:C496"/>
    <mergeCell ref="E496:G496"/>
    <mergeCell ref="A497:C497"/>
    <mergeCell ref="E497:G497"/>
    <mergeCell ref="A498:C498"/>
    <mergeCell ref="E498:G498"/>
    <mergeCell ref="A499:G499"/>
    <mergeCell ref="A500:G500"/>
    <mergeCell ref="A501:G501"/>
    <mergeCell ref="A449:G449"/>
    <mergeCell ref="A450:G450"/>
    <mergeCell ref="A451:G451"/>
    <mergeCell ref="E454:F454"/>
    <mergeCell ref="E456:F456"/>
    <mergeCell ref="A493:G493"/>
    <mergeCell ref="A494:G494"/>
    <mergeCell ref="A495:C495"/>
    <mergeCell ref="E495:G495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149:G149"/>
    <mergeCell ref="A150:G150"/>
    <mergeCell ref="A151:G151"/>
    <mergeCell ref="E154:F154"/>
    <mergeCell ref="E156:F156"/>
    <mergeCell ref="A148:C148"/>
    <mergeCell ref="E148:G148"/>
    <mergeCell ref="A145:C145"/>
    <mergeCell ref="E145:G145"/>
    <mergeCell ref="A146:C146"/>
    <mergeCell ref="E146:G146"/>
    <mergeCell ref="A147:C147"/>
    <mergeCell ref="E147:G147"/>
    <mergeCell ref="A197:C197"/>
    <mergeCell ref="E197:G197"/>
    <mergeCell ref="A198:C198"/>
    <mergeCell ref="E198:G198"/>
    <mergeCell ref="A193:G193"/>
    <mergeCell ref="A195:C195"/>
    <mergeCell ref="E195:G195"/>
    <mergeCell ref="A196:C196"/>
    <mergeCell ref="E196:G196"/>
    <mergeCell ref="A243:G243"/>
    <mergeCell ref="A245:C245"/>
    <mergeCell ref="E245:G245"/>
    <mergeCell ref="A246:C246"/>
    <mergeCell ref="E246:G246"/>
    <mergeCell ref="A199:G199"/>
    <mergeCell ref="A200:G200"/>
    <mergeCell ref="A201:G201"/>
    <mergeCell ref="E204:F204"/>
    <mergeCell ref="E206:F206"/>
    <mergeCell ref="A250:G250"/>
    <mergeCell ref="A251:G251"/>
    <mergeCell ref="E254:F254"/>
    <mergeCell ref="E256:F256"/>
    <mergeCell ref="A293:G293"/>
    <mergeCell ref="A247:C247"/>
    <mergeCell ref="E247:G247"/>
    <mergeCell ref="A248:C248"/>
    <mergeCell ref="E248:G248"/>
    <mergeCell ref="A249:G249"/>
    <mergeCell ref="A298:C298"/>
    <mergeCell ref="E298:G298"/>
    <mergeCell ref="A299:G299"/>
    <mergeCell ref="A300:G300"/>
    <mergeCell ref="A301:G301"/>
    <mergeCell ref="A295:C295"/>
    <mergeCell ref="E295:G295"/>
    <mergeCell ref="A296:C296"/>
    <mergeCell ref="E296:G296"/>
    <mergeCell ref="A297:C297"/>
    <mergeCell ref="E297:G297"/>
    <mergeCell ref="A346:C346"/>
    <mergeCell ref="E346:G346"/>
    <mergeCell ref="A347:C347"/>
    <mergeCell ref="E347:G347"/>
    <mergeCell ref="A348:C348"/>
    <mergeCell ref="E348:G348"/>
    <mergeCell ref="E304:F304"/>
    <mergeCell ref="E306:F306"/>
    <mergeCell ref="A343:G343"/>
    <mergeCell ref="A345:C345"/>
    <mergeCell ref="E345:G345"/>
    <mergeCell ref="A394:G394"/>
    <mergeCell ref="A393:G393"/>
    <mergeCell ref="A395:C395"/>
    <mergeCell ref="E395:G395"/>
    <mergeCell ref="A396:C396"/>
    <mergeCell ref="E396:G396"/>
    <mergeCell ref="A349:G349"/>
    <mergeCell ref="A350:G350"/>
    <mergeCell ref="A351:G351"/>
    <mergeCell ref="E354:F354"/>
    <mergeCell ref="E356:F356"/>
    <mergeCell ref="A399:G399"/>
    <mergeCell ref="A400:G400"/>
    <mergeCell ref="A401:G401"/>
    <mergeCell ref="E404:F404"/>
    <mergeCell ref="E406:F406"/>
    <mergeCell ref="A397:C397"/>
    <mergeCell ref="E397:G397"/>
    <mergeCell ref="A398:C398"/>
    <mergeCell ref="E398:G398"/>
    <mergeCell ref="A447:C447"/>
    <mergeCell ref="E447:G447"/>
    <mergeCell ref="A448:C448"/>
    <mergeCell ref="E448:G448"/>
    <mergeCell ref="A443:G443"/>
    <mergeCell ref="A444:G444"/>
    <mergeCell ref="A445:C445"/>
    <mergeCell ref="E445:G445"/>
    <mergeCell ref="A446:C446"/>
    <mergeCell ref="E446:G446"/>
    <mergeCell ref="A1149:G1149"/>
    <mergeCell ref="A1150:G1150"/>
    <mergeCell ref="A1151:G1151"/>
    <mergeCell ref="E1154:F1154"/>
    <mergeCell ref="E1156:F1156"/>
    <mergeCell ref="A1193:G1193"/>
    <mergeCell ref="A1194:G1194"/>
    <mergeCell ref="A1195:C1195"/>
    <mergeCell ref="E1195:G1195"/>
    <mergeCell ref="A1196:C1196"/>
    <mergeCell ref="E1196:G1196"/>
    <mergeCell ref="A1197:C1197"/>
    <mergeCell ref="E1197:G1197"/>
    <mergeCell ref="A1198:C1198"/>
    <mergeCell ref="E1198:G1198"/>
    <mergeCell ref="A1199:G1199"/>
    <mergeCell ref="A1200:G1200"/>
    <mergeCell ref="A1201:G1201"/>
    <mergeCell ref="E1204:F1204"/>
    <mergeCell ref="E1206:F1206"/>
    <mergeCell ref="A1243:G1243"/>
    <mergeCell ref="A1244:G1244"/>
    <mergeCell ref="A1245:C1245"/>
    <mergeCell ref="E1245:G1245"/>
    <mergeCell ref="A1246:C1246"/>
    <mergeCell ref="E1246:G1246"/>
    <mergeCell ref="A1247:C1247"/>
    <mergeCell ref="E1247:G1247"/>
    <mergeCell ref="A1248:C1248"/>
    <mergeCell ref="E1248:G1248"/>
    <mergeCell ref="A1249:G1249"/>
    <mergeCell ref="A1250:G1250"/>
    <mergeCell ref="A1251:G1251"/>
    <mergeCell ref="E1254:F1254"/>
    <mergeCell ref="E1256:F1256"/>
    <mergeCell ref="A1293:G1293"/>
    <mergeCell ref="A1294:G1294"/>
    <mergeCell ref="A1295:C1295"/>
    <mergeCell ref="E1295:G1295"/>
    <mergeCell ref="A1296:C1296"/>
    <mergeCell ref="E1296:G1296"/>
    <mergeCell ref="A1297:C1297"/>
    <mergeCell ref="E1297:G1297"/>
    <mergeCell ref="A1298:C1298"/>
    <mergeCell ref="E1298:G1298"/>
    <mergeCell ref="A1299:G1299"/>
    <mergeCell ref="A1300:G1300"/>
    <mergeCell ref="A1301:G1301"/>
    <mergeCell ref="E1304:F1304"/>
    <mergeCell ref="E1306:F1306"/>
    <mergeCell ref="A1343:G1343"/>
    <mergeCell ref="A1344:G1344"/>
    <mergeCell ref="A1345:C1345"/>
    <mergeCell ref="E1345:G1345"/>
    <mergeCell ref="A1346:C1346"/>
    <mergeCell ref="E1346:G1346"/>
    <mergeCell ref="A1347:C1347"/>
    <mergeCell ref="E1347:G1347"/>
    <mergeCell ref="A1348:C1348"/>
    <mergeCell ref="E1348:G1348"/>
    <mergeCell ref="A1349:G1349"/>
    <mergeCell ref="A1350:G1350"/>
    <mergeCell ref="A1351:G1351"/>
    <mergeCell ref="E1354:F1354"/>
    <mergeCell ref="E1356:F1356"/>
    <mergeCell ref="A1393:G1393"/>
    <mergeCell ref="A1394:G1394"/>
    <mergeCell ref="A1395:C1395"/>
    <mergeCell ref="E1395:G1395"/>
    <mergeCell ref="A1396:C1396"/>
    <mergeCell ref="E1396:G1396"/>
    <mergeCell ref="A1397:C1397"/>
    <mergeCell ref="E1397:G1397"/>
    <mergeCell ref="A1398:C1398"/>
    <mergeCell ref="E1398:G1398"/>
    <mergeCell ref="A1399:G1399"/>
    <mergeCell ref="A1400:G1400"/>
    <mergeCell ref="A1401:G1401"/>
    <mergeCell ref="A1448:C1448"/>
    <mergeCell ref="E1448:G1448"/>
    <mergeCell ref="E1404:F1404"/>
    <mergeCell ref="E1406:F1406"/>
    <mergeCell ref="A1443:G1443"/>
    <mergeCell ref="A1444:G1444"/>
    <mergeCell ref="A1445:C1445"/>
    <mergeCell ref="E1445:G1445"/>
    <mergeCell ref="A1446:C1446"/>
    <mergeCell ref="E1446:G1446"/>
    <mergeCell ref="A1447:C1447"/>
    <mergeCell ref="E1447:G14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A3CC4"/>
  </sheetPr>
  <dimension ref="A1:I150"/>
  <sheetViews>
    <sheetView topLeftCell="A41" zoomScale="110" zoomScaleNormal="110" workbookViewId="0">
      <selection activeCell="I59" sqref="I5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891" t="s">
        <v>49</v>
      </c>
      <c r="B3" s="892"/>
      <c r="C3" s="892"/>
      <c r="D3" s="892"/>
      <c r="E3" s="892"/>
      <c r="F3" s="892"/>
      <c r="G3" s="893"/>
    </row>
    <row r="4" spans="1:9" x14ac:dyDescent="0.2">
      <c r="A4" s="387"/>
      <c r="B4" s="388"/>
      <c r="C4" s="389"/>
      <c r="D4" s="390"/>
      <c r="E4" s="388"/>
      <c r="F4" s="391"/>
      <c r="G4" s="392" t="s">
        <v>20</v>
      </c>
    </row>
    <row r="5" spans="1:9" x14ac:dyDescent="0.2">
      <c r="A5" s="393" t="s">
        <v>59</v>
      </c>
      <c r="B5" s="394"/>
      <c r="C5" s="14" t="s">
        <v>21</v>
      </c>
      <c r="D5" s="394"/>
      <c r="E5" s="362" t="s">
        <v>1222</v>
      </c>
      <c r="F5" s="395"/>
      <c r="G5" s="363" t="s">
        <v>1202</v>
      </c>
    </row>
    <row r="6" spans="1:9" x14ac:dyDescent="0.2">
      <c r="A6" s="361" t="s">
        <v>8</v>
      </c>
      <c r="B6" s="396"/>
      <c r="C6" s="19"/>
      <c r="D6" s="386"/>
      <c r="E6" s="894"/>
      <c r="F6" s="895"/>
      <c r="G6" s="397"/>
    </row>
    <row r="7" spans="1:9" x14ac:dyDescent="0.2">
      <c r="A7" s="373" t="s">
        <v>37</v>
      </c>
      <c r="B7" s="377"/>
      <c r="C7" s="377"/>
      <c r="D7" s="377"/>
      <c r="E7" s="398" t="s">
        <v>46</v>
      </c>
      <c r="F7" s="399"/>
      <c r="G7" s="397" t="s">
        <v>50</v>
      </c>
    </row>
    <row r="8" spans="1:9" x14ac:dyDescent="0.2">
      <c r="A8" s="387"/>
      <c r="B8" s="388"/>
      <c r="C8" s="389"/>
      <c r="D8" s="389"/>
      <c r="E8" s="896"/>
      <c r="F8" s="897"/>
      <c r="G8" s="400"/>
    </row>
    <row r="9" spans="1:9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364">
        <v>1</v>
      </c>
      <c r="B10" s="401"/>
      <c r="C10" s="371" t="s">
        <v>149</v>
      </c>
      <c r="D10" s="376" t="s">
        <v>1216</v>
      </c>
      <c r="E10" s="402">
        <v>45</v>
      </c>
      <c r="F10" s="403">
        <v>250</v>
      </c>
      <c r="G10" s="372">
        <f>F10*E10</f>
        <v>11250</v>
      </c>
      <c r="I10" s="2" t="s">
        <v>8</v>
      </c>
    </row>
    <row r="11" spans="1:9" x14ac:dyDescent="0.2">
      <c r="A11" s="364"/>
      <c r="B11" s="401"/>
      <c r="C11" s="371"/>
      <c r="D11" s="370" t="s">
        <v>1217</v>
      </c>
      <c r="E11" s="404"/>
      <c r="F11" s="403"/>
      <c r="G11" s="372"/>
    </row>
    <row r="12" spans="1:9" x14ac:dyDescent="0.2">
      <c r="A12" s="364">
        <v>2</v>
      </c>
      <c r="B12" s="401"/>
      <c r="C12" s="371" t="s">
        <v>149</v>
      </c>
      <c r="D12" s="370" t="s">
        <v>879</v>
      </c>
      <c r="E12" s="407">
        <v>45</v>
      </c>
      <c r="F12" s="406">
        <v>450</v>
      </c>
      <c r="G12" s="372">
        <f>F12*E12</f>
        <v>20250</v>
      </c>
    </row>
    <row r="13" spans="1:9" x14ac:dyDescent="0.2">
      <c r="A13" s="364">
        <v>3</v>
      </c>
      <c r="B13" s="401"/>
      <c r="C13" s="371" t="s">
        <v>149</v>
      </c>
      <c r="D13" s="370" t="s">
        <v>1215</v>
      </c>
      <c r="E13" s="407">
        <v>1</v>
      </c>
      <c r="F13" s="403">
        <v>355</v>
      </c>
      <c r="G13" s="372">
        <f>F13*E13</f>
        <v>355</v>
      </c>
    </row>
    <row r="14" spans="1:9" x14ac:dyDescent="0.2">
      <c r="A14" s="364"/>
      <c r="B14" s="408"/>
      <c r="C14" s="371"/>
      <c r="D14" s="376"/>
      <c r="E14" s="409"/>
      <c r="F14" s="403"/>
      <c r="G14" s="372"/>
    </row>
    <row r="15" spans="1:9" x14ac:dyDescent="0.2">
      <c r="A15" s="364"/>
      <c r="B15" s="408"/>
      <c r="C15" s="371"/>
      <c r="D15" s="376"/>
      <c r="E15" s="409"/>
      <c r="F15" s="403"/>
      <c r="G15" s="372"/>
    </row>
    <row r="16" spans="1:9" x14ac:dyDescent="0.2">
      <c r="A16" s="364"/>
      <c r="B16" s="410"/>
      <c r="C16" s="385"/>
      <c r="D16" s="376"/>
      <c r="E16" s="407"/>
      <c r="F16" s="411"/>
      <c r="G16" s="372"/>
    </row>
    <row r="17" spans="1:7" x14ac:dyDescent="0.2">
      <c r="A17" s="364"/>
      <c r="B17" s="410"/>
      <c r="C17" s="385"/>
      <c r="D17" s="383"/>
      <c r="E17" s="407"/>
      <c r="F17" s="411"/>
      <c r="G17" s="372"/>
    </row>
    <row r="18" spans="1:7" x14ac:dyDescent="0.2">
      <c r="A18" s="364"/>
      <c r="B18" s="401"/>
      <c r="C18" s="371"/>
      <c r="D18" s="383"/>
      <c r="E18" s="412"/>
      <c r="F18" s="403"/>
      <c r="G18" s="372"/>
    </row>
    <row r="19" spans="1:7" x14ac:dyDescent="0.2">
      <c r="A19" s="364"/>
      <c r="B19" s="413"/>
      <c r="C19" s="371"/>
      <c r="D19" s="376"/>
      <c r="E19" s="414"/>
      <c r="F19" s="403"/>
      <c r="G19" s="372"/>
    </row>
    <row r="20" spans="1:7" x14ac:dyDescent="0.2">
      <c r="A20" s="364"/>
      <c r="B20" s="408"/>
      <c r="C20" s="371"/>
      <c r="D20" s="376"/>
      <c r="E20" s="407"/>
      <c r="F20" s="415"/>
      <c r="G20" s="372"/>
    </row>
    <row r="21" spans="1:7" x14ac:dyDescent="0.2">
      <c r="A21" s="364"/>
      <c r="B21" s="416"/>
      <c r="C21" s="371"/>
      <c r="D21" s="376"/>
      <c r="E21" s="417"/>
      <c r="F21" s="403"/>
      <c r="G21" s="372"/>
    </row>
    <row r="22" spans="1:7" x14ac:dyDescent="0.2">
      <c r="A22" s="364"/>
      <c r="B22" s="416"/>
      <c r="C22" s="371"/>
      <c r="D22" s="384"/>
      <c r="E22" s="417"/>
      <c r="F22" s="403"/>
      <c r="G22" s="372"/>
    </row>
    <row r="23" spans="1:7" x14ac:dyDescent="0.2">
      <c r="A23" s="364"/>
      <c r="B23" s="401"/>
      <c r="C23" s="371"/>
      <c r="D23" s="384"/>
      <c r="E23" s="407"/>
      <c r="F23" s="403"/>
      <c r="G23" s="372"/>
    </row>
    <row r="24" spans="1:7" x14ac:dyDescent="0.2">
      <c r="A24" s="364"/>
      <c r="B24" s="401"/>
      <c r="C24" s="371"/>
      <c r="D24" s="384"/>
      <c r="E24" s="417"/>
      <c r="F24" s="403"/>
      <c r="G24" s="372"/>
    </row>
    <row r="25" spans="1:7" x14ac:dyDescent="0.2">
      <c r="A25" s="364"/>
      <c r="B25" s="413"/>
      <c r="C25" s="371"/>
      <c r="D25" s="384"/>
      <c r="E25" s="414"/>
      <c r="F25" s="418"/>
      <c r="G25" s="372"/>
    </row>
    <row r="26" spans="1:7" x14ac:dyDescent="0.2">
      <c r="A26" s="364"/>
      <c r="B26" s="408"/>
      <c r="C26" s="371"/>
      <c r="D26" s="419"/>
      <c r="E26" s="414"/>
      <c r="F26" s="418"/>
      <c r="G26" s="372"/>
    </row>
    <row r="27" spans="1:7" x14ac:dyDescent="0.2">
      <c r="A27" s="364"/>
      <c r="B27" s="408"/>
      <c r="C27" s="371"/>
      <c r="D27" s="384"/>
      <c r="E27" s="414"/>
      <c r="F27" s="418"/>
      <c r="G27" s="372"/>
    </row>
    <row r="28" spans="1:7" x14ac:dyDescent="0.2">
      <c r="A28" s="364"/>
      <c r="B28" s="401"/>
      <c r="C28" s="371"/>
      <c r="D28" s="384"/>
      <c r="E28" s="414"/>
      <c r="F28" s="418"/>
      <c r="G28" s="372"/>
    </row>
    <row r="29" spans="1:7" x14ac:dyDescent="0.2">
      <c r="A29" s="364"/>
      <c r="B29" s="401"/>
      <c r="C29" s="371"/>
      <c r="D29" s="376"/>
      <c r="E29" s="414"/>
      <c r="F29" s="418"/>
      <c r="G29" s="372"/>
    </row>
    <row r="30" spans="1:7" x14ac:dyDescent="0.2">
      <c r="A30" s="364"/>
      <c r="B30" s="401"/>
      <c r="C30" s="371"/>
      <c r="D30" s="376"/>
      <c r="E30" s="414"/>
      <c r="F30" s="418"/>
      <c r="G30" s="372"/>
    </row>
    <row r="31" spans="1:7" x14ac:dyDescent="0.2">
      <c r="A31" s="364"/>
      <c r="B31" s="401"/>
      <c r="C31" s="371"/>
      <c r="D31" s="420"/>
      <c r="E31" s="414"/>
      <c r="F31" s="418"/>
      <c r="G31" s="372"/>
    </row>
    <row r="32" spans="1:7" x14ac:dyDescent="0.2">
      <c r="A32" s="364"/>
      <c r="B32" s="401"/>
      <c r="C32" s="371"/>
      <c r="D32" s="420"/>
      <c r="E32" s="414"/>
      <c r="F32" s="418"/>
      <c r="G32" s="372"/>
    </row>
    <row r="33" spans="1:7" x14ac:dyDescent="0.2">
      <c r="A33" s="364"/>
      <c r="B33" s="401"/>
      <c r="C33" s="371"/>
      <c r="D33" s="420"/>
      <c r="E33" s="414"/>
      <c r="F33" s="418"/>
      <c r="G33" s="372"/>
    </row>
    <row r="34" spans="1:7" x14ac:dyDescent="0.2">
      <c r="A34" s="364"/>
      <c r="B34" s="401"/>
      <c r="C34" s="371"/>
      <c r="D34" s="384"/>
      <c r="E34" s="414"/>
      <c r="F34" s="418"/>
      <c r="G34" s="372"/>
    </row>
    <row r="35" spans="1:7" x14ac:dyDescent="0.2">
      <c r="A35" s="364"/>
      <c r="B35" s="401"/>
      <c r="C35" s="371"/>
      <c r="D35" s="421"/>
      <c r="E35" s="414"/>
      <c r="F35" s="418"/>
      <c r="G35" s="372"/>
    </row>
    <row r="36" spans="1:7" x14ac:dyDescent="0.2">
      <c r="A36" s="364"/>
      <c r="B36" s="401"/>
      <c r="C36" s="371"/>
      <c r="D36" s="160"/>
      <c r="E36" s="407"/>
      <c r="F36" s="403"/>
      <c r="G36" s="372"/>
    </row>
    <row r="37" spans="1:7" x14ac:dyDescent="0.2">
      <c r="A37" s="364"/>
      <c r="B37" s="401"/>
      <c r="C37" s="371"/>
      <c r="D37" s="376"/>
      <c r="E37" s="417"/>
      <c r="F37" s="403"/>
      <c r="G37" s="372"/>
    </row>
    <row r="38" spans="1:7" x14ac:dyDescent="0.2">
      <c r="A38" s="364"/>
      <c r="B38" s="401"/>
      <c r="C38" s="371"/>
      <c r="D38" s="376"/>
      <c r="E38" s="417"/>
      <c r="F38" s="403"/>
      <c r="G38" s="372"/>
    </row>
    <row r="39" spans="1:7" x14ac:dyDescent="0.2">
      <c r="A39" s="364"/>
      <c r="B39" s="401"/>
      <c r="C39" s="371"/>
      <c r="D39" s="376"/>
      <c r="E39" s="417"/>
      <c r="F39" s="403"/>
      <c r="G39" s="372"/>
    </row>
    <row r="40" spans="1:7" x14ac:dyDescent="0.2">
      <c r="A40" s="364"/>
      <c r="B40" s="401"/>
      <c r="C40" s="371"/>
      <c r="D40" s="376"/>
      <c r="E40" s="409"/>
      <c r="F40" s="403"/>
      <c r="G40" s="372"/>
    </row>
    <row r="41" spans="1:7" x14ac:dyDescent="0.2">
      <c r="A41" s="364"/>
      <c r="B41" s="401"/>
      <c r="C41" s="422"/>
      <c r="D41" s="384"/>
      <c r="E41" s="423"/>
      <c r="F41" s="424"/>
      <c r="G41" s="372"/>
    </row>
    <row r="42" spans="1:7" x14ac:dyDescent="0.2">
      <c r="A42" s="364"/>
      <c r="B42" s="401"/>
      <c r="C42" s="371"/>
      <c r="D42" s="425"/>
      <c r="E42" s="407"/>
      <c r="F42" s="406"/>
      <c r="G42" s="372"/>
    </row>
    <row r="43" spans="1:7" x14ac:dyDescent="0.2">
      <c r="A43" s="364"/>
      <c r="B43" s="401"/>
      <c r="C43" s="371"/>
      <c r="D43" s="383"/>
      <c r="E43" s="407"/>
      <c r="F43" s="406"/>
      <c r="G43" s="372"/>
    </row>
    <row r="44" spans="1:7" ht="13.5" thickBot="1" x14ac:dyDescent="0.25">
      <c r="A44" s="426"/>
      <c r="B44" s="427"/>
      <c r="C44" s="428"/>
      <c r="D44" s="428"/>
      <c r="E44" s="427"/>
      <c r="F44" s="49" t="s">
        <v>15</v>
      </c>
      <c r="G44" s="50">
        <f>SUM(G10:G43)</f>
        <v>31855</v>
      </c>
    </row>
    <row r="45" spans="1:7" ht="13.5" thickTop="1" x14ac:dyDescent="0.2">
      <c r="A45" s="875" t="s">
        <v>1218</v>
      </c>
      <c r="B45" s="876"/>
      <c r="C45" s="876"/>
      <c r="D45" s="876"/>
      <c r="E45" s="876"/>
      <c r="F45" s="876"/>
      <c r="G45" s="877"/>
    </row>
    <row r="46" spans="1:7" ht="13.5" thickBot="1" x14ac:dyDescent="0.25">
      <c r="A46" s="378"/>
      <c r="B46" s="374" t="s">
        <v>8</v>
      </c>
      <c r="C46" s="374" t="s">
        <v>8</v>
      </c>
      <c r="D46" s="379"/>
      <c r="E46" s="374"/>
      <c r="F46" s="380"/>
      <c r="G46" s="381"/>
    </row>
    <row r="47" spans="1:7" ht="13.5" thickTop="1" x14ac:dyDescent="0.2">
      <c r="A47" s="878"/>
      <c r="B47" s="879"/>
      <c r="C47" s="879"/>
      <c r="D47" s="433" t="s">
        <v>11</v>
      </c>
      <c r="E47" s="880" t="s">
        <v>12</v>
      </c>
      <c r="F47" s="880"/>
      <c r="G47" s="881"/>
    </row>
    <row r="48" spans="1:7" x14ac:dyDescent="0.2">
      <c r="A48" s="866" t="s">
        <v>17</v>
      </c>
      <c r="B48" s="867"/>
      <c r="C48" s="867"/>
      <c r="D48" s="434"/>
      <c r="E48" s="882"/>
      <c r="F48" s="883"/>
      <c r="G48" s="884"/>
    </row>
    <row r="49" spans="1:9" x14ac:dyDescent="0.2">
      <c r="A49" s="866" t="s">
        <v>38</v>
      </c>
      <c r="B49" s="867"/>
      <c r="C49" s="867"/>
      <c r="D49" s="58" t="s">
        <v>307</v>
      </c>
      <c r="E49" s="868" t="s">
        <v>142</v>
      </c>
      <c r="F49" s="868"/>
      <c r="G49" s="869"/>
    </row>
    <row r="50" spans="1:9" ht="13.5" thickBot="1" x14ac:dyDescent="0.25">
      <c r="A50" s="870" t="s">
        <v>39</v>
      </c>
      <c r="B50" s="871"/>
      <c r="C50" s="871"/>
      <c r="D50" s="375" t="s">
        <v>44</v>
      </c>
      <c r="E50" s="873" t="s">
        <v>0</v>
      </c>
      <c r="F50" s="873"/>
      <c r="G50" s="874"/>
    </row>
    <row r="51" spans="1:9" ht="16.5" x14ac:dyDescent="0.25">
      <c r="A51" s="948" t="s">
        <v>29</v>
      </c>
      <c r="B51" s="949"/>
      <c r="C51" s="949"/>
      <c r="D51" s="949"/>
      <c r="E51" s="949"/>
      <c r="F51" s="949"/>
      <c r="G51" s="950"/>
    </row>
    <row r="52" spans="1:9" x14ac:dyDescent="0.2">
      <c r="A52" s="951" t="s">
        <v>48</v>
      </c>
      <c r="B52" s="952"/>
      <c r="C52" s="952"/>
      <c r="D52" s="952"/>
      <c r="E52" s="952"/>
      <c r="F52" s="952"/>
      <c r="G52" s="953"/>
    </row>
    <row r="53" spans="1:9" x14ac:dyDescent="0.2">
      <c r="A53" s="954" t="s">
        <v>49</v>
      </c>
      <c r="B53" s="955"/>
      <c r="C53" s="955"/>
      <c r="D53" s="955"/>
      <c r="E53" s="955"/>
      <c r="F53" s="955"/>
      <c r="G53" s="956"/>
    </row>
    <row r="54" spans="1:9" x14ac:dyDescent="0.2">
      <c r="A54" s="470"/>
      <c r="B54" s="471"/>
      <c r="C54" s="472"/>
      <c r="D54" s="473"/>
      <c r="E54" s="471"/>
      <c r="F54" s="474"/>
      <c r="G54" s="475" t="s">
        <v>20</v>
      </c>
    </row>
    <row r="55" spans="1:9" x14ac:dyDescent="0.2">
      <c r="A55" s="476" t="s">
        <v>2757</v>
      </c>
      <c r="B55" s="477"/>
      <c r="C55" s="478" t="s">
        <v>21</v>
      </c>
      <c r="D55" s="477"/>
      <c r="E55" s="272" t="s">
        <v>2758</v>
      </c>
      <c r="F55" s="273"/>
      <c r="G55" s="274" t="s">
        <v>2759</v>
      </c>
      <c r="I55" s="258" t="s">
        <v>2753</v>
      </c>
    </row>
    <row r="56" spans="1:9" x14ac:dyDescent="0.2">
      <c r="A56" s="479" t="s">
        <v>8</v>
      </c>
      <c r="B56" s="480"/>
      <c r="C56" s="481"/>
      <c r="D56" s="469"/>
      <c r="E56" s="957"/>
      <c r="F56" s="958"/>
      <c r="G56" s="482"/>
    </row>
    <row r="57" spans="1:9" x14ac:dyDescent="0.2">
      <c r="A57" s="483" t="s">
        <v>37</v>
      </c>
      <c r="B57" s="484"/>
      <c r="C57" s="484"/>
      <c r="D57" s="484"/>
      <c r="E57" s="485" t="s">
        <v>46</v>
      </c>
      <c r="F57" s="486"/>
      <c r="G57" s="482" t="s">
        <v>50</v>
      </c>
    </row>
    <row r="58" spans="1:9" x14ac:dyDescent="0.2">
      <c r="A58" s="470"/>
      <c r="B58" s="471"/>
      <c r="C58" s="472"/>
      <c r="D58" s="472"/>
      <c r="E58" s="934"/>
      <c r="F58" s="935"/>
      <c r="G58" s="487"/>
    </row>
    <row r="59" spans="1:9" ht="26.25" thickBot="1" x14ac:dyDescent="0.25">
      <c r="A59" s="488" t="s">
        <v>47</v>
      </c>
      <c r="B59" s="489" t="s">
        <v>23</v>
      </c>
      <c r="C59" s="489" t="s">
        <v>34</v>
      </c>
      <c r="D59" s="490" t="s">
        <v>53</v>
      </c>
      <c r="E59" s="491" t="s">
        <v>54</v>
      </c>
      <c r="F59" s="492" t="s">
        <v>55</v>
      </c>
      <c r="G59" s="493" t="s">
        <v>35</v>
      </c>
    </row>
    <row r="60" spans="1:9" ht="13.5" thickTop="1" x14ac:dyDescent="0.2">
      <c r="A60" s="494">
        <v>1</v>
      </c>
      <c r="B60" s="495"/>
      <c r="C60" s="222" t="s">
        <v>149</v>
      </c>
      <c r="D60" s="251" t="s">
        <v>1308</v>
      </c>
      <c r="E60" s="671">
        <v>45</v>
      </c>
      <c r="F60" s="501">
        <v>250</v>
      </c>
      <c r="G60" s="217">
        <f>F60*E60</f>
        <v>11250</v>
      </c>
    </row>
    <row r="61" spans="1:9" x14ac:dyDescent="0.2">
      <c r="A61" s="494"/>
      <c r="B61" s="495"/>
      <c r="C61" s="222"/>
      <c r="D61" s="502" t="s">
        <v>1309</v>
      </c>
      <c r="E61" s="672"/>
      <c r="F61" s="501"/>
      <c r="G61" s="217"/>
    </row>
    <row r="62" spans="1:9" x14ac:dyDescent="0.2">
      <c r="A62" s="494">
        <v>2</v>
      </c>
      <c r="B62" s="495"/>
      <c r="C62" s="222" t="s">
        <v>149</v>
      </c>
      <c r="D62" s="502" t="s">
        <v>879</v>
      </c>
      <c r="E62" s="500">
        <v>45</v>
      </c>
      <c r="F62" s="504">
        <v>450</v>
      </c>
      <c r="G62" s="217">
        <f>F62*E62</f>
        <v>20250</v>
      </c>
    </row>
    <row r="63" spans="1:9" x14ac:dyDescent="0.2">
      <c r="A63" s="494">
        <v>3</v>
      </c>
      <c r="B63" s="495"/>
      <c r="C63" s="222" t="s">
        <v>149</v>
      </c>
      <c r="D63" s="502" t="s">
        <v>1215</v>
      </c>
      <c r="E63" s="500">
        <v>1</v>
      </c>
      <c r="F63" s="501">
        <v>355</v>
      </c>
      <c r="G63" s="217">
        <f>F63*E63</f>
        <v>355</v>
      </c>
    </row>
    <row r="64" spans="1:9" x14ac:dyDescent="0.2">
      <c r="A64" s="494"/>
      <c r="B64" s="505"/>
      <c r="C64" s="222"/>
      <c r="D64" s="251"/>
      <c r="E64" s="506"/>
      <c r="F64" s="501"/>
      <c r="G64" s="217"/>
    </row>
    <row r="65" spans="1:7" x14ac:dyDescent="0.2">
      <c r="A65" s="494"/>
      <c r="B65" s="505"/>
      <c r="C65" s="222"/>
      <c r="D65" s="251"/>
      <c r="E65" s="506"/>
      <c r="F65" s="501"/>
      <c r="G65" s="217"/>
    </row>
    <row r="66" spans="1:7" x14ac:dyDescent="0.2">
      <c r="A66" s="494"/>
      <c r="B66" s="507"/>
      <c r="C66" s="508"/>
      <c r="D66" s="251"/>
      <c r="E66" s="500"/>
      <c r="F66" s="509"/>
      <c r="G66" s="217"/>
    </row>
    <row r="67" spans="1:7" x14ac:dyDescent="0.2">
      <c r="A67" s="494"/>
      <c r="B67" s="507"/>
      <c r="C67" s="508"/>
      <c r="D67" s="510"/>
      <c r="E67" s="500"/>
      <c r="F67" s="509"/>
      <c r="G67" s="217"/>
    </row>
    <row r="68" spans="1:7" x14ac:dyDescent="0.2">
      <c r="A68" s="494"/>
      <c r="B68" s="495"/>
      <c r="C68" s="222"/>
      <c r="D68" s="510"/>
      <c r="E68" s="511"/>
      <c r="F68" s="501"/>
      <c r="G68" s="217"/>
    </row>
    <row r="69" spans="1:7" x14ac:dyDescent="0.2">
      <c r="A69" s="494"/>
      <c r="B69" s="512"/>
      <c r="C69" s="222"/>
      <c r="D69" s="251"/>
      <c r="E69" s="513"/>
      <c r="F69" s="501"/>
      <c r="G69" s="217"/>
    </row>
    <row r="70" spans="1:7" x14ac:dyDescent="0.2">
      <c r="A70" s="494"/>
      <c r="B70" s="505"/>
      <c r="C70" s="222"/>
      <c r="D70" s="251"/>
      <c r="E70" s="500"/>
      <c r="F70" s="514"/>
      <c r="G70" s="217"/>
    </row>
    <row r="71" spans="1:7" x14ac:dyDescent="0.2">
      <c r="A71" s="494"/>
      <c r="B71" s="515"/>
      <c r="C71" s="222"/>
      <c r="D71" s="251"/>
      <c r="E71" s="516"/>
      <c r="F71" s="501"/>
      <c r="G71" s="217"/>
    </row>
    <row r="72" spans="1:7" x14ac:dyDescent="0.2">
      <c r="A72" s="494"/>
      <c r="B72" s="515"/>
      <c r="C72" s="222"/>
      <c r="D72" s="257"/>
      <c r="E72" s="516"/>
      <c r="F72" s="501"/>
      <c r="G72" s="217"/>
    </row>
    <row r="73" spans="1:7" x14ac:dyDescent="0.2">
      <c r="A73" s="494"/>
      <c r="B73" s="495"/>
      <c r="C73" s="222"/>
      <c r="D73" s="257"/>
      <c r="E73" s="500"/>
      <c r="F73" s="501"/>
      <c r="G73" s="217"/>
    </row>
    <row r="74" spans="1:7" x14ac:dyDescent="0.2">
      <c r="A74" s="494"/>
      <c r="B74" s="495"/>
      <c r="C74" s="222"/>
      <c r="D74" s="257"/>
      <c r="E74" s="516"/>
      <c r="F74" s="501"/>
      <c r="G74" s="217"/>
    </row>
    <row r="75" spans="1:7" x14ac:dyDescent="0.2">
      <c r="A75" s="494"/>
      <c r="B75" s="512"/>
      <c r="C75" s="222"/>
      <c r="D75" s="257"/>
      <c r="E75" s="513"/>
      <c r="F75" s="517"/>
      <c r="G75" s="217"/>
    </row>
    <row r="76" spans="1:7" x14ac:dyDescent="0.2">
      <c r="A76" s="494"/>
      <c r="B76" s="505"/>
      <c r="C76" s="222"/>
      <c r="D76" s="518"/>
      <c r="E76" s="513"/>
      <c r="F76" s="517"/>
      <c r="G76" s="217"/>
    </row>
    <row r="77" spans="1:7" x14ac:dyDescent="0.2">
      <c r="A77" s="494"/>
      <c r="B77" s="505"/>
      <c r="C77" s="222"/>
      <c r="D77" s="257"/>
      <c r="E77" s="513"/>
      <c r="F77" s="517"/>
      <c r="G77" s="217"/>
    </row>
    <row r="78" spans="1:7" x14ac:dyDescent="0.2">
      <c r="A78" s="494"/>
      <c r="B78" s="495"/>
      <c r="C78" s="222"/>
      <c r="D78" s="257"/>
      <c r="E78" s="513"/>
      <c r="F78" s="517"/>
      <c r="G78" s="217"/>
    </row>
    <row r="79" spans="1:7" x14ac:dyDescent="0.2">
      <c r="A79" s="494"/>
      <c r="B79" s="495"/>
      <c r="C79" s="222"/>
      <c r="D79" s="251"/>
      <c r="E79" s="513"/>
      <c r="F79" s="517"/>
      <c r="G79" s="217"/>
    </row>
    <row r="80" spans="1:7" x14ac:dyDescent="0.2">
      <c r="A80" s="494"/>
      <c r="B80" s="495"/>
      <c r="C80" s="222"/>
      <c r="D80" s="251"/>
      <c r="E80" s="513"/>
      <c r="F80" s="517"/>
      <c r="G80" s="217"/>
    </row>
    <row r="81" spans="1:7" x14ac:dyDescent="0.2">
      <c r="A81" s="494"/>
      <c r="B81" s="495"/>
      <c r="C81" s="222"/>
      <c r="D81" s="519"/>
      <c r="E81" s="513"/>
      <c r="F81" s="517"/>
      <c r="G81" s="217"/>
    </row>
    <row r="82" spans="1:7" x14ac:dyDescent="0.2">
      <c r="A82" s="494"/>
      <c r="B82" s="495"/>
      <c r="C82" s="222"/>
      <c r="D82" s="519"/>
      <c r="E82" s="513"/>
      <c r="F82" s="517"/>
      <c r="G82" s="217"/>
    </row>
    <row r="83" spans="1:7" x14ac:dyDescent="0.2">
      <c r="A83" s="494"/>
      <c r="B83" s="495"/>
      <c r="C83" s="222"/>
      <c r="D83" s="519"/>
      <c r="E83" s="513"/>
      <c r="F83" s="517"/>
      <c r="G83" s="217"/>
    </row>
    <row r="84" spans="1:7" x14ac:dyDescent="0.2">
      <c r="A84" s="494"/>
      <c r="B84" s="495"/>
      <c r="C84" s="222"/>
      <c r="D84" s="257"/>
      <c r="E84" s="513"/>
      <c r="F84" s="517"/>
      <c r="G84" s="217"/>
    </row>
    <row r="85" spans="1:7" x14ac:dyDescent="0.2">
      <c r="A85" s="494"/>
      <c r="B85" s="495"/>
      <c r="C85" s="222"/>
      <c r="D85" s="520"/>
      <c r="E85" s="513"/>
      <c r="F85" s="517"/>
      <c r="G85" s="217"/>
    </row>
    <row r="86" spans="1:7" x14ac:dyDescent="0.2">
      <c r="A86" s="494"/>
      <c r="B86" s="495"/>
      <c r="C86" s="222"/>
      <c r="D86" s="521"/>
      <c r="E86" s="500"/>
      <c r="F86" s="501"/>
      <c r="G86" s="217"/>
    </row>
    <row r="87" spans="1:7" x14ac:dyDescent="0.2">
      <c r="A87" s="494"/>
      <c r="B87" s="495"/>
      <c r="C87" s="222"/>
      <c r="D87" s="251"/>
      <c r="E87" s="516"/>
      <c r="F87" s="501"/>
      <c r="G87" s="217"/>
    </row>
    <row r="88" spans="1:7" x14ac:dyDescent="0.2">
      <c r="A88" s="494"/>
      <c r="B88" s="495"/>
      <c r="C88" s="222"/>
      <c r="D88" s="251"/>
      <c r="E88" s="516"/>
      <c r="F88" s="501"/>
      <c r="G88" s="217"/>
    </row>
    <row r="89" spans="1:7" x14ac:dyDescent="0.2">
      <c r="A89" s="494"/>
      <c r="B89" s="495"/>
      <c r="C89" s="222"/>
      <c r="D89" s="251"/>
      <c r="E89" s="516"/>
      <c r="F89" s="501"/>
      <c r="G89" s="217"/>
    </row>
    <row r="90" spans="1:7" x14ac:dyDescent="0.2">
      <c r="A90" s="494"/>
      <c r="B90" s="495"/>
      <c r="C90" s="222"/>
      <c r="D90" s="251"/>
      <c r="E90" s="506"/>
      <c r="F90" s="501"/>
      <c r="G90" s="217"/>
    </row>
    <row r="91" spans="1:7" x14ac:dyDescent="0.2">
      <c r="A91" s="494"/>
      <c r="B91" s="495"/>
      <c r="C91" s="221"/>
      <c r="D91" s="257"/>
      <c r="E91" s="522"/>
      <c r="F91" s="523"/>
      <c r="G91" s="217"/>
    </row>
    <row r="92" spans="1:7" x14ac:dyDescent="0.2">
      <c r="A92" s="494"/>
      <c r="B92" s="495"/>
      <c r="C92" s="222"/>
      <c r="D92" s="524"/>
      <c r="E92" s="500"/>
      <c r="F92" s="504"/>
      <c r="G92" s="217"/>
    </row>
    <row r="93" spans="1:7" x14ac:dyDescent="0.2">
      <c r="A93" s="494"/>
      <c r="B93" s="495"/>
      <c r="C93" s="222"/>
      <c r="D93" s="510"/>
      <c r="E93" s="500"/>
      <c r="F93" s="504"/>
      <c r="G93" s="217"/>
    </row>
    <row r="94" spans="1:7" ht="13.5" thickBot="1" x14ac:dyDescent="0.25">
      <c r="A94" s="525"/>
      <c r="B94" s="526"/>
      <c r="C94" s="527"/>
      <c r="D94" s="527"/>
      <c r="E94" s="526"/>
      <c r="F94" s="528" t="s">
        <v>15</v>
      </c>
      <c r="G94" s="529">
        <f>SUM(G60:G93)</f>
        <v>31855</v>
      </c>
    </row>
    <row r="95" spans="1:7" ht="13.5" thickTop="1" x14ac:dyDescent="0.2">
      <c r="A95" s="936" t="s">
        <v>2760</v>
      </c>
      <c r="B95" s="937"/>
      <c r="C95" s="937"/>
      <c r="D95" s="937"/>
      <c r="E95" s="937"/>
      <c r="F95" s="937"/>
      <c r="G95" s="938"/>
    </row>
    <row r="96" spans="1:7" ht="13.5" thickBot="1" x14ac:dyDescent="0.25">
      <c r="A96" s="530"/>
      <c r="B96" s="531" t="s">
        <v>8</v>
      </c>
      <c r="C96" s="531" t="s">
        <v>8</v>
      </c>
      <c r="D96" s="532"/>
      <c r="E96" s="531"/>
      <c r="F96" s="533"/>
      <c r="G96" s="534"/>
    </row>
    <row r="97" spans="1:7" ht="13.5" thickTop="1" x14ac:dyDescent="0.2">
      <c r="A97" s="939"/>
      <c r="B97" s="940"/>
      <c r="C97" s="940"/>
      <c r="D97" s="535" t="s">
        <v>11</v>
      </c>
      <c r="E97" s="941" t="s">
        <v>12</v>
      </c>
      <c r="F97" s="941"/>
      <c r="G97" s="942"/>
    </row>
    <row r="98" spans="1:7" x14ac:dyDescent="0.2">
      <c r="A98" s="943" t="s">
        <v>17</v>
      </c>
      <c r="B98" s="944"/>
      <c r="C98" s="944"/>
      <c r="D98" s="536"/>
      <c r="E98" s="945"/>
      <c r="F98" s="946"/>
      <c r="G98" s="947"/>
    </row>
    <row r="99" spans="1:7" x14ac:dyDescent="0.2">
      <c r="A99" s="943" t="s">
        <v>38</v>
      </c>
      <c r="B99" s="944"/>
      <c r="C99" s="944"/>
      <c r="D99" s="537" t="s">
        <v>307</v>
      </c>
      <c r="E99" s="959" t="s">
        <v>142</v>
      </c>
      <c r="F99" s="959"/>
      <c r="G99" s="960"/>
    </row>
    <row r="100" spans="1:7" ht="13.5" thickBot="1" x14ac:dyDescent="0.25">
      <c r="A100" s="929" t="s">
        <v>39</v>
      </c>
      <c r="B100" s="930"/>
      <c r="C100" s="930"/>
      <c r="D100" s="538" t="s">
        <v>44</v>
      </c>
      <c r="E100" s="932" t="s">
        <v>0</v>
      </c>
      <c r="F100" s="932"/>
      <c r="G100" s="933"/>
    </row>
    <row r="101" spans="1:7" ht="16.5" x14ac:dyDescent="0.25">
      <c r="A101" s="885" t="s">
        <v>29</v>
      </c>
      <c r="B101" s="886"/>
      <c r="C101" s="886"/>
      <c r="D101" s="886"/>
      <c r="E101" s="886"/>
      <c r="F101" s="886"/>
      <c r="G101" s="887"/>
    </row>
    <row r="102" spans="1:7" x14ac:dyDescent="0.2">
      <c r="A102" s="888" t="s">
        <v>48</v>
      </c>
      <c r="B102" s="889"/>
      <c r="C102" s="889"/>
      <c r="D102" s="889"/>
      <c r="E102" s="889"/>
      <c r="F102" s="889"/>
      <c r="G102" s="890"/>
    </row>
    <row r="103" spans="1:7" x14ac:dyDescent="0.2">
      <c r="A103" s="891" t="s">
        <v>49</v>
      </c>
      <c r="B103" s="892"/>
      <c r="C103" s="892"/>
      <c r="D103" s="892"/>
      <c r="E103" s="892"/>
      <c r="F103" s="892"/>
      <c r="G103" s="893"/>
    </row>
    <row r="104" spans="1:7" x14ac:dyDescent="0.2">
      <c r="A104" s="387"/>
      <c r="B104" s="388"/>
      <c r="C104" s="389"/>
      <c r="D104" s="390"/>
      <c r="E104" s="388"/>
      <c r="F104" s="391"/>
      <c r="G104" s="392" t="s">
        <v>20</v>
      </c>
    </row>
    <row r="105" spans="1:7" x14ac:dyDescent="0.2">
      <c r="A105" s="393" t="s">
        <v>59</v>
      </c>
      <c r="B105" s="394"/>
      <c r="C105" s="14" t="s">
        <v>21</v>
      </c>
      <c r="D105" s="394"/>
      <c r="E105" s="362" t="s">
        <v>2218</v>
      </c>
      <c r="F105" s="395"/>
      <c r="G105" s="363" t="s">
        <v>2162</v>
      </c>
    </row>
    <row r="106" spans="1:7" x14ac:dyDescent="0.2">
      <c r="A106" s="361" t="s">
        <v>8</v>
      </c>
      <c r="B106" s="396"/>
      <c r="C106" s="19"/>
      <c r="D106" s="386"/>
      <c r="E106" s="894"/>
      <c r="F106" s="895"/>
      <c r="G106" s="397"/>
    </row>
    <row r="107" spans="1:7" x14ac:dyDescent="0.2">
      <c r="A107" s="373" t="s">
        <v>37</v>
      </c>
      <c r="B107" s="377"/>
      <c r="C107" s="377"/>
      <c r="D107" s="377"/>
      <c r="E107" s="398" t="s">
        <v>46</v>
      </c>
      <c r="F107" s="399"/>
      <c r="G107" s="397" t="s">
        <v>50</v>
      </c>
    </row>
    <row r="108" spans="1:7" x14ac:dyDescent="0.2">
      <c r="A108" s="387"/>
      <c r="B108" s="388"/>
      <c r="C108" s="389"/>
      <c r="D108" s="389"/>
      <c r="E108" s="896"/>
      <c r="F108" s="897"/>
      <c r="G108" s="400"/>
    </row>
    <row r="109" spans="1:7" ht="26.25" thickBot="1" x14ac:dyDescent="0.25">
      <c r="A109" s="207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364">
        <v>1</v>
      </c>
      <c r="B110" s="401"/>
      <c r="C110" s="371" t="s">
        <v>243</v>
      </c>
      <c r="D110" s="370" t="s">
        <v>1639</v>
      </c>
      <c r="E110" s="407">
        <v>1</v>
      </c>
      <c r="F110" s="403">
        <v>11750</v>
      </c>
      <c r="G110" s="372">
        <f>F110*E110</f>
        <v>11750</v>
      </c>
    </row>
    <row r="111" spans="1:7" x14ac:dyDescent="0.2">
      <c r="A111" s="364"/>
      <c r="B111" s="401"/>
      <c r="C111" s="371"/>
      <c r="D111" s="370"/>
      <c r="E111" s="407"/>
      <c r="F111" s="406"/>
      <c r="G111" s="372"/>
    </row>
    <row r="112" spans="1:7" x14ac:dyDescent="0.2">
      <c r="A112" s="364"/>
      <c r="B112" s="401"/>
      <c r="C112" s="371"/>
      <c r="D112" s="370"/>
      <c r="E112" s="407"/>
      <c r="F112" s="406"/>
      <c r="G112" s="372"/>
    </row>
    <row r="113" spans="1:7" x14ac:dyDescent="0.2">
      <c r="A113" s="364"/>
      <c r="B113" s="401"/>
      <c r="C113" s="371"/>
      <c r="D113" s="370"/>
      <c r="E113" s="407"/>
      <c r="F113" s="403"/>
      <c r="G113" s="372"/>
    </row>
    <row r="114" spans="1:7" x14ac:dyDescent="0.2">
      <c r="A114" s="364"/>
      <c r="B114" s="408"/>
      <c r="C114" s="371"/>
      <c r="D114" s="376"/>
      <c r="E114" s="409"/>
      <c r="F114" s="403"/>
      <c r="G114" s="372"/>
    </row>
    <row r="115" spans="1:7" x14ac:dyDescent="0.2">
      <c r="A115" s="364"/>
      <c r="B115" s="408"/>
      <c r="C115" s="371"/>
      <c r="D115" s="376"/>
      <c r="E115" s="409"/>
      <c r="F115" s="403"/>
      <c r="G115" s="372"/>
    </row>
    <row r="116" spans="1:7" x14ac:dyDescent="0.2">
      <c r="A116" s="364"/>
      <c r="B116" s="410"/>
      <c r="C116" s="385"/>
      <c r="D116" s="376"/>
      <c r="E116" s="407"/>
      <c r="F116" s="411"/>
      <c r="G116" s="372"/>
    </row>
    <row r="117" spans="1:7" x14ac:dyDescent="0.2">
      <c r="A117" s="364"/>
      <c r="B117" s="410"/>
      <c r="C117" s="385"/>
      <c r="D117" s="383"/>
      <c r="E117" s="407"/>
      <c r="F117" s="411"/>
      <c r="G117" s="372"/>
    </row>
    <row r="118" spans="1:7" x14ac:dyDescent="0.2">
      <c r="A118" s="364"/>
      <c r="B118" s="401"/>
      <c r="C118" s="371"/>
      <c r="D118" s="383"/>
      <c r="E118" s="412"/>
      <c r="F118" s="403"/>
      <c r="G118" s="372"/>
    </row>
    <row r="119" spans="1:7" x14ac:dyDescent="0.2">
      <c r="A119" s="364"/>
      <c r="B119" s="413"/>
      <c r="C119" s="371"/>
      <c r="D119" s="376"/>
      <c r="E119" s="414"/>
      <c r="F119" s="403"/>
      <c r="G119" s="372"/>
    </row>
    <row r="120" spans="1:7" x14ac:dyDescent="0.2">
      <c r="A120" s="364"/>
      <c r="B120" s="408"/>
      <c r="C120" s="371"/>
      <c r="D120" s="376"/>
      <c r="E120" s="407"/>
      <c r="F120" s="415"/>
      <c r="G120" s="372"/>
    </row>
    <row r="121" spans="1:7" x14ac:dyDescent="0.2">
      <c r="A121" s="364"/>
      <c r="B121" s="416"/>
      <c r="C121" s="371"/>
      <c r="D121" s="376"/>
      <c r="E121" s="417"/>
      <c r="F121" s="403"/>
      <c r="G121" s="372"/>
    </row>
    <row r="122" spans="1:7" x14ac:dyDescent="0.2">
      <c r="A122" s="364"/>
      <c r="B122" s="416"/>
      <c r="C122" s="371"/>
      <c r="D122" s="384"/>
      <c r="E122" s="417"/>
      <c r="F122" s="403"/>
      <c r="G122" s="372"/>
    </row>
    <row r="123" spans="1:7" x14ac:dyDescent="0.2">
      <c r="A123" s="364"/>
      <c r="B123" s="401"/>
      <c r="C123" s="371"/>
      <c r="D123" s="384"/>
      <c r="E123" s="407"/>
      <c r="F123" s="403"/>
      <c r="G123" s="372"/>
    </row>
    <row r="124" spans="1:7" x14ac:dyDescent="0.2">
      <c r="A124" s="364"/>
      <c r="B124" s="401"/>
      <c r="C124" s="371"/>
      <c r="D124" s="384"/>
      <c r="E124" s="417"/>
      <c r="F124" s="403"/>
      <c r="G124" s="372"/>
    </row>
    <row r="125" spans="1:7" x14ac:dyDescent="0.2">
      <c r="A125" s="364"/>
      <c r="B125" s="413"/>
      <c r="C125" s="371"/>
      <c r="D125" s="384" t="s">
        <v>152</v>
      </c>
      <c r="E125" s="414"/>
      <c r="F125" s="418"/>
      <c r="G125" s="372"/>
    </row>
    <row r="126" spans="1:7" x14ac:dyDescent="0.2">
      <c r="A126" s="364"/>
      <c r="B126" s="408"/>
      <c r="C126" s="371"/>
      <c r="D126" s="419"/>
      <c r="E126" s="414"/>
      <c r="F126" s="418"/>
      <c r="G126" s="372"/>
    </row>
    <row r="127" spans="1:7" x14ac:dyDescent="0.2">
      <c r="A127" s="364"/>
      <c r="B127" s="408"/>
      <c r="C127" s="371"/>
      <c r="D127" s="384"/>
      <c r="E127" s="414"/>
      <c r="F127" s="418"/>
      <c r="G127" s="372"/>
    </row>
    <row r="128" spans="1:7" x14ac:dyDescent="0.2">
      <c r="A128" s="364"/>
      <c r="B128" s="401"/>
      <c r="C128" s="371"/>
      <c r="D128" s="384"/>
      <c r="E128" s="414"/>
      <c r="F128" s="418"/>
      <c r="G128" s="372"/>
    </row>
    <row r="129" spans="1:7" x14ac:dyDescent="0.2">
      <c r="A129" s="364"/>
      <c r="B129" s="401"/>
      <c r="C129" s="371"/>
      <c r="D129" s="376"/>
      <c r="E129" s="414"/>
      <c r="F129" s="418"/>
      <c r="G129" s="372"/>
    </row>
    <row r="130" spans="1:7" x14ac:dyDescent="0.2">
      <c r="A130" s="364"/>
      <c r="B130" s="401"/>
      <c r="C130" s="371"/>
      <c r="D130" s="376"/>
      <c r="E130" s="414"/>
      <c r="F130" s="418"/>
      <c r="G130" s="372"/>
    </row>
    <row r="131" spans="1:7" x14ac:dyDescent="0.2">
      <c r="A131" s="364"/>
      <c r="B131" s="401"/>
      <c r="C131" s="371"/>
      <c r="D131" s="420"/>
      <c r="E131" s="414"/>
      <c r="F131" s="418"/>
      <c r="G131" s="372"/>
    </row>
    <row r="132" spans="1:7" x14ac:dyDescent="0.2">
      <c r="A132" s="364"/>
      <c r="B132" s="401"/>
      <c r="C132" s="371"/>
      <c r="D132" s="420"/>
      <c r="E132" s="414"/>
      <c r="F132" s="418"/>
      <c r="G132" s="372"/>
    </row>
    <row r="133" spans="1:7" x14ac:dyDescent="0.2">
      <c r="A133" s="364"/>
      <c r="B133" s="401"/>
      <c r="C133" s="371"/>
      <c r="D133" s="420"/>
      <c r="E133" s="414"/>
      <c r="F133" s="418"/>
      <c r="G133" s="372"/>
    </row>
    <row r="134" spans="1:7" x14ac:dyDescent="0.2">
      <c r="A134" s="364"/>
      <c r="B134" s="401"/>
      <c r="C134" s="371"/>
      <c r="D134" s="384"/>
      <c r="E134" s="414"/>
      <c r="F134" s="418"/>
      <c r="G134" s="372"/>
    </row>
    <row r="135" spans="1:7" x14ac:dyDescent="0.2">
      <c r="A135" s="364"/>
      <c r="B135" s="401"/>
      <c r="C135" s="371"/>
      <c r="D135" s="421"/>
      <c r="E135" s="414"/>
      <c r="F135" s="418"/>
      <c r="G135" s="372"/>
    </row>
    <row r="136" spans="1:7" x14ac:dyDescent="0.2">
      <c r="A136" s="364"/>
      <c r="B136" s="401"/>
      <c r="C136" s="371"/>
      <c r="D136" s="160"/>
      <c r="E136" s="407"/>
      <c r="F136" s="403"/>
      <c r="G136" s="372"/>
    </row>
    <row r="137" spans="1:7" x14ac:dyDescent="0.2">
      <c r="A137" s="364"/>
      <c r="B137" s="401"/>
      <c r="C137" s="371"/>
      <c r="D137" s="376"/>
      <c r="E137" s="417"/>
      <c r="F137" s="403"/>
      <c r="G137" s="372"/>
    </row>
    <row r="138" spans="1:7" x14ac:dyDescent="0.2">
      <c r="A138" s="364"/>
      <c r="B138" s="401"/>
      <c r="C138" s="371"/>
      <c r="D138" s="376"/>
      <c r="E138" s="417"/>
      <c r="F138" s="403"/>
      <c r="G138" s="372"/>
    </row>
    <row r="139" spans="1:7" x14ac:dyDescent="0.2">
      <c r="A139" s="364"/>
      <c r="B139" s="401"/>
      <c r="C139" s="371"/>
      <c r="D139" s="376"/>
      <c r="E139" s="417"/>
      <c r="F139" s="403"/>
      <c r="G139" s="372"/>
    </row>
    <row r="140" spans="1:7" x14ac:dyDescent="0.2">
      <c r="A140" s="364"/>
      <c r="B140" s="401"/>
      <c r="C140" s="371"/>
      <c r="D140" s="376" t="s">
        <v>152</v>
      </c>
      <c r="E140" s="409"/>
      <c r="F140" s="403"/>
      <c r="G140" s="372"/>
    </row>
    <row r="141" spans="1:7" x14ac:dyDescent="0.2">
      <c r="A141" s="364"/>
      <c r="B141" s="401"/>
      <c r="C141" s="422"/>
      <c r="D141" s="384"/>
      <c r="E141" s="423"/>
      <c r="F141" s="424"/>
      <c r="G141" s="372"/>
    </row>
    <row r="142" spans="1:7" x14ac:dyDescent="0.2">
      <c r="A142" s="364"/>
      <c r="B142" s="401"/>
      <c r="C142" s="371"/>
      <c r="D142" s="425"/>
      <c r="E142" s="407"/>
      <c r="F142" s="406"/>
      <c r="G142" s="372"/>
    </row>
    <row r="143" spans="1:7" x14ac:dyDescent="0.2">
      <c r="A143" s="364"/>
      <c r="B143" s="401"/>
      <c r="C143" s="371"/>
      <c r="D143" s="383"/>
      <c r="E143" s="407"/>
      <c r="F143" s="406"/>
      <c r="G143" s="372"/>
    </row>
    <row r="144" spans="1:7" ht="13.5" thickBot="1" x14ac:dyDescent="0.25">
      <c r="A144" s="426"/>
      <c r="B144" s="427"/>
      <c r="C144" s="428"/>
      <c r="D144" s="428"/>
      <c r="E144" s="427"/>
      <c r="F144" s="49" t="s">
        <v>15</v>
      </c>
      <c r="G144" s="50">
        <f>SUM(G110:G143)</f>
        <v>11750</v>
      </c>
    </row>
    <row r="145" spans="1:7" ht="13.5" thickTop="1" x14ac:dyDescent="0.2">
      <c r="A145" s="875" t="s">
        <v>901</v>
      </c>
      <c r="B145" s="876"/>
      <c r="C145" s="876"/>
      <c r="D145" s="876"/>
      <c r="E145" s="876"/>
      <c r="F145" s="876"/>
      <c r="G145" s="877"/>
    </row>
    <row r="146" spans="1:7" ht="13.5" thickBot="1" x14ac:dyDescent="0.25">
      <c r="A146" s="378"/>
      <c r="B146" s="374" t="s">
        <v>8</v>
      </c>
      <c r="C146" s="374" t="s">
        <v>8</v>
      </c>
      <c r="D146" s="379"/>
      <c r="E146" s="374"/>
      <c r="F146" s="380"/>
      <c r="G146" s="381"/>
    </row>
    <row r="147" spans="1:7" ht="13.5" thickTop="1" x14ac:dyDescent="0.2">
      <c r="A147" s="878"/>
      <c r="B147" s="879"/>
      <c r="C147" s="879"/>
      <c r="D147" s="433" t="s">
        <v>11</v>
      </c>
      <c r="E147" s="880" t="s">
        <v>12</v>
      </c>
      <c r="F147" s="880"/>
      <c r="G147" s="881"/>
    </row>
    <row r="148" spans="1:7" x14ac:dyDescent="0.2">
      <c r="A148" s="866" t="s">
        <v>17</v>
      </c>
      <c r="B148" s="867"/>
      <c r="C148" s="867"/>
      <c r="D148" s="434"/>
      <c r="E148" s="882"/>
      <c r="F148" s="883"/>
      <c r="G148" s="884"/>
    </row>
    <row r="149" spans="1:7" x14ac:dyDescent="0.2">
      <c r="A149" s="866" t="s">
        <v>38</v>
      </c>
      <c r="B149" s="867"/>
      <c r="C149" s="867"/>
      <c r="D149" s="58" t="s">
        <v>307</v>
      </c>
      <c r="E149" s="868" t="s">
        <v>142</v>
      </c>
      <c r="F149" s="868"/>
      <c r="G149" s="869"/>
    </row>
    <row r="150" spans="1:7" ht="13.5" thickBot="1" x14ac:dyDescent="0.25">
      <c r="A150" s="870" t="s">
        <v>39</v>
      </c>
      <c r="B150" s="871"/>
      <c r="C150" s="871"/>
      <c r="D150" s="375" t="s">
        <v>44</v>
      </c>
      <c r="E150" s="873" t="s">
        <v>0</v>
      </c>
      <c r="F150" s="873"/>
      <c r="G150" s="874"/>
    </row>
  </sheetData>
  <mergeCells count="42"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01:G101"/>
    <mergeCell ref="A102:G102"/>
    <mergeCell ref="A103:G103"/>
    <mergeCell ref="E106:F106"/>
    <mergeCell ref="E108:F108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A3CC4"/>
  </sheetPr>
  <dimension ref="A1:H46"/>
  <sheetViews>
    <sheetView topLeftCell="A23" zoomScale="115" zoomScaleNormal="115" workbookViewId="0">
      <selection activeCell="I44" sqref="I4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24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139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126"/>
      <c r="E45" s="868" t="s">
        <v>142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59"/>
      <c r="E46" s="904" t="s">
        <v>0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A3CC4"/>
  </sheetPr>
  <dimension ref="A1:O144"/>
  <sheetViews>
    <sheetView topLeftCell="A73" zoomScale="115" zoomScaleNormal="115" workbookViewId="0">
      <selection activeCell="D107" sqref="D10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5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5" x14ac:dyDescent="0.2">
      <c r="A2" s="888" t="s">
        <v>48</v>
      </c>
      <c r="B2" s="889"/>
      <c r="C2" s="889"/>
      <c r="D2" s="889"/>
      <c r="E2" s="889"/>
      <c r="F2" s="889"/>
      <c r="G2" s="890"/>
    </row>
    <row r="3" spans="1:15" x14ac:dyDescent="0.2">
      <c r="A3" s="915" t="s">
        <v>49</v>
      </c>
      <c r="B3" s="916"/>
      <c r="C3" s="916"/>
      <c r="D3" s="916"/>
      <c r="E3" s="916"/>
      <c r="F3" s="916"/>
      <c r="G3" s="917"/>
    </row>
    <row r="4" spans="1:15" x14ac:dyDescent="0.2">
      <c r="A4" s="6"/>
      <c r="B4" s="99"/>
      <c r="C4" s="8"/>
      <c r="D4" s="9"/>
      <c r="E4" s="99"/>
      <c r="F4" s="10"/>
      <c r="G4" s="11" t="s">
        <v>20</v>
      </c>
    </row>
    <row r="5" spans="1:15" x14ac:dyDescent="0.2">
      <c r="A5" s="12" t="s">
        <v>1</v>
      </c>
      <c r="B5" s="13"/>
      <c r="C5" s="14" t="s">
        <v>30</v>
      </c>
      <c r="D5" s="13"/>
      <c r="E5" s="241" t="s">
        <v>1053</v>
      </c>
      <c r="F5" s="342"/>
      <c r="G5" s="242" t="s">
        <v>1042</v>
      </c>
      <c r="I5" s="275"/>
      <c r="K5" s="272"/>
      <c r="L5" s="273"/>
      <c r="M5" s="274"/>
      <c r="N5" s="1"/>
      <c r="O5" s="275"/>
    </row>
    <row r="6" spans="1:15" x14ac:dyDescent="0.2">
      <c r="A6" s="17" t="s">
        <v>8</v>
      </c>
      <c r="B6" s="100"/>
      <c r="C6" s="19"/>
      <c r="D6" s="4"/>
      <c r="E6" s="918"/>
      <c r="F6" s="919"/>
      <c r="G6" s="20"/>
    </row>
    <row r="7" spans="1:15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5" x14ac:dyDescent="0.2">
      <c r="A8" s="6"/>
      <c r="B8" s="99"/>
      <c r="C8" s="8"/>
      <c r="D8" s="8"/>
      <c r="E8" s="920"/>
      <c r="F8" s="921"/>
      <c r="G8" s="25"/>
    </row>
    <row r="9" spans="1:15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5" ht="13.5" thickTop="1" x14ac:dyDescent="0.2">
      <c r="A10" s="29">
        <v>1</v>
      </c>
      <c r="B10" s="101"/>
      <c r="C10" s="371" t="s">
        <v>242</v>
      </c>
      <c r="D10" s="376" t="s">
        <v>1039</v>
      </c>
      <c r="E10" s="158">
        <v>70</v>
      </c>
      <c r="F10" s="128">
        <v>200</v>
      </c>
      <c r="G10" s="35">
        <f>F10*E10</f>
        <v>14000</v>
      </c>
    </row>
    <row r="11" spans="1:15" x14ac:dyDescent="0.2">
      <c r="A11" s="29">
        <v>2</v>
      </c>
      <c r="B11" s="101"/>
      <c r="C11" s="371" t="s">
        <v>242</v>
      </c>
      <c r="D11" s="370" t="s">
        <v>306</v>
      </c>
      <c r="E11" s="108">
        <v>70</v>
      </c>
      <c r="F11" s="128">
        <v>600</v>
      </c>
      <c r="G11" s="35">
        <f>F11*E11</f>
        <v>42000</v>
      </c>
    </row>
    <row r="12" spans="1:15" x14ac:dyDescent="0.2">
      <c r="A12" s="29">
        <v>3</v>
      </c>
      <c r="B12" s="101"/>
      <c r="C12" s="371" t="s">
        <v>242</v>
      </c>
      <c r="D12" s="370" t="s">
        <v>310</v>
      </c>
      <c r="E12" s="108">
        <v>70</v>
      </c>
      <c r="F12" s="149">
        <v>200</v>
      </c>
      <c r="G12" s="35">
        <f>F12*E12</f>
        <v>14000</v>
      </c>
    </row>
    <row r="13" spans="1:15" x14ac:dyDescent="0.2">
      <c r="A13" s="29"/>
      <c r="B13" s="101"/>
      <c r="C13" s="41"/>
      <c r="D13" s="129"/>
      <c r="E13" s="108"/>
      <c r="F13" s="128"/>
      <c r="G13" s="35"/>
    </row>
    <row r="14" spans="1:15" x14ac:dyDescent="0.2">
      <c r="A14" s="29"/>
      <c r="B14" s="105"/>
      <c r="C14" s="41"/>
      <c r="D14" s="136"/>
      <c r="E14" s="102"/>
      <c r="F14" s="128"/>
      <c r="G14" s="35"/>
    </row>
    <row r="15" spans="1:15" x14ac:dyDescent="0.2">
      <c r="A15" s="29"/>
      <c r="B15" s="105"/>
      <c r="C15" s="41"/>
      <c r="D15" s="136"/>
      <c r="E15" s="102"/>
      <c r="F15" s="128"/>
      <c r="G15" s="35"/>
    </row>
    <row r="16" spans="1:15" x14ac:dyDescent="0.2">
      <c r="A16" s="29"/>
      <c r="B16" s="151"/>
      <c r="C16" s="119"/>
      <c r="D16" s="136"/>
      <c r="E16" s="108"/>
      <c r="F16" s="150"/>
      <c r="G16" s="35"/>
    </row>
    <row r="17" spans="1:11" x14ac:dyDescent="0.2">
      <c r="A17" s="29"/>
      <c r="B17" s="151"/>
      <c r="C17" s="119"/>
      <c r="D17" s="144" t="s">
        <v>8</v>
      </c>
      <c r="E17" s="108"/>
      <c r="F17" s="150"/>
      <c r="G17" s="35"/>
    </row>
    <row r="18" spans="1:11" x14ac:dyDescent="0.2">
      <c r="A18" s="29"/>
      <c r="B18" s="101"/>
      <c r="C18" s="41"/>
      <c r="D18" s="144"/>
      <c r="E18" s="155"/>
      <c r="F18" s="128"/>
      <c r="G18" s="35"/>
    </row>
    <row r="19" spans="1:11" x14ac:dyDescent="0.2">
      <c r="A19" s="29"/>
      <c r="B19" s="106"/>
      <c r="C19" s="41"/>
      <c r="D19" s="136"/>
      <c r="E19" s="104"/>
      <c r="F19" s="128"/>
      <c r="G19" s="35"/>
    </row>
    <row r="20" spans="1:11" x14ac:dyDescent="0.2">
      <c r="A20" s="29"/>
      <c r="B20" s="105"/>
      <c r="C20" s="41"/>
      <c r="D20" s="136"/>
      <c r="E20" s="108"/>
      <c r="F20" s="152"/>
      <c r="G20" s="35"/>
    </row>
    <row r="21" spans="1:11" x14ac:dyDescent="0.2">
      <c r="A21" s="29"/>
      <c r="B21" s="107"/>
      <c r="C21" s="41"/>
      <c r="D21" s="136"/>
      <c r="E21" s="153"/>
      <c r="F21" s="128"/>
      <c r="G21" s="35"/>
    </row>
    <row r="22" spans="1:11" x14ac:dyDescent="0.2">
      <c r="A22" s="29"/>
      <c r="B22" s="107"/>
      <c r="C22" s="41"/>
      <c r="D22" s="67"/>
      <c r="E22" s="153"/>
      <c r="F22" s="128"/>
      <c r="G22" s="35"/>
    </row>
    <row r="23" spans="1:11" x14ac:dyDescent="0.2">
      <c r="A23" s="29"/>
      <c r="B23" s="101"/>
      <c r="C23" s="41"/>
      <c r="D23" s="67"/>
      <c r="E23" s="108"/>
      <c r="F23" s="128"/>
      <c r="G23" s="35"/>
    </row>
    <row r="24" spans="1:11" x14ac:dyDescent="0.2">
      <c r="A24" s="29"/>
      <c r="B24" s="101"/>
      <c r="C24" s="41"/>
      <c r="D24" s="67"/>
      <c r="E24" s="153"/>
      <c r="F24" s="128"/>
      <c r="G24" s="35"/>
    </row>
    <row r="25" spans="1:11" x14ac:dyDescent="0.2">
      <c r="A25" s="29"/>
      <c r="B25" s="106"/>
      <c r="C25" s="41"/>
      <c r="D25" s="67"/>
      <c r="E25" s="104"/>
      <c r="F25" s="154"/>
      <c r="G25" s="35"/>
    </row>
    <row r="26" spans="1:11" x14ac:dyDescent="0.2">
      <c r="A26" s="29"/>
      <c r="B26" s="105"/>
      <c r="C26" s="41"/>
      <c r="D26" s="130"/>
      <c r="E26" s="104"/>
      <c r="F26" s="154"/>
      <c r="G26" s="35"/>
    </row>
    <row r="27" spans="1:11" x14ac:dyDescent="0.2">
      <c r="A27" s="29"/>
      <c r="B27" s="105"/>
      <c r="C27" s="41"/>
      <c r="D27" s="67"/>
      <c r="E27" s="104"/>
      <c r="F27" s="154"/>
      <c r="G27" s="35"/>
      <c r="K27" s="211">
        <v>840000</v>
      </c>
    </row>
    <row r="28" spans="1:11" x14ac:dyDescent="0.2">
      <c r="A28" s="29"/>
      <c r="B28" s="101"/>
      <c r="C28" s="41"/>
      <c r="D28" s="67"/>
      <c r="E28" s="104"/>
      <c r="F28" s="154"/>
      <c r="G28" s="35"/>
    </row>
    <row r="29" spans="1:11" x14ac:dyDescent="0.2">
      <c r="A29" s="29"/>
      <c r="B29" s="101"/>
      <c r="C29" s="41"/>
      <c r="D29" s="136"/>
      <c r="E29" s="104"/>
      <c r="F29" s="154"/>
      <c r="G29" s="35"/>
    </row>
    <row r="30" spans="1:11" x14ac:dyDescent="0.2">
      <c r="A30" s="29"/>
      <c r="B30" s="101"/>
      <c r="C30" s="41"/>
      <c r="D30" s="136"/>
      <c r="E30" s="104"/>
      <c r="F30" s="154"/>
      <c r="G30" s="35"/>
      <c r="J30" s="211">
        <v>70000</v>
      </c>
      <c r="K30" s="164">
        <f>J30*12</f>
        <v>840000</v>
      </c>
    </row>
    <row r="31" spans="1:11" x14ac:dyDescent="0.2">
      <c r="A31" s="29"/>
      <c r="B31" s="101"/>
      <c r="C31" s="41"/>
      <c r="D31" s="62"/>
      <c r="E31" s="104"/>
      <c r="F31" s="154"/>
      <c r="G31" s="35"/>
    </row>
    <row r="32" spans="1:11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53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70000</v>
      </c>
    </row>
    <row r="43" spans="1:7" ht="13.5" thickTop="1" x14ac:dyDescent="0.2">
      <c r="A43" s="875" t="s">
        <v>1040</v>
      </c>
      <c r="B43" s="899"/>
      <c r="C43" s="899"/>
      <c r="D43" s="899"/>
      <c r="E43" s="899"/>
      <c r="F43" s="899"/>
      <c r="G43" s="900"/>
    </row>
    <row r="44" spans="1:7" ht="13.5" thickBot="1" x14ac:dyDescent="0.25">
      <c r="A44" s="52"/>
      <c r="B44" s="103"/>
      <c r="C44" s="374" t="s">
        <v>1041</v>
      </c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31</v>
      </c>
      <c r="E47" s="868" t="s">
        <v>142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4</v>
      </c>
      <c r="E48" s="904" t="s">
        <v>0</v>
      </c>
      <c r="F48" s="904"/>
      <c r="G48" s="905"/>
    </row>
    <row r="49" spans="1:7" ht="16.5" x14ac:dyDescent="0.25">
      <c r="A49" s="885" t="s">
        <v>29</v>
      </c>
      <c r="B49" s="886"/>
      <c r="C49" s="886"/>
      <c r="D49" s="886"/>
      <c r="E49" s="886"/>
      <c r="F49" s="886"/>
      <c r="G49" s="887"/>
    </row>
    <row r="50" spans="1:7" x14ac:dyDescent="0.2">
      <c r="A50" s="888" t="s">
        <v>48</v>
      </c>
      <c r="B50" s="889"/>
      <c r="C50" s="889"/>
      <c r="D50" s="889"/>
      <c r="E50" s="889"/>
      <c r="F50" s="889"/>
      <c r="G50" s="890"/>
    </row>
    <row r="51" spans="1:7" x14ac:dyDescent="0.2">
      <c r="A51" s="915" t="s">
        <v>49</v>
      </c>
      <c r="B51" s="916"/>
      <c r="C51" s="916"/>
      <c r="D51" s="916"/>
      <c r="E51" s="916"/>
      <c r="F51" s="916"/>
      <c r="G51" s="917"/>
    </row>
    <row r="52" spans="1:7" x14ac:dyDescent="0.2">
      <c r="A52" s="6"/>
      <c r="B52" s="99"/>
      <c r="C52" s="8"/>
      <c r="D52" s="9"/>
      <c r="E52" s="99"/>
      <c r="F52" s="10"/>
      <c r="G52" s="11" t="s">
        <v>20</v>
      </c>
    </row>
    <row r="53" spans="1:7" x14ac:dyDescent="0.2">
      <c r="A53" s="12" t="s">
        <v>1</v>
      </c>
      <c r="B53" s="13"/>
      <c r="C53" s="14" t="s">
        <v>30</v>
      </c>
      <c r="D53" s="13"/>
      <c r="E53" s="241" t="s">
        <v>1228</v>
      </c>
      <c r="F53" s="342"/>
      <c r="G53" s="242" t="s">
        <v>1219</v>
      </c>
    </row>
    <row r="54" spans="1:7" x14ac:dyDescent="0.2">
      <c r="A54" s="17" t="s">
        <v>8</v>
      </c>
      <c r="B54" s="100"/>
      <c r="C54" s="19"/>
      <c r="D54" s="4"/>
      <c r="E54" s="918"/>
      <c r="F54" s="919"/>
      <c r="G54" s="20"/>
    </row>
    <row r="55" spans="1:7" x14ac:dyDescent="0.2">
      <c r="A55" s="21" t="s">
        <v>37</v>
      </c>
      <c r="B55" s="22"/>
      <c r="C55" s="22"/>
      <c r="D55" s="22"/>
      <c r="E55" s="23" t="s">
        <v>46</v>
      </c>
      <c r="F55" s="24"/>
      <c r="G55" s="20" t="s">
        <v>50</v>
      </c>
    </row>
    <row r="56" spans="1:7" x14ac:dyDescent="0.2">
      <c r="A56" s="6"/>
      <c r="B56" s="99"/>
      <c r="C56" s="8"/>
      <c r="D56" s="8"/>
      <c r="E56" s="920"/>
      <c r="F56" s="921"/>
      <c r="G56" s="25"/>
    </row>
    <row r="57" spans="1:7" ht="26.25" thickBot="1" x14ac:dyDescent="0.25">
      <c r="A57" s="26" t="s">
        <v>47</v>
      </c>
      <c r="B57" s="26" t="s">
        <v>23</v>
      </c>
      <c r="C57" s="28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29">
        <v>1</v>
      </c>
      <c r="B58" s="101"/>
      <c r="C58" s="371" t="s">
        <v>242</v>
      </c>
      <c r="D58" s="376" t="s">
        <v>1039</v>
      </c>
      <c r="E58" s="158">
        <v>70</v>
      </c>
      <c r="F58" s="128">
        <v>200</v>
      </c>
      <c r="G58" s="35">
        <f>F58*E58</f>
        <v>14000</v>
      </c>
    </row>
    <row r="59" spans="1:7" x14ac:dyDescent="0.2">
      <c r="A59" s="29">
        <v>2</v>
      </c>
      <c r="B59" s="101"/>
      <c r="C59" s="371" t="s">
        <v>242</v>
      </c>
      <c r="D59" s="370" t="s">
        <v>1310</v>
      </c>
      <c r="E59" s="108">
        <v>70</v>
      </c>
      <c r="F59" s="128">
        <v>600</v>
      </c>
      <c r="G59" s="35">
        <f>F59*E59</f>
        <v>42000</v>
      </c>
    </row>
    <row r="60" spans="1:7" x14ac:dyDescent="0.2">
      <c r="A60" s="29">
        <v>3</v>
      </c>
      <c r="B60" s="101"/>
      <c r="C60" s="371" t="s">
        <v>242</v>
      </c>
      <c r="D60" s="370" t="s">
        <v>310</v>
      </c>
      <c r="E60" s="108">
        <v>70</v>
      </c>
      <c r="F60" s="149">
        <v>200</v>
      </c>
      <c r="G60" s="35">
        <f>F60*E60</f>
        <v>14000</v>
      </c>
    </row>
    <row r="61" spans="1:7" x14ac:dyDescent="0.2">
      <c r="A61" s="29"/>
      <c r="B61" s="101"/>
      <c r="C61" s="41"/>
      <c r="D61" s="129"/>
      <c r="E61" s="108"/>
      <c r="F61" s="128"/>
      <c r="G61" s="35"/>
    </row>
    <row r="62" spans="1:7" x14ac:dyDescent="0.2">
      <c r="A62" s="29"/>
      <c r="B62" s="105"/>
      <c r="C62" s="41"/>
      <c r="D62" s="136"/>
      <c r="E62" s="102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51"/>
      <c r="C64" s="119"/>
      <c r="D64" s="136"/>
      <c r="E64" s="108"/>
      <c r="F64" s="150"/>
      <c r="G64" s="35"/>
    </row>
    <row r="65" spans="1:7" x14ac:dyDescent="0.2">
      <c r="A65" s="29"/>
      <c r="B65" s="151"/>
      <c r="C65" s="119"/>
      <c r="D65" s="144" t="s">
        <v>8</v>
      </c>
      <c r="E65" s="108"/>
      <c r="F65" s="150"/>
      <c r="G65" s="35"/>
    </row>
    <row r="66" spans="1:7" x14ac:dyDescent="0.2">
      <c r="A66" s="29"/>
      <c r="B66" s="101"/>
      <c r="C66" s="41"/>
      <c r="D66" s="144"/>
      <c r="E66" s="155"/>
      <c r="F66" s="128"/>
      <c r="G66" s="35"/>
    </row>
    <row r="67" spans="1:7" x14ac:dyDescent="0.2">
      <c r="A67" s="29"/>
      <c r="B67" s="106"/>
      <c r="C67" s="41"/>
      <c r="D67" s="136"/>
      <c r="E67" s="104"/>
      <c r="F67" s="128"/>
      <c r="G67" s="35"/>
    </row>
    <row r="68" spans="1:7" x14ac:dyDescent="0.2">
      <c r="A68" s="29"/>
      <c r="B68" s="105"/>
      <c r="C68" s="41"/>
      <c r="D68" s="136"/>
      <c r="E68" s="108"/>
      <c r="F68" s="152"/>
      <c r="G68" s="35"/>
    </row>
    <row r="69" spans="1:7" x14ac:dyDescent="0.2">
      <c r="A69" s="29"/>
      <c r="B69" s="107"/>
      <c r="C69" s="41"/>
      <c r="D69" s="136"/>
      <c r="E69" s="153"/>
      <c r="F69" s="128"/>
      <c r="G69" s="35"/>
    </row>
    <row r="70" spans="1:7" x14ac:dyDescent="0.2">
      <c r="A70" s="29"/>
      <c r="B70" s="107"/>
      <c r="C70" s="41"/>
      <c r="D70" s="67"/>
      <c r="E70" s="153"/>
      <c r="F70" s="128"/>
      <c r="G70" s="35"/>
    </row>
    <row r="71" spans="1:7" x14ac:dyDescent="0.2">
      <c r="A71" s="29"/>
      <c r="B71" s="101"/>
      <c r="C71" s="41"/>
      <c r="D71" s="67"/>
      <c r="E71" s="108"/>
      <c r="F71" s="128"/>
      <c r="G71" s="35"/>
    </row>
    <row r="72" spans="1:7" x14ac:dyDescent="0.2">
      <c r="A72" s="29"/>
      <c r="B72" s="101"/>
      <c r="C72" s="41"/>
      <c r="D72" s="67"/>
      <c r="E72" s="153"/>
      <c r="F72" s="128"/>
      <c r="G72" s="35"/>
    </row>
    <row r="73" spans="1:7" x14ac:dyDescent="0.2">
      <c r="A73" s="29"/>
      <c r="B73" s="106"/>
      <c r="C73" s="41"/>
      <c r="D73" s="67"/>
      <c r="E73" s="104"/>
      <c r="F73" s="154"/>
      <c r="G73" s="35"/>
    </row>
    <row r="74" spans="1:7" x14ac:dyDescent="0.2">
      <c r="A74" s="29"/>
      <c r="B74" s="105"/>
      <c r="C74" s="41"/>
      <c r="D74" s="130"/>
      <c r="E74" s="104"/>
      <c r="F74" s="154"/>
      <c r="G74" s="35"/>
    </row>
    <row r="75" spans="1:7" x14ac:dyDescent="0.2">
      <c r="A75" s="29"/>
      <c r="B75" s="105"/>
      <c r="C75" s="41"/>
      <c r="D75" s="67"/>
      <c r="E75" s="104"/>
      <c r="F75" s="154"/>
      <c r="G75" s="35"/>
    </row>
    <row r="76" spans="1:7" x14ac:dyDescent="0.2">
      <c r="A76" s="29"/>
      <c r="B76" s="101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136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62"/>
      <c r="E79" s="104"/>
      <c r="F79" s="154"/>
      <c r="G79" s="35"/>
    </row>
    <row r="80" spans="1:7" x14ac:dyDescent="0.2">
      <c r="A80" s="29"/>
      <c r="B80" s="101"/>
      <c r="C80" s="41"/>
      <c r="D80" s="67"/>
      <c r="E80" s="104"/>
      <c r="F80" s="154"/>
      <c r="G80" s="35"/>
    </row>
    <row r="81" spans="1:7" x14ac:dyDescent="0.2">
      <c r="A81" s="29"/>
      <c r="B81" s="101"/>
      <c r="C81" s="41"/>
      <c r="D81" s="159"/>
      <c r="E81" s="104"/>
      <c r="F81" s="154"/>
      <c r="G81" s="35"/>
    </row>
    <row r="82" spans="1:7" x14ac:dyDescent="0.2">
      <c r="A82" s="29"/>
      <c r="B82" s="101"/>
      <c r="C82" s="41"/>
      <c r="D82" s="160"/>
      <c r="E82" s="108"/>
      <c r="F82" s="128"/>
      <c r="G82" s="35"/>
    </row>
    <row r="83" spans="1:7" x14ac:dyDescent="0.2">
      <c r="A83" s="29"/>
      <c r="B83" s="101"/>
      <c r="C83" s="41"/>
      <c r="D83" s="136"/>
      <c r="E83" s="153"/>
      <c r="F83" s="128"/>
      <c r="G83" s="35"/>
    </row>
    <row r="84" spans="1:7" x14ac:dyDescent="0.2">
      <c r="A84" s="29"/>
      <c r="B84" s="101"/>
      <c r="C84" s="41"/>
      <c r="D84" s="136"/>
      <c r="E84" s="153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02"/>
      <c r="F86" s="128"/>
      <c r="G86" s="35"/>
    </row>
    <row r="87" spans="1:7" x14ac:dyDescent="0.2">
      <c r="A87" s="29"/>
      <c r="B87" s="101"/>
      <c r="C87" s="31"/>
      <c r="D87" s="67"/>
      <c r="E87" s="131"/>
      <c r="F87" s="117"/>
      <c r="G87" s="35"/>
    </row>
    <row r="88" spans="1:7" x14ac:dyDescent="0.2">
      <c r="A88" s="29"/>
      <c r="B88" s="101"/>
      <c r="C88" s="41"/>
      <c r="D88" s="118"/>
      <c r="E88" s="108"/>
      <c r="F88" s="149"/>
      <c r="G88" s="35"/>
    </row>
    <row r="89" spans="1:7" x14ac:dyDescent="0.2">
      <c r="A89" s="29"/>
      <c r="B89" s="101"/>
      <c r="C89" s="41"/>
      <c r="D89" s="144"/>
      <c r="E89" s="108"/>
      <c r="F89" s="149"/>
      <c r="G89" s="35"/>
    </row>
    <row r="90" spans="1:7" ht="13.5" thickBot="1" x14ac:dyDescent="0.25">
      <c r="A90" s="45"/>
      <c r="B90" s="132"/>
      <c r="C90" s="115"/>
      <c r="D90" s="115"/>
      <c r="E90" s="132"/>
      <c r="F90" s="49" t="s">
        <v>15</v>
      </c>
      <c r="G90" s="50">
        <f>SUM(G58:G89)</f>
        <v>70000</v>
      </c>
    </row>
    <row r="91" spans="1:7" ht="13.5" thickTop="1" x14ac:dyDescent="0.2">
      <c r="A91" s="875" t="s">
        <v>1040</v>
      </c>
      <c r="B91" s="899"/>
      <c r="C91" s="899"/>
      <c r="D91" s="899"/>
      <c r="E91" s="899"/>
      <c r="F91" s="899"/>
      <c r="G91" s="900"/>
    </row>
    <row r="92" spans="1:7" ht="13.5" thickBot="1" x14ac:dyDescent="0.25">
      <c r="A92" s="52"/>
      <c r="B92" s="103"/>
      <c r="C92" s="374" t="s">
        <v>1151</v>
      </c>
      <c r="D92" s="54"/>
      <c r="E92" s="103"/>
      <c r="F92" s="55"/>
      <c r="G92" s="56"/>
    </row>
    <row r="93" spans="1:7" ht="13.5" thickTop="1" x14ac:dyDescent="0.2">
      <c r="A93" s="906"/>
      <c r="B93" s="907"/>
      <c r="C93" s="907"/>
      <c r="D93" s="57" t="s">
        <v>11</v>
      </c>
      <c r="E93" s="908" t="s">
        <v>12</v>
      </c>
      <c r="F93" s="908"/>
      <c r="G93" s="909"/>
    </row>
    <row r="94" spans="1:7" x14ac:dyDescent="0.2">
      <c r="A94" s="910" t="s">
        <v>17</v>
      </c>
      <c r="B94" s="911"/>
      <c r="C94" s="911"/>
      <c r="D94" s="39"/>
      <c r="E94" s="912"/>
      <c r="F94" s="913"/>
      <c r="G94" s="914"/>
    </row>
    <row r="95" spans="1:7" x14ac:dyDescent="0.2">
      <c r="A95" s="910" t="s">
        <v>38</v>
      </c>
      <c r="B95" s="911"/>
      <c r="C95" s="911"/>
      <c r="D95" s="58" t="s">
        <v>31</v>
      </c>
      <c r="E95" s="868" t="s">
        <v>142</v>
      </c>
      <c r="F95" s="868"/>
      <c r="G95" s="869"/>
    </row>
    <row r="96" spans="1:7" ht="13.5" thickBot="1" x14ac:dyDescent="0.25">
      <c r="A96" s="901" t="s">
        <v>39</v>
      </c>
      <c r="B96" s="902"/>
      <c r="C96" s="902"/>
      <c r="D96" s="59" t="s">
        <v>4</v>
      </c>
      <c r="E96" s="904" t="s">
        <v>0</v>
      </c>
      <c r="F96" s="904"/>
      <c r="G96" s="905"/>
    </row>
    <row r="97" spans="1:7" ht="16.5" x14ac:dyDescent="0.25">
      <c r="A97" s="885" t="s">
        <v>29</v>
      </c>
      <c r="B97" s="886"/>
      <c r="C97" s="886"/>
      <c r="D97" s="886"/>
      <c r="E97" s="886"/>
      <c r="F97" s="886"/>
      <c r="G97" s="887"/>
    </row>
    <row r="98" spans="1:7" x14ac:dyDescent="0.2">
      <c r="A98" s="888" t="s">
        <v>48</v>
      </c>
      <c r="B98" s="889"/>
      <c r="C98" s="889"/>
      <c r="D98" s="889"/>
      <c r="E98" s="889"/>
      <c r="F98" s="889"/>
      <c r="G98" s="890"/>
    </row>
    <row r="99" spans="1:7" x14ac:dyDescent="0.2">
      <c r="A99" s="915" t="s">
        <v>49</v>
      </c>
      <c r="B99" s="916"/>
      <c r="C99" s="916"/>
      <c r="D99" s="916"/>
      <c r="E99" s="916"/>
      <c r="F99" s="916"/>
      <c r="G99" s="917"/>
    </row>
    <row r="100" spans="1:7" x14ac:dyDescent="0.2">
      <c r="A100" s="6"/>
      <c r="B100" s="99"/>
      <c r="C100" s="8"/>
      <c r="D100" s="9"/>
      <c r="E100" s="99"/>
      <c r="F100" s="10"/>
      <c r="G100" s="11" t="s">
        <v>20</v>
      </c>
    </row>
    <row r="101" spans="1:7" x14ac:dyDescent="0.2">
      <c r="A101" s="12" t="s">
        <v>1</v>
      </c>
      <c r="B101" s="13"/>
      <c r="C101" s="14" t="s">
        <v>30</v>
      </c>
      <c r="D101" s="13"/>
      <c r="E101" s="241" t="s">
        <v>1841</v>
      </c>
      <c r="F101" s="342"/>
      <c r="G101" s="242" t="s">
        <v>1840</v>
      </c>
    </row>
    <row r="102" spans="1:7" x14ac:dyDescent="0.2">
      <c r="A102" s="17" t="s">
        <v>8</v>
      </c>
      <c r="B102" s="100"/>
      <c r="C102" s="19"/>
      <c r="D102" s="4"/>
      <c r="E102" s="918"/>
      <c r="F102" s="919"/>
      <c r="G102" s="20"/>
    </row>
    <row r="103" spans="1:7" x14ac:dyDescent="0.2">
      <c r="A103" s="21" t="s">
        <v>37</v>
      </c>
      <c r="B103" s="22"/>
      <c r="C103" s="22"/>
      <c r="D103" s="22"/>
      <c r="E103" s="23" t="s">
        <v>46</v>
      </c>
      <c r="F103" s="24"/>
      <c r="G103" s="20" t="s">
        <v>50</v>
      </c>
    </row>
    <row r="104" spans="1:7" x14ac:dyDescent="0.2">
      <c r="A104" s="6"/>
      <c r="B104" s="99"/>
      <c r="C104" s="8"/>
      <c r="D104" s="8"/>
      <c r="E104" s="920"/>
      <c r="F104" s="921"/>
      <c r="G104" s="25"/>
    </row>
    <row r="105" spans="1:7" ht="26.25" thickBot="1" x14ac:dyDescent="0.25">
      <c r="A105" s="26" t="s">
        <v>47</v>
      </c>
      <c r="B105" s="26" t="s">
        <v>23</v>
      </c>
      <c r="C105" s="28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7" ht="13.5" thickTop="1" x14ac:dyDescent="0.2">
      <c r="A106" s="29">
        <v>1</v>
      </c>
      <c r="B106" s="101"/>
      <c r="C106" s="371" t="s">
        <v>242</v>
      </c>
      <c r="D106" s="376" t="s">
        <v>1039</v>
      </c>
      <c r="E106" s="158">
        <v>70</v>
      </c>
      <c r="F106" s="128">
        <v>200</v>
      </c>
      <c r="G106" s="35">
        <f>F106*E106</f>
        <v>14000</v>
      </c>
    </row>
    <row r="107" spans="1:7" x14ac:dyDescent="0.2">
      <c r="A107" s="29">
        <v>2</v>
      </c>
      <c r="B107" s="101"/>
      <c r="C107" s="371" t="s">
        <v>242</v>
      </c>
      <c r="D107" s="370" t="s">
        <v>1310</v>
      </c>
      <c r="E107" s="108">
        <v>70</v>
      </c>
      <c r="F107" s="128">
        <v>600</v>
      </c>
      <c r="G107" s="35">
        <f>F107*E107</f>
        <v>42000</v>
      </c>
    </row>
    <row r="108" spans="1:7" x14ac:dyDescent="0.2">
      <c r="A108" s="29">
        <v>3</v>
      </c>
      <c r="B108" s="101"/>
      <c r="C108" s="371" t="s">
        <v>242</v>
      </c>
      <c r="D108" s="370" t="s">
        <v>310</v>
      </c>
      <c r="E108" s="108">
        <v>70</v>
      </c>
      <c r="F108" s="149">
        <v>200</v>
      </c>
      <c r="G108" s="35">
        <f>F108*E108</f>
        <v>14000</v>
      </c>
    </row>
    <row r="109" spans="1:7" x14ac:dyDescent="0.2">
      <c r="A109" s="29"/>
      <c r="B109" s="101"/>
      <c r="C109" s="41"/>
      <c r="D109" s="129"/>
      <c r="E109" s="108"/>
      <c r="F109" s="128"/>
      <c r="G109" s="35"/>
    </row>
    <row r="110" spans="1:7" x14ac:dyDescent="0.2">
      <c r="A110" s="29"/>
      <c r="B110" s="105"/>
      <c r="C110" s="41"/>
      <c r="D110" s="136"/>
      <c r="E110" s="102"/>
      <c r="F110" s="128"/>
      <c r="G110" s="35"/>
    </row>
    <row r="111" spans="1:7" x14ac:dyDescent="0.2">
      <c r="A111" s="29"/>
      <c r="B111" s="105"/>
      <c r="C111" s="41"/>
      <c r="D111" s="136"/>
      <c r="E111" s="102"/>
      <c r="F111" s="128"/>
      <c r="G111" s="35"/>
    </row>
    <row r="112" spans="1:7" x14ac:dyDescent="0.2">
      <c r="A112" s="29"/>
      <c r="B112" s="151"/>
      <c r="C112" s="119"/>
      <c r="D112" s="136"/>
      <c r="E112" s="108"/>
      <c r="F112" s="150"/>
      <c r="G112" s="35"/>
    </row>
    <row r="113" spans="1:7" x14ac:dyDescent="0.2">
      <c r="A113" s="29"/>
      <c r="B113" s="151"/>
      <c r="C113" s="119"/>
      <c r="D113" s="144" t="s">
        <v>8</v>
      </c>
      <c r="E113" s="108"/>
      <c r="F113" s="150"/>
      <c r="G113" s="35"/>
    </row>
    <row r="114" spans="1:7" x14ac:dyDescent="0.2">
      <c r="A114" s="29"/>
      <c r="B114" s="101"/>
      <c r="C114" s="41"/>
      <c r="D114" s="144"/>
      <c r="E114" s="155"/>
      <c r="F114" s="128"/>
      <c r="G114" s="35"/>
    </row>
    <row r="115" spans="1:7" x14ac:dyDescent="0.2">
      <c r="A115" s="29"/>
      <c r="B115" s="106"/>
      <c r="C115" s="41"/>
      <c r="D115" s="136"/>
      <c r="E115" s="104"/>
      <c r="F115" s="128"/>
      <c r="G115" s="35"/>
    </row>
    <row r="116" spans="1:7" x14ac:dyDescent="0.2">
      <c r="A116" s="29"/>
      <c r="B116" s="105"/>
      <c r="C116" s="41"/>
      <c r="D116" s="136"/>
      <c r="E116" s="108"/>
      <c r="F116" s="152"/>
      <c r="G116" s="35"/>
    </row>
    <row r="117" spans="1:7" x14ac:dyDescent="0.2">
      <c r="A117" s="29"/>
      <c r="B117" s="107"/>
      <c r="C117" s="41"/>
      <c r="D117" s="136"/>
      <c r="E117" s="153"/>
      <c r="F117" s="128"/>
      <c r="G117" s="35"/>
    </row>
    <row r="118" spans="1:7" x14ac:dyDescent="0.2">
      <c r="A118" s="29"/>
      <c r="B118" s="107"/>
      <c r="C118" s="41"/>
      <c r="D118" s="67"/>
      <c r="E118" s="153"/>
      <c r="F118" s="128"/>
      <c r="G118" s="35"/>
    </row>
    <row r="119" spans="1:7" x14ac:dyDescent="0.2">
      <c r="A119" s="29"/>
      <c r="B119" s="101"/>
      <c r="C119" s="41"/>
      <c r="D119" s="67"/>
      <c r="E119" s="108"/>
      <c r="F119" s="128"/>
      <c r="G119" s="35"/>
    </row>
    <row r="120" spans="1:7" x14ac:dyDescent="0.2">
      <c r="A120" s="29"/>
      <c r="B120" s="101"/>
      <c r="C120" s="41"/>
      <c r="D120" s="67"/>
      <c r="E120" s="153"/>
      <c r="F120" s="128"/>
      <c r="G120" s="35"/>
    </row>
    <row r="121" spans="1:7" x14ac:dyDescent="0.2">
      <c r="A121" s="29"/>
      <c r="B121" s="106"/>
      <c r="C121" s="41"/>
      <c r="D121" s="67"/>
      <c r="E121" s="104"/>
      <c r="F121" s="154"/>
      <c r="G121" s="35"/>
    </row>
    <row r="122" spans="1:7" x14ac:dyDescent="0.2">
      <c r="A122" s="29"/>
      <c r="B122" s="105"/>
      <c r="C122" s="41"/>
      <c r="D122" s="130"/>
      <c r="E122" s="104"/>
      <c r="F122" s="154"/>
      <c r="G122" s="35"/>
    </row>
    <row r="123" spans="1:7" x14ac:dyDescent="0.2">
      <c r="A123" s="29"/>
      <c r="B123" s="105"/>
      <c r="C123" s="41"/>
      <c r="D123" s="67"/>
      <c r="E123" s="104"/>
      <c r="F123" s="154"/>
      <c r="G123" s="35"/>
    </row>
    <row r="124" spans="1:7" x14ac:dyDescent="0.2">
      <c r="A124" s="29"/>
      <c r="B124" s="101"/>
      <c r="C124" s="41"/>
      <c r="D124" s="67"/>
      <c r="E124" s="104"/>
      <c r="F124" s="154"/>
      <c r="G124" s="35"/>
    </row>
    <row r="125" spans="1:7" x14ac:dyDescent="0.2">
      <c r="A125" s="29"/>
      <c r="B125" s="101"/>
      <c r="C125" s="41"/>
      <c r="D125" s="136"/>
      <c r="E125" s="104"/>
      <c r="F125" s="154"/>
      <c r="G125" s="35"/>
    </row>
    <row r="126" spans="1:7" x14ac:dyDescent="0.2">
      <c r="A126" s="29"/>
      <c r="B126" s="101"/>
      <c r="C126" s="41"/>
      <c r="D126" s="136"/>
      <c r="E126" s="104"/>
      <c r="F126" s="154"/>
      <c r="G126" s="35"/>
    </row>
    <row r="127" spans="1:7" x14ac:dyDescent="0.2">
      <c r="A127" s="29"/>
      <c r="B127" s="101"/>
      <c r="C127" s="41"/>
      <c r="D127" s="62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59"/>
      <c r="E129" s="104"/>
      <c r="F129" s="154"/>
      <c r="G129" s="35"/>
    </row>
    <row r="130" spans="1:7" x14ac:dyDescent="0.2">
      <c r="A130" s="29"/>
      <c r="B130" s="101"/>
      <c r="C130" s="41"/>
      <c r="D130" s="160"/>
      <c r="E130" s="108"/>
      <c r="F130" s="128"/>
      <c r="G130" s="35"/>
    </row>
    <row r="131" spans="1:7" x14ac:dyDescent="0.2">
      <c r="A131" s="29"/>
      <c r="B131" s="101"/>
      <c r="C131" s="41"/>
      <c r="D131" s="136"/>
      <c r="E131" s="153"/>
      <c r="F131" s="128"/>
      <c r="G131" s="35"/>
    </row>
    <row r="132" spans="1:7" x14ac:dyDescent="0.2">
      <c r="A132" s="29"/>
      <c r="B132" s="101"/>
      <c r="C132" s="41"/>
      <c r="D132" s="136"/>
      <c r="E132" s="153"/>
      <c r="F132" s="128"/>
      <c r="G132" s="35"/>
    </row>
    <row r="133" spans="1:7" x14ac:dyDescent="0.2">
      <c r="A133" s="29"/>
      <c r="B133" s="101"/>
      <c r="C133" s="41"/>
      <c r="D133" s="136"/>
      <c r="E133" s="153"/>
      <c r="F133" s="128"/>
      <c r="G133" s="35"/>
    </row>
    <row r="134" spans="1:7" x14ac:dyDescent="0.2">
      <c r="A134" s="29"/>
      <c r="B134" s="101"/>
      <c r="C134" s="41"/>
      <c r="D134" s="136"/>
      <c r="E134" s="102"/>
      <c r="F134" s="128"/>
      <c r="G134" s="35"/>
    </row>
    <row r="135" spans="1:7" x14ac:dyDescent="0.2">
      <c r="A135" s="29"/>
      <c r="B135" s="101"/>
      <c r="C135" s="31"/>
      <c r="D135" s="67"/>
      <c r="E135" s="131"/>
      <c r="F135" s="117"/>
      <c r="G135" s="35"/>
    </row>
    <row r="136" spans="1:7" x14ac:dyDescent="0.2">
      <c r="A136" s="29"/>
      <c r="B136" s="101"/>
      <c r="C136" s="41"/>
      <c r="D136" s="118"/>
      <c r="E136" s="108"/>
      <c r="F136" s="149"/>
      <c r="G136" s="35"/>
    </row>
    <row r="137" spans="1:7" x14ac:dyDescent="0.2">
      <c r="A137" s="29"/>
      <c r="B137" s="101"/>
      <c r="C137" s="41"/>
      <c r="D137" s="144"/>
      <c r="E137" s="108"/>
      <c r="F137" s="149"/>
      <c r="G137" s="35"/>
    </row>
    <row r="138" spans="1:7" ht="13.5" thickBot="1" x14ac:dyDescent="0.25">
      <c r="A138" s="45"/>
      <c r="B138" s="132"/>
      <c r="C138" s="115"/>
      <c r="D138" s="115"/>
      <c r="E138" s="132"/>
      <c r="F138" s="49" t="s">
        <v>15</v>
      </c>
      <c r="G138" s="50">
        <f>SUM(G106:G137)</f>
        <v>70000</v>
      </c>
    </row>
    <row r="139" spans="1:7" ht="13.5" thickTop="1" x14ac:dyDescent="0.2">
      <c r="A139" s="875" t="s">
        <v>1040</v>
      </c>
      <c r="B139" s="899"/>
      <c r="C139" s="899"/>
      <c r="D139" s="899"/>
      <c r="E139" s="899"/>
      <c r="F139" s="899"/>
      <c r="G139" s="900"/>
    </row>
    <row r="140" spans="1:7" ht="13.5" thickBot="1" x14ac:dyDescent="0.25">
      <c r="A140" s="52"/>
      <c r="B140" s="103"/>
      <c r="C140" s="374" t="s">
        <v>1707</v>
      </c>
      <c r="D140" s="54"/>
      <c r="E140" s="103"/>
      <c r="F140" s="55"/>
      <c r="G140" s="56"/>
    </row>
    <row r="141" spans="1:7" ht="13.5" thickTop="1" x14ac:dyDescent="0.2">
      <c r="A141" s="906"/>
      <c r="B141" s="907"/>
      <c r="C141" s="907"/>
      <c r="D141" s="57" t="s">
        <v>11</v>
      </c>
      <c r="E141" s="908" t="s">
        <v>12</v>
      </c>
      <c r="F141" s="908"/>
      <c r="G141" s="909"/>
    </row>
    <row r="142" spans="1:7" x14ac:dyDescent="0.2">
      <c r="A142" s="910" t="s">
        <v>17</v>
      </c>
      <c r="B142" s="911"/>
      <c r="C142" s="911"/>
      <c r="D142" s="39"/>
      <c r="E142" s="912"/>
      <c r="F142" s="913"/>
      <c r="G142" s="914"/>
    </row>
    <row r="143" spans="1:7" x14ac:dyDescent="0.2">
      <c r="A143" s="910" t="s">
        <v>38</v>
      </c>
      <c r="B143" s="911"/>
      <c r="C143" s="911"/>
      <c r="D143" s="58" t="s">
        <v>31</v>
      </c>
      <c r="E143" s="868" t="s">
        <v>142</v>
      </c>
      <c r="F143" s="868"/>
      <c r="G143" s="869"/>
    </row>
    <row r="144" spans="1:7" ht="13.5" thickBot="1" x14ac:dyDescent="0.25">
      <c r="A144" s="901" t="s">
        <v>39</v>
      </c>
      <c r="B144" s="902"/>
      <c r="C144" s="902"/>
      <c r="D144" s="59" t="s">
        <v>4</v>
      </c>
      <c r="E144" s="904" t="s">
        <v>0</v>
      </c>
      <c r="F144" s="904"/>
      <c r="G144" s="905"/>
    </row>
  </sheetData>
  <mergeCells count="42">
    <mergeCell ref="A1:G1"/>
    <mergeCell ref="A2:G2"/>
    <mergeCell ref="A3:G3"/>
    <mergeCell ref="E6:F6"/>
    <mergeCell ref="E8:F8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A49:G49"/>
    <mergeCell ref="A50:G50"/>
    <mergeCell ref="A51:G51"/>
    <mergeCell ref="E54:F54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  <mergeCell ref="A97:G97"/>
    <mergeCell ref="A98:G98"/>
    <mergeCell ref="A99:G99"/>
    <mergeCell ref="E102:F102"/>
    <mergeCell ref="E104:F104"/>
    <mergeCell ref="A143:C143"/>
    <mergeCell ref="E143:G143"/>
    <mergeCell ref="A144:C144"/>
    <mergeCell ref="E144:G144"/>
    <mergeCell ref="A139:G139"/>
    <mergeCell ref="A141:C141"/>
    <mergeCell ref="E141:G141"/>
    <mergeCell ref="A142:C142"/>
    <mergeCell ref="E142:G142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A3CC4"/>
  </sheetPr>
  <dimension ref="A1:H48"/>
  <sheetViews>
    <sheetView zoomScale="115" zoomScaleNormal="115" workbookViewId="0">
      <selection activeCell="D48" sqref="D48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53.285156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8</v>
      </c>
    </row>
    <row r="5" spans="1:7" x14ac:dyDescent="0.2">
      <c r="A5" s="12" t="s">
        <v>1</v>
      </c>
      <c r="B5" s="13"/>
      <c r="C5" s="14" t="s">
        <v>52</v>
      </c>
      <c r="D5" s="13"/>
      <c r="E5" s="15" t="s">
        <v>189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202"/>
      <c r="E10" s="108"/>
      <c r="F10" s="128"/>
      <c r="G10" s="200"/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29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130"/>
      <c r="E28" s="104"/>
      <c r="F28" s="154"/>
      <c r="G28" s="35"/>
    </row>
    <row r="29" spans="1:7" x14ac:dyDescent="0.2">
      <c r="A29" s="29"/>
      <c r="B29" s="101"/>
      <c r="C29" s="41"/>
      <c r="D29" s="144"/>
      <c r="E29" s="104"/>
      <c r="F29" s="154"/>
      <c r="G29" s="35"/>
    </row>
    <row r="30" spans="1:7" x14ac:dyDescent="0.2">
      <c r="A30" s="29"/>
      <c r="B30" s="101"/>
      <c r="C30" s="41"/>
      <c r="D30" s="144"/>
      <c r="E30" s="104"/>
      <c r="F30" s="154"/>
      <c r="G30" s="35"/>
    </row>
    <row r="31" spans="1:7" x14ac:dyDescent="0.2">
      <c r="A31" s="29"/>
      <c r="B31" s="101"/>
      <c r="C31" s="41"/>
      <c r="D31" s="262"/>
      <c r="E31" s="104"/>
      <c r="F31" s="154"/>
      <c r="G31" s="35"/>
    </row>
    <row r="32" spans="1:7" x14ac:dyDescent="0.2">
      <c r="A32" s="29"/>
      <c r="B32" s="101"/>
      <c r="C32" s="41"/>
      <c r="D32" s="130"/>
      <c r="E32" s="104"/>
      <c r="F32" s="154"/>
      <c r="G32" s="35"/>
    </row>
    <row r="33" spans="1:7" x14ac:dyDescent="0.2">
      <c r="A33" s="29"/>
      <c r="B33" s="101"/>
      <c r="C33" s="41"/>
      <c r="D33" s="144"/>
      <c r="E33" s="104"/>
      <c r="F33" s="154"/>
      <c r="G33" s="35"/>
    </row>
    <row r="34" spans="1:7" x14ac:dyDescent="0.2">
      <c r="A34" s="29"/>
      <c r="B34" s="101"/>
      <c r="C34" s="41"/>
      <c r="D34" s="144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67"/>
      <c r="E38" s="108"/>
      <c r="F38" s="149"/>
      <c r="G38" s="35"/>
    </row>
    <row r="39" spans="1:7" x14ac:dyDescent="0.2">
      <c r="A39" s="29"/>
      <c r="B39" s="101"/>
      <c r="C39" s="41"/>
      <c r="D39" s="67"/>
      <c r="E39" s="108"/>
      <c r="F39" s="149"/>
      <c r="G39" s="35"/>
    </row>
    <row r="40" spans="1:7" x14ac:dyDescent="0.2">
      <c r="A40" s="29"/>
      <c r="B40" s="101"/>
      <c r="C40" s="41"/>
      <c r="D40" s="67"/>
      <c r="E40" s="108"/>
      <c r="F40" s="149"/>
      <c r="G40" s="71"/>
    </row>
    <row r="41" spans="1:7" x14ac:dyDescent="0.2">
      <c r="A41" s="29"/>
      <c r="B41" s="101"/>
      <c r="C41" s="41"/>
      <c r="D41" s="67"/>
      <c r="E41" s="108"/>
      <c r="F41" s="149"/>
      <c r="G41" s="351"/>
    </row>
    <row r="42" spans="1:7" ht="13.5" thickBot="1" x14ac:dyDescent="0.25">
      <c r="A42" s="209"/>
      <c r="B42" s="132"/>
      <c r="C42" s="115"/>
      <c r="D42" s="115"/>
      <c r="E42" s="132"/>
      <c r="F42" s="49" t="s">
        <v>15</v>
      </c>
      <c r="G42" s="50">
        <f>SUM(G10:G41)</f>
        <v>0</v>
      </c>
    </row>
    <row r="43" spans="1:7" ht="13.5" thickTop="1" x14ac:dyDescent="0.2">
      <c r="A43" s="898" t="s">
        <v>1003</v>
      </c>
      <c r="B43" s="899"/>
      <c r="C43" s="899"/>
      <c r="D43" s="899"/>
      <c r="E43" s="899"/>
      <c r="F43" s="899"/>
      <c r="G43" s="900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7" x14ac:dyDescent="0.2">
      <c r="A47" s="910" t="s">
        <v>38</v>
      </c>
      <c r="B47" s="911"/>
      <c r="C47" s="911"/>
      <c r="D47" s="58" t="s">
        <v>995</v>
      </c>
      <c r="E47" s="868" t="s">
        <v>142</v>
      </c>
      <c r="F47" s="868"/>
      <c r="G47" s="869"/>
    </row>
    <row r="48" spans="1:7" ht="13.5" thickBot="1" x14ac:dyDescent="0.25">
      <c r="A48" s="901" t="s">
        <v>39</v>
      </c>
      <c r="B48" s="902"/>
      <c r="C48" s="902"/>
      <c r="D48" s="59" t="s">
        <v>996</v>
      </c>
      <c r="E48" s="904" t="s">
        <v>0</v>
      </c>
      <c r="F48" s="904"/>
      <c r="G48" s="905"/>
    </row>
  </sheetData>
  <mergeCells count="14">
    <mergeCell ref="A1:G1"/>
    <mergeCell ref="A2:G2"/>
    <mergeCell ref="A3:G3"/>
    <mergeCell ref="E6:F6"/>
    <mergeCell ref="E8:F8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A3CC4"/>
  </sheetPr>
  <dimension ref="A1:I547"/>
  <sheetViews>
    <sheetView topLeftCell="A70" zoomScale="110" zoomScaleNormal="110" workbookViewId="0">
      <selection activeCell="D70" sqref="D7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42578125" style="2" customWidth="1"/>
    <col min="9" max="9" width="22.7109375" style="2" customWidth="1"/>
    <col min="10" max="10" width="11.5703125" style="2" customWidth="1"/>
    <col min="11" max="11" width="5.42578125" style="2" customWidth="1"/>
    <col min="12" max="12" width="10.7109375" style="2" customWidth="1"/>
    <col min="13" max="13" width="21.42578125" style="2" customWidth="1"/>
    <col min="14" max="14" width="12.85546875" style="2" customWidth="1"/>
    <col min="15" max="15" width="9.28515625" style="2" bestFit="1" customWidth="1"/>
    <col min="16" max="16" width="10.28515625" style="2" bestFit="1" customWidth="1"/>
    <col min="17" max="17" width="10.5703125" style="2" bestFit="1" customWidth="1"/>
    <col min="18" max="18" width="9.140625" style="2"/>
    <col min="19" max="19" width="10.5703125" style="2" bestFit="1" customWidth="1"/>
    <col min="20" max="20" width="9.28515625" style="2" bestFit="1" customWidth="1"/>
    <col min="21" max="21" width="11.28515625" style="2" customWidth="1"/>
    <col min="22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57</v>
      </c>
      <c r="B5" s="13"/>
      <c r="C5" s="14" t="s">
        <v>66</v>
      </c>
      <c r="D5" s="13"/>
      <c r="E5" s="362" t="s">
        <v>1143</v>
      </c>
      <c r="F5" s="98"/>
      <c r="G5" s="363" t="s">
        <v>1147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242</v>
      </c>
      <c r="D10" s="370" t="s">
        <v>1146</v>
      </c>
      <c r="E10" s="108">
        <v>80</v>
      </c>
      <c r="F10" s="128">
        <v>250</v>
      </c>
      <c r="G10" s="35">
        <f>F10*E10</f>
        <v>20000</v>
      </c>
    </row>
    <row r="11" spans="1:7" x14ac:dyDescent="0.2">
      <c r="A11" s="29"/>
      <c r="B11" s="101"/>
      <c r="C11" s="41"/>
      <c r="D11" s="370" t="s">
        <v>1058</v>
      </c>
      <c r="E11" s="157"/>
      <c r="F11" s="149"/>
      <c r="G11" s="372" t="s">
        <v>8</v>
      </c>
    </row>
    <row r="12" spans="1:7" x14ac:dyDescent="0.2">
      <c r="A12" s="29"/>
      <c r="B12" s="101"/>
      <c r="C12" s="371"/>
      <c r="D12" s="370" t="s">
        <v>1056</v>
      </c>
      <c r="E12" s="108"/>
      <c r="F12" s="128"/>
      <c r="G12" s="372" t="s">
        <v>8</v>
      </c>
    </row>
    <row r="13" spans="1:7" x14ac:dyDescent="0.2">
      <c r="A13" s="29">
        <v>2</v>
      </c>
      <c r="B13" s="105"/>
      <c r="C13" s="371" t="s">
        <v>242</v>
      </c>
      <c r="D13" s="376" t="s">
        <v>305</v>
      </c>
      <c r="E13" s="102">
        <v>80</v>
      </c>
      <c r="F13" s="128">
        <v>450</v>
      </c>
      <c r="G13" s="35">
        <f t="shared" ref="G13" si="0">F13*E13</f>
        <v>36000</v>
      </c>
    </row>
    <row r="14" spans="1:7" x14ac:dyDescent="0.2">
      <c r="A14" s="29"/>
      <c r="B14" s="105"/>
      <c r="C14" s="41"/>
      <c r="D14" s="376" t="s">
        <v>301</v>
      </c>
      <c r="E14" s="102"/>
      <c r="F14" s="128"/>
      <c r="G14" s="372" t="s">
        <v>8</v>
      </c>
    </row>
    <row r="15" spans="1:7" x14ac:dyDescent="0.2">
      <c r="A15" s="29"/>
      <c r="B15" s="151"/>
      <c r="C15" s="119"/>
      <c r="D15" s="376"/>
      <c r="E15" s="108"/>
      <c r="F15" s="150"/>
      <c r="G15" s="372" t="s">
        <v>8</v>
      </c>
    </row>
    <row r="16" spans="1:7" x14ac:dyDescent="0.2">
      <c r="A16" s="29"/>
      <c r="B16" s="151"/>
      <c r="C16" s="385"/>
      <c r="D16" s="383"/>
      <c r="E16" s="108"/>
      <c r="F16" s="150"/>
      <c r="G16" s="372" t="s">
        <v>8</v>
      </c>
    </row>
    <row r="17" spans="1:7" x14ac:dyDescent="0.2">
      <c r="A17" s="29"/>
      <c r="B17" s="101"/>
      <c r="C17" s="41"/>
      <c r="D17" s="383"/>
      <c r="E17" s="155"/>
      <c r="F17" s="128"/>
      <c r="G17" s="372" t="s">
        <v>8</v>
      </c>
    </row>
    <row r="18" spans="1:7" x14ac:dyDescent="0.2">
      <c r="A18" s="29"/>
      <c r="B18" s="106"/>
      <c r="C18" s="371"/>
      <c r="D18" s="376"/>
      <c r="E18" s="104"/>
      <c r="F18" s="128"/>
      <c r="G18" s="372" t="s">
        <v>8</v>
      </c>
    </row>
    <row r="19" spans="1:7" x14ac:dyDescent="0.2">
      <c r="A19" s="29"/>
      <c r="B19" s="106"/>
      <c r="C19" s="371"/>
      <c r="D19" s="376"/>
      <c r="E19" s="104"/>
      <c r="F19" s="128"/>
      <c r="G19" s="372" t="s">
        <v>8</v>
      </c>
    </row>
    <row r="20" spans="1:7" x14ac:dyDescent="0.2">
      <c r="A20" s="29"/>
      <c r="B20" s="105"/>
      <c r="C20" s="41"/>
      <c r="D20" s="376"/>
      <c r="E20" s="108"/>
      <c r="F20" s="152"/>
      <c r="G20" s="372" t="s">
        <v>8</v>
      </c>
    </row>
    <row r="21" spans="1:7" x14ac:dyDescent="0.2">
      <c r="A21" s="29"/>
      <c r="B21" s="107"/>
      <c r="C21" s="371"/>
      <c r="D21" s="376"/>
      <c r="E21" s="153"/>
      <c r="F21" s="128"/>
      <c r="G21" s="372" t="s">
        <v>8</v>
      </c>
    </row>
    <row r="22" spans="1:7" x14ac:dyDescent="0.2">
      <c r="A22" s="29"/>
      <c r="B22" s="107"/>
      <c r="C22" s="41"/>
      <c r="D22" s="384"/>
      <c r="E22" s="153"/>
      <c r="F22" s="128"/>
      <c r="G22" s="372" t="s">
        <v>8</v>
      </c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 t="s">
        <v>152</v>
      </c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56000</v>
      </c>
    </row>
    <row r="44" spans="1:7" ht="13.5" thickTop="1" x14ac:dyDescent="0.2">
      <c r="A44" s="875" t="s">
        <v>1059</v>
      </c>
      <c r="B44" s="899"/>
      <c r="C44" s="899"/>
      <c r="D44" s="899"/>
      <c r="E44" s="899"/>
      <c r="F44" s="899"/>
      <c r="G44" s="900"/>
    </row>
    <row r="45" spans="1:7" ht="13.5" thickBot="1" x14ac:dyDescent="0.25">
      <c r="A45" s="52"/>
      <c r="B45" s="103"/>
      <c r="C45" s="374" t="s">
        <v>1060</v>
      </c>
      <c r="D45" s="54"/>
      <c r="E45" s="103"/>
      <c r="F45" s="55"/>
      <c r="G45" s="56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58" t="s">
        <v>10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44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57</v>
      </c>
      <c r="B54" s="13"/>
      <c r="C54" s="14" t="s">
        <v>66</v>
      </c>
      <c r="D54" s="4"/>
      <c r="E54" s="362" t="s">
        <v>1142</v>
      </c>
      <c r="F54" s="98"/>
      <c r="G54" s="363" t="s">
        <v>1147</v>
      </c>
    </row>
    <row r="55" spans="1:7" x14ac:dyDescent="0.2">
      <c r="A55" s="17" t="s">
        <v>8</v>
      </c>
      <c r="B55" s="100"/>
      <c r="C55" s="19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/>
      <c r="B59" s="101"/>
      <c r="C59" s="371"/>
      <c r="D59" s="359" t="s">
        <v>1125</v>
      </c>
      <c r="E59" s="108"/>
      <c r="F59" s="128"/>
      <c r="G59" s="372" t="s">
        <v>8</v>
      </c>
    </row>
    <row r="60" spans="1:7" x14ac:dyDescent="0.2">
      <c r="A60" s="29">
        <v>1</v>
      </c>
      <c r="B60" s="101"/>
      <c r="C60" s="371" t="s">
        <v>242</v>
      </c>
      <c r="D60" s="370" t="s">
        <v>305</v>
      </c>
      <c r="E60" s="108">
        <v>60</v>
      </c>
      <c r="F60" s="149">
        <v>450</v>
      </c>
      <c r="G60" s="35">
        <f t="shared" ref="G60:G69" si="1">F60*E60</f>
        <v>27000</v>
      </c>
    </row>
    <row r="61" spans="1:7" x14ac:dyDescent="0.2">
      <c r="A61" s="29"/>
      <c r="B61" s="101"/>
      <c r="C61" s="371"/>
      <c r="D61" s="370" t="s">
        <v>301</v>
      </c>
      <c r="E61" s="108"/>
      <c r="F61" s="128"/>
      <c r="G61" s="372" t="s">
        <v>8</v>
      </c>
    </row>
    <row r="62" spans="1:7" x14ac:dyDescent="0.2">
      <c r="A62" s="29">
        <v>2</v>
      </c>
      <c r="B62" s="105"/>
      <c r="C62" s="371" t="s">
        <v>242</v>
      </c>
      <c r="D62" s="376" t="s">
        <v>1055</v>
      </c>
      <c r="E62" s="102">
        <v>60</v>
      </c>
      <c r="F62" s="128">
        <v>200</v>
      </c>
      <c r="G62" s="35">
        <f t="shared" si="1"/>
        <v>12000</v>
      </c>
    </row>
    <row r="63" spans="1:7" x14ac:dyDescent="0.2">
      <c r="A63" s="29">
        <v>3</v>
      </c>
      <c r="B63" s="105"/>
      <c r="C63" s="371" t="s">
        <v>242</v>
      </c>
      <c r="D63" s="376" t="s">
        <v>1121</v>
      </c>
      <c r="E63" s="102">
        <v>60</v>
      </c>
      <c r="F63" s="128">
        <v>450</v>
      </c>
      <c r="G63" s="35">
        <f t="shared" si="1"/>
        <v>27000</v>
      </c>
    </row>
    <row r="64" spans="1:7" x14ac:dyDescent="0.2">
      <c r="A64" s="29"/>
      <c r="B64" s="151"/>
      <c r="C64" s="119"/>
      <c r="D64" s="376" t="s">
        <v>301</v>
      </c>
      <c r="E64" s="108"/>
      <c r="F64" s="150"/>
      <c r="G64" s="372" t="s">
        <v>8</v>
      </c>
    </row>
    <row r="65" spans="1:7" x14ac:dyDescent="0.2">
      <c r="A65" s="29"/>
      <c r="B65" s="151"/>
      <c r="C65" s="385"/>
      <c r="D65" s="358" t="s">
        <v>1126</v>
      </c>
      <c r="E65" s="108"/>
      <c r="F65" s="150"/>
      <c r="G65" s="372" t="s">
        <v>8</v>
      </c>
    </row>
    <row r="66" spans="1:7" x14ac:dyDescent="0.2">
      <c r="A66" s="29">
        <v>4</v>
      </c>
      <c r="B66" s="101"/>
      <c r="C66" s="371" t="s">
        <v>242</v>
      </c>
      <c r="D66" s="383" t="s">
        <v>1122</v>
      </c>
      <c r="E66" s="155">
        <v>60</v>
      </c>
      <c r="F66" s="128">
        <v>200</v>
      </c>
      <c r="G66" s="35">
        <f t="shared" si="1"/>
        <v>12000</v>
      </c>
    </row>
    <row r="67" spans="1:7" x14ac:dyDescent="0.2">
      <c r="A67" s="29">
        <v>5</v>
      </c>
      <c r="B67" s="106"/>
      <c r="C67" s="371" t="s">
        <v>242</v>
      </c>
      <c r="D67" s="376" t="s">
        <v>305</v>
      </c>
      <c r="E67" s="104">
        <v>60</v>
      </c>
      <c r="F67" s="128">
        <v>450</v>
      </c>
      <c r="G67" s="35">
        <f t="shared" si="1"/>
        <v>27000</v>
      </c>
    </row>
    <row r="68" spans="1:7" x14ac:dyDescent="0.2">
      <c r="A68" s="29"/>
      <c r="B68" s="106"/>
      <c r="C68" s="371"/>
      <c r="D68" s="376" t="s">
        <v>301</v>
      </c>
      <c r="E68" s="104"/>
      <c r="F68" s="128"/>
      <c r="G68" s="372" t="s">
        <v>8</v>
      </c>
    </row>
    <row r="69" spans="1:7" x14ac:dyDescent="0.2">
      <c r="A69" s="29">
        <v>6</v>
      </c>
      <c r="B69" s="105"/>
      <c r="C69" s="371" t="s">
        <v>242</v>
      </c>
      <c r="D69" s="376" t="s">
        <v>1123</v>
      </c>
      <c r="E69" s="108">
        <v>60</v>
      </c>
      <c r="F69" s="152">
        <v>200</v>
      </c>
      <c r="G69" s="35">
        <f t="shared" si="1"/>
        <v>12000</v>
      </c>
    </row>
    <row r="70" spans="1:7" x14ac:dyDescent="0.2">
      <c r="A70" s="29"/>
      <c r="B70" s="107"/>
      <c r="C70" s="371"/>
      <c r="D70" s="376" t="s">
        <v>301</v>
      </c>
      <c r="E70" s="153"/>
      <c r="F70" s="128"/>
      <c r="G70" s="372" t="s">
        <v>8</v>
      </c>
    </row>
    <row r="71" spans="1:7" x14ac:dyDescent="0.2">
      <c r="A71" s="29">
        <v>7</v>
      </c>
      <c r="B71" s="107"/>
      <c r="C71" s="371" t="s">
        <v>242</v>
      </c>
      <c r="D71" s="376" t="s">
        <v>1127</v>
      </c>
      <c r="E71" s="102">
        <v>60</v>
      </c>
      <c r="F71" s="128">
        <v>350</v>
      </c>
      <c r="G71" s="372">
        <f>F71*E71</f>
        <v>21000</v>
      </c>
    </row>
    <row r="72" spans="1:7" x14ac:dyDescent="0.2">
      <c r="A72" s="29"/>
      <c r="B72" s="101"/>
      <c r="C72" s="119"/>
      <c r="D72" s="376" t="s">
        <v>301</v>
      </c>
      <c r="E72" s="108"/>
      <c r="F72" s="150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419" t="s">
        <v>8</v>
      </c>
      <c r="E75" s="104"/>
      <c r="F75" s="154"/>
      <c r="G75" s="35"/>
    </row>
    <row r="76" spans="1:7" x14ac:dyDescent="0.2">
      <c r="A76" s="29"/>
      <c r="B76" s="105"/>
      <c r="C76" s="41"/>
      <c r="D76" s="384" t="s">
        <v>8</v>
      </c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 t="s">
        <v>152</v>
      </c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138000</v>
      </c>
    </row>
    <row r="93" spans="1:7" ht="13.5" thickTop="1" x14ac:dyDescent="0.2">
      <c r="A93" s="875" t="s">
        <v>1057</v>
      </c>
      <c r="B93" s="899"/>
      <c r="C93" s="899"/>
      <c r="D93" s="899"/>
      <c r="E93" s="899"/>
      <c r="F93" s="899"/>
      <c r="G93" s="900"/>
    </row>
    <row r="94" spans="1:7" ht="13.5" thickBot="1" x14ac:dyDescent="0.25">
      <c r="A94" s="52"/>
      <c r="B94" s="103"/>
      <c r="C94" s="374" t="s">
        <v>1124</v>
      </c>
      <c r="D94" s="54"/>
      <c r="E94" s="103"/>
      <c r="F94" s="55"/>
      <c r="G94" s="56"/>
    </row>
    <row r="95" spans="1:7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7" x14ac:dyDescent="0.2">
      <c r="A96" s="910" t="s">
        <v>17</v>
      </c>
      <c r="B96" s="911"/>
      <c r="C96" s="911"/>
      <c r="D96" s="39"/>
      <c r="E96" s="912"/>
      <c r="F96" s="913"/>
      <c r="G96" s="914"/>
    </row>
    <row r="97" spans="1:7" x14ac:dyDescent="0.2">
      <c r="A97" s="910" t="s">
        <v>38</v>
      </c>
      <c r="B97" s="911"/>
      <c r="C97" s="911"/>
      <c r="D97" s="58" t="s">
        <v>10</v>
      </c>
      <c r="E97" s="868" t="s">
        <v>142</v>
      </c>
      <c r="F97" s="868"/>
      <c r="G97" s="869"/>
    </row>
    <row r="98" spans="1:7" ht="13.5" thickBot="1" x14ac:dyDescent="0.25">
      <c r="A98" s="901" t="s">
        <v>39</v>
      </c>
      <c r="B98" s="902"/>
      <c r="C98" s="902"/>
      <c r="D98" s="59" t="s">
        <v>44</v>
      </c>
      <c r="E98" s="904" t="s">
        <v>0</v>
      </c>
      <c r="F98" s="904"/>
      <c r="G98" s="905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57</v>
      </c>
      <c r="B103" s="13"/>
      <c r="C103" s="14" t="s">
        <v>66</v>
      </c>
      <c r="D103" s="13"/>
      <c r="E103" s="362" t="s">
        <v>1354</v>
      </c>
      <c r="F103" s="98"/>
      <c r="G103" s="363" t="s">
        <v>1343</v>
      </c>
    </row>
    <row r="104" spans="1:7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920"/>
      <c r="F106" s="921"/>
      <c r="G106" s="25"/>
    </row>
    <row r="107" spans="1:7" ht="26.25" thickBot="1" x14ac:dyDescent="0.25">
      <c r="A107" s="207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/>
      <c r="B108" s="101"/>
      <c r="C108" s="371"/>
      <c r="D108" s="446" t="s">
        <v>1274</v>
      </c>
      <c r="E108" s="108"/>
      <c r="F108" s="128"/>
      <c r="G108" s="372"/>
    </row>
    <row r="109" spans="1:7" x14ac:dyDescent="0.2">
      <c r="A109" s="29">
        <v>1</v>
      </c>
      <c r="B109" s="101"/>
      <c r="C109" s="371" t="s">
        <v>242</v>
      </c>
      <c r="D109" s="370" t="s">
        <v>1275</v>
      </c>
      <c r="E109" s="108">
        <v>50</v>
      </c>
      <c r="F109" s="149">
        <v>200</v>
      </c>
      <c r="G109" s="35">
        <f>F109*E109</f>
        <v>10000</v>
      </c>
    </row>
    <row r="110" spans="1:7" x14ac:dyDescent="0.2">
      <c r="A110" s="29"/>
      <c r="B110" s="101"/>
      <c r="C110" s="371"/>
      <c r="D110" s="370" t="s">
        <v>1276</v>
      </c>
      <c r="E110" s="108"/>
      <c r="F110" s="128"/>
      <c r="G110" s="372" t="s">
        <v>8</v>
      </c>
    </row>
    <row r="111" spans="1:7" x14ac:dyDescent="0.2">
      <c r="A111" s="29">
        <v>2</v>
      </c>
      <c r="B111" s="105"/>
      <c r="C111" s="371" t="s">
        <v>242</v>
      </c>
      <c r="D111" s="376" t="s">
        <v>339</v>
      </c>
      <c r="E111" s="102">
        <v>50</v>
      </c>
      <c r="F111" s="128">
        <v>350</v>
      </c>
      <c r="G111" s="35">
        <f t="shared" ref="G111:G120" si="2">F111*E111</f>
        <v>17500</v>
      </c>
    </row>
    <row r="112" spans="1:7" x14ac:dyDescent="0.2">
      <c r="A112" s="29"/>
      <c r="B112" s="105"/>
      <c r="C112" s="371"/>
      <c r="D112" s="376" t="s">
        <v>301</v>
      </c>
      <c r="E112" s="102"/>
      <c r="F112" s="128"/>
      <c r="G112" s="372" t="s">
        <v>8</v>
      </c>
    </row>
    <row r="113" spans="1:7" x14ac:dyDescent="0.2">
      <c r="A113" s="29">
        <v>3</v>
      </c>
      <c r="B113" s="151"/>
      <c r="C113" s="385" t="s">
        <v>242</v>
      </c>
      <c r="D113" s="376" t="s">
        <v>1277</v>
      </c>
      <c r="E113" s="108">
        <v>50</v>
      </c>
      <c r="F113" s="150">
        <v>200</v>
      </c>
      <c r="G113" s="35">
        <f t="shared" si="2"/>
        <v>10000</v>
      </c>
    </row>
    <row r="114" spans="1:7" x14ac:dyDescent="0.2">
      <c r="A114" s="29"/>
      <c r="B114" s="151"/>
      <c r="C114" s="385"/>
      <c r="D114" s="383" t="s">
        <v>1278</v>
      </c>
      <c r="E114" s="108"/>
      <c r="F114" s="150"/>
      <c r="G114" s="372" t="s">
        <v>8</v>
      </c>
    </row>
    <row r="115" spans="1:7" x14ac:dyDescent="0.2">
      <c r="A115" s="29"/>
      <c r="B115" s="101"/>
      <c r="C115" s="371"/>
      <c r="D115" s="447" t="s">
        <v>1279</v>
      </c>
      <c r="E115" s="155"/>
      <c r="F115" s="128"/>
      <c r="G115" s="372" t="s">
        <v>8</v>
      </c>
    </row>
    <row r="116" spans="1:7" x14ac:dyDescent="0.2">
      <c r="A116" s="29">
        <v>4</v>
      </c>
      <c r="B116" s="106"/>
      <c r="C116" s="371" t="s">
        <v>242</v>
      </c>
      <c r="D116" s="376" t="s">
        <v>1275</v>
      </c>
      <c r="E116" s="104">
        <v>50</v>
      </c>
      <c r="F116" s="128">
        <v>200</v>
      </c>
      <c r="G116" s="35">
        <f t="shared" si="2"/>
        <v>10000</v>
      </c>
    </row>
    <row r="117" spans="1:7" x14ac:dyDescent="0.2">
      <c r="A117" s="29"/>
      <c r="B117" s="106"/>
      <c r="C117" s="371"/>
      <c r="D117" s="376" t="s">
        <v>1276</v>
      </c>
      <c r="E117" s="104"/>
      <c r="F117" s="128"/>
      <c r="G117" s="372" t="s">
        <v>8</v>
      </c>
    </row>
    <row r="118" spans="1:7" x14ac:dyDescent="0.2">
      <c r="A118" s="29">
        <v>5</v>
      </c>
      <c r="B118" s="105"/>
      <c r="C118" s="371" t="s">
        <v>242</v>
      </c>
      <c r="D118" s="376" t="s">
        <v>339</v>
      </c>
      <c r="E118" s="108">
        <v>50</v>
      </c>
      <c r="F118" s="152">
        <v>350</v>
      </c>
      <c r="G118" s="35">
        <f t="shared" si="2"/>
        <v>17500</v>
      </c>
    </row>
    <row r="119" spans="1:7" x14ac:dyDescent="0.2">
      <c r="A119" s="29"/>
      <c r="B119" s="107"/>
      <c r="C119" s="371"/>
      <c r="D119" s="376" t="s">
        <v>301</v>
      </c>
      <c r="E119" s="153"/>
      <c r="F119" s="128"/>
      <c r="G119" s="372" t="s">
        <v>8</v>
      </c>
    </row>
    <row r="120" spans="1:7" x14ac:dyDescent="0.2">
      <c r="A120" s="29">
        <v>6</v>
      </c>
      <c r="B120" s="107"/>
      <c r="C120" s="371" t="s">
        <v>242</v>
      </c>
      <c r="D120" s="376" t="s">
        <v>1277</v>
      </c>
      <c r="E120" s="102">
        <v>50</v>
      </c>
      <c r="F120" s="128">
        <v>200</v>
      </c>
      <c r="G120" s="35">
        <f t="shared" si="2"/>
        <v>10000</v>
      </c>
    </row>
    <row r="121" spans="1:7" x14ac:dyDescent="0.2">
      <c r="A121" s="29"/>
      <c r="B121" s="101"/>
      <c r="C121" s="119"/>
      <c r="D121" s="376" t="s">
        <v>1278</v>
      </c>
      <c r="E121" s="108"/>
      <c r="F121" s="150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 t="s">
        <v>152</v>
      </c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SUM(G109:G140)</f>
        <v>75000</v>
      </c>
    </row>
    <row r="142" spans="1:7" ht="13.5" thickTop="1" x14ac:dyDescent="0.2">
      <c r="A142" s="875" t="s">
        <v>1280</v>
      </c>
      <c r="B142" s="899"/>
      <c r="C142" s="899"/>
      <c r="D142" s="899"/>
      <c r="E142" s="899"/>
      <c r="F142" s="899"/>
      <c r="G142" s="900"/>
    </row>
    <row r="143" spans="1:7" ht="13.5" thickBot="1" x14ac:dyDescent="0.25">
      <c r="A143" s="52"/>
      <c r="B143" s="103"/>
      <c r="C143" s="374" t="s">
        <v>8</v>
      </c>
      <c r="D143" s="54"/>
      <c r="E143" s="103"/>
      <c r="F143" s="55"/>
      <c r="G143" s="56"/>
    </row>
    <row r="144" spans="1:7" ht="13.5" thickTop="1" x14ac:dyDescent="0.2">
      <c r="A144" s="906"/>
      <c r="B144" s="907"/>
      <c r="C144" s="907"/>
      <c r="D144" s="57" t="s">
        <v>11</v>
      </c>
      <c r="E144" s="908" t="s">
        <v>12</v>
      </c>
      <c r="F144" s="908"/>
      <c r="G144" s="909"/>
    </row>
    <row r="145" spans="1:7" x14ac:dyDescent="0.2">
      <c r="A145" s="910" t="s">
        <v>17</v>
      </c>
      <c r="B145" s="911"/>
      <c r="C145" s="911"/>
      <c r="D145" s="39"/>
      <c r="E145" s="912"/>
      <c r="F145" s="913"/>
      <c r="G145" s="914"/>
    </row>
    <row r="146" spans="1:7" x14ac:dyDescent="0.2">
      <c r="A146" s="910" t="s">
        <v>38</v>
      </c>
      <c r="B146" s="911"/>
      <c r="C146" s="911"/>
      <c r="D146" s="58" t="s">
        <v>10</v>
      </c>
      <c r="E146" s="868" t="s">
        <v>142</v>
      </c>
      <c r="F146" s="868"/>
      <c r="G146" s="869"/>
    </row>
    <row r="147" spans="1:7" ht="13.5" thickBot="1" x14ac:dyDescent="0.25">
      <c r="A147" s="901" t="s">
        <v>39</v>
      </c>
      <c r="B147" s="902"/>
      <c r="C147" s="902"/>
      <c r="D147" s="59" t="s">
        <v>44</v>
      </c>
      <c r="E147" s="904" t="s">
        <v>0</v>
      </c>
      <c r="F147" s="904"/>
      <c r="G147" s="905"/>
    </row>
    <row r="148" spans="1:7" ht="16.5" x14ac:dyDescent="0.25">
      <c r="A148" s="885" t="s">
        <v>29</v>
      </c>
      <c r="B148" s="886"/>
      <c r="C148" s="886"/>
      <c r="D148" s="886"/>
      <c r="E148" s="886"/>
      <c r="F148" s="886"/>
      <c r="G148" s="887"/>
    </row>
    <row r="149" spans="1:7" x14ac:dyDescent="0.2">
      <c r="A149" s="888" t="s">
        <v>48</v>
      </c>
      <c r="B149" s="889"/>
      <c r="C149" s="889"/>
      <c r="D149" s="889"/>
      <c r="E149" s="889"/>
      <c r="F149" s="889"/>
      <c r="G149" s="890"/>
    </row>
    <row r="150" spans="1:7" x14ac:dyDescent="0.2">
      <c r="A150" s="915" t="s">
        <v>49</v>
      </c>
      <c r="B150" s="916"/>
      <c r="C150" s="916"/>
      <c r="D150" s="916"/>
      <c r="E150" s="916"/>
      <c r="F150" s="916"/>
      <c r="G150" s="917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57</v>
      </c>
      <c r="B152" s="13"/>
      <c r="C152" s="14" t="s">
        <v>66</v>
      </c>
      <c r="D152" s="13"/>
      <c r="E152" s="362" t="s">
        <v>1365</v>
      </c>
      <c r="F152" s="98"/>
      <c r="G152" s="363" t="s">
        <v>1349</v>
      </c>
    </row>
    <row r="153" spans="1:7" x14ac:dyDescent="0.2">
      <c r="A153" s="17" t="s">
        <v>8</v>
      </c>
      <c r="B153" s="100"/>
      <c r="C153" s="19"/>
      <c r="D153" s="4"/>
      <c r="E153" s="918"/>
      <c r="F153" s="919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920"/>
      <c r="F155" s="921"/>
      <c r="G155" s="25"/>
    </row>
    <row r="156" spans="1:7" ht="26.25" thickBot="1" x14ac:dyDescent="0.25">
      <c r="A156" s="207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101"/>
      <c r="C157" s="371" t="s">
        <v>242</v>
      </c>
      <c r="D157" s="370" t="s">
        <v>1282</v>
      </c>
      <c r="E157" s="108">
        <v>40</v>
      </c>
      <c r="F157" s="149">
        <v>250</v>
      </c>
      <c r="G157" s="35">
        <f>F157*E157</f>
        <v>10000</v>
      </c>
    </row>
    <row r="158" spans="1:7" x14ac:dyDescent="0.2">
      <c r="A158" s="29"/>
      <c r="B158" s="101"/>
      <c r="C158" s="371"/>
      <c r="D158" s="370" t="s">
        <v>1281</v>
      </c>
      <c r="E158" s="108"/>
      <c r="F158" s="128"/>
      <c r="G158" s="372"/>
    </row>
    <row r="159" spans="1:7" x14ac:dyDescent="0.2">
      <c r="A159" s="29"/>
      <c r="B159" s="105"/>
      <c r="C159" s="371"/>
      <c r="D159" s="376"/>
      <c r="E159" s="102"/>
      <c r="F159" s="128"/>
      <c r="G159" s="35"/>
    </row>
    <row r="160" spans="1:7" x14ac:dyDescent="0.2">
      <c r="A160" s="29"/>
      <c r="B160" s="105"/>
      <c r="C160" s="371"/>
      <c r="D160" s="376"/>
      <c r="E160" s="102"/>
      <c r="F160" s="128"/>
      <c r="G160" s="35"/>
    </row>
    <row r="161" spans="1:7" x14ac:dyDescent="0.2">
      <c r="A161" s="29"/>
      <c r="B161" s="105"/>
      <c r="C161" s="371"/>
      <c r="D161" s="376"/>
      <c r="E161" s="102"/>
      <c r="F161" s="128"/>
      <c r="G161" s="372"/>
    </row>
    <row r="162" spans="1:7" x14ac:dyDescent="0.2">
      <c r="A162" s="29"/>
      <c r="B162" s="151"/>
      <c r="C162" s="385"/>
      <c r="D162" s="376"/>
      <c r="E162" s="108"/>
      <c r="F162" s="150"/>
      <c r="G162" s="35"/>
    </row>
    <row r="163" spans="1:7" x14ac:dyDescent="0.2">
      <c r="A163" s="29"/>
      <c r="B163" s="151"/>
      <c r="C163" s="385"/>
      <c r="D163" s="383"/>
      <c r="E163" s="108"/>
      <c r="F163" s="150"/>
      <c r="G163" s="372"/>
    </row>
    <row r="164" spans="1:7" x14ac:dyDescent="0.2">
      <c r="A164" s="29"/>
      <c r="B164" s="101"/>
      <c r="C164" s="371"/>
      <c r="D164" s="447"/>
      <c r="E164" s="155"/>
      <c r="F164" s="128"/>
      <c r="G164" s="372"/>
    </row>
    <row r="165" spans="1:7" x14ac:dyDescent="0.2">
      <c r="A165" s="29"/>
      <c r="B165" s="106"/>
      <c r="C165" s="371"/>
      <c r="D165" s="376"/>
      <c r="E165" s="104"/>
      <c r="F165" s="128"/>
      <c r="G165" s="35"/>
    </row>
    <row r="166" spans="1:7" x14ac:dyDescent="0.2">
      <c r="A166" s="29"/>
      <c r="B166" s="106"/>
      <c r="C166" s="371"/>
      <c r="D166" s="376"/>
      <c r="E166" s="104"/>
      <c r="F166" s="128"/>
      <c r="G166" s="372"/>
    </row>
    <row r="167" spans="1:7" x14ac:dyDescent="0.2">
      <c r="A167" s="29"/>
      <c r="B167" s="105"/>
      <c r="C167" s="371"/>
      <c r="D167" s="376"/>
      <c r="E167" s="108"/>
      <c r="F167" s="152"/>
      <c r="G167" s="35"/>
    </row>
    <row r="168" spans="1:7" x14ac:dyDescent="0.2">
      <c r="A168" s="29"/>
      <c r="B168" s="107"/>
      <c r="C168" s="371"/>
      <c r="D168" s="376"/>
      <c r="E168" s="153"/>
      <c r="F168" s="128"/>
      <c r="G168" s="372"/>
    </row>
    <row r="169" spans="1:7" x14ac:dyDescent="0.2">
      <c r="A169" s="29"/>
      <c r="B169" s="107"/>
      <c r="C169" s="371"/>
      <c r="D169" s="376"/>
      <c r="E169" s="102"/>
      <c r="F169" s="128"/>
      <c r="G169" s="35"/>
    </row>
    <row r="170" spans="1:7" x14ac:dyDescent="0.2">
      <c r="A170" s="29"/>
      <c r="B170" s="101"/>
      <c r="C170" s="119"/>
      <c r="D170" s="376"/>
      <c r="E170" s="108"/>
      <c r="F170" s="150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 t="s">
        <v>152</v>
      </c>
      <c r="E187" s="102"/>
      <c r="F187" s="128"/>
      <c r="G187" s="35"/>
    </row>
    <row r="188" spans="1:7" x14ac:dyDescent="0.2">
      <c r="A188" s="29"/>
      <c r="B188" s="101"/>
      <c r="C188" s="31"/>
      <c r="D188" s="67"/>
      <c r="E188" s="131"/>
      <c r="F188" s="117"/>
      <c r="G188" s="35"/>
    </row>
    <row r="189" spans="1:7" x14ac:dyDescent="0.2">
      <c r="A189" s="29"/>
      <c r="B189" s="101"/>
      <c r="C189" s="41"/>
      <c r="D189" s="118"/>
      <c r="E189" s="108"/>
      <c r="F189" s="149"/>
      <c r="G189" s="35"/>
    </row>
    <row r="190" spans="1:7" x14ac:dyDescent="0.2">
      <c r="A190" s="29"/>
      <c r="B190" s="101"/>
      <c r="C190" s="41"/>
      <c r="D190" s="144"/>
      <c r="E190" s="108"/>
      <c r="F190" s="149"/>
      <c r="G190" s="35"/>
    </row>
    <row r="191" spans="1:7" ht="13.5" thickBot="1" x14ac:dyDescent="0.25">
      <c r="A191" s="45"/>
      <c r="B191" s="132"/>
      <c r="C191" s="115"/>
      <c r="D191" s="115"/>
      <c r="E191" s="132"/>
      <c r="F191" s="49" t="s">
        <v>15</v>
      </c>
      <c r="G191" s="50">
        <f>SUM(G157:G190)</f>
        <v>10000</v>
      </c>
    </row>
    <row r="192" spans="1:7" ht="13.5" thickTop="1" x14ac:dyDescent="0.2">
      <c r="A192" s="875" t="s">
        <v>1283</v>
      </c>
      <c r="B192" s="899"/>
      <c r="C192" s="899"/>
      <c r="D192" s="899"/>
      <c r="E192" s="899"/>
      <c r="F192" s="899"/>
      <c r="G192" s="900"/>
    </row>
    <row r="193" spans="1:7" ht="13.5" thickBot="1" x14ac:dyDescent="0.25">
      <c r="A193" s="52"/>
      <c r="B193" s="103"/>
      <c r="C193" s="374" t="s">
        <v>1284</v>
      </c>
      <c r="D193" s="54"/>
      <c r="E193" s="103"/>
      <c r="F193" s="55"/>
      <c r="G193" s="56"/>
    </row>
    <row r="194" spans="1:7" ht="13.5" thickTop="1" x14ac:dyDescent="0.2">
      <c r="A194" s="906"/>
      <c r="B194" s="907"/>
      <c r="C194" s="907"/>
      <c r="D194" s="57" t="s">
        <v>11</v>
      </c>
      <c r="E194" s="908" t="s">
        <v>12</v>
      </c>
      <c r="F194" s="908"/>
      <c r="G194" s="909"/>
    </row>
    <row r="195" spans="1:7" x14ac:dyDescent="0.2">
      <c r="A195" s="910" t="s">
        <v>17</v>
      </c>
      <c r="B195" s="911"/>
      <c r="C195" s="911"/>
      <c r="D195" s="39"/>
      <c r="E195" s="912"/>
      <c r="F195" s="913"/>
      <c r="G195" s="914"/>
    </row>
    <row r="196" spans="1:7" x14ac:dyDescent="0.2">
      <c r="A196" s="910" t="s">
        <v>38</v>
      </c>
      <c r="B196" s="911"/>
      <c r="C196" s="911"/>
      <c r="D196" s="58" t="s">
        <v>10</v>
      </c>
      <c r="E196" s="868" t="s">
        <v>142</v>
      </c>
      <c r="F196" s="868"/>
      <c r="G196" s="869"/>
    </row>
    <row r="197" spans="1:7" ht="13.5" thickBot="1" x14ac:dyDescent="0.25">
      <c r="A197" s="901" t="s">
        <v>39</v>
      </c>
      <c r="B197" s="902"/>
      <c r="C197" s="902"/>
      <c r="D197" s="59" t="s">
        <v>44</v>
      </c>
      <c r="E197" s="904" t="s">
        <v>0</v>
      </c>
      <c r="F197" s="904"/>
      <c r="G197" s="905"/>
    </row>
    <row r="198" spans="1:7" ht="16.5" x14ac:dyDescent="0.25">
      <c r="A198" s="885" t="s">
        <v>29</v>
      </c>
      <c r="B198" s="886"/>
      <c r="C198" s="886"/>
      <c r="D198" s="886"/>
      <c r="E198" s="886"/>
      <c r="F198" s="886"/>
      <c r="G198" s="887"/>
    </row>
    <row r="199" spans="1:7" x14ac:dyDescent="0.2">
      <c r="A199" s="888" t="s">
        <v>48</v>
      </c>
      <c r="B199" s="889"/>
      <c r="C199" s="889"/>
      <c r="D199" s="889"/>
      <c r="E199" s="889"/>
      <c r="F199" s="889"/>
      <c r="G199" s="890"/>
    </row>
    <row r="200" spans="1:7" x14ac:dyDescent="0.2">
      <c r="A200" s="915" t="s">
        <v>49</v>
      </c>
      <c r="B200" s="916"/>
      <c r="C200" s="916"/>
      <c r="D200" s="916"/>
      <c r="E200" s="916"/>
      <c r="F200" s="916"/>
      <c r="G200" s="917"/>
    </row>
    <row r="201" spans="1:7" x14ac:dyDescent="0.2">
      <c r="A201" s="6"/>
      <c r="B201" s="99"/>
      <c r="C201" s="8"/>
      <c r="D201" s="9"/>
      <c r="E201" s="99"/>
      <c r="F201" s="10"/>
      <c r="G201" s="11" t="s">
        <v>20</v>
      </c>
    </row>
    <row r="202" spans="1:7" x14ac:dyDescent="0.2">
      <c r="A202" s="12" t="s">
        <v>57</v>
      </c>
      <c r="B202" s="13"/>
      <c r="C202" s="14" t="s">
        <v>66</v>
      </c>
      <c r="D202" s="13"/>
      <c r="E202" s="362" t="s">
        <v>1445</v>
      </c>
      <c r="F202" s="98"/>
      <c r="G202" s="363" t="s">
        <v>1391</v>
      </c>
    </row>
    <row r="203" spans="1:7" x14ac:dyDescent="0.2">
      <c r="A203" s="17" t="s">
        <v>8</v>
      </c>
      <c r="B203" s="100"/>
      <c r="C203" s="19"/>
      <c r="D203" s="4"/>
      <c r="E203" s="918"/>
      <c r="F203" s="919"/>
      <c r="G203" s="20"/>
    </row>
    <row r="204" spans="1:7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7" x14ac:dyDescent="0.2">
      <c r="A205" s="6"/>
      <c r="B205" s="99"/>
      <c r="C205" s="8"/>
      <c r="D205" s="8"/>
      <c r="E205" s="920"/>
      <c r="F205" s="921"/>
      <c r="G205" s="25"/>
    </row>
    <row r="206" spans="1:7" ht="26.25" thickBot="1" x14ac:dyDescent="0.25">
      <c r="A206" s="207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7" ht="13.5" thickTop="1" x14ac:dyDescent="0.2">
      <c r="A207" s="29"/>
      <c r="B207" s="101"/>
      <c r="C207" s="371"/>
      <c r="D207" s="359" t="s">
        <v>878</v>
      </c>
      <c r="E207" s="108"/>
      <c r="F207" s="149"/>
      <c r="G207" s="35"/>
    </row>
    <row r="208" spans="1:7" x14ac:dyDescent="0.2">
      <c r="A208" s="29">
        <v>1</v>
      </c>
      <c r="B208" s="101"/>
      <c r="C208" s="371" t="s">
        <v>242</v>
      </c>
      <c r="D208" s="370" t="s">
        <v>1392</v>
      </c>
      <c r="E208" s="108">
        <v>50</v>
      </c>
      <c r="F208" s="128">
        <v>200</v>
      </c>
      <c r="G208" s="372">
        <f>F208*E208</f>
        <v>10000</v>
      </c>
    </row>
    <row r="209" spans="1:7" x14ac:dyDescent="0.2">
      <c r="A209" s="29"/>
      <c r="B209" s="105"/>
      <c r="C209" s="371"/>
      <c r="D209" s="376" t="s">
        <v>1393</v>
      </c>
      <c r="E209" s="102"/>
      <c r="F209" s="128"/>
      <c r="G209" s="372" t="s">
        <v>8</v>
      </c>
    </row>
    <row r="210" spans="1:7" x14ac:dyDescent="0.2">
      <c r="A210" s="29">
        <v>2</v>
      </c>
      <c r="B210" s="105"/>
      <c r="C210" s="371" t="s">
        <v>242</v>
      </c>
      <c r="D210" s="376" t="s">
        <v>339</v>
      </c>
      <c r="E210" s="102">
        <v>50</v>
      </c>
      <c r="F210" s="128">
        <v>350</v>
      </c>
      <c r="G210" s="372">
        <f t="shared" ref="G210:G225" si="3">F210*E210</f>
        <v>17500</v>
      </c>
    </row>
    <row r="211" spans="1:7" x14ac:dyDescent="0.2">
      <c r="A211" s="29"/>
      <c r="B211" s="105"/>
      <c r="C211" s="371"/>
      <c r="D211" s="376" t="s">
        <v>301</v>
      </c>
      <c r="E211" s="102"/>
      <c r="F211" s="128"/>
      <c r="G211" s="372" t="s">
        <v>8</v>
      </c>
    </row>
    <row r="212" spans="1:7" x14ac:dyDescent="0.2">
      <c r="A212" s="29">
        <v>3</v>
      </c>
      <c r="B212" s="151"/>
      <c r="C212" s="385" t="s">
        <v>242</v>
      </c>
      <c r="D212" s="376" t="s">
        <v>1394</v>
      </c>
      <c r="E212" s="108">
        <v>50</v>
      </c>
      <c r="F212" s="150">
        <v>200</v>
      </c>
      <c r="G212" s="372">
        <f t="shared" si="3"/>
        <v>10000</v>
      </c>
    </row>
    <row r="213" spans="1:7" x14ac:dyDescent="0.2">
      <c r="A213" s="29"/>
      <c r="B213" s="151"/>
      <c r="C213" s="385"/>
      <c r="D213" s="358" t="s">
        <v>880</v>
      </c>
      <c r="E213" s="108"/>
      <c r="F213" s="150"/>
      <c r="G213" s="372" t="s">
        <v>8</v>
      </c>
    </row>
    <row r="214" spans="1:7" x14ac:dyDescent="0.2">
      <c r="A214" s="29">
        <v>4</v>
      </c>
      <c r="B214" s="101"/>
      <c r="C214" s="371" t="s">
        <v>242</v>
      </c>
      <c r="D214" s="448" t="s">
        <v>1395</v>
      </c>
      <c r="E214" s="155">
        <v>50</v>
      </c>
      <c r="F214" s="128">
        <v>200</v>
      </c>
      <c r="G214" s="372">
        <f t="shared" si="3"/>
        <v>10000</v>
      </c>
    </row>
    <row r="215" spans="1:7" x14ac:dyDescent="0.2">
      <c r="A215" s="29"/>
      <c r="B215" s="106"/>
      <c r="C215" s="371"/>
      <c r="D215" s="376" t="s">
        <v>1393</v>
      </c>
      <c r="E215" s="104"/>
      <c r="F215" s="128"/>
      <c r="G215" s="372" t="s">
        <v>8</v>
      </c>
    </row>
    <row r="216" spans="1:7" x14ac:dyDescent="0.2">
      <c r="A216" s="29">
        <v>5</v>
      </c>
      <c r="B216" s="106"/>
      <c r="C216" s="371" t="s">
        <v>242</v>
      </c>
      <c r="D216" s="376" t="s">
        <v>339</v>
      </c>
      <c r="E216" s="104">
        <v>50</v>
      </c>
      <c r="F216" s="128">
        <v>350</v>
      </c>
      <c r="G216" s="372">
        <f t="shared" si="3"/>
        <v>17500</v>
      </c>
    </row>
    <row r="217" spans="1:7" x14ac:dyDescent="0.2">
      <c r="A217" s="29"/>
      <c r="B217" s="105"/>
      <c r="C217" s="371"/>
      <c r="D217" s="376" t="s">
        <v>301</v>
      </c>
      <c r="E217" s="108"/>
      <c r="F217" s="152"/>
      <c r="G217" s="372" t="s">
        <v>8</v>
      </c>
    </row>
    <row r="218" spans="1:7" x14ac:dyDescent="0.2">
      <c r="A218" s="29">
        <v>6</v>
      </c>
      <c r="B218" s="107"/>
      <c r="C218" s="371" t="s">
        <v>242</v>
      </c>
      <c r="D218" s="376" t="s">
        <v>1396</v>
      </c>
      <c r="E218" s="153">
        <v>50</v>
      </c>
      <c r="F218" s="128">
        <v>200</v>
      </c>
      <c r="G218" s="372">
        <f t="shared" si="3"/>
        <v>10000</v>
      </c>
    </row>
    <row r="219" spans="1:7" x14ac:dyDescent="0.2">
      <c r="A219" s="29"/>
      <c r="B219" s="107"/>
      <c r="C219" s="371"/>
      <c r="D219" s="376" t="s">
        <v>1397</v>
      </c>
      <c r="E219" s="102"/>
      <c r="F219" s="128"/>
      <c r="G219" s="372" t="s">
        <v>8</v>
      </c>
    </row>
    <row r="220" spans="1:7" x14ac:dyDescent="0.2">
      <c r="A220" s="29"/>
      <c r="B220" s="101"/>
      <c r="C220" s="119"/>
      <c r="D220" s="357" t="s">
        <v>881</v>
      </c>
      <c r="E220" s="108"/>
      <c r="F220" s="150"/>
      <c r="G220" s="372" t="s">
        <v>8</v>
      </c>
    </row>
    <row r="221" spans="1:7" x14ac:dyDescent="0.2">
      <c r="A221" s="29">
        <v>7</v>
      </c>
      <c r="B221" s="101"/>
      <c r="C221" s="371" t="s">
        <v>242</v>
      </c>
      <c r="D221" s="384" t="s">
        <v>1398</v>
      </c>
      <c r="E221" s="153">
        <v>50</v>
      </c>
      <c r="F221" s="128">
        <v>200</v>
      </c>
      <c r="G221" s="372">
        <f t="shared" si="3"/>
        <v>10000</v>
      </c>
    </row>
    <row r="222" spans="1:7" x14ac:dyDescent="0.2">
      <c r="A222" s="29"/>
      <c r="B222" s="106"/>
      <c r="C222" s="41"/>
      <c r="D222" s="384" t="s">
        <v>1399</v>
      </c>
      <c r="E222" s="104"/>
      <c r="F222" s="154"/>
      <c r="G222" s="372" t="s">
        <v>8</v>
      </c>
    </row>
    <row r="223" spans="1:7" x14ac:dyDescent="0.2">
      <c r="A223" s="29">
        <v>8</v>
      </c>
      <c r="B223" s="105"/>
      <c r="C223" s="371" t="s">
        <v>242</v>
      </c>
      <c r="D223" s="419" t="s">
        <v>339</v>
      </c>
      <c r="E223" s="104">
        <v>50</v>
      </c>
      <c r="F223" s="154">
        <v>350</v>
      </c>
      <c r="G223" s="372">
        <f t="shared" si="3"/>
        <v>17500</v>
      </c>
    </row>
    <row r="224" spans="1:7" x14ac:dyDescent="0.2">
      <c r="A224" s="29"/>
      <c r="B224" s="105"/>
      <c r="C224" s="41"/>
      <c r="D224" s="384" t="s">
        <v>301</v>
      </c>
      <c r="E224" s="104"/>
      <c r="F224" s="154"/>
      <c r="G224" s="372" t="s">
        <v>8</v>
      </c>
    </row>
    <row r="225" spans="1:7" x14ac:dyDescent="0.2">
      <c r="A225" s="29">
        <v>9</v>
      </c>
      <c r="B225" s="101"/>
      <c r="C225" s="371" t="s">
        <v>242</v>
      </c>
      <c r="D225" s="384" t="s">
        <v>1400</v>
      </c>
      <c r="E225" s="104">
        <v>50</v>
      </c>
      <c r="F225" s="154">
        <v>200</v>
      </c>
      <c r="G225" s="372">
        <f t="shared" si="3"/>
        <v>10000</v>
      </c>
    </row>
    <row r="226" spans="1:7" x14ac:dyDescent="0.2">
      <c r="A226" s="29"/>
      <c r="B226" s="101"/>
      <c r="C226" s="41"/>
      <c r="D226" s="376" t="s">
        <v>1401</v>
      </c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 t="s">
        <v>152</v>
      </c>
      <c r="E237" s="102"/>
      <c r="F237" s="128"/>
      <c r="G237" s="35"/>
    </row>
    <row r="238" spans="1:7" x14ac:dyDescent="0.2">
      <c r="A238" s="29"/>
      <c r="B238" s="101"/>
      <c r="C238" s="31"/>
      <c r="D238" s="67"/>
      <c r="E238" s="131"/>
      <c r="F238" s="117"/>
      <c r="G238" s="35"/>
    </row>
    <row r="239" spans="1:7" x14ac:dyDescent="0.2">
      <c r="A239" s="29"/>
      <c r="B239" s="101"/>
      <c r="C239" s="41"/>
      <c r="D239" s="118"/>
      <c r="E239" s="108"/>
      <c r="F239" s="149"/>
      <c r="G239" s="35"/>
    </row>
    <row r="240" spans="1:7" x14ac:dyDescent="0.2">
      <c r="A240" s="29"/>
      <c r="B240" s="101"/>
      <c r="C240" s="41"/>
      <c r="D240" s="144"/>
      <c r="E240" s="108"/>
      <c r="F240" s="149"/>
      <c r="G240" s="35"/>
    </row>
    <row r="241" spans="1:9" ht="13.5" thickBot="1" x14ac:dyDescent="0.25">
      <c r="A241" s="45"/>
      <c r="B241" s="132"/>
      <c r="C241" s="115"/>
      <c r="D241" s="115"/>
      <c r="E241" s="132"/>
      <c r="F241" s="49" t="s">
        <v>15</v>
      </c>
      <c r="G241" s="50">
        <f>SUM(G208:G240)</f>
        <v>112500</v>
      </c>
    </row>
    <row r="242" spans="1:9" ht="13.5" thickTop="1" x14ac:dyDescent="0.2">
      <c r="A242" s="875" t="s">
        <v>1402</v>
      </c>
      <c r="B242" s="899"/>
      <c r="C242" s="899"/>
      <c r="D242" s="899"/>
      <c r="E242" s="899"/>
      <c r="F242" s="899"/>
      <c r="G242" s="900"/>
    </row>
    <row r="243" spans="1:9" ht="13.5" thickBot="1" x14ac:dyDescent="0.25">
      <c r="A243" s="52"/>
      <c r="B243" s="103"/>
      <c r="C243" s="374" t="s">
        <v>8</v>
      </c>
      <c r="D243" s="54"/>
      <c r="E243" s="103"/>
      <c r="F243" s="55"/>
      <c r="G243" s="56"/>
    </row>
    <row r="244" spans="1:9" ht="13.5" thickTop="1" x14ac:dyDescent="0.2">
      <c r="A244" s="906"/>
      <c r="B244" s="907"/>
      <c r="C244" s="907"/>
      <c r="D244" s="57" t="s">
        <v>11</v>
      </c>
      <c r="E244" s="908" t="s">
        <v>12</v>
      </c>
      <c r="F244" s="908"/>
      <c r="G244" s="909"/>
    </row>
    <row r="245" spans="1:9" x14ac:dyDescent="0.2">
      <c r="A245" s="910" t="s">
        <v>17</v>
      </c>
      <c r="B245" s="911"/>
      <c r="C245" s="911"/>
      <c r="D245" s="39"/>
      <c r="E245" s="912"/>
      <c r="F245" s="913"/>
      <c r="G245" s="914"/>
    </row>
    <row r="246" spans="1:9" x14ac:dyDescent="0.2">
      <c r="A246" s="910" t="s">
        <v>38</v>
      </c>
      <c r="B246" s="911"/>
      <c r="C246" s="911"/>
      <c r="D246" s="58" t="s">
        <v>10</v>
      </c>
      <c r="E246" s="868" t="s">
        <v>142</v>
      </c>
      <c r="F246" s="868"/>
      <c r="G246" s="869"/>
    </row>
    <row r="247" spans="1:9" ht="13.5" thickBot="1" x14ac:dyDescent="0.25">
      <c r="A247" s="901" t="s">
        <v>39</v>
      </c>
      <c r="B247" s="902"/>
      <c r="C247" s="902"/>
      <c r="D247" s="59" t="s">
        <v>44</v>
      </c>
      <c r="E247" s="904" t="s">
        <v>0</v>
      </c>
      <c r="F247" s="904"/>
      <c r="G247" s="905"/>
    </row>
    <row r="248" spans="1:9" ht="16.5" x14ac:dyDescent="0.25">
      <c r="A248" s="885" t="s">
        <v>29</v>
      </c>
      <c r="B248" s="886"/>
      <c r="C248" s="886"/>
      <c r="D248" s="886"/>
      <c r="E248" s="886"/>
      <c r="F248" s="886"/>
      <c r="G248" s="887"/>
    </row>
    <row r="249" spans="1:9" x14ac:dyDescent="0.2">
      <c r="A249" s="888" t="s">
        <v>48</v>
      </c>
      <c r="B249" s="889"/>
      <c r="C249" s="889"/>
      <c r="D249" s="889"/>
      <c r="E249" s="889"/>
      <c r="F249" s="889"/>
      <c r="G249" s="890"/>
    </row>
    <row r="250" spans="1:9" x14ac:dyDescent="0.2">
      <c r="A250" s="915" t="s">
        <v>49</v>
      </c>
      <c r="B250" s="916"/>
      <c r="C250" s="916"/>
      <c r="D250" s="916"/>
      <c r="E250" s="916"/>
      <c r="F250" s="916"/>
      <c r="G250" s="917"/>
    </row>
    <row r="251" spans="1:9" x14ac:dyDescent="0.2">
      <c r="A251" s="6"/>
      <c r="B251" s="99"/>
      <c r="C251" s="8"/>
      <c r="D251" s="9"/>
      <c r="E251" s="99"/>
      <c r="F251" s="10"/>
      <c r="G251" s="11" t="s">
        <v>20</v>
      </c>
    </row>
    <row r="252" spans="1:9" x14ac:dyDescent="0.2">
      <c r="A252" s="12" t="s">
        <v>57</v>
      </c>
      <c r="B252" s="13"/>
      <c r="C252" s="14" t="s">
        <v>66</v>
      </c>
      <c r="D252" s="13"/>
      <c r="E252" s="362" t="s">
        <v>1448</v>
      </c>
      <c r="F252" s="98"/>
      <c r="G252" s="363" t="s">
        <v>1391</v>
      </c>
    </row>
    <row r="253" spans="1:9" x14ac:dyDescent="0.2">
      <c r="A253" s="17" t="s">
        <v>8</v>
      </c>
      <c r="B253" s="100"/>
      <c r="C253" s="19"/>
      <c r="D253" s="4"/>
      <c r="E253" s="918"/>
      <c r="F253" s="919"/>
      <c r="G253" s="20"/>
    </row>
    <row r="254" spans="1:9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9" x14ac:dyDescent="0.2">
      <c r="A255" s="6"/>
      <c r="B255" s="99"/>
      <c r="C255" s="8"/>
      <c r="D255" s="8"/>
      <c r="E255" s="920"/>
      <c r="F255" s="921"/>
      <c r="G255" s="25"/>
    </row>
    <row r="256" spans="1:9" ht="26.25" thickBot="1" x14ac:dyDescent="0.25">
      <c r="A256" s="207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  <c r="I256" s="430" t="s">
        <v>152</v>
      </c>
    </row>
    <row r="257" spans="1:7" ht="13.5" thickTop="1" x14ac:dyDescent="0.2">
      <c r="A257" s="29"/>
      <c r="B257" s="101"/>
      <c r="C257" s="371"/>
      <c r="D257" s="359" t="s">
        <v>878</v>
      </c>
      <c r="E257" s="108"/>
      <c r="F257" s="149"/>
      <c r="G257" s="35"/>
    </row>
    <row r="258" spans="1:7" x14ac:dyDescent="0.2">
      <c r="A258" s="29">
        <v>1</v>
      </c>
      <c r="B258" s="101"/>
      <c r="C258" s="371" t="s">
        <v>242</v>
      </c>
      <c r="D258" s="370" t="s">
        <v>1392</v>
      </c>
      <c r="E258" s="108">
        <v>50</v>
      </c>
      <c r="F258" s="128">
        <v>200</v>
      </c>
      <c r="G258" s="372">
        <f>F258*E258</f>
        <v>10000</v>
      </c>
    </row>
    <row r="259" spans="1:7" x14ac:dyDescent="0.2">
      <c r="A259" s="29"/>
      <c r="B259" s="105"/>
      <c r="C259" s="371"/>
      <c r="D259" s="376" t="s">
        <v>1393</v>
      </c>
      <c r="E259" s="102"/>
      <c r="F259" s="128"/>
      <c r="G259" s="372" t="s">
        <v>8</v>
      </c>
    </row>
    <row r="260" spans="1:7" x14ac:dyDescent="0.2">
      <c r="A260" s="29">
        <v>2</v>
      </c>
      <c r="B260" s="105"/>
      <c r="C260" s="371" t="s">
        <v>242</v>
      </c>
      <c r="D260" s="376" t="s">
        <v>339</v>
      </c>
      <c r="E260" s="102">
        <v>50</v>
      </c>
      <c r="F260" s="128">
        <v>350</v>
      </c>
      <c r="G260" s="372">
        <f t="shared" ref="G260" si="4">F260*E260</f>
        <v>17500</v>
      </c>
    </row>
    <row r="261" spans="1:7" x14ac:dyDescent="0.2">
      <c r="A261" s="29"/>
      <c r="B261" s="105"/>
      <c r="C261" s="371"/>
      <c r="D261" s="376" t="s">
        <v>301</v>
      </c>
      <c r="E261" s="102"/>
      <c r="F261" s="128"/>
      <c r="G261" s="372" t="s">
        <v>8</v>
      </c>
    </row>
    <row r="262" spans="1:7" x14ac:dyDescent="0.2">
      <c r="A262" s="29">
        <v>3</v>
      </c>
      <c r="B262" s="151"/>
      <c r="C262" s="385" t="s">
        <v>242</v>
      </c>
      <c r="D262" s="376" t="s">
        <v>1403</v>
      </c>
      <c r="E262" s="108">
        <v>50</v>
      </c>
      <c r="F262" s="150">
        <v>200</v>
      </c>
      <c r="G262" s="372">
        <f t="shared" ref="G262" si="5">F262*E262</f>
        <v>10000</v>
      </c>
    </row>
    <row r="263" spans="1:7" x14ac:dyDescent="0.2">
      <c r="A263" s="29"/>
      <c r="B263" s="151"/>
      <c r="C263" s="385"/>
      <c r="D263" s="376" t="s">
        <v>1404</v>
      </c>
      <c r="E263" s="108"/>
      <c r="F263" s="150"/>
      <c r="G263" s="372"/>
    </row>
    <row r="264" spans="1:7" x14ac:dyDescent="0.2">
      <c r="A264" s="29"/>
      <c r="B264" s="151"/>
      <c r="C264" s="385"/>
      <c r="D264" s="358" t="s">
        <v>880</v>
      </c>
      <c r="E264" s="108"/>
      <c r="F264" s="150"/>
      <c r="G264" s="372" t="s">
        <v>8</v>
      </c>
    </row>
    <row r="265" spans="1:7" x14ac:dyDescent="0.2">
      <c r="A265" s="29">
        <v>4</v>
      </c>
      <c r="B265" s="101"/>
      <c r="C265" s="371" t="s">
        <v>242</v>
      </c>
      <c r="D265" s="448" t="s">
        <v>1405</v>
      </c>
      <c r="E265" s="155">
        <v>50</v>
      </c>
      <c r="F265" s="128">
        <v>200</v>
      </c>
      <c r="G265" s="372">
        <f t="shared" ref="G265" si="6">F265*E265</f>
        <v>10000</v>
      </c>
    </row>
    <row r="266" spans="1:7" x14ac:dyDescent="0.2">
      <c r="A266" s="29"/>
      <c r="B266" s="106"/>
      <c r="C266" s="371"/>
      <c r="D266" s="376" t="s">
        <v>1393</v>
      </c>
      <c r="E266" s="104"/>
      <c r="F266" s="128"/>
      <c r="G266" s="372" t="s">
        <v>8</v>
      </c>
    </row>
    <row r="267" spans="1:7" x14ac:dyDescent="0.2">
      <c r="A267" s="29">
        <v>5</v>
      </c>
      <c r="B267" s="106"/>
      <c r="C267" s="371" t="s">
        <v>242</v>
      </c>
      <c r="D267" s="376" t="s">
        <v>339</v>
      </c>
      <c r="E267" s="104">
        <v>50</v>
      </c>
      <c r="F267" s="128">
        <v>350</v>
      </c>
      <c r="G267" s="372">
        <f t="shared" ref="G267" si="7">F267*E267</f>
        <v>17500</v>
      </c>
    </row>
    <row r="268" spans="1:7" x14ac:dyDescent="0.2">
      <c r="A268" s="29"/>
      <c r="B268" s="105"/>
      <c r="C268" s="371"/>
      <c r="D268" s="376" t="s">
        <v>301</v>
      </c>
      <c r="E268" s="108"/>
      <c r="F268" s="152"/>
      <c r="G268" s="372" t="s">
        <v>8</v>
      </c>
    </row>
    <row r="269" spans="1:7" x14ac:dyDescent="0.2">
      <c r="A269" s="29">
        <v>6</v>
      </c>
      <c r="B269" s="107"/>
      <c r="C269" s="371" t="s">
        <v>242</v>
      </c>
      <c r="D269" s="376" t="s">
        <v>1406</v>
      </c>
      <c r="E269" s="153">
        <v>50</v>
      </c>
      <c r="F269" s="128">
        <v>200</v>
      </c>
      <c r="G269" s="372">
        <f t="shared" ref="G269" si="8">F269*E269</f>
        <v>10000</v>
      </c>
    </row>
    <row r="270" spans="1:7" x14ac:dyDescent="0.2">
      <c r="A270" s="29"/>
      <c r="B270" s="107"/>
      <c r="C270" s="371"/>
      <c r="D270" s="376" t="s">
        <v>1397</v>
      </c>
      <c r="E270" s="102"/>
      <c r="F270" s="128"/>
      <c r="G270" s="372" t="s">
        <v>8</v>
      </c>
    </row>
    <row r="271" spans="1:7" x14ac:dyDescent="0.2">
      <c r="A271" s="29"/>
      <c r="B271" s="101"/>
      <c r="C271" s="119"/>
      <c r="D271" s="357" t="s">
        <v>881</v>
      </c>
      <c r="E271" s="108"/>
      <c r="F271" s="150"/>
      <c r="G271" s="372" t="s">
        <v>8</v>
      </c>
    </row>
    <row r="272" spans="1:7" x14ac:dyDescent="0.2">
      <c r="A272" s="29">
        <v>7</v>
      </c>
      <c r="B272" s="101"/>
      <c r="C272" s="371" t="s">
        <v>242</v>
      </c>
      <c r="D272" s="384" t="s">
        <v>1453</v>
      </c>
      <c r="E272" s="153">
        <v>50</v>
      </c>
      <c r="F272" s="128">
        <v>200</v>
      </c>
      <c r="G272" s="372">
        <f t="shared" ref="G272" si="9">F272*E272</f>
        <v>10000</v>
      </c>
    </row>
    <row r="273" spans="1:7" x14ac:dyDescent="0.2">
      <c r="A273" s="29"/>
      <c r="B273" s="106"/>
      <c r="C273" s="41"/>
      <c r="D273" s="384" t="s">
        <v>1276</v>
      </c>
      <c r="E273" s="104"/>
      <c r="F273" s="154"/>
      <c r="G273" s="372" t="s">
        <v>8</v>
      </c>
    </row>
    <row r="274" spans="1:7" x14ac:dyDescent="0.2">
      <c r="A274" s="29">
        <v>8</v>
      </c>
      <c r="B274" s="105"/>
      <c r="C274" s="371" t="s">
        <v>242</v>
      </c>
      <c r="D274" s="419" t="s">
        <v>339</v>
      </c>
      <c r="E274" s="104">
        <v>50</v>
      </c>
      <c r="F274" s="154">
        <v>350</v>
      </c>
      <c r="G274" s="372">
        <f t="shared" ref="G274" si="10">F274*E274</f>
        <v>17500</v>
      </c>
    </row>
    <row r="275" spans="1:7" x14ac:dyDescent="0.2">
      <c r="A275" s="29"/>
      <c r="B275" s="105"/>
      <c r="C275" s="41"/>
      <c r="D275" s="384" t="s">
        <v>301</v>
      </c>
      <c r="E275" s="104"/>
      <c r="F275" s="154"/>
      <c r="G275" s="372" t="s">
        <v>8</v>
      </c>
    </row>
    <row r="276" spans="1:7" x14ac:dyDescent="0.2">
      <c r="A276" s="29">
        <v>9</v>
      </c>
      <c r="B276" s="101"/>
      <c r="C276" s="371" t="s">
        <v>242</v>
      </c>
      <c r="D276" s="384" t="s">
        <v>1407</v>
      </c>
      <c r="E276" s="104">
        <v>50</v>
      </c>
      <c r="F276" s="154">
        <v>200</v>
      </c>
      <c r="G276" s="372">
        <f t="shared" ref="G276" si="11">F276*E276</f>
        <v>10000</v>
      </c>
    </row>
    <row r="277" spans="1:7" x14ac:dyDescent="0.2">
      <c r="A277" s="29"/>
      <c r="B277" s="101"/>
      <c r="C277" s="41"/>
      <c r="D277" s="376" t="s">
        <v>1401</v>
      </c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62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2"/>
      <c r="E282" s="104"/>
      <c r="F282" s="154"/>
      <c r="G282" s="35"/>
    </row>
    <row r="283" spans="1:7" x14ac:dyDescent="0.2">
      <c r="A283" s="29"/>
      <c r="B283" s="101"/>
      <c r="C283" s="41"/>
      <c r="D283" s="67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 t="s">
        <v>152</v>
      </c>
      <c r="E287" s="102"/>
      <c r="F287" s="128"/>
      <c r="G287" s="35"/>
    </row>
    <row r="288" spans="1:7" x14ac:dyDescent="0.2">
      <c r="A288" s="29"/>
      <c r="B288" s="101"/>
      <c r="C288" s="31"/>
      <c r="D288" s="67"/>
      <c r="E288" s="131"/>
      <c r="F288" s="117"/>
      <c r="G288" s="35"/>
    </row>
    <row r="289" spans="1:7" x14ac:dyDescent="0.2">
      <c r="A289" s="29"/>
      <c r="B289" s="101"/>
      <c r="C289" s="41"/>
      <c r="D289" s="118"/>
      <c r="E289" s="108"/>
      <c r="F289" s="149"/>
      <c r="G289" s="35"/>
    </row>
    <row r="290" spans="1:7" x14ac:dyDescent="0.2">
      <c r="A290" s="29"/>
      <c r="B290" s="101"/>
      <c r="C290" s="41"/>
      <c r="D290" s="144"/>
      <c r="E290" s="108"/>
      <c r="F290" s="149"/>
      <c r="G290" s="35"/>
    </row>
    <row r="291" spans="1:7" ht="13.5" thickBot="1" x14ac:dyDescent="0.25">
      <c r="A291" s="45"/>
      <c r="B291" s="132"/>
      <c r="C291" s="115"/>
      <c r="D291" s="115"/>
      <c r="E291" s="132"/>
      <c r="F291" s="49" t="s">
        <v>15</v>
      </c>
      <c r="G291" s="50">
        <f>SUM(G258:G290)</f>
        <v>112500</v>
      </c>
    </row>
    <row r="292" spans="1:7" ht="13.5" thickTop="1" x14ac:dyDescent="0.2">
      <c r="A292" s="875" t="s">
        <v>1449</v>
      </c>
      <c r="B292" s="899"/>
      <c r="C292" s="899"/>
      <c r="D292" s="899"/>
      <c r="E292" s="899"/>
      <c r="F292" s="899"/>
      <c r="G292" s="900"/>
    </row>
    <row r="293" spans="1:7" ht="13.5" thickBot="1" x14ac:dyDescent="0.25">
      <c r="A293" s="52"/>
      <c r="B293" s="103"/>
      <c r="C293" s="374" t="s">
        <v>1450</v>
      </c>
      <c r="D293" s="54"/>
      <c r="E293" s="103"/>
      <c r="F293" s="55"/>
      <c r="G293" s="56"/>
    </row>
    <row r="294" spans="1:7" ht="13.5" thickTop="1" x14ac:dyDescent="0.2">
      <c r="A294" s="906"/>
      <c r="B294" s="907"/>
      <c r="C294" s="907"/>
      <c r="D294" s="57" t="s">
        <v>11</v>
      </c>
      <c r="E294" s="908" t="s">
        <v>12</v>
      </c>
      <c r="F294" s="908"/>
      <c r="G294" s="909"/>
    </row>
    <row r="295" spans="1:7" x14ac:dyDescent="0.2">
      <c r="A295" s="910" t="s">
        <v>17</v>
      </c>
      <c r="B295" s="911"/>
      <c r="C295" s="911"/>
      <c r="D295" s="39"/>
      <c r="E295" s="912"/>
      <c r="F295" s="913"/>
      <c r="G295" s="914"/>
    </row>
    <row r="296" spans="1:7" x14ac:dyDescent="0.2">
      <c r="A296" s="910" t="s">
        <v>38</v>
      </c>
      <c r="B296" s="911"/>
      <c r="C296" s="911"/>
      <c r="D296" s="58" t="s">
        <v>10</v>
      </c>
      <c r="E296" s="868" t="s">
        <v>142</v>
      </c>
      <c r="F296" s="868"/>
      <c r="G296" s="869"/>
    </row>
    <row r="297" spans="1:7" ht="13.5" thickBot="1" x14ac:dyDescent="0.25">
      <c r="A297" s="901" t="s">
        <v>39</v>
      </c>
      <c r="B297" s="902"/>
      <c r="C297" s="902"/>
      <c r="D297" s="59" t="s">
        <v>44</v>
      </c>
      <c r="E297" s="904" t="s">
        <v>0</v>
      </c>
      <c r="F297" s="904"/>
      <c r="G297" s="905"/>
    </row>
    <row r="298" spans="1:7" ht="16.5" x14ac:dyDescent="0.25">
      <c r="A298" s="885" t="s">
        <v>29</v>
      </c>
      <c r="B298" s="886"/>
      <c r="C298" s="886"/>
      <c r="D298" s="886"/>
      <c r="E298" s="886"/>
      <c r="F298" s="886"/>
      <c r="G298" s="887"/>
    </row>
    <row r="299" spans="1:7" x14ac:dyDescent="0.2">
      <c r="A299" s="888" t="s">
        <v>48</v>
      </c>
      <c r="B299" s="889"/>
      <c r="C299" s="889"/>
      <c r="D299" s="889"/>
      <c r="E299" s="889"/>
      <c r="F299" s="889"/>
      <c r="G299" s="890"/>
    </row>
    <row r="300" spans="1:7" x14ac:dyDescent="0.2">
      <c r="A300" s="915" t="s">
        <v>49</v>
      </c>
      <c r="B300" s="916"/>
      <c r="C300" s="916"/>
      <c r="D300" s="916"/>
      <c r="E300" s="916"/>
      <c r="F300" s="916"/>
      <c r="G300" s="917"/>
    </row>
    <row r="301" spans="1:7" x14ac:dyDescent="0.2">
      <c r="A301" s="6"/>
      <c r="B301" s="99"/>
      <c r="C301" s="8"/>
      <c r="D301" s="9"/>
      <c r="E301" s="99"/>
      <c r="F301" s="10"/>
      <c r="G301" s="11" t="s">
        <v>20</v>
      </c>
    </row>
    <row r="302" spans="1:7" x14ac:dyDescent="0.2">
      <c r="A302" s="12" t="s">
        <v>57</v>
      </c>
      <c r="B302" s="13"/>
      <c r="C302" s="14" t="s">
        <v>66</v>
      </c>
      <c r="D302" s="13"/>
      <c r="E302" s="362" t="s">
        <v>1620</v>
      </c>
      <c r="F302" s="98"/>
      <c r="G302" s="363" t="s">
        <v>1521</v>
      </c>
    </row>
    <row r="303" spans="1:7" x14ac:dyDescent="0.2">
      <c r="A303" s="17" t="s">
        <v>8</v>
      </c>
      <c r="B303" s="100"/>
      <c r="C303" s="19"/>
      <c r="D303" s="4"/>
      <c r="E303" s="918"/>
      <c r="F303" s="919"/>
      <c r="G303" s="20"/>
    </row>
    <row r="304" spans="1:7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7" x14ac:dyDescent="0.2">
      <c r="A305" s="6"/>
      <c r="B305" s="99"/>
      <c r="C305" s="8"/>
      <c r="D305" s="8"/>
      <c r="E305" s="920"/>
      <c r="F305" s="921"/>
      <c r="G305" s="25"/>
    </row>
    <row r="306" spans="1:7" ht="26.25" thickBot="1" x14ac:dyDescent="0.25">
      <c r="A306" s="207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29">
        <v>1</v>
      </c>
      <c r="B307" s="101"/>
      <c r="C307" s="371" t="s">
        <v>242</v>
      </c>
      <c r="D307" s="370" t="s">
        <v>1546</v>
      </c>
      <c r="E307" s="108">
        <v>80</v>
      </c>
      <c r="F307" s="149">
        <v>200</v>
      </c>
      <c r="G307" s="35">
        <f>F307*E307</f>
        <v>16000</v>
      </c>
    </row>
    <row r="308" spans="1:7" x14ac:dyDescent="0.2">
      <c r="A308" s="29"/>
      <c r="B308" s="101"/>
      <c r="C308" s="371"/>
      <c r="D308" s="370" t="s">
        <v>1056</v>
      </c>
      <c r="E308" s="108"/>
      <c r="F308" s="128"/>
      <c r="G308" s="372"/>
    </row>
    <row r="309" spans="1:7" x14ac:dyDescent="0.2">
      <c r="A309" s="29">
        <v>2</v>
      </c>
      <c r="B309" s="105"/>
      <c r="C309" s="371" t="s">
        <v>242</v>
      </c>
      <c r="D309" s="376" t="s">
        <v>305</v>
      </c>
      <c r="E309" s="102">
        <v>80</v>
      </c>
      <c r="F309" s="128">
        <v>450</v>
      </c>
      <c r="G309" s="372">
        <f>F309*E309</f>
        <v>36000</v>
      </c>
    </row>
    <row r="310" spans="1:7" x14ac:dyDescent="0.2">
      <c r="A310" s="29"/>
      <c r="B310" s="105"/>
      <c r="C310" s="371"/>
      <c r="D310" s="376" t="s">
        <v>301</v>
      </c>
      <c r="E310" s="102"/>
      <c r="F310" s="128"/>
      <c r="G310" s="372"/>
    </row>
    <row r="311" spans="1:7" x14ac:dyDescent="0.2">
      <c r="A311" s="29"/>
      <c r="B311" s="105"/>
      <c r="C311" s="371"/>
      <c r="D311" s="376"/>
      <c r="E311" s="102"/>
      <c r="F311" s="128"/>
      <c r="G311" s="372"/>
    </row>
    <row r="312" spans="1:7" x14ac:dyDescent="0.2">
      <c r="A312" s="29"/>
      <c r="B312" s="151"/>
      <c r="C312" s="385"/>
      <c r="D312" s="376"/>
      <c r="E312" s="108"/>
      <c r="F312" s="150"/>
      <c r="G312" s="372"/>
    </row>
    <row r="313" spans="1:7" x14ac:dyDescent="0.2">
      <c r="A313" s="29"/>
      <c r="B313" s="151"/>
      <c r="C313" s="385"/>
      <c r="D313" s="376"/>
      <c r="E313" s="108"/>
      <c r="F313" s="150"/>
      <c r="G313" s="372"/>
    </row>
    <row r="314" spans="1:7" x14ac:dyDescent="0.2">
      <c r="A314" s="29"/>
      <c r="B314" s="151"/>
      <c r="C314" s="385"/>
      <c r="D314" s="358"/>
      <c r="E314" s="108"/>
      <c r="F314" s="150"/>
      <c r="G314" s="372"/>
    </row>
    <row r="315" spans="1:7" x14ac:dyDescent="0.2">
      <c r="A315" s="29"/>
      <c r="B315" s="101"/>
      <c r="C315" s="371"/>
      <c r="D315" s="448"/>
      <c r="E315" s="155"/>
      <c r="F315" s="128"/>
      <c r="G315" s="372"/>
    </row>
    <row r="316" spans="1:7" x14ac:dyDescent="0.2">
      <c r="A316" s="29"/>
      <c r="B316" s="106"/>
      <c r="C316" s="371"/>
      <c r="D316" s="376"/>
      <c r="E316" s="104"/>
      <c r="F316" s="128"/>
      <c r="G316" s="372"/>
    </row>
    <row r="317" spans="1:7" x14ac:dyDescent="0.2">
      <c r="A317" s="29"/>
      <c r="B317" s="106"/>
      <c r="C317" s="371"/>
      <c r="D317" s="376"/>
      <c r="E317" s="104"/>
      <c r="F317" s="128"/>
      <c r="G317" s="372"/>
    </row>
    <row r="318" spans="1:7" x14ac:dyDescent="0.2">
      <c r="A318" s="29"/>
      <c r="B318" s="105"/>
      <c r="C318" s="371"/>
      <c r="D318" s="376"/>
      <c r="E318" s="108"/>
      <c r="F318" s="152"/>
      <c r="G318" s="372"/>
    </row>
    <row r="319" spans="1:7" x14ac:dyDescent="0.2">
      <c r="A319" s="29"/>
      <c r="B319" s="107"/>
      <c r="C319" s="371"/>
      <c r="D319" s="376"/>
      <c r="E319" s="153"/>
      <c r="F319" s="128"/>
      <c r="G319" s="372"/>
    </row>
    <row r="320" spans="1:7" x14ac:dyDescent="0.2">
      <c r="A320" s="29"/>
      <c r="B320" s="107"/>
      <c r="C320" s="371"/>
      <c r="D320" s="376"/>
      <c r="E320" s="102"/>
      <c r="F320" s="128"/>
      <c r="G320" s="372"/>
    </row>
    <row r="321" spans="1:7" x14ac:dyDescent="0.2">
      <c r="A321" s="29"/>
      <c r="B321" s="101"/>
      <c r="C321" s="119"/>
      <c r="D321" s="357"/>
      <c r="E321" s="108"/>
      <c r="F321" s="150"/>
      <c r="G321" s="372"/>
    </row>
    <row r="322" spans="1:7" x14ac:dyDescent="0.2">
      <c r="A322" s="29"/>
      <c r="B322" s="101"/>
      <c r="C322" s="371"/>
      <c r="D322" s="384"/>
      <c r="E322" s="153"/>
      <c r="F322" s="128"/>
      <c r="G322" s="372"/>
    </row>
    <row r="323" spans="1:7" x14ac:dyDescent="0.2">
      <c r="A323" s="29"/>
      <c r="B323" s="106"/>
      <c r="C323" s="41"/>
      <c r="D323" s="384"/>
      <c r="E323" s="104"/>
      <c r="F323" s="154"/>
      <c r="G323" s="372"/>
    </row>
    <row r="324" spans="1:7" x14ac:dyDescent="0.2">
      <c r="A324" s="29"/>
      <c r="B324" s="105"/>
      <c r="C324" s="371"/>
      <c r="D324" s="419"/>
      <c r="E324" s="104"/>
      <c r="F324" s="154"/>
      <c r="G324" s="372"/>
    </row>
    <row r="325" spans="1:7" x14ac:dyDescent="0.2">
      <c r="A325" s="29"/>
      <c r="B325" s="105"/>
      <c r="C325" s="41"/>
      <c r="D325" s="384"/>
      <c r="E325" s="104"/>
      <c r="F325" s="154"/>
      <c r="G325" s="372"/>
    </row>
    <row r="326" spans="1:7" x14ac:dyDescent="0.2">
      <c r="A326" s="29"/>
      <c r="B326" s="101"/>
      <c r="C326" s="371"/>
      <c r="D326" s="384"/>
      <c r="E326" s="104"/>
      <c r="F326" s="154"/>
      <c r="G326" s="372"/>
    </row>
    <row r="327" spans="1:7" x14ac:dyDescent="0.2">
      <c r="A327" s="29"/>
      <c r="B327" s="101"/>
      <c r="C327" s="41"/>
      <c r="D327" s="376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62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2"/>
      <c r="E332" s="104"/>
      <c r="F332" s="154"/>
      <c r="G332" s="35"/>
    </row>
    <row r="333" spans="1:7" x14ac:dyDescent="0.2">
      <c r="A333" s="29"/>
      <c r="B333" s="101"/>
      <c r="C333" s="41"/>
      <c r="D333" s="67"/>
      <c r="E333" s="104"/>
      <c r="F333" s="154"/>
      <c r="G333" s="35"/>
    </row>
    <row r="334" spans="1:7" x14ac:dyDescent="0.2">
      <c r="A334" s="29"/>
      <c r="B334" s="101"/>
      <c r="C334" s="41"/>
      <c r="D334" s="159"/>
      <c r="E334" s="104"/>
      <c r="F334" s="154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36"/>
      <c r="E336" s="153"/>
      <c r="F336" s="128"/>
      <c r="G336" s="35"/>
    </row>
    <row r="337" spans="1:7" x14ac:dyDescent="0.2">
      <c r="A337" s="29"/>
      <c r="B337" s="101"/>
      <c r="C337" s="41"/>
      <c r="D337" s="136" t="s">
        <v>152</v>
      </c>
      <c r="E337" s="102"/>
      <c r="F337" s="128"/>
      <c r="G337" s="35"/>
    </row>
    <row r="338" spans="1:7" x14ac:dyDescent="0.2">
      <c r="A338" s="29"/>
      <c r="B338" s="101"/>
      <c r="C338" s="31"/>
      <c r="D338" s="67"/>
      <c r="E338" s="131"/>
      <c r="F338" s="117"/>
      <c r="G338" s="35"/>
    </row>
    <row r="339" spans="1:7" x14ac:dyDescent="0.2">
      <c r="A339" s="29"/>
      <c r="B339" s="101"/>
      <c r="C339" s="41"/>
      <c r="D339" s="118"/>
      <c r="E339" s="108"/>
      <c r="F339" s="149"/>
      <c r="G339" s="35"/>
    </row>
    <row r="340" spans="1:7" x14ac:dyDescent="0.2">
      <c r="A340" s="29"/>
      <c r="B340" s="101"/>
      <c r="C340" s="41"/>
      <c r="D340" s="144"/>
      <c r="E340" s="108"/>
      <c r="F340" s="149"/>
      <c r="G340" s="35"/>
    </row>
    <row r="341" spans="1:7" ht="13.5" thickBot="1" x14ac:dyDescent="0.25">
      <c r="A341" s="45"/>
      <c r="B341" s="132"/>
      <c r="C341" s="115"/>
      <c r="D341" s="115"/>
      <c r="E341" s="132"/>
      <c r="F341" s="49" t="s">
        <v>15</v>
      </c>
      <c r="G341" s="50">
        <f>SUM(G307:G340)</f>
        <v>52000</v>
      </c>
    </row>
    <row r="342" spans="1:7" x14ac:dyDescent="0.2">
      <c r="A342" s="875" t="s">
        <v>1547</v>
      </c>
      <c r="B342" s="899"/>
      <c r="C342" s="899"/>
      <c r="D342" s="899"/>
      <c r="E342" s="899"/>
      <c r="F342" s="899"/>
      <c r="G342" s="900"/>
    </row>
    <row r="343" spans="1:7" ht="13.5" thickBot="1" x14ac:dyDescent="0.25">
      <c r="A343" s="52"/>
      <c r="B343" s="103"/>
      <c r="C343" s="374" t="s">
        <v>1548</v>
      </c>
      <c r="D343" s="54"/>
      <c r="E343" s="103"/>
      <c r="F343" s="55"/>
      <c r="G343" s="56"/>
    </row>
    <row r="344" spans="1:7" ht="13.5" thickTop="1" x14ac:dyDescent="0.2">
      <c r="A344" s="906"/>
      <c r="B344" s="907"/>
      <c r="C344" s="907"/>
      <c r="D344" s="57" t="s">
        <v>11</v>
      </c>
      <c r="E344" s="908" t="s">
        <v>12</v>
      </c>
      <c r="F344" s="908"/>
      <c r="G344" s="909"/>
    </row>
    <row r="345" spans="1:7" x14ac:dyDescent="0.2">
      <c r="A345" s="910" t="s">
        <v>17</v>
      </c>
      <c r="B345" s="911"/>
      <c r="C345" s="911"/>
      <c r="D345" s="39"/>
      <c r="E345" s="912"/>
      <c r="F345" s="913"/>
      <c r="G345" s="914"/>
    </row>
    <row r="346" spans="1:7" x14ac:dyDescent="0.2">
      <c r="A346" s="910" t="s">
        <v>38</v>
      </c>
      <c r="B346" s="911"/>
      <c r="C346" s="911"/>
      <c r="D346" s="58" t="s">
        <v>10</v>
      </c>
      <c r="E346" s="868" t="s">
        <v>142</v>
      </c>
      <c r="F346" s="868"/>
      <c r="G346" s="869"/>
    </row>
    <row r="347" spans="1:7" ht="13.5" thickBot="1" x14ac:dyDescent="0.25">
      <c r="A347" s="901" t="s">
        <v>39</v>
      </c>
      <c r="B347" s="902"/>
      <c r="C347" s="902"/>
      <c r="D347" s="59" t="s">
        <v>44</v>
      </c>
      <c r="E347" s="904" t="s">
        <v>0</v>
      </c>
      <c r="F347" s="904"/>
      <c r="G347" s="905"/>
    </row>
    <row r="348" spans="1:7" ht="16.5" x14ac:dyDescent="0.25">
      <c r="A348" s="885" t="s">
        <v>29</v>
      </c>
      <c r="B348" s="886"/>
      <c r="C348" s="886"/>
      <c r="D348" s="886"/>
      <c r="E348" s="886"/>
      <c r="F348" s="886"/>
      <c r="G348" s="887"/>
    </row>
    <row r="349" spans="1:7" x14ac:dyDescent="0.2">
      <c r="A349" s="888" t="s">
        <v>48</v>
      </c>
      <c r="B349" s="889"/>
      <c r="C349" s="889"/>
      <c r="D349" s="889"/>
      <c r="E349" s="889"/>
      <c r="F349" s="889"/>
      <c r="G349" s="890"/>
    </row>
    <row r="350" spans="1:7" x14ac:dyDescent="0.2">
      <c r="A350" s="915" t="s">
        <v>49</v>
      </c>
      <c r="B350" s="916"/>
      <c r="C350" s="916"/>
      <c r="D350" s="916"/>
      <c r="E350" s="916"/>
      <c r="F350" s="916"/>
      <c r="G350" s="917"/>
    </row>
    <row r="351" spans="1:7" x14ac:dyDescent="0.2">
      <c r="A351" s="6"/>
      <c r="B351" s="99"/>
      <c r="C351" s="8"/>
      <c r="D351" s="9"/>
      <c r="E351" s="99"/>
      <c r="F351" s="10"/>
      <c r="G351" s="11" t="s">
        <v>20</v>
      </c>
    </row>
    <row r="352" spans="1:7" x14ac:dyDescent="0.2">
      <c r="A352" s="12" t="s">
        <v>57</v>
      </c>
      <c r="B352" s="13"/>
      <c r="C352" s="14" t="s">
        <v>66</v>
      </c>
      <c r="D352" s="13"/>
      <c r="E352" s="362" t="s">
        <v>1626</v>
      </c>
      <c r="F352" s="98"/>
      <c r="G352" s="363" t="s">
        <v>1521</v>
      </c>
    </row>
    <row r="353" spans="1:7" x14ac:dyDescent="0.2">
      <c r="A353" s="17" t="s">
        <v>8</v>
      </c>
      <c r="B353" s="100"/>
      <c r="C353" s="19"/>
      <c r="D353" s="4"/>
      <c r="E353" s="918"/>
      <c r="F353" s="919"/>
      <c r="G353" s="20"/>
    </row>
    <row r="354" spans="1:7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7" x14ac:dyDescent="0.2">
      <c r="A355" s="6"/>
      <c r="B355" s="99"/>
      <c r="C355" s="8"/>
      <c r="D355" s="8"/>
      <c r="E355" s="920"/>
      <c r="F355" s="921"/>
      <c r="G355" s="25"/>
    </row>
    <row r="356" spans="1:7" ht="26.25" thickBot="1" x14ac:dyDescent="0.25">
      <c r="A356" s="207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29">
        <v>1</v>
      </c>
      <c r="B357" s="101"/>
      <c r="C357" s="371" t="s">
        <v>242</v>
      </c>
      <c r="D357" s="370" t="s">
        <v>1556</v>
      </c>
      <c r="E357" s="108">
        <v>70</v>
      </c>
      <c r="F357" s="149">
        <v>250</v>
      </c>
      <c r="G357" s="35">
        <f>F357*E357</f>
        <v>17500</v>
      </c>
    </row>
    <row r="358" spans="1:7" x14ac:dyDescent="0.2">
      <c r="A358" s="29"/>
      <c r="B358" s="101"/>
      <c r="C358" s="371"/>
      <c r="D358" s="370" t="s">
        <v>1056</v>
      </c>
      <c r="E358" s="108"/>
      <c r="F358" s="128"/>
      <c r="G358" s="372"/>
    </row>
    <row r="359" spans="1:7" x14ac:dyDescent="0.2">
      <c r="A359" s="29">
        <v>2</v>
      </c>
      <c r="B359" s="105"/>
      <c r="C359" s="371" t="s">
        <v>242</v>
      </c>
      <c r="D359" s="376" t="s">
        <v>305</v>
      </c>
      <c r="E359" s="102">
        <v>70</v>
      </c>
      <c r="F359" s="128">
        <v>450</v>
      </c>
      <c r="G359" s="372">
        <f>F359*E359</f>
        <v>31500</v>
      </c>
    </row>
    <row r="360" spans="1:7" x14ac:dyDescent="0.2">
      <c r="A360" s="29"/>
      <c r="B360" s="105"/>
      <c r="C360" s="371"/>
      <c r="D360" s="376" t="s">
        <v>301</v>
      </c>
      <c r="E360" s="102"/>
      <c r="F360" s="128"/>
      <c r="G360" s="372"/>
    </row>
    <row r="361" spans="1:7" x14ac:dyDescent="0.2">
      <c r="A361" s="29"/>
      <c r="B361" s="105"/>
      <c r="C361" s="371"/>
      <c r="D361" s="376"/>
      <c r="E361" s="102"/>
      <c r="F361" s="128"/>
      <c r="G361" s="372"/>
    </row>
    <row r="362" spans="1:7" x14ac:dyDescent="0.2">
      <c r="A362" s="29"/>
      <c r="B362" s="151"/>
      <c r="C362" s="385"/>
      <c r="D362" s="376"/>
      <c r="E362" s="108"/>
      <c r="F362" s="150"/>
      <c r="G362" s="372"/>
    </row>
    <row r="363" spans="1:7" x14ac:dyDescent="0.2">
      <c r="A363" s="29"/>
      <c r="B363" s="151"/>
      <c r="C363" s="385"/>
      <c r="D363" s="376"/>
      <c r="E363" s="108"/>
      <c r="F363" s="150"/>
      <c r="G363" s="372"/>
    </row>
    <row r="364" spans="1:7" x14ac:dyDescent="0.2">
      <c r="A364" s="29"/>
      <c r="B364" s="151"/>
      <c r="C364" s="385"/>
      <c r="D364" s="358"/>
      <c r="E364" s="108"/>
      <c r="F364" s="150"/>
      <c r="G364" s="372"/>
    </row>
    <row r="365" spans="1:7" x14ac:dyDescent="0.2">
      <c r="A365" s="29"/>
      <c r="B365" s="101"/>
      <c r="C365" s="371"/>
      <c r="D365" s="448"/>
      <c r="E365" s="155"/>
      <c r="F365" s="128"/>
      <c r="G365" s="372"/>
    </row>
    <row r="366" spans="1:7" x14ac:dyDescent="0.2">
      <c r="A366" s="29"/>
      <c r="B366" s="106"/>
      <c r="C366" s="371"/>
      <c r="D366" s="376"/>
      <c r="E366" s="104"/>
      <c r="F366" s="128"/>
      <c r="G366" s="372"/>
    </row>
    <row r="367" spans="1:7" x14ac:dyDescent="0.2">
      <c r="A367" s="29"/>
      <c r="B367" s="106"/>
      <c r="C367" s="371"/>
      <c r="D367" s="376"/>
      <c r="E367" s="104"/>
      <c r="F367" s="128"/>
      <c r="G367" s="372"/>
    </row>
    <row r="368" spans="1:7" x14ac:dyDescent="0.2">
      <c r="A368" s="29"/>
      <c r="B368" s="105"/>
      <c r="C368" s="371"/>
      <c r="D368" s="376"/>
      <c r="E368" s="108"/>
      <c r="F368" s="152"/>
      <c r="G368" s="372"/>
    </row>
    <row r="369" spans="1:7" x14ac:dyDescent="0.2">
      <c r="A369" s="29"/>
      <c r="B369" s="107"/>
      <c r="C369" s="371"/>
      <c r="D369" s="376"/>
      <c r="E369" s="153"/>
      <c r="F369" s="128"/>
      <c r="G369" s="372"/>
    </row>
    <row r="370" spans="1:7" x14ac:dyDescent="0.2">
      <c r="A370" s="29"/>
      <c r="B370" s="107"/>
      <c r="C370" s="371"/>
      <c r="D370" s="376"/>
      <c r="E370" s="102"/>
      <c r="F370" s="128"/>
      <c r="G370" s="372"/>
    </row>
    <row r="371" spans="1:7" x14ac:dyDescent="0.2">
      <c r="A371" s="29"/>
      <c r="B371" s="101"/>
      <c r="C371" s="119"/>
      <c r="D371" s="357"/>
      <c r="E371" s="108"/>
      <c r="F371" s="150"/>
      <c r="G371" s="372"/>
    </row>
    <row r="372" spans="1:7" x14ac:dyDescent="0.2">
      <c r="A372" s="29"/>
      <c r="B372" s="101"/>
      <c r="C372" s="371"/>
      <c r="D372" s="384"/>
      <c r="E372" s="153"/>
      <c r="F372" s="128"/>
      <c r="G372" s="372"/>
    </row>
    <row r="373" spans="1:7" x14ac:dyDescent="0.2">
      <c r="A373" s="29"/>
      <c r="B373" s="106"/>
      <c r="C373" s="41"/>
      <c r="D373" s="384"/>
      <c r="E373" s="104"/>
      <c r="F373" s="154"/>
      <c r="G373" s="372"/>
    </row>
    <row r="374" spans="1:7" x14ac:dyDescent="0.2">
      <c r="A374" s="29"/>
      <c r="B374" s="105"/>
      <c r="C374" s="371"/>
      <c r="D374" s="419"/>
      <c r="E374" s="104"/>
      <c r="F374" s="154"/>
      <c r="G374" s="372"/>
    </row>
    <row r="375" spans="1:7" x14ac:dyDescent="0.2">
      <c r="A375" s="29"/>
      <c r="B375" s="105"/>
      <c r="C375" s="41"/>
      <c r="D375" s="384"/>
      <c r="E375" s="104"/>
      <c r="F375" s="154"/>
      <c r="G375" s="372"/>
    </row>
    <row r="376" spans="1:7" x14ac:dyDescent="0.2">
      <c r="A376" s="29"/>
      <c r="B376" s="101"/>
      <c r="C376" s="371"/>
      <c r="D376" s="384"/>
      <c r="E376" s="104"/>
      <c r="F376" s="154"/>
      <c r="G376" s="372"/>
    </row>
    <row r="377" spans="1:7" x14ac:dyDescent="0.2">
      <c r="A377" s="29"/>
      <c r="B377" s="101"/>
      <c r="C377" s="41"/>
      <c r="D377" s="376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2"/>
      <c r="E382" s="104"/>
      <c r="F382" s="154"/>
      <c r="G382" s="35"/>
    </row>
    <row r="383" spans="1:7" x14ac:dyDescent="0.2">
      <c r="A383" s="29"/>
      <c r="B383" s="101"/>
      <c r="C383" s="41"/>
      <c r="D383" s="67"/>
      <c r="E383" s="104"/>
      <c r="F383" s="154"/>
      <c r="G383" s="35"/>
    </row>
    <row r="384" spans="1:7" x14ac:dyDescent="0.2">
      <c r="A384" s="29"/>
      <c r="B384" s="101"/>
      <c r="C384" s="41"/>
      <c r="D384" s="159"/>
      <c r="E384" s="104"/>
      <c r="F384" s="154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 t="s">
        <v>152</v>
      </c>
      <c r="E387" s="102"/>
      <c r="F387" s="128"/>
      <c r="G387" s="35"/>
    </row>
    <row r="388" spans="1:7" x14ac:dyDescent="0.2">
      <c r="A388" s="29"/>
      <c r="B388" s="101"/>
      <c r="C388" s="31"/>
      <c r="D388" s="67"/>
      <c r="E388" s="131"/>
      <c r="F388" s="117"/>
      <c r="G388" s="35"/>
    </row>
    <row r="389" spans="1:7" x14ac:dyDescent="0.2">
      <c r="A389" s="29"/>
      <c r="B389" s="101"/>
      <c r="C389" s="41"/>
      <c r="D389" s="118"/>
      <c r="E389" s="108"/>
      <c r="F389" s="149"/>
      <c r="G389" s="35"/>
    </row>
    <row r="390" spans="1:7" x14ac:dyDescent="0.2">
      <c r="A390" s="29"/>
      <c r="B390" s="101"/>
      <c r="C390" s="41"/>
      <c r="D390" s="144"/>
      <c r="E390" s="108"/>
      <c r="F390" s="149"/>
      <c r="G390" s="35"/>
    </row>
    <row r="391" spans="1:7" ht="13.5" thickBot="1" x14ac:dyDescent="0.25">
      <c r="A391" s="45"/>
      <c r="B391" s="132"/>
      <c r="C391" s="115"/>
      <c r="D391" s="115"/>
      <c r="E391" s="132"/>
      <c r="F391" s="49" t="s">
        <v>15</v>
      </c>
      <c r="G391" s="50">
        <f>SUM(G357:G390)</f>
        <v>49000</v>
      </c>
    </row>
    <row r="392" spans="1:7" ht="13.5" thickTop="1" x14ac:dyDescent="0.2">
      <c r="A392" s="875" t="s">
        <v>1057</v>
      </c>
      <c r="B392" s="899"/>
      <c r="C392" s="899"/>
      <c r="D392" s="899"/>
      <c r="E392" s="899"/>
      <c r="F392" s="899"/>
      <c r="G392" s="900"/>
    </row>
    <row r="393" spans="1:7" ht="13.5" thickBot="1" x14ac:dyDescent="0.25">
      <c r="A393" s="52"/>
      <c r="B393" s="103"/>
      <c r="C393" s="374" t="s">
        <v>1557</v>
      </c>
      <c r="D393" s="54"/>
      <c r="E393" s="103"/>
      <c r="F393" s="55"/>
      <c r="G393" s="56"/>
    </row>
    <row r="394" spans="1:7" ht="13.5" thickTop="1" x14ac:dyDescent="0.2">
      <c r="A394" s="906"/>
      <c r="B394" s="907"/>
      <c r="C394" s="907"/>
      <c r="D394" s="57" t="s">
        <v>11</v>
      </c>
      <c r="E394" s="908" t="s">
        <v>12</v>
      </c>
      <c r="F394" s="908"/>
      <c r="G394" s="909"/>
    </row>
    <row r="395" spans="1:7" x14ac:dyDescent="0.2">
      <c r="A395" s="910" t="s">
        <v>17</v>
      </c>
      <c r="B395" s="911"/>
      <c r="C395" s="911"/>
      <c r="D395" s="39"/>
      <c r="E395" s="912"/>
      <c r="F395" s="913"/>
      <c r="G395" s="914"/>
    </row>
    <row r="396" spans="1:7" x14ac:dyDescent="0.2">
      <c r="A396" s="910" t="s">
        <v>38</v>
      </c>
      <c r="B396" s="911"/>
      <c r="C396" s="911"/>
      <c r="D396" s="58" t="s">
        <v>10</v>
      </c>
      <c r="E396" s="868" t="s">
        <v>142</v>
      </c>
      <c r="F396" s="868"/>
      <c r="G396" s="869"/>
    </row>
    <row r="397" spans="1:7" ht="13.5" thickBot="1" x14ac:dyDescent="0.25">
      <c r="A397" s="901" t="s">
        <v>39</v>
      </c>
      <c r="B397" s="902"/>
      <c r="C397" s="902"/>
      <c r="D397" s="59" t="s">
        <v>44</v>
      </c>
      <c r="E397" s="904" t="s">
        <v>0</v>
      </c>
      <c r="F397" s="904"/>
      <c r="G397" s="905"/>
    </row>
    <row r="398" spans="1:7" ht="16.5" x14ac:dyDescent="0.25">
      <c r="A398" s="885" t="s">
        <v>29</v>
      </c>
      <c r="B398" s="886"/>
      <c r="C398" s="886"/>
      <c r="D398" s="886"/>
      <c r="E398" s="886"/>
      <c r="F398" s="886"/>
      <c r="G398" s="887"/>
    </row>
    <row r="399" spans="1:7" x14ac:dyDescent="0.2">
      <c r="A399" s="888" t="s">
        <v>48</v>
      </c>
      <c r="B399" s="889"/>
      <c r="C399" s="889"/>
      <c r="D399" s="889"/>
      <c r="E399" s="889"/>
      <c r="F399" s="889"/>
      <c r="G399" s="890"/>
    </row>
    <row r="400" spans="1:7" x14ac:dyDescent="0.2">
      <c r="A400" s="915" t="s">
        <v>49</v>
      </c>
      <c r="B400" s="916"/>
      <c r="C400" s="916"/>
      <c r="D400" s="916"/>
      <c r="E400" s="916"/>
      <c r="F400" s="916"/>
      <c r="G400" s="917"/>
    </row>
    <row r="401" spans="1:7" x14ac:dyDescent="0.2">
      <c r="A401" s="6"/>
      <c r="B401" s="99"/>
      <c r="C401" s="8"/>
      <c r="D401" s="9"/>
      <c r="E401" s="99"/>
      <c r="F401" s="10"/>
      <c r="G401" s="11" t="s">
        <v>20</v>
      </c>
    </row>
    <row r="402" spans="1:7" x14ac:dyDescent="0.2">
      <c r="A402" s="12" t="s">
        <v>57</v>
      </c>
      <c r="B402" s="13"/>
      <c r="C402" s="14" t="s">
        <v>66</v>
      </c>
      <c r="D402" s="13"/>
      <c r="E402" s="362" t="s">
        <v>1628</v>
      </c>
      <c r="F402" s="98"/>
      <c r="G402" s="363" t="s">
        <v>1521</v>
      </c>
    </row>
    <row r="403" spans="1:7" x14ac:dyDescent="0.2">
      <c r="A403" s="17" t="s">
        <v>8</v>
      </c>
      <c r="B403" s="100"/>
      <c r="C403" s="19"/>
      <c r="D403" s="4"/>
      <c r="E403" s="918"/>
      <c r="F403" s="919"/>
      <c r="G403" s="20"/>
    </row>
    <row r="404" spans="1:7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7" x14ac:dyDescent="0.2">
      <c r="A405" s="6"/>
      <c r="B405" s="99"/>
      <c r="C405" s="8"/>
      <c r="D405" s="8"/>
      <c r="E405" s="920"/>
      <c r="F405" s="921"/>
      <c r="G405" s="25"/>
    </row>
    <row r="406" spans="1:7" ht="26.25" thickBot="1" x14ac:dyDescent="0.25">
      <c r="A406" s="207" t="s">
        <v>47</v>
      </c>
      <c r="B406" s="28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3.5" thickTop="1" x14ac:dyDescent="0.2">
      <c r="A407" s="29">
        <v>1</v>
      </c>
      <c r="B407" s="101"/>
      <c r="C407" s="371" t="s">
        <v>242</v>
      </c>
      <c r="D407" s="370" t="s">
        <v>1373</v>
      </c>
      <c r="E407" s="108">
        <v>35</v>
      </c>
      <c r="F407" s="149">
        <v>200</v>
      </c>
      <c r="G407" s="35">
        <f>F407*E407</f>
        <v>7000</v>
      </c>
    </row>
    <row r="408" spans="1:7" x14ac:dyDescent="0.2">
      <c r="A408" s="29"/>
      <c r="B408" s="101"/>
      <c r="C408" s="371"/>
      <c r="D408" s="370" t="s">
        <v>1056</v>
      </c>
      <c r="E408" s="108"/>
      <c r="F408" s="128"/>
      <c r="G408" s="372"/>
    </row>
    <row r="409" spans="1:7" x14ac:dyDescent="0.2">
      <c r="A409" s="29">
        <v>2</v>
      </c>
      <c r="B409" s="105"/>
      <c r="C409" s="371" t="s">
        <v>242</v>
      </c>
      <c r="D409" s="376" t="s">
        <v>339</v>
      </c>
      <c r="E409" s="102">
        <v>35</v>
      </c>
      <c r="F409" s="128">
        <v>350</v>
      </c>
      <c r="G409" s="372">
        <f>F409*E409</f>
        <v>12250</v>
      </c>
    </row>
    <row r="410" spans="1:7" x14ac:dyDescent="0.2">
      <c r="A410" s="29"/>
      <c r="B410" s="105"/>
      <c r="C410" s="371"/>
      <c r="D410" s="376" t="s">
        <v>301</v>
      </c>
      <c r="E410" s="102"/>
      <c r="F410" s="128"/>
      <c r="G410" s="372"/>
    </row>
    <row r="411" spans="1:7" x14ac:dyDescent="0.2">
      <c r="A411" s="29"/>
      <c r="B411" s="105"/>
      <c r="C411" s="371"/>
      <c r="D411" s="376"/>
      <c r="E411" s="102"/>
      <c r="F411" s="128"/>
      <c r="G411" s="372"/>
    </row>
    <row r="412" spans="1:7" x14ac:dyDescent="0.2">
      <c r="A412" s="29"/>
      <c r="B412" s="151"/>
      <c r="C412" s="385"/>
      <c r="D412" s="376"/>
      <c r="E412" s="108"/>
      <c r="F412" s="150"/>
      <c r="G412" s="372"/>
    </row>
    <row r="413" spans="1:7" x14ac:dyDescent="0.2">
      <c r="A413" s="29"/>
      <c r="B413" s="151"/>
      <c r="C413" s="385"/>
      <c r="D413" s="376"/>
      <c r="E413" s="108"/>
      <c r="F413" s="150"/>
      <c r="G413" s="372"/>
    </row>
    <row r="414" spans="1:7" x14ac:dyDescent="0.2">
      <c r="A414" s="29"/>
      <c r="B414" s="151"/>
      <c r="C414" s="385"/>
      <c r="D414" s="358"/>
      <c r="E414" s="108"/>
      <c r="F414" s="150"/>
      <c r="G414" s="372"/>
    </row>
    <row r="415" spans="1:7" x14ac:dyDescent="0.2">
      <c r="A415" s="29"/>
      <c r="B415" s="101"/>
      <c r="C415" s="371"/>
      <c r="D415" s="448"/>
      <c r="E415" s="155"/>
      <c r="F415" s="128"/>
      <c r="G415" s="372"/>
    </row>
    <row r="416" spans="1:7" x14ac:dyDescent="0.2">
      <c r="A416" s="29"/>
      <c r="B416" s="106"/>
      <c r="C416" s="371"/>
      <c r="D416" s="376"/>
      <c r="E416" s="104"/>
      <c r="F416" s="128"/>
      <c r="G416" s="372"/>
    </row>
    <row r="417" spans="1:7" x14ac:dyDescent="0.2">
      <c r="A417" s="29"/>
      <c r="B417" s="106"/>
      <c r="C417" s="371"/>
      <c r="D417" s="376"/>
      <c r="E417" s="104"/>
      <c r="F417" s="128"/>
      <c r="G417" s="372"/>
    </row>
    <row r="418" spans="1:7" x14ac:dyDescent="0.2">
      <c r="A418" s="29"/>
      <c r="B418" s="105"/>
      <c r="C418" s="371"/>
      <c r="D418" s="376"/>
      <c r="E418" s="108"/>
      <c r="F418" s="152"/>
      <c r="G418" s="372"/>
    </row>
    <row r="419" spans="1:7" x14ac:dyDescent="0.2">
      <c r="A419" s="29"/>
      <c r="B419" s="107"/>
      <c r="C419" s="371"/>
      <c r="D419" s="376"/>
      <c r="E419" s="153"/>
      <c r="F419" s="128"/>
      <c r="G419" s="372"/>
    </row>
    <row r="420" spans="1:7" x14ac:dyDescent="0.2">
      <c r="A420" s="29"/>
      <c r="B420" s="107"/>
      <c r="C420" s="371"/>
      <c r="D420" s="376"/>
      <c r="E420" s="102"/>
      <c r="F420" s="128"/>
      <c r="G420" s="372"/>
    </row>
    <row r="421" spans="1:7" x14ac:dyDescent="0.2">
      <c r="A421" s="29"/>
      <c r="B421" s="101"/>
      <c r="C421" s="119"/>
      <c r="D421" s="357"/>
      <c r="E421" s="108"/>
      <c r="F421" s="150"/>
      <c r="G421" s="372"/>
    </row>
    <row r="422" spans="1:7" x14ac:dyDescent="0.2">
      <c r="A422" s="29"/>
      <c r="B422" s="101"/>
      <c r="C422" s="371"/>
      <c r="D422" s="384"/>
      <c r="E422" s="153"/>
      <c r="F422" s="128"/>
      <c r="G422" s="372"/>
    </row>
    <row r="423" spans="1:7" x14ac:dyDescent="0.2">
      <c r="A423" s="29"/>
      <c r="B423" s="106"/>
      <c r="C423" s="41"/>
      <c r="D423" s="384"/>
      <c r="E423" s="104"/>
      <c r="F423" s="154"/>
      <c r="G423" s="372"/>
    </row>
    <row r="424" spans="1:7" x14ac:dyDescent="0.2">
      <c r="A424" s="29"/>
      <c r="B424" s="105"/>
      <c r="C424" s="371"/>
      <c r="D424" s="419"/>
      <c r="E424" s="104"/>
      <c r="F424" s="154"/>
      <c r="G424" s="372"/>
    </row>
    <row r="425" spans="1:7" x14ac:dyDescent="0.2">
      <c r="A425" s="29"/>
      <c r="B425" s="105"/>
      <c r="C425" s="41"/>
      <c r="D425" s="384"/>
      <c r="E425" s="104"/>
      <c r="F425" s="154"/>
      <c r="G425" s="372"/>
    </row>
    <row r="426" spans="1:7" x14ac:dyDescent="0.2">
      <c r="A426" s="29"/>
      <c r="B426" s="101"/>
      <c r="C426" s="371"/>
      <c r="D426" s="384"/>
      <c r="E426" s="104"/>
      <c r="F426" s="154"/>
      <c r="G426" s="372"/>
    </row>
    <row r="427" spans="1:7" x14ac:dyDescent="0.2">
      <c r="A427" s="29"/>
      <c r="B427" s="101"/>
      <c r="C427" s="41"/>
      <c r="D427" s="376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62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7" x14ac:dyDescent="0.2">
      <c r="A433" s="29"/>
      <c r="B433" s="101"/>
      <c r="C433" s="41"/>
      <c r="D433" s="67"/>
      <c r="E433" s="104"/>
      <c r="F433" s="154"/>
      <c r="G433" s="35"/>
    </row>
    <row r="434" spans="1:7" x14ac:dyDescent="0.2">
      <c r="A434" s="29"/>
      <c r="B434" s="101"/>
      <c r="C434" s="41"/>
      <c r="D434" s="159"/>
      <c r="E434" s="104"/>
      <c r="F434" s="154"/>
      <c r="G434" s="35"/>
    </row>
    <row r="435" spans="1:7" x14ac:dyDescent="0.2">
      <c r="A435" s="29"/>
      <c r="B435" s="101"/>
      <c r="C435" s="41"/>
      <c r="D435" s="160"/>
      <c r="E435" s="108"/>
      <c r="F435" s="128"/>
      <c r="G435" s="35"/>
    </row>
    <row r="436" spans="1:7" x14ac:dyDescent="0.2">
      <c r="A436" s="29"/>
      <c r="B436" s="101"/>
      <c r="C436" s="41"/>
      <c r="D436" s="136"/>
      <c r="E436" s="153"/>
      <c r="F436" s="128"/>
      <c r="G436" s="35"/>
    </row>
    <row r="437" spans="1:7" x14ac:dyDescent="0.2">
      <c r="A437" s="29"/>
      <c r="B437" s="101"/>
      <c r="C437" s="41"/>
      <c r="D437" s="136" t="s">
        <v>152</v>
      </c>
      <c r="E437" s="102"/>
      <c r="F437" s="128"/>
      <c r="G437" s="35"/>
    </row>
    <row r="438" spans="1:7" x14ac:dyDescent="0.2">
      <c r="A438" s="29"/>
      <c r="B438" s="101"/>
      <c r="C438" s="31"/>
      <c r="D438" s="67"/>
      <c r="E438" s="131"/>
      <c r="F438" s="117"/>
      <c r="G438" s="35"/>
    </row>
    <row r="439" spans="1:7" x14ac:dyDescent="0.2">
      <c r="A439" s="29"/>
      <c r="B439" s="101"/>
      <c r="C439" s="41"/>
      <c r="D439" s="118"/>
      <c r="E439" s="108"/>
      <c r="F439" s="149"/>
      <c r="G439" s="35"/>
    </row>
    <row r="440" spans="1:7" x14ac:dyDescent="0.2">
      <c r="A440" s="29"/>
      <c r="B440" s="101"/>
      <c r="C440" s="41"/>
      <c r="D440" s="144"/>
      <c r="E440" s="108"/>
      <c r="F440" s="149"/>
      <c r="G440" s="35"/>
    </row>
    <row r="441" spans="1:7" ht="13.5" thickBot="1" x14ac:dyDescent="0.25">
      <c r="A441" s="45"/>
      <c r="B441" s="132"/>
      <c r="C441" s="115"/>
      <c r="D441" s="115"/>
      <c r="E441" s="132"/>
      <c r="F441" s="49" t="s">
        <v>15</v>
      </c>
      <c r="G441" s="50">
        <f>SUM(G407:G440)</f>
        <v>19250</v>
      </c>
    </row>
    <row r="442" spans="1:7" ht="13.5" thickTop="1" x14ac:dyDescent="0.2">
      <c r="A442" s="875" t="s">
        <v>1560</v>
      </c>
      <c r="B442" s="899"/>
      <c r="C442" s="899"/>
      <c r="D442" s="899"/>
      <c r="E442" s="899"/>
      <c r="F442" s="899"/>
      <c r="G442" s="900"/>
    </row>
    <row r="443" spans="1:7" ht="13.5" thickBot="1" x14ac:dyDescent="0.25">
      <c r="A443" s="52"/>
      <c r="B443" s="103"/>
      <c r="C443" s="374" t="s">
        <v>8</v>
      </c>
      <c r="D443" s="54"/>
      <c r="E443" s="103"/>
      <c r="F443" s="55"/>
      <c r="G443" s="56"/>
    </row>
    <row r="444" spans="1:7" ht="13.5" thickTop="1" x14ac:dyDescent="0.2">
      <c r="A444" s="906"/>
      <c r="B444" s="907"/>
      <c r="C444" s="907"/>
      <c r="D444" s="57" t="s">
        <v>11</v>
      </c>
      <c r="E444" s="908" t="s">
        <v>12</v>
      </c>
      <c r="F444" s="908"/>
      <c r="G444" s="909"/>
    </row>
    <row r="445" spans="1:7" x14ac:dyDescent="0.2">
      <c r="A445" s="910" t="s">
        <v>17</v>
      </c>
      <c r="B445" s="911"/>
      <c r="C445" s="911"/>
      <c r="D445" s="39"/>
      <c r="E445" s="912"/>
      <c r="F445" s="913"/>
      <c r="G445" s="914"/>
    </row>
    <row r="446" spans="1:7" x14ac:dyDescent="0.2">
      <c r="A446" s="910" t="s">
        <v>38</v>
      </c>
      <c r="B446" s="911"/>
      <c r="C446" s="911"/>
      <c r="D446" s="58" t="s">
        <v>10</v>
      </c>
      <c r="E446" s="868" t="s">
        <v>142</v>
      </c>
      <c r="F446" s="868"/>
      <c r="G446" s="869"/>
    </row>
    <row r="447" spans="1:7" ht="13.5" thickBot="1" x14ac:dyDescent="0.25">
      <c r="A447" s="901" t="s">
        <v>39</v>
      </c>
      <c r="B447" s="902"/>
      <c r="C447" s="902"/>
      <c r="D447" s="59" t="s">
        <v>44</v>
      </c>
      <c r="E447" s="904" t="s">
        <v>0</v>
      </c>
      <c r="F447" s="904"/>
      <c r="G447" s="905"/>
    </row>
    <row r="448" spans="1:7" ht="16.5" x14ac:dyDescent="0.25">
      <c r="A448" s="885" t="s">
        <v>29</v>
      </c>
      <c r="B448" s="886"/>
      <c r="C448" s="886"/>
      <c r="D448" s="886"/>
      <c r="E448" s="886"/>
      <c r="F448" s="886"/>
      <c r="G448" s="887"/>
    </row>
    <row r="449" spans="1:7" x14ac:dyDescent="0.2">
      <c r="A449" s="888" t="s">
        <v>48</v>
      </c>
      <c r="B449" s="889"/>
      <c r="C449" s="889"/>
      <c r="D449" s="889"/>
      <c r="E449" s="889"/>
      <c r="F449" s="889"/>
      <c r="G449" s="890"/>
    </row>
    <row r="450" spans="1:7" x14ac:dyDescent="0.2">
      <c r="A450" s="915" t="s">
        <v>49</v>
      </c>
      <c r="B450" s="916"/>
      <c r="C450" s="916"/>
      <c r="D450" s="916"/>
      <c r="E450" s="916"/>
      <c r="F450" s="916"/>
      <c r="G450" s="917"/>
    </row>
    <row r="451" spans="1:7" x14ac:dyDescent="0.2">
      <c r="A451" s="6"/>
      <c r="B451" s="99"/>
      <c r="C451" s="8"/>
      <c r="D451" s="9"/>
      <c r="E451" s="99"/>
      <c r="F451" s="10"/>
      <c r="G451" s="11" t="s">
        <v>20</v>
      </c>
    </row>
    <row r="452" spans="1:7" x14ac:dyDescent="0.2">
      <c r="A452" s="12" t="s">
        <v>57</v>
      </c>
      <c r="B452" s="13"/>
      <c r="C452" s="14" t="s">
        <v>66</v>
      </c>
      <c r="D452" s="13"/>
      <c r="E452" s="362" t="s">
        <v>1807</v>
      </c>
      <c r="F452" s="98"/>
      <c r="G452" s="363" t="s">
        <v>1739</v>
      </c>
    </row>
    <row r="453" spans="1:7" x14ac:dyDescent="0.2">
      <c r="A453" s="17" t="s">
        <v>8</v>
      </c>
      <c r="B453" s="100"/>
      <c r="C453" s="19"/>
      <c r="D453" s="4"/>
      <c r="E453" s="918"/>
      <c r="F453" s="919"/>
      <c r="G453" s="20"/>
    </row>
    <row r="454" spans="1:7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7" x14ac:dyDescent="0.2">
      <c r="A455" s="6"/>
      <c r="B455" s="99"/>
      <c r="C455" s="8"/>
      <c r="D455" s="8"/>
      <c r="E455" s="920"/>
      <c r="F455" s="921"/>
      <c r="G455" s="25"/>
    </row>
    <row r="456" spans="1:7" ht="26.25" thickBot="1" x14ac:dyDescent="0.25">
      <c r="A456" s="207" t="s">
        <v>47</v>
      </c>
      <c r="B456" s="28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</row>
    <row r="457" spans="1:7" ht="13.5" thickTop="1" x14ac:dyDescent="0.2">
      <c r="A457" s="29">
        <v>1</v>
      </c>
      <c r="B457" s="101"/>
      <c r="C457" s="371" t="s">
        <v>242</v>
      </c>
      <c r="D457" s="370" t="s">
        <v>1669</v>
      </c>
      <c r="E457" s="108">
        <v>70</v>
      </c>
      <c r="F457" s="149">
        <v>200</v>
      </c>
      <c r="G457" s="35">
        <f>F457*E457</f>
        <v>14000</v>
      </c>
    </row>
    <row r="458" spans="1:7" x14ac:dyDescent="0.2">
      <c r="A458" s="29"/>
      <c r="B458" s="101"/>
      <c r="C458" s="371"/>
      <c r="D458" s="370" t="s">
        <v>301</v>
      </c>
      <c r="E458" s="108"/>
      <c r="F458" s="128"/>
      <c r="G458" s="372"/>
    </row>
    <row r="459" spans="1:7" x14ac:dyDescent="0.2">
      <c r="A459" s="29">
        <v>2</v>
      </c>
      <c r="B459" s="105"/>
      <c r="C459" s="371" t="s">
        <v>242</v>
      </c>
      <c r="D459" s="376" t="s">
        <v>339</v>
      </c>
      <c r="E459" s="102">
        <v>70</v>
      </c>
      <c r="F459" s="128">
        <v>350</v>
      </c>
      <c r="G459" s="372">
        <f>F459*E459</f>
        <v>24500</v>
      </c>
    </row>
    <row r="460" spans="1:7" x14ac:dyDescent="0.2">
      <c r="A460" s="29"/>
      <c r="B460" s="105"/>
      <c r="C460" s="371"/>
      <c r="D460" s="376" t="s">
        <v>301</v>
      </c>
      <c r="E460" s="102"/>
      <c r="F460" s="128"/>
      <c r="G460" s="372"/>
    </row>
    <row r="461" spans="1:7" x14ac:dyDescent="0.2">
      <c r="A461" s="29"/>
      <c r="B461" s="105"/>
      <c r="C461" s="371"/>
      <c r="D461" s="376"/>
      <c r="E461" s="102"/>
      <c r="F461" s="128"/>
      <c r="G461" s="372"/>
    </row>
    <row r="462" spans="1:7" x14ac:dyDescent="0.2">
      <c r="A462" s="29"/>
      <c r="B462" s="151"/>
      <c r="C462" s="385"/>
      <c r="D462" s="376"/>
      <c r="E462" s="108"/>
      <c r="F462" s="150"/>
      <c r="G462" s="372"/>
    </row>
    <row r="463" spans="1:7" x14ac:dyDescent="0.2">
      <c r="A463" s="29"/>
      <c r="B463" s="151"/>
      <c r="C463" s="385"/>
      <c r="D463" s="376"/>
      <c r="E463" s="108"/>
      <c r="F463" s="150"/>
      <c r="G463" s="372"/>
    </row>
    <row r="464" spans="1:7" x14ac:dyDescent="0.2">
      <c r="A464" s="29"/>
      <c r="B464" s="151"/>
      <c r="C464" s="385"/>
      <c r="D464" s="358"/>
      <c r="E464" s="108"/>
      <c r="F464" s="150"/>
      <c r="G464" s="372"/>
    </row>
    <row r="465" spans="1:7" x14ac:dyDescent="0.2">
      <c r="A465" s="29"/>
      <c r="B465" s="101"/>
      <c r="C465" s="371"/>
      <c r="D465" s="448"/>
      <c r="E465" s="155"/>
      <c r="F465" s="128"/>
      <c r="G465" s="372"/>
    </row>
    <row r="466" spans="1:7" x14ac:dyDescent="0.2">
      <c r="A466" s="29"/>
      <c r="B466" s="106"/>
      <c r="C466" s="371"/>
      <c r="D466" s="376"/>
      <c r="E466" s="104"/>
      <c r="F466" s="128"/>
      <c r="G466" s="372"/>
    </row>
    <row r="467" spans="1:7" x14ac:dyDescent="0.2">
      <c r="A467" s="29"/>
      <c r="B467" s="106"/>
      <c r="C467" s="371"/>
      <c r="D467" s="376"/>
      <c r="E467" s="104"/>
      <c r="F467" s="128"/>
      <c r="G467" s="372"/>
    </row>
    <row r="468" spans="1:7" x14ac:dyDescent="0.2">
      <c r="A468" s="29"/>
      <c r="B468" s="105"/>
      <c r="C468" s="371"/>
      <c r="D468" s="376"/>
      <c r="E468" s="108"/>
      <c r="F468" s="152"/>
      <c r="G468" s="372"/>
    </row>
    <row r="469" spans="1:7" x14ac:dyDescent="0.2">
      <c r="A469" s="29"/>
      <c r="B469" s="107"/>
      <c r="C469" s="371"/>
      <c r="D469" s="376"/>
      <c r="E469" s="153"/>
      <c r="F469" s="128"/>
      <c r="G469" s="372"/>
    </row>
    <row r="470" spans="1:7" x14ac:dyDescent="0.2">
      <c r="A470" s="29"/>
      <c r="B470" s="107"/>
      <c r="C470" s="371"/>
      <c r="D470" s="376"/>
      <c r="E470" s="102"/>
      <c r="F470" s="128"/>
      <c r="G470" s="372"/>
    </row>
    <row r="471" spans="1:7" x14ac:dyDescent="0.2">
      <c r="A471" s="29"/>
      <c r="B471" s="101"/>
      <c r="C471" s="119"/>
      <c r="D471" s="357"/>
      <c r="E471" s="108"/>
      <c r="F471" s="150"/>
      <c r="G471" s="372"/>
    </row>
    <row r="472" spans="1:7" x14ac:dyDescent="0.2">
      <c r="A472" s="29"/>
      <c r="B472" s="101"/>
      <c r="C472" s="371"/>
      <c r="D472" s="384"/>
      <c r="E472" s="153"/>
      <c r="F472" s="128"/>
      <c r="G472" s="372"/>
    </row>
    <row r="473" spans="1:7" x14ac:dyDescent="0.2">
      <c r="A473" s="29"/>
      <c r="B473" s="106"/>
      <c r="C473" s="41"/>
      <c r="D473" s="384"/>
      <c r="E473" s="104"/>
      <c r="F473" s="154"/>
      <c r="G473" s="372"/>
    </row>
    <row r="474" spans="1:7" x14ac:dyDescent="0.2">
      <c r="A474" s="29"/>
      <c r="B474" s="105"/>
      <c r="C474" s="371"/>
      <c r="D474" s="419"/>
      <c r="E474" s="104"/>
      <c r="F474" s="154"/>
      <c r="G474" s="372"/>
    </row>
    <row r="475" spans="1:7" x14ac:dyDescent="0.2">
      <c r="A475" s="29"/>
      <c r="B475" s="105"/>
      <c r="C475" s="41"/>
      <c r="D475" s="384"/>
      <c r="E475" s="104"/>
      <c r="F475" s="154"/>
      <c r="G475" s="372"/>
    </row>
    <row r="476" spans="1:7" x14ac:dyDescent="0.2">
      <c r="A476" s="29"/>
      <c r="B476" s="101"/>
      <c r="C476" s="371"/>
      <c r="D476" s="384"/>
      <c r="E476" s="104"/>
      <c r="F476" s="154"/>
      <c r="G476" s="372"/>
    </row>
    <row r="477" spans="1:7" x14ac:dyDescent="0.2">
      <c r="A477" s="29"/>
      <c r="B477" s="101"/>
      <c r="C477" s="41"/>
      <c r="D477" s="376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62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7"/>
      <c r="E483" s="104"/>
      <c r="F483" s="154"/>
      <c r="G483" s="35"/>
    </row>
    <row r="484" spans="1:7" x14ac:dyDescent="0.2">
      <c r="A484" s="29"/>
      <c r="B484" s="101"/>
      <c r="C484" s="41"/>
      <c r="D484" s="159"/>
      <c r="E484" s="104"/>
      <c r="F484" s="154"/>
      <c r="G484" s="35"/>
    </row>
    <row r="485" spans="1:7" x14ac:dyDescent="0.2">
      <c r="A485" s="29"/>
      <c r="B485" s="101"/>
      <c r="C485" s="41"/>
      <c r="D485" s="160"/>
      <c r="E485" s="108"/>
      <c r="F485" s="128"/>
      <c r="G485" s="35"/>
    </row>
    <row r="486" spans="1:7" x14ac:dyDescent="0.2">
      <c r="A486" s="29"/>
      <c r="B486" s="101"/>
      <c r="C486" s="41"/>
      <c r="D486" s="136"/>
      <c r="E486" s="153"/>
      <c r="F486" s="128"/>
      <c r="G486" s="35"/>
    </row>
    <row r="487" spans="1:7" x14ac:dyDescent="0.2">
      <c r="A487" s="29"/>
      <c r="B487" s="101"/>
      <c r="C487" s="41"/>
      <c r="D487" s="136" t="s">
        <v>152</v>
      </c>
      <c r="E487" s="102"/>
      <c r="F487" s="128"/>
      <c r="G487" s="35"/>
    </row>
    <row r="488" spans="1:7" x14ac:dyDescent="0.2">
      <c r="A488" s="29"/>
      <c r="B488" s="101"/>
      <c r="C488" s="31"/>
      <c r="D488" s="67"/>
      <c r="E488" s="131"/>
      <c r="F488" s="117"/>
      <c r="G488" s="35"/>
    </row>
    <row r="489" spans="1:7" x14ac:dyDescent="0.2">
      <c r="A489" s="29"/>
      <c r="B489" s="101"/>
      <c r="C489" s="41"/>
      <c r="D489" s="118"/>
      <c r="E489" s="108"/>
      <c r="F489" s="149"/>
      <c r="G489" s="35"/>
    </row>
    <row r="490" spans="1:7" x14ac:dyDescent="0.2">
      <c r="A490" s="29"/>
      <c r="B490" s="101"/>
      <c r="C490" s="41"/>
      <c r="D490" s="144"/>
      <c r="E490" s="108"/>
      <c r="F490" s="149"/>
      <c r="G490" s="35"/>
    </row>
    <row r="491" spans="1:7" ht="13.5" thickBot="1" x14ac:dyDescent="0.25">
      <c r="A491" s="45"/>
      <c r="B491" s="132"/>
      <c r="C491" s="115"/>
      <c r="D491" s="115"/>
      <c r="E491" s="132"/>
      <c r="F491" s="49" t="s">
        <v>15</v>
      </c>
      <c r="G491" s="50">
        <f>SUM(G457:G490)</f>
        <v>38500</v>
      </c>
    </row>
    <row r="492" spans="1:7" ht="13.5" thickTop="1" x14ac:dyDescent="0.2">
      <c r="A492" s="875" t="s">
        <v>1670</v>
      </c>
      <c r="B492" s="899"/>
      <c r="C492" s="899"/>
      <c r="D492" s="899"/>
      <c r="E492" s="899"/>
      <c r="F492" s="899"/>
      <c r="G492" s="900"/>
    </row>
    <row r="493" spans="1:7" ht="13.5" thickBot="1" x14ac:dyDescent="0.25">
      <c r="A493" s="52"/>
      <c r="B493" s="103"/>
      <c r="C493" s="374" t="s">
        <v>1671</v>
      </c>
      <c r="D493" s="54"/>
      <c r="E493" s="103"/>
      <c r="F493" s="55"/>
      <c r="G493" s="56"/>
    </row>
    <row r="494" spans="1:7" ht="13.5" thickTop="1" x14ac:dyDescent="0.2">
      <c r="A494" s="906"/>
      <c r="B494" s="907"/>
      <c r="C494" s="907"/>
      <c r="D494" s="57" t="s">
        <v>11</v>
      </c>
      <c r="E494" s="908" t="s">
        <v>12</v>
      </c>
      <c r="F494" s="908"/>
      <c r="G494" s="909"/>
    </row>
    <row r="495" spans="1:7" x14ac:dyDescent="0.2">
      <c r="A495" s="910" t="s">
        <v>17</v>
      </c>
      <c r="B495" s="911"/>
      <c r="C495" s="911"/>
      <c r="D495" s="39"/>
      <c r="E495" s="912"/>
      <c r="F495" s="913"/>
      <c r="G495" s="914"/>
    </row>
    <row r="496" spans="1:7" x14ac:dyDescent="0.2">
      <c r="A496" s="910" t="s">
        <v>38</v>
      </c>
      <c r="B496" s="911"/>
      <c r="C496" s="911"/>
      <c r="D496" s="58" t="s">
        <v>10</v>
      </c>
      <c r="E496" s="868" t="s">
        <v>142</v>
      </c>
      <c r="F496" s="868"/>
      <c r="G496" s="869"/>
    </row>
    <row r="497" spans="1:7" ht="13.5" thickBot="1" x14ac:dyDescent="0.25">
      <c r="A497" s="901" t="s">
        <v>39</v>
      </c>
      <c r="B497" s="902"/>
      <c r="C497" s="902"/>
      <c r="D497" s="59" t="s">
        <v>44</v>
      </c>
      <c r="E497" s="904" t="s">
        <v>0</v>
      </c>
      <c r="F497" s="904"/>
      <c r="G497" s="905"/>
    </row>
    <row r="498" spans="1:7" ht="16.5" x14ac:dyDescent="0.25">
      <c r="A498" s="885" t="s">
        <v>29</v>
      </c>
      <c r="B498" s="886"/>
      <c r="C498" s="886"/>
      <c r="D498" s="886"/>
      <c r="E498" s="886"/>
      <c r="F498" s="886"/>
      <c r="G498" s="887"/>
    </row>
    <row r="499" spans="1:7" x14ac:dyDescent="0.2">
      <c r="A499" s="888" t="s">
        <v>48</v>
      </c>
      <c r="B499" s="889"/>
      <c r="C499" s="889"/>
      <c r="D499" s="889"/>
      <c r="E499" s="889"/>
      <c r="F499" s="889"/>
      <c r="G499" s="890"/>
    </row>
    <row r="500" spans="1:7" x14ac:dyDescent="0.2">
      <c r="A500" s="915" t="s">
        <v>49</v>
      </c>
      <c r="B500" s="916"/>
      <c r="C500" s="916"/>
      <c r="D500" s="916"/>
      <c r="E500" s="916"/>
      <c r="F500" s="916"/>
      <c r="G500" s="917"/>
    </row>
    <row r="501" spans="1:7" x14ac:dyDescent="0.2">
      <c r="A501" s="6"/>
      <c r="B501" s="99"/>
      <c r="C501" s="8"/>
      <c r="D501" s="9"/>
      <c r="E501" s="99"/>
      <c r="F501" s="10"/>
      <c r="G501" s="11" t="s">
        <v>20</v>
      </c>
    </row>
    <row r="502" spans="1:7" x14ac:dyDescent="0.2">
      <c r="A502" s="12" t="s">
        <v>57</v>
      </c>
      <c r="B502" s="13"/>
      <c r="C502" s="14" t="s">
        <v>66</v>
      </c>
      <c r="D502" s="13"/>
      <c r="E502" s="362" t="s">
        <v>1921</v>
      </c>
      <c r="F502" s="98"/>
      <c r="G502" s="363" t="s">
        <v>1864</v>
      </c>
    </row>
    <row r="503" spans="1:7" x14ac:dyDescent="0.2">
      <c r="A503" s="17" t="s">
        <v>8</v>
      </c>
      <c r="B503" s="100"/>
      <c r="C503" s="19"/>
      <c r="D503" s="4"/>
      <c r="E503" s="918"/>
      <c r="F503" s="919"/>
      <c r="G503" s="20"/>
    </row>
    <row r="504" spans="1:7" x14ac:dyDescent="0.2">
      <c r="A504" s="21" t="s">
        <v>37</v>
      </c>
      <c r="B504" s="22"/>
      <c r="C504" s="22"/>
      <c r="D504" s="22"/>
      <c r="E504" s="23" t="s">
        <v>46</v>
      </c>
      <c r="F504" s="24"/>
      <c r="G504" s="20" t="s">
        <v>50</v>
      </c>
    </row>
    <row r="505" spans="1:7" x14ac:dyDescent="0.2">
      <c r="A505" s="6"/>
      <c r="B505" s="99"/>
      <c r="C505" s="8"/>
      <c r="D505" s="8"/>
      <c r="E505" s="920"/>
      <c r="F505" s="921"/>
      <c r="G505" s="25"/>
    </row>
    <row r="506" spans="1:7" ht="26.25" thickBot="1" x14ac:dyDescent="0.25">
      <c r="A506" s="207" t="s">
        <v>47</v>
      </c>
      <c r="B506" s="28" t="s">
        <v>23</v>
      </c>
      <c r="C506" s="28" t="s">
        <v>34</v>
      </c>
      <c r="D506" s="110" t="s">
        <v>53</v>
      </c>
      <c r="E506" s="114" t="s">
        <v>54</v>
      </c>
      <c r="F506" s="111" t="s">
        <v>55</v>
      </c>
      <c r="G506" s="112" t="s">
        <v>35</v>
      </c>
    </row>
    <row r="507" spans="1:7" ht="13.5" thickTop="1" x14ac:dyDescent="0.2">
      <c r="A507" s="29">
        <v>1</v>
      </c>
      <c r="B507" s="101"/>
      <c r="C507" s="371" t="s">
        <v>242</v>
      </c>
      <c r="D507" s="370" t="s">
        <v>1373</v>
      </c>
      <c r="E507" s="108">
        <v>40</v>
      </c>
      <c r="F507" s="149">
        <v>200</v>
      </c>
      <c r="G507" s="35">
        <f>F507*E507</f>
        <v>8000</v>
      </c>
    </row>
    <row r="508" spans="1:7" x14ac:dyDescent="0.2">
      <c r="A508" s="29"/>
      <c r="B508" s="101"/>
      <c r="C508" s="371"/>
      <c r="D508" s="370" t="s">
        <v>1056</v>
      </c>
      <c r="E508" s="108"/>
      <c r="F508" s="128"/>
      <c r="G508" s="372"/>
    </row>
    <row r="509" spans="1:7" x14ac:dyDescent="0.2">
      <c r="A509" s="29">
        <v>2</v>
      </c>
      <c r="B509" s="105"/>
      <c r="C509" s="371" t="s">
        <v>242</v>
      </c>
      <c r="D509" s="376" t="s">
        <v>348</v>
      </c>
      <c r="E509" s="102">
        <v>40</v>
      </c>
      <c r="F509" s="128">
        <v>350</v>
      </c>
      <c r="G509" s="372">
        <f>F509*E509</f>
        <v>14000</v>
      </c>
    </row>
    <row r="510" spans="1:7" x14ac:dyDescent="0.2">
      <c r="A510" s="29"/>
      <c r="B510" s="105"/>
      <c r="C510" s="371"/>
      <c r="D510" s="376" t="s">
        <v>301</v>
      </c>
      <c r="E510" s="102"/>
      <c r="F510" s="128"/>
      <c r="G510" s="372"/>
    </row>
    <row r="511" spans="1:7" x14ac:dyDescent="0.2">
      <c r="A511" s="29"/>
      <c r="B511" s="105"/>
      <c r="C511" s="371"/>
      <c r="D511" s="376"/>
      <c r="E511" s="102"/>
      <c r="F511" s="128"/>
      <c r="G511" s="372"/>
    </row>
    <row r="512" spans="1:7" x14ac:dyDescent="0.2">
      <c r="A512" s="29"/>
      <c r="B512" s="151"/>
      <c r="C512" s="385"/>
      <c r="D512" s="376"/>
      <c r="E512" s="108"/>
      <c r="F512" s="150"/>
      <c r="G512" s="372"/>
    </row>
    <row r="513" spans="1:7" x14ac:dyDescent="0.2">
      <c r="A513" s="29"/>
      <c r="B513" s="151"/>
      <c r="C513" s="385"/>
      <c r="D513" s="376"/>
      <c r="E513" s="108"/>
      <c r="F513" s="150"/>
      <c r="G513" s="372"/>
    </row>
    <row r="514" spans="1:7" x14ac:dyDescent="0.2">
      <c r="A514" s="29"/>
      <c r="B514" s="151"/>
      <c r="C514" s="385"/>
      <c r="D514" s="358"/>
      <c r="E514" s="108"/>
      <c r="F514" s="150"/>
      <c r="G514" s="372"/>
    </row>
    <row r="515" spans="1:7" x14ac:dyDescent="0.2">
      <c r="A515" s="29"/>
      <c r="B515" s="101"/>
      <c r="C515" s="371"/>
      <c r="D515" s="448"/>
      <c r="E515" s="155"/>
      <c r="F515" s="128"/>
      <c r="G515" s="372"/>
    </row>
    <row r="516" spans="1:7" x14ac:dyDescent="0.2">
      <c r="A516" s="29"/>
      <c r="B516" s="106"/>
      <c r="C516" s="371"/>
      <c r="D516" s="376"/>
      <c r="E516" s="104"/>
      <c r="F516" s="128"/>
      <c r="G516" s="372"/>
    </row>
    <row r="517" spans="1:7" x14ac:dyDescent="0.2">
      <c r="A517" s="29"/>
      <c r="B517" s="106"/>
      <c r="C517" s="371"/>
      <c r="D517" s="376"/>
      <c r="E517" s="104"/>
      <c r="F517" s="128"/>
      <c r="G517" s="372"/>
    </row>
    <row r="518" spans="1:7" x14ac:dyDescent="0.2">
      <c r="A518" s="29"/>
      <c r="B518" s="105"/>
      <c r="C518" s="371"/>
      <c r="D518" s="376"/>
      <c r="E518" s="108"/>
      <c r="F518" s="152"/>
      <c r="G518" s="372"/>
    </row>
    <row r="519" spans="1:7" x14ac:dyDescent="0.2">
      <c r="A519" s="29"/>
      <c r="B519" s="107"/>
      <c r="C519" s="371"/>
      <c r="D519" s="376"/>
      <c r="E519" s="153"/>
      <c r="F519" s="128"/>
      <c r="G519" s="372"/>
    </row>
    <row r="520" spans="1:7" x14ac:dyDescent="0.2">
      <c r="A520" s="29"/>
      <c r="B520" s="107"/>
      <c r="C520" s="371"/>
      <c r="D520" s="376"/>
      <c r="E520" s="102"/>
      <c r="F520" s="128"/>
      <c r="G520" s="372"/>
    </row>
    <row r="521" spans="1:7" x14ac:dyDescent="0.2">
      <c r="A521" s="29"/>
      <c r="B521" s="101"/>
      <c r="C521" s="119"/>
      <c r="D521" s="357"/>
      <c r="E521" s="108"/>
      <c r="F521" s="150"/>
      <c r="G521" s="372"/>
    </row>
    <row r="522" spans="1:7" x14ac:dyDescent="0.2">
      <c r="A522" s="29"/>
      <c r="B522" s="101"/>
      <c r="C522" s="371"/>
      <c r="D522" s="384"/>
      <c r="E522" s="153"/>
      <c r="F522" s="128"/>
      <c r="G522" s="372"/>
    </row>
    <row r="523" spans="1:7" x14ac:dyDescent="0.2">
      <c r="A523" s="29"/>
      <c r="B523" s="106"/>
      <c r="C523" s="41"/>
      <c r="D523" s="384"/>
      <c r="E523" s="414" t="s">
        <v>896</v>
      </c>
      <c r="F523" s="154"/>
      <c r="G523" s="372"/>
    </row>
    <row r="524" spans="1:7" x14ac:dyDescent="0.2">
      <c r="A524" s="29"/>
      <c r="B524" s="105"/>
      <c r="C524" s="371"/>
      <c r="D524" s="419"/>
      <c r="E524" s="104"/>
      <c r="F524" s="154"/>
      <c r="G524" s="372"/>
    </row>
    <row r="525" spans="1:7" x14ac:dyDescent="0.2">
      <c r="A525" s="29"/>
      <c r="B525" s="105"/>
      <c r="C525" s="41"/>
      <c r="D525" s="384"/>
      <c r="E525" s="104"/>
      <c r="F525" s="154"/>
      <c r="G525" s="372"/>
    </row>
    <row r="526" spans="1:7" x14ac:dyDescent="0.2">
      <c r="A526" s="29"/>
      <c r="B526" s="101"/>
      <c r="C526" s="371"/>
      <c r="D526" s="384"/>
      <c r="E526" s="104"/>
      <c r="F526" s="154"/>
      <c r="G526" s="372"/>
    </row>
    <row r="527" spans="1:7" x14ac:dyDescent="0.2">
      <c r="A527" s="29"/>
      <c r="B527" s="101"/>
      <c r="C527" s="41"/>
      <c r="D527" s="376"/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62"/>
      <c r="E530" s="104"/>
      <c r="F530" s="154"/>
      <c r="G530" s="35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2"/>
      <c r="E532" s="104"/>
      <c r="F532" s="154"/>
      <c r="G532" s="35"/>
    </row>
    <row r="533" spans="1:7" x14ac:dyDescent="0.2">
      <c r="A533" s="29"/>
      <c r="B533" s="101"/>
      <c r="C533" s="41"/>
      <c r="D533" s="67"/>
      <c r="E533" s="104"/>
      <c r="F533" s="154"/>
      <c r="G533" s="35"/>
    </row>
    <row r="534" spans="1:7" x14ac:dyDescent="0.2">
      <c r="A534" s="29"/>
      <c r="B534" s="101"/>
      <c r="C534" s="41"/>
      <c r="D534" s="159"/>
      <c r="E534" s="104"/>
      <c r="F534" s="154"/>
      <c r="G534" s="35"/>
    </row>
    <row r="535" spans="1:7" x14ac:dyDescent="0.2">
      <c r="A535" s="29"/>
      <c r="B535" s="101"/>
      <c r="C535" s="41"/>
      <c r="D535" s="160"/>
      <c r="E535" s="108"/>
      <c r="F535" s="128"/>
      <c r="G535" s="35"/>
    </row>
    <row r="536" spans="1:7" x14ac:dyDescent="0.2">
      <c r="A536" s="29"/>
      <c r="B536" s="101"/>
      <c r="C536" s="41"/>
      <c r="D536" s="136"/>
      <c r="E536" s="153"/>
      <c r="F536" s="128"/>
      <c r="G536" s="35"/>
    </row>
    <row r="537" spans="1:7" x14ac:dyDescent="0.2">
      <c r="A537" s="29"/>
      <c r="B537" s="101"/>
      <c r="C537" s="41"/>
      <c r="D537" s="136" t="s">
        <v>152</v>
      </c>
      <c r="E537" s="102"/>
      <c r="F537" s="128"/>
      <c r="G537" s="35"/>
    </row>
    <row r="538" spans="1:7" x14ac:dyDescent="0.2">
      <c r="A538" s="29"/>
      <c r="B538" s="101"/>
      <c r="C538" s="31"/>
      <c r="D538" s="67"/>
      <c r="E538" s="131"/>
      <c r="F538" s="117"/>
      <c r="G538" s="35"/>
    </row>
    <row r="539" spans="1:7" x14ac:dyDescent="0.2">
      <c r="A539" s="29"/>
      <c r="B539" s="101"/>
      <c r="C539" s="41"/>
      <c r="D539" s="118"/>
      <c r="E539" s="108"/>
      <c r="F539" s="149"/>
      <c r="G539" s="35"/>
    </row>
    <row r="540" spans="1:7" x14ac:dyDescent="0.2">
      <c r="A540" s="29"/>
      <c r="B540" s="101"/>
      <c r="C540" s="41"/>
      <c r="D540" s="144"/>
      <c r="E540" s="108"/>
      <c r="F540" s="149"/>
      <c r="G540" s="35"/>
    </row>
    <row r="541" spans="1:7" ht="13.5" thickBot="1" x14ac:dyDescent="0.25">
      <c r="A541" s="45"/>
      <c r="B541" s="132"/>
      <c r="C541" s="115"/>
      <c r="D541" s="115"/>
      <c r="E541" s="132"/>
      <c r="F541" s="49" t="s">
        <v>15</v>
      </c>
      <c r="G541" s="50">
        <f>SUM(G507:G540)</f>
        <v>22000</v>
      </c>
    </row>
    <row r="542" spans="1:7" ht="13.5" thickTop="1" x14ac:dyDescent="0.2">
      <c r="A542" s="875" t="s">
        <v>1920</v>
      </c>
      <c r="B542" s="899"/>
      <c r="C542" s="899"/>
      <c r="D542" s="899"/>
      <c r="E542" s="899"/>
      <c r="F542" s="899"/>
      <c r="G542" s="900"/>
    </row>
    <row r="543" spans="1:7" ht="13.5" thickBot="1" x14ac:dyDescent="0.25">
      <c r="A543" s="52"/>
      <c r="B543" s="103"/>
      <c r="C543" s="374" t="s">
        <v>8</v>
      </c>
      <c r="D543" s="54"/>
      <c r="E543" s="103"/>
      <c r="F543" s="55"/>
      <c r="G543" s="56"/>
    </row>
    <row r="544" spans="1:7" ht="13.5" thickTop="1" x14ac:dyDescent="0.2">
      <c r="A544" s="906"/>
      <c r="B544" s="907"/>
      <c r="C544" s="907"/>
      <c r="D544" s="57" t="s">
        <v>11</v>
      </c>
      <c r="E544" s="908" t="s">
        <v>12</v>
      </c>
      <c r="F544" s="908"/>
      <c r="G544" s="909"/>
    </row>
    <row r="545" spans="1:7" x14ac:dyDescent="0.2">
      <c r="A545" s="910" t="s">
        <v>17</v>
      </c>
      <c r="B545" s="911"/>
      <c r="C545" s="911"/>
      <c r="D545" s="39"/>
      <c r="E545" s="912"/>
      <c r="F545" s="913"/>
      <c r="G545" s="914"/>
    </row>
    <row r="546" spans="1:7" x14ac:dyDescent="0.2">
      <c r="A546" s="910" t="s">
        <v>38</v>
      </c>
      <c r="B546" s="911"/>
      <c r="C546" s="911"/>
      <c r="D546" s="58" t="s">
        <v>10</v>
      </c>
      <c r="E546" s="868" t="s">
        <v>142</v>
      </c>
      <c r="F546" s="868"/>
      <c r="G546" s="869"/>
    </row>
    <row r="547" spans="1:7" ht="13.5" thickBot="1" x14ac:dyDescent="0.25">
      <c r="A547" s="901" t="s">
        <v>39</v>
      </c>
      <c r="B547" s="902"/>
      <c r="C547" s="902"/>
      <c r="D547" s="59" t="s">
        <v>44</v>
      </c>
      <c r="E547" s="904" t="s">
        <v>0</v>
      </c>
      <c r="F547" s="904"/>
      <c r="G547" s="905"/>
    </row>
  </sheetData>
  <mergeCells count="154">
    <mergeCell ref="A546:C546"/>
    <mergeCell ref="E546:G546"/>
    <mergeCell ref="A547:C547"/>
    <mergeCell ref="E547:G547"/>
    <mergeCell ref="A498:G498"/>
    <mergeCell ref="A499:G499"/>
    <mergeCell ref="A500:G500"/>
    <mergeCell ref="E503:F503"/>
    <mergeCell ref="E505:F505"/>
    <mergeCell ref="A542:G542"/>
    <mergeCell ref="A544:C544"/>
    <mergeCell ref="E544:G544"/>
    <mergeCell ref="A545:C545"/>
    <mergeCell ref="E545:G545"/>
    <mergeCell ref="A496:C496"/>
    <mergeCell ref="E496:G496"/>
    <mergeCell ref="A497:C497"/>
    <mergeCell ref="E497:G497"/>
    <mergeCell ref="A448:G448"/>
    <mergeCell ref="A449:G449"/>
    <mergeCell ref="A450:G450"/>
    <mergeCell ref="E453:F453"/>
    <mergeCell ref="E455:F455"/>
    <mergeCell ref="A492:G492"/>
    <mergeCell ref="A494:C494"/>
    <mergeCell ref="E494:G494"/>
    <mergeCell ref="A495:C495"/>
    <mergeCell ref="E495:G495"/>
    <mergeCell ref="A297:C297"/>
    <mergeCell ref="E297:G297"/>
    <mergeCell ref="A294:C294"/>
    <mergeCell ref="E294:G294"/>
    <mergeCell ref="A295:C295"/>
    <mergeCell ref="E295:G295"/>
    <mergeCell ref="A296:C296"/>
    <mergeCell ref="E296:G296"/>
    <mergeCell ref="E246:G246"/>
    <mergeCell ref="A247:C247"/>
    <mergeCell ref="E247:G247"/>
    <mergeCell ref="A248:G248"/>
    <mergeCell ref="A249:G249"/>
    <mergeCell ref="A250:G250"/>
    <mergeCell ref="E253:F253"/>
    <mergeCell ref="E255:F255"/>
    <mergeCell ref="A292:G292"/>
    <mergeCell ref="A50:G50"/>
    <mergeCell ref="A51:G51"/>
    <mergeCell ref="A52:G52"/>
    <mergeCell ref="E55:F55"/>
    <mergeCell ref="E57:F57"/>
    <mergeCell ref="A1:G1"/>
    <mergeCell ref="A2:G2"/>
    <mergeCell ref="A3:G3"/>
    <mergeCell ref="E6:F6"/>
    <mergeCell ref="E8:F8"/>
    <mergeCell ref="A48:C48"/>
    <mergeCell ref="E48:G48"/>
    <mergeCell ref="A49:C49"/>
    <mergeCell ref="E49:G49"/>
    <mergeCell ref="A44:G44"/>
    <mergeCell ref="A46:C46"/>
    <mergeCell ref="E46:G46"/>
    <mergeCell ref="A47:C47"/>
    <mergeCell ref="E47:G4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149:G149"/>
    <mergeCell ref="A150:G150"/>
    <mergeCell ref="E153:F153"/>
    <mergeCell ref="E155:F155"/>
    <mergeCell ref="A192:G192"/>
    <mergeCell ref="A146:C146"/>
    <mergeCell ref="E146:G146"/>
    <mergeCell ref="A147:C147"/>
    <mergeCell ref="E147:G147"/>
    <mergeCell ref="A148:G148"/>
    <mergeCell ref="A298:G298"/>
    <mergeCell ref="A299:G299"/>
    <mergeCell ref="A300:G300"/>
    <mergeCell ref="E303:F303"/>
    <mergeCell ref="E305:F305"/>
    <mergeCell ref="A197:C197"/>
    <mergeCell ref="E197:G197"/>
    <mergeCell ref="A194:C194"/>
    <mergeCell ref="E194:G194"/>
    <mergeCell ref="A195:C195"/>
    <mergeCell ref="E195:G195"/>
    <mergeCell ref="A196:C196"/>
    <mergeCell ref="E196:G196"/>
    <mergeCell ref="A198:G198"/>
    <mergeCell ref="A199:G199"/>
    <mergeCell ref="A200:G200"/>
    <mergeCell ref="E203:F203"/>
    <mergeCell ref="E205:F205"/>
    <mergeCell ref="A242:G242"/>
    <mergeCell ref="A244:C244"/>
    <mergeCell ref="E244:G244"/>
    <mergeCell ref="A245:C245"/>
    <mergeCell ref="E245:G245"/>
    <mergeCell ref="A246:C246"/>
    <mergeCell ref="A346:C346"/>
    <mergeCell ref="E346:G346"/>
    <mergeCell ref="A347:C347"/>
    <mergeCell ref="E347:G347"/>
    <mergeCell ref="A342:G342"/>
    <mergeCell ref="A344:C344"/>
    <mergeCell ref="E344:G344"/>
    <mergeCell ref="A345:C345"/>
    <mergeCell ref="E345:G345"/>
    <mergeCell ref="E353:F353"/>
    <mergeCell ref="E355:F355"/>
    <mergeCell ref="A392:G392"/>
    <mergeCell ref="A394:C394"/>
    <mergeCell ref="E394:G394"/>
    <mergeCell ref="A348:G348"/>
    <mergeCell ref="A349:G349"/>
    <mergeCell ref="A350:G350"/>
    <mergeCell ref="A398:G398"/>
    <mergeCell ref="A399:G399"/>
    <mergeCell ref="A400:G400"/>
    <mergeCell ref="E403:F403"/>
    <mergeCell ref="E405:F405"/>
    <mergeCell ref="A395:C395"/>
    <mergeCell ref="E395:G395"/>
    <mergeCell ref="A396:C396"/>
    <mergeCell ref="E396:G396"/>
    <mergeCell ref="A397:C397"/>
    <mergeCell ref="E397:G397"/>
    <mergeCell ref="A446:C446"/>
    <mergeCell ref="E446:G446"/>
    <mergeCell ref="A447:C447"/>
    <mergeCell ref="E447:G447"/>
    <mergeCell ref="A442:G442"/>
    <mergeCell ref="A444:C444"/>
    <mergeCell ref="E444:G444"/>
    <mergeCell ref="A445:C445"/>
    <mergeCell ref="E445:G4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A3CC4"/>
  </sheetPr>
  <dimension ref="A1:O1147"/>
  <sheetViews>
    <sheetView topLeftCell="A11" zoomScale="110" zoomScaleNormal="110" zoomScaleSheetLayoutView="115" workbookViewId="0">
      <selection activeCell="D11" sqref="D1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8" width="13.28515625" style="2" customWidth="1"/>
    <col min="19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27</v>
      </c>
      <c r="D5" s="13"/>
      <c r="E5" s="362" t="s">
        <v>1223</v>
      </c>
      <c r="F5" s="98"/>
      <c r="G5" s="363" t="s">
        <v>1194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0" t="s">
        <v>1195</v>
      </c>
      <c r="E10" s="158">
        <v>70</v>
      </c>
      <c r="F10" s="128">
        <v>350</v>
      </c>
      <c r="G10" s="35">
        <f>F10*E10</f>
        <v>24500</v>
      </c>
    </row>
    <row r="11" spans="1:7" x14ac:dyDescent="0.2">
      <c r="A11" s="29"/>
      <c r="B11" s="101"/>
      <c r="C11" s="41"/>
      <c r="D11" s="370" t="s">
        <v>1196</v>
      </c>
      <c r="E11" s="156"/>
      <c r="F11" s="128"/>
      <c r="G11" s="35"/>
    </row>
    <row r="12" spans="1:7" x14ac:dyDescent="0.2">
      <c r="A12" s="29"/>
      <c r="B12" s="101"/>
      <c r="C12" s="371"/>
      <c r="D12" s="370"/>
      <c r="E12" s="108"/>
      <c r="F12" s="149"/>
      <c r="G12" s="35"/>
    </row>
    <row r="13" spans="1:7" x14ac:dyDescent="0.2">
      <c r="A13" s="29"/>
      <c r="B13" s="101"/>
      <c r="C13" s="41"/>
      <c r="D13" s="370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 t="s">
        <v>150</v>
      </c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 t="s">
        <v>150</v>
      </c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2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  <c r="I37" s="453" t="s">
        <v>1456</v>
      </c>
    </row>
    <row r="38" spans="1:9" x14ac:dyDescent="0.2">
      <c r="A38" s="29"/>
      <c r="B38" s="101"/>
      <c r="C38" s="41"/>
      <c r="D38" s="136"/>
      <c r="E38" s="153"/>
      <c r="F38" s="128"/>
      <c r="G38" s="35"/>
      <c r="I38" s="430" t="s">
        <v>1454</v>
      </c>
    </row>
    <row r="39" spans="1:9" x14ac:dyDescent="0.2">
      <c r="A39" s="29"/>
      <c r="B39" s="101"/>
      <c r="C39" s="41"/>
      <c r="D39" s="136"/>
      <c r="E39" s="102"/>
      <c r="F39" s="128"/>
      <c r="G39" s="35"/>
      <c r="I39" s="430" t="s">
        <v>1455</v>
      </c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24500</v>
      </c>
    </row>
    <row r="44" spans="1:9" ht="13.5" thickTop="1" x14ac:dyDescent="0.2">
      <c r="A44" s="875" t="s">
        <v>1197</v>
      </c>
      <c r="B44" s="899"/>
      <c r="C44" s="899"/>
      <c r="D44" s="899"/>
      <c r="E44" s="899"/>
      <c r="F44" s="899"/>
      <c r="G44" s="900"/>
    </row>
    <row r="45" spans="1:9" ht="13.5" thickBot="1" x14ac:dyDescent="0.25">
      <c r="A45" s="52"/>
      <c r="B45" s="103"/>
      <c r="C45" s="374" t="s">
        <v>1457</v>
      </c>
      <c r="D45" s="54"/>
      <c r="E45" s="103"/>
      <c r="F45" s="55"/>
      <c r="G45" s="56"/>
    </row>
    <row r="46" spans="1:9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9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9" x14ac:dyDescent="0.2">
      <c r="A48" s="910" t="s">
        <v>38</v>
      </c>
      <c r="B48" s="911"/>
      <c r="C48" s="911"/>
      <c r="D48" s="58" t="s">
        <v>271</v>
      </c>
      <c r="E48" s="868" t="s">
        <v>142</v>
      </c>
      <c r="F48" s="868"/>
      <c r="G48" s="869"/>
    </row>
    <row r="49" spans="1:9" ht="13.5" thickBot="1" x14ac:dyDescent="0.25">
      <c r="A49" s="901" t="s">
        <v>39</v>
      </c>
      <c r="B49" s="902"/>
      <c r="C49" s="902"/>
      <c r="D49" s="59" t="s">
        <v>272</v>
      </c>
      <c r="E49" s="904" t="s">
        <v>0</v>
      </c>
      <c r="F49" s="904"/>
      <c r="G49" s="905"/>
    </row>
    <row r="50" spans="1:9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9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9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9" x14ac:dyDescent="0.2">
      <c r="A53" s="6"/>
      <c r="B53" s="99"/>
      <c r="C53" s="8"/>
      <c r="D53" s="9"/>
      <c r="E53" s="99"/>
      <c r="F53" s="10"/>
      <c r="G53" s="11" t="s">
        <v>20</v>
      </c>
    </row>
    <row r="54" spans="1:9" x14ac:dyDescent="0.2">
      <c r="A54" s="12" t="s">
        <v>1</v>
      </c>
      <c r="B54" s="13"/>
      <c r="C54" s="14" t="s">
        <v>27</v>
      </c>
      <c r="D54" s="13"/>
      <c r="E54" s="362" t="s">
        <v>1229</v>
      </c>
      <c r="F54" s="98"/>
      <c r="G54" s="363" t="s">
        <v>1194</v>
      </c>
    </row>
    <row r="55" spans="1:9" x14ac:dyDescent="0.2">
      <c r="A55" s="17" t="s">
        <v>8</v>
      </c>
      <c r="B55" s="100"/>
      <c r="C55" s="19"/>
      <c r="D55" s="4"/>
      <c r="E55" s="918"/>
      <c r="F55" s="919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920"/>
      <c r="F57" s="921"/>
      <c r="G57" s="25"/>
      <c r="I57" s="430" t="s">
        <v>150</v>
      </c>
    </row>
    <row r="58" spans="1:9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71" t="s">
        <v>242</v>
      </c>
      <c r="D59" s="370" t="s">
        <v>1198</v>
      </c>
      <c r="E59" s="158">
        <v>60</v>
      </c>
      <c r="F59" s="128">
        <v>200</v>
      </c>
      <c r="G59" s="35">
        <f>F59*E59</f>
        <v>12000</v>
      </c>
    </row>
    <row r="60" spans="1:9" x14ac:dyDescent="0.2">
      <c r="A60" s="29"/>
      <c r="B60" s="101"/>
      <c r="C60" s="41"/>
      <c r="D60" s="370" t="s">
        <v>1199</v>
      </c>
      <c r="E60" s="156"/>
      <c r="F60" s="128"/>
      <c r="G60" s="35"/>
    </row>
    <row r="61" spans="1:9" x14ac:dyDescent="0.2">
      <c r="A61" s="29">
        <v>2</v>
      </c>
      <c r="B61" s="101"/>
      <c r="C61" s="371" t="s">
        <v>242</v>
      </c>
      <c r="D61" s="370" t="s">
        <v>1195</v>
      </c>
      <c r="E61" s="108">
        <v>60</v>
      </c>
      <c r="F61" s="149">
        <v>350</v>
      </c>
      <c r="G61" s="35">
        <f>F61*E61</f>
        <v>21000</v>
      </c>
    </row>
    <row r="62" spans="1:9" x14ac:dyDescent="0.2">
      <c r="A62" s="29"/>
      <c r="B62" s="101"/>
      <c r="C62" s="41"/>
      <c r="D62" s="370" t="s">
        <v>1196</v>
      </c>
      <c r="E62" s="108"/>
      <c r="F62" s="128"/>
      <c r="G62" s="35"/>
    </row>
    <row r="63" spans="1:9" x14ac:dyDescent="0.2">
      <c r="A63" s="29">
        <v>3</v>
      </c>
      <c r="B63" s="105"/>
      <c r="C63" s="371" t="s">
        <v>242</v>
      </c>
      <c r="D63" s="376" t="s">
        <v>1200</v>
      </c>
      <c r="E63" s="102">
        <v>60</v>
      </c>
      <c r="F63" s="128">
        <v>200</v>
      </c>
      <c r="G63" s="35">
        <f>F63*E63</f>
        <v>12000</v>
      </c>
    </row>
    <row r="64" spans="1:9" x14ac:dyDescent="0.2">
      <c r="A64" s="29"/>
      <c r="B64" s="105"/>
      <c r="C64" s="41"/>
      <c r="D64" s="376" t="s">
        <v>1201</v>
      </c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 t="s">
        <v>150</v>
      </c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 t="s">
        <v>150</v>
      </c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2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409" t="s">
        <v>152</v>
      </c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45000</v>
      </c>
    </row>
    <row r="94" spans="1:7" ht="13.5" thickTop="1" x14ac:dyDescent="0.2">
      <c r="A94" s="875" t="s">
        <v>1441</v>
      </c>
      <c r="B94" s="899"/>
      <c r="C94" s="899"/>
      <c r="D94" s="899"/>
      <c r="E94" s="899"/>
      <c r="F94" s="899"/>
      <c r="G94" s="900"/>
    </row>
    <row r="95" spans="1:7" ht="13.5" thickBot="1" x14ac:dyDescent="0.25">
      <c r="A95" s="52"/>
      <c r="B95" s="103"/>
      <c r="C95" s="374" t="s">
        <v>8</v>
      </c>
      <c r="D95" s="54"/>
      <c r="E95" s="103"/>
      <c r="F95" s="55"/>
      <c r="G95" s="56"/>
    </row>
    <row r="96" spans="1:7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</row>
    <row r="97" spans="1:8" x14ac:dyDescent="0.2">
      <c r="A97" s="910" t="s">
        <v>17</v>
      </c>
      <c r="B97" s="911"/>
      <c r="C97" s="911"/>
      <c r="D97" s="39"/>
      <c r="E97" s="912"/>
      <c r="F97" s="913"/>
      <c r="G97" s="914"/>
    </row>
    <row r="98" spans="1:8" x14ac:dyDescent="0.2">
      <c r="A98" s="910" t="s">
        <v>38</v>
      </c>
      <c r="B98" s="911"/>
      <c r="C98" s="911"/>
      <c r="D98" s="58" t="s">
        <v>271</v>
      </c>
      <c r="E98" s="868" t="s">
        <v>142</v>
      </c>
      <c r="F98" s="868"/>
      <c r="G98" s="869"/>
    </row>
    <row r="99" spans="1:8" ht="13.5" thickBot="1" x14ac:dyDescent="0.25">
      <c r="A99" s="901" t="s">
        <v>39</v>
      </c>
      <c r="B99" s="902"/>
      <c r="C99" s="902"/>
      <c r="D99" s="59" t="s">
        <v>272</v>
      </c>
      <c r="E99" s="904" t="s">
        <v>0</v>
      </c>
      <c r="F99" s="904"/>
      <c r="G99" s="905"/>
    </row>
    <row r="100" spans="1:8" ht="16.5" x14ac:dyDescent="0.25">
      <c r="A100" s="885" t="s">
        <v>29</v>
      </c>
      <c r="B100" s="886"/>
      <c r="C100" s="886"/>
      <c r="D100" s="886"/>
      <c r="E100" s="886"/>
      <c r="F100" s="886"/>
      <c r="G100" s="887"/>
      <c r="H100" s="1" t="s">
        <v>150</v>
      </c>
    </row>
    <row r="101" spans="1:8" x14ac:dyDescent="0.2">
      <c r="A101" s="888" t="s">
        <v>48</v>
      </c>
      <c r="B101" s="889"/>
      <c r="C101" s="889"/>
      <c r="D101" s="889"/>
      <c r="E101" s="889"/>
      <c r="F101" s="889"/>
      <c r="G101" s="890"/>
    </row>
    <row r="102" spans="1:8" x14ac:dyDescent="0.2">
      <c r="A102" s="915" t="s">
        <v>49</v>
      </c>
      <c r="B102" s="916"/>
      <c r="C102" s="916"/>
      <c r="D102" s="916"/>
      <c r="E102" s="916"/>
      <c r="F102" s="916"/>
      <c r="G102" s="917"/>
    </row>
    <row r="103" spans="1:8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8" x14ac:dyDescent="0.2">
      <c r="A104" s="12" t="s">
        <v>1</v>
      </c>
      <c r="B104" s="13"/>
      <c r="C104" s="14" t="s">
        <v>27</v>
      </c>
      <c r="D104" s="13"/>
      <c r="E104" s="362" t="s">
        <v>1992</v>
      </c>
      <c r="F104" s="98"/>
      <c r="G104" s="363" t="s">
        <v>1981</v>
      </c>
    </row>
    <row r="105" spans="1:8" x14ac:dyDescent="0.2">
      <c r="A105" s="17" t="s">
        <v>8</v>
      </c>
      <c r="B105" s="100"/>
      <c r="C105" s="19"/>
      <c r="D105" s="4"/>
      <c r="E105" s="918"/>
      <c r="F105" s="919"/>
      <c r="G105" s="20"/>
    </row>
    <row r="106" spans="1:8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8" x14ac:dyDescent="0.2">
      <c r="A107" s="6"/>
      <c r="B107" s="99"/>
      <c r="C107" s="8"/>
      <c r="D107" s="8"/>
      <c r="E107" s="920"/>
      <c r="F107" s="921"/>
      <c r="G107" s="25"/>
    </row>
    <row r="108" spans="1:8" ht="26.25" thickBot="1" x14ac:dyDescent="0.25">
      <c r="A108" s="207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8" ht="13.5" thickTop="1" x14ac:dyDescent="0.2">
      <c r="A109" s="29">
        <v>1</v>
      </c>
      <c r="B109" s="101"/>
      <c r="C109" s="371" t="s">
        <v>242</v>
      </c>
      <c r="D109" s="370" t="s">
        <v>2319</v>
      </c>
      <c r="E109" s="158">
        <v>15</v>
      </c>
      <c r="F109" s="128">
        <v>200</v>
      </c>
      <c r="G109" s="35">
        <f>F109*E109</f>
        <v>3000</v>
      </c>
    </row>
    <row r="110" spans="1:8" x14ac:dyDescent="0.2">
      <c r="A110" s="29"/>
      <c r="B110" s="101"/>
      <c r="C110" s="41"/>
      <c r="D110" s="370" t="s">
        <v>2312</v>
      </c>
      <c r="E110" s="156"/>
      <c r="F110" s="128"/>
      <c r="G110" s="35"/>
    </row>
    <row r="111" spans="1:8" x14ac:dyDescent="0.2">
      <c r="A111" s="29"/>
      <c r="B111" s="101"/>
      <c r="C111" s="371"/>
      <c r="D111" s="370"/>
      <c r="E111" s="108"/>
      <c r="F111" s="149"/>
      <c r="G111" s="35"/>
    </row>
    <row r="112" spans="1:8" x14ac:dyDescent="0.2">
      <c r="A112" s="29"/>
      <c r="B112" s="101"/>
      <c r="C112" s="41"/>
      <c r="D112" s="370"/>
      <c r="E112" s="108"/>
      <c r="F112" s="128"/>
      <c r="G112" s="35"/>
    </row>
    <row r="113" spans="1:7" x14ac:dyDescent="0.2">
      <c r="A113" s="29"/>
      <c r="B113" s="105"/>
      <c r="C113" s="371"/>
      <c r="D113" s="376"/>
      <c r="E113" s="102"/>
      <c r="F113" s="128"/>
      <c r="G113" s="35"/>
    </row>
    <row r="114" spans="1:7" x14ac:dyDescent="0.2">
      <c r="A114" s="29"/>
      <c r="B114" s="105"/>
      <c r="C114" s="41"/>
      <c r="D114" s="376"/>
      <c r="E114" s="102"/>
      <c r="F114" s="128"/>
      <c r="G114" s="35"/>
    </row>
    <row r="115" spans="1:7" x14ac:dyDescent="0.2">
      <c r="A115" s="29"/>
      <c r="B115" s="151"/>
      <c r="C115" s="119"/>
      <c r="D115" s="136"/>
      <c r="E115" s="108"/>
      <c r="F115" s="150"/>
      <c r="G115" s="35"/>
    </row>
    <row r="116" spans="1:7" x14ac:dyDescent="0.2">
      <c r="A116" s="29"/>
      <c r="B116" s="151"/>
      <c r="C116" s="119"/>
      <c r="D116" s="14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55"/>
      <c r="F117" s="128"/>
      <c r="G117" s="35"/>
    </row>
    <row r="118" spans="1:7" x14ac:dyDescent="0.2">
      <c r="A118" s="29"/>
      <c r="B118" s="106"/>
      <c r="C118" s="41"/>
      <c r="D118" s="136"/>
      <c r="E118" s="104"/>
      <c r="F118" s="128"/>
      <c r="G118" s="35"/>
    </row>
    <row r="119" spans="1:7" x14ac:dyDescent="0.2">
      <c r="A119" s="29"/>
      <c r="B119" s="105"/>
      <c r="C119" s="41" t="s">
        <v>150</v>
      </c>
      <c r="D119" s="136"/>
      <c r="E119" s="108"/>
      <c r="F119" s="152"/>
      <c r="G119" s="35"/>
    </row>
    <row r="120" spans="1:7" x14ac:dyDescent="0.2">
      <c r="A120" s="29"/>
      <c r="B120" s="107"/>
      <c r="C120" s="41"/>
      <c r="D120" s="136"/>
      <c r="E120" s="153"/>
      <c r="F120" s="128"/>
      <c r="G120" s="35"/>
    </row>
    <row r="121" spans="1:7" x14ac:dyDescent="0.2">
      <c r="A121" s="29"/>
      <c r="B121" s="107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08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6"/>
      <c r="C124" s="41"/>
      <c r="D124" s="67"/>
      <c r="E124" s="104" t="s">
        <v>150</v>
      </c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9" x14ac:dyDescent="0.2">
      <c r="A129" s="29"/>
      <c r="B129" s="101"/>
      <c r="C129" s="41"/>
      <c r="D129" s="136"/>
      <c r="E129" s="104"/>
      <c r="F129" s="154"/>
      <c r="G129" s="35"/>
    </row>
    <row r="130" spans="1:9" x14ac:dyDescent="0.2">
      <c r="A130" s="29"/>
      <c r="B130" s="101"/>
      <c r="C130" s="41"/>
      <c r="D130" s="62"/>
      <c r="E130" s="104"/>
      <c r="F130" s="154"/>
      <c r="G130" s="35"/>
      <c r="I130" s="430" t="s">
        <v>8</v>
      </c>
    </row>
    <row r="131" spans="1:9" x14ac:dyDescent="0.2">
      <c r="A131" s="29"/>
      <c r="B131" s="101"/>
      <c r="C131" s="41"/>
      <c r="D131" s="62"/>
      <c r="E131" s="104"/>
      <c r="F131" s="154"/>
      <c r="G131" s="35"/>
    </row>
    <row r="132" spans="1:9" x14ac:dyDescent="0.2">
      <c r="A132" s="29"/>
      <c r="B132" s="101"/>
      <c r="C132" s="41"/>
      <c r="D132" s="62"/>
      <c r="E132" s="104"/>
      <c r="F132" s="154"/>
      <c r="G132" s="35"/>
    </row>
    <row r="133" spans="1:9" x14ac:dyDescent="0.2">
      <c r="A133" s="29"/>
      <c r="B133" s="101"/>
      <c r="C133" s="41"/>
      <c r="D133" s="62"/>
      <c r="E133" s="104"/>
      <c r="F133" s="154"/>
      <c r="G133" s="35"/>
    </row>
    <row r="134" spans="1:9" x14ac:dyDescent="0.2">
      <c r="A134" s="29"/>
      <c r="B134" s="101"/>
      <c r="C134" s="41"/>
      <c r="D134" s="62"/>
      <c r="E134" s="104"/>
      <c r="F134" s="154"/>
      <c r="G134" s="35"/>
    </row>
    <row r="135" spans="1:9" x14ac:dyDescent="0.2">
      <c r="A135" s="29"/>
      <c r="B135" s="101"/>
      <c r="C135" s="41"/>
      <c r="D135" s="67"/>
      <c r="E135" s="104"/>
      <c r="F135" s="154"/>
      <c r="G135" s="35"/>
    </row>
    <row r="136" spans="1:9" x14ac:dyDescent="0.2">
      <c r="A136" s="29"/>
      <c r="B136" s="101"/>
      <c r="C136" s="41"/>
      <c r="D136" s="159"/>
      <c r="E136" s="104"/>
      <c r="F136" s="154"/>
      <c r="G136" s="35"/>
    </row>
    <row r="137" spans="1:9" x14ac:dyDescent="0.2">
      <c r="A137" s="29"/>
      <c r="B137" s="101"/>
      <c r="C137" s="41"/>
      <c r="D137" s="160"/>
      <c r="E137" s="108"/>
      <c r="F137" s="128"/>
      <c r="G137" s="35"/>
    </row>
    <row r="138" spans="1:9" x14ac:dyDescent="0.2">
      <c r="A138" s="29"/>
      <c r="B138" s="101"/>
      <c r="C138" s="41"/>
      <c r="D138" s="136"/>
      <c r="E138" s="153"/>
      <c r="F138" s="128"/>
      <c r="G138" s="35"/>
    </row>
    <row r="139" spans="1:9" x14ac:dyDescent="0.2">
      <c r="A139" s="29"/>
      <c r="B139" s="101"/>
      <c r="C139" s="41"/>
      <c r="D139" s="136"/>
      <c r="E139" s="102"/>
      <c r="F139" s="128"/>
      <c r="G139" s="35"/>
    </row>
    <row r="140" spans="1:9" x14ac:dyDescent="0.2">
      <c r="A140" s="29"/>
      <c r="B140" s="101"/>
      <c r="C140" s="31"/>
      <c r="D140" s="67"/>
      <c r="E140" s="131"/>
      <c r="F140" s="117"/>
      <c r="G140" s="35"/>
    </row>
    <row r="141" spans="1:9" x14ac:dyDescent="0.2">
      <c r="A141" s="29"/>
      <c r="B141" s="101"/>
      <c r="C141" s="41"/>
      <c r="D141" s="118"/>
      <c r="E141" s="108"/>
      <c r="F141" s="149"/>
      <c r="G141" s="35"/>
    </row>
    <row r="142" spans="1:9" x14ac:dyDescent="0.2">
      <c r="A142" s="29"/>
      <c r="B142" s="101"/>
      <c r="C142" s="41"/>
      <c r="D142" s="144"/>
      <c r="E142" s="108"/>
      <c r="F142" s="149"/>
      <c r="G142" s="35"/>
    </row>
    <row r="143" spans="1:9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3000</v>
      </c>
    </row>
    <row r="144" spans="1:9" x14ac:dyDescent="0.2">
      <c r="A144" s="875" t="s">
        <v>1697</v>
      </c>
      <c r="B144" s="899"/>
      <c r="C144" s="899"/>
      <c r="D144" s="899"/>
      <c r="E144" s="899"/>
      <c r="F144" s="899"/>
      <c r="G144" s="900"/>
    </row>
    <row r="145" spans="1:9" ht="13.5" thickBot="1" x14ac:dyDescent="0.25">
      <c r="A145" s="52"/>
      <c r="B145" s="103"/>
      <c r="C145" s="374" t="s">
        <v>1859</v>
      </c>
      <c r="D145" s="54"/>
      <c r="E145" s="103"/>
      <c r="F145" s="55"/>
      <c r="G145" s="56"/>
    </row>
    <row r="146" spans="1:9" ht="13.5" thickTop="1" x14ac:dyDescent="0.2">
      <c r="A146" s="906"/>
      <c r="B146" s="907"/>
      <c r="C146" s="907"/>
      <c r="D146" s="57" t="s">
        <v>11</v>
      </c>
      <c r="E146" s="908" t="s">
        <v>12</v>
      </c>
      <c r="F146" s="908"/>
      <c r="G146" s="909"/>
    </row>
    <row r="147" spans="1:9" x14ac:dyDescent="0.2">
      <c r="A147" s="910" t="s">
        <v>17</v>
      </c>
      <c r="B147" s="911"/>
      <c r="C147" s="911"/>
      <c r="D147" s="39"/>
      <c r="E147" s="912"/>
      <c r="F147" s="913"/>
      <c r="G147" s="914"/>
    </row>
    <row r="148" spans="1:9" x14ac:dyDescent="0.2">
      <c r="A148" s="910" t="s">
        <v>38</v>
      </c>
      <c r="B148" s="911"/>
      <c r="C148" s="911"/>
      <c r="D148" s="58" t="s">
        <v>271</v>
      </c>
      <c r="E148" s="868" t="s">
        <v>142</v>
      </c>
      <c r="F148" s="868"/>
      <c r="G148" s="869"/>
    </row>
    <row r="149" spans="1:9" ht="13.5" thickBot="1" x14ac:dyDescent="0.25">
      <c r="A149" s="901" t="s">
        <v>39</v>
      </c>
      <c r="B149" s="902"/>
      <c r="C149" s="902"/>
      <c r="D149" s="59" t="s">
        <v>272</v>
      </c>
      <c r="E149" s="904" t="s">
        <v>0</v>
      </c>
      <c r="F149" s="904"/>
      <c r="G149" s="905"/>
    </row>
    <row r="150" spans="1:9" ht="16.5" x14ac:dyDescent="0.25">
      <c r="A150" s="948" t="s">
        <v>29</v>
      </c>
      <c r="B150" s="949"/>
      <c r="C150" s="949"/>
      <c r="D150" s="949"/>
      <c r="E150" s="949"/>
      <c r="F150" s="949"/>
      <c r="G150" s="950"/>
      <c r="I150" s="258" t="s">
        <v>2749</v>
      </c>
    </row>
    <row r="151" spans="1:9" x14ac:dyDescent="0.2">
      <c r="A151" s="951" t="s">
        <v>48</v>
      </c>
      <c r="B151" s="952"/>
      <c r="C151" s="952"/>
      <c r="D151" s="952"/>
      <c r="E151" s="952"/>
      <c r="F151" s="952"/>
      <c r="G151" s="953"/>
    </row>
    <row r="152" spans="1:9" x14ac:dyDescent="0.2">
      <c r="A152" s="954" t="s">
        <v>49</v>
      </c>
      <c r="B152" s="955"/>
      <c r="C152" s="955"/>
      <c r="D152" s="955"/>
      <c r="E152" s="955"/>
      <c r="F152" s="955"/>
      <c r="G152" s="956"/>
    </row>
    <row r="153" spans="1:9" x14ac:dyDescent="0.2">
      <c r="A153" s="470"/>
      <c r="B153" s="471"/>
      <c r="C153" s="472"/>
      <c r="D153" s="473"/>
      <c r="E153" s="471"/>
      <c r="F153" s="474"/>
      <c r="G153" s="475" t="s">
        <v>20</v>
      </c>
    </row>
    <row r="154" spans="1:9" x14ac:dyDescent="0.2">
      <c r="A154" s="476" t="s">
        <v>1</v>
      </c>
      <c r="B154" s="477"/>
      <c r="C154" s="478" t="s">
        <v>27</v>
      </c>
      <c r="D154" s="477"/>
      <c r="E154" s="272" t="s">
        <v>2746</v>
      </c>
      <c r="F154" s="273"/>
      <c r="G154" s="274" t="s">
        <v>2747</v>
      </c>
    </row>
    <row r="155" spans="1:9" x14ac:dyDescent="0.2">
      <c r="A155" s="479" t="s">
        <v>8</v>
      </c>
      <c r="B155" s="480"/>
      <c r="C155" s="481"/>
      <c r="D155" s="469"/>
      <c r="E155" s="957"/>
      <c r="F155" s="958"/>
      <c r="G155" s="482"/>
    </row>
    <row r="156" spans="1:9" x14ac:dyDescent="0.2">
      <c r="A156" s="483" t="s">
        <v>37</v>
      </c>
      <c r="B156" s="484"/>
      <c r="C156" s="484"/>
      <c r="D156" s="484"/>
      <c r="E156" s="485" t="s">
        <v>46</v>
      </c>
      <c r="F156" s="486"/>
      <c r="G156" s="482" t="s">
        <v>50</v>
      </c>
    </row>
    <row r="157" spans="1:9" x14ac:dyDescent="0.2">
      <c r="A157" s="470"/>
      <c r="B157" s="471"/>
      <c r="C157" s="472"/>
      <c r="D157" s="472"/>
      <c r="E157" s="934"/>
      <c r="F157" s="935"/>
      <c r="G157" s="487"/>
    </row>
    <row r="158" spans="1:9" ht="26.25" thickBot="1" x14ac:dyDescent="0.25">
      <c r="A158" s="488" t="s">
        <v>47</v>
      </c>
      <c r="B158" s="489" t="s">
        <v>23</v>
      </c>
      <c r="C158" s="489" t="s">
        <v>34</v>
      </c>
      <c r="D158" s="490" t="s">
        <v>53</v>
      </c>
      <c r="E158" s="491" t="s">
        <v>54</v>
      </c>
      <c r="F158" s="492" t="s">
        <v>55</v>
      </c>
      <c r="G158" s="493" t="s">
        <v>35</v>
      </c>
    </row>
    <row r="159" spans="1:9" ht="13.5" thickTop="1" x14ac:dyDescent="0.2">
      <c r="A159" s="494">
        <v>1</v>
      </c>
      <c r="B159" s="495"/>
      <c r="C159" s="222" t="s">
        <v>242</v>
      </c>
      <c r="D159" s="502" t="s">
        <v>1300</v>
      </c>
      <c r="E159" s="671">
        <v>25</v>
      </c>
      <c r="F159" s="501">
        <v>250</v>
      </c>
      <c r="G159" s="217">
        <f>F159*E159</f>
        <v>6250</v>
      </c>
    </row>
    <row r="160" spans="1:9" x14ac:dyDescent="0.2">
      <c r="A160" s="494"/>
      <c r="B160" s="495"/>
      <c r="C160" s="222"/>
      <c r="D160" s="502" t="s">
        <v>1301</v>
      </c>
      <c r="E160" s="672"/>
      <c r="F160" s="501"/>
      <c r="G160" s="217"/>
    </row>
    <row r="161" spans="1:7" x14ac:dyDescent="0.2">
      <c r="A161" s="494"/>
      <c r="B161" s="495"/>
      <c r="C161" s="222"/>
      <c r="D161" s="502" t="s">
        <v>1302</v>
      </c>
      <c r="E161" s="500"/>
      <c r="F161" s="504"/>
      <c r="G161" s="217"/>
    </row>
    <row r="162" spans="1:7" x14ac:dyDescent="0.2">
      <c r="A162" s="494">
        <v>2</v>
      </c>
      <c r="B162" s="495"/>
      <c r="C162" s="222" t="s">
        <v>242</v>
      </c>
      <c r="D162" s="502" t="s">
        <v>1381</v>
      </c>
      <c r="E162" s="500">
        <v>25</v>
      </c>
      <c r="F162" s="501">
        <v>350</v>
      </c>
      <c r="G162" s="217">
        <f>F162*E162</f>
        <v>8750</v>
      </c>
    </row>
    <row r="163" spans="1:7" x14ac:dyDescent="0.2">
      <c r="A163" s="494"/>
      <c r="B163" s="505"/>
      <c r="C163" s="222"/>
      <c r="D163" s="251" t="s">
        <v>1196</v>
      </c>
      <c r="E163" s="506"/>
      <c r="F163" s="501"/>
      <c r="G163" s="217"/>
    </row>
    <row r="164" spans="1:7" x14ac:dyDescent="0.2">
      <c r="A164" s="494"/>
      <c r="B164" s="505"/>
      <c r="C164" s="222"/>
      <c r="D164" s="251"/>
      <c r="E164" s="506"/>
      <c r="F164" s="501"/>
      <c r="G164" s="217"/>
    </row>
    <row r="165" spans="1:7" x14ac:dyDescent="0.2">
      <c r="A165" s="494"/>
      <c r="B165" s="507"/>
      <c r="C165" s="508"/>
      <c r="D165" s="251"/>
      <c r="E165" s="500"/>
      <c r="F165" s="509"/>
      <c r="G165" s="217"/>
    </row>
    <row r="166" spans="1:7" x14ac:dyDescent="0.2">
      <c r="A166" s="494"/>
      <c r="B166" s="507"/>
      <c r="C166" s="508"/>
      <c r="D166" s="510"/>
      <c r="E166" s="500"/>
      <c r="F166" s="509"/>
      <c r="G166" s="217"/>
    </row>
    <row r="167" spans="1:7" x14ac:dyDescent="0.2">
      <c r="A167" s="494"/>
      <c r="B167" s="495"/>
      <c r="C167" s="222"/>
      <c r="D167" s="510"/>
      <c r="E167" s="511"/>
      <c r="F167" s="501"/>
      <c r="G167" s="217"/>
    </row>
    <row r="168" spans="1:7" x14ac:dyDescent="0.2">
      <c r="A168" s="494"/>
      <c r="B168" s="512"/>
      <c r="C168" s="222"/>
      <c r="D168" s="251"/>
      <c r="E168" s="513"/>
      <c r="F168" s="501"/>
      <c r="G168" s="217"/>
    </row>
    <row r="169" spans="1:7" x14ac:dyDescent="0.2">
      <c r="A169" s="494"/>
      <c r="B169" s="505"/>
      <c r="C169" s="222" t="s">
        <v>150</v>
      </c>
      <c r="D169" s="251"/>
      <c r="E169" s="500"/>
      <c r="F169" s="514"/>
      <c r="G169" s="217"/>
    </row>
    <row r="170" spans="1:7" x14ac:dyDescent="0.2">
      <c r="A170" s="494"/>
      <c r="B170" s="515"/>
      <c r="C170" s="222"/>
      <c r="D170" s="251"/>
      <c r="E170" s="516"/>
      <c r="F170" s="501"/>
      <c r="G170" s="217"/>
    </row>
    <row r="171" spans="1:7" x14ac:dyDescent="0.2">
      <c r="A171" s="494"/>
      <c r="B171" s="515"/>
      <c r="C171" s="222"/>
      <c r="D171" s="257"/>
      <c r="E171" s="516"/>
      <c r="F171" s="501"/>
      <c r="G171" s="217"/>
    </row>
    <row r="172" spans="1:7" x14ac:dyDescent="0.2">
      <c r="A172" s="494"/>
      <c r="B172" s="495"/>
      <c r="C172" s="222"/>
      <c r="D172" s="257"/>
      <c r="E172" s="500"/>
      <c r="F172" s="501"/>
      <c r="G172" s="217"/>
    </row>
    <row r="173" spans="1:7" x14ac:dyDescent="0.2">
      <c r="A173" s="494"/>
      <c r="B173" s="495"/>
      <c r="C173" s="222"/>
      <c r="D173" s="257"/>
      <c r="E173" s="516"/>
      <c r="F173" s="501"/>
      <c r="G173" s="217"/>
    </row>
    <row r="174" spans="1:7" x14ac:dyDescent="0.2">
      <c r="A174" s="494"/>
      <c r="B174" s="512"/>
      <c r="C174" s="222"/>
      <c r="D174" s="257"/>
      <c r="E174" s="513" t="s">
        <v>150</v>
      </c>
      <c r="F174" s="517"/>
      <c r="G174" s="217"/>
    </row>
    <row r="175" spans="1:7" x14ac:dyDescent="0.2">
      <c r="A175" s="494"/>
      <c r="B175" s="505"/>
      <c r="C175" s="222"/>
      <c r="D175" s="518"/>
      <c r="E175" s="513"/>
      <c r="F175" s="517"/>
      <c r="G175" s="217"/>
    </row>
    <row r="176" spans="1:7" x14ac:dyDescent="0.2">
      <c r="A176" s="494"/>
      <c r="B176" s="505"/>
      <c r="C176" s="222"/>
      <c r="D176" s="257"/>
      <c r="E176" s="513"/>
      <c r="F176" s="517"/>
      <c r="G176" s="217"/>
    </row>
    <row r="177" spans="1:7" x14ac:dyDescent="0.2">
      <c r="A177" s="494"/>
      <c r="B177" s="495"/>
      <c r="C177" s="222"/>
      <c r="D177" s="257"/>
      <c r="E177" s="513"/>
      <c r="F177" s="517"/>
      <c r="G177" s="217"/>
    </row>
    <row r="178" spans="1:7" x14ac:dyDescent="0.2">
      <c r="A178" s="494"/>
      <c r="B178" s="495"/>
      <c r="C178" s="222"/>
      <c r="D178" s="251"/>
      <c r="E178" s="513"/>
      <c r="F178" s="517"/>
      <c r="G178" s="217"/>
    </row>
    <row r="179" spans="1:7" x14ac:dyDescent="0.2">
      <c r="A179" s="494"/>
      <c r="B179" s="495"/>
      <c r="C179" s="222"/>
      <c r="D179" s="251"/>
      <c r="E179" s="513"/>
      <c r="F179" s="517"/>
      <c r="G179" s="217"/>
    </row>
    <row r="180" spans="1:7" x14ac:dyDescent="0.2">
      <c r="A180" s="494"/>
      <c r="B180" s="495"/>
      <c r="C180" s="222"/>
      <c r="D180" s="519"/>
      <c r="E180" s="513"/>
      <c r="F180" s="517"/>
      <c r="G180" s="217"/>
    </row>
    <row r="181" spans="1:7" x14ac:dyDescent="0.2">
      <c r="A181" s="494"/>
      <c r="B181" s="495"/>
      <c r="C181" s="222"/>
      <c r="D181" s="519"/>
      <c r="E181" s="513"/>
      <c r="F181" s="517"/>
      <c r="G181" s="217"/>
    </row>
    <row r="182" spans="1:7" x14ac:dyDescent="0.2">
      <c r="A182" s="494"/>
      <c r="B182" s="495"/>
      <c r="C182" s="222"/>
      <c r="D182" s="519"/>
      <c r="E182" s="513"/>
      <c r="F182" s="517"/>
      <c r="G182" s="217"/>
    </row>
    <row r="183" spans="1:7" x14ac:dyDescent="0.2">
      <c r="A183" s="494"/>
      <c r="B183" s="495"/>
      <c r="C183" s="222"/>
      <c r="D183" s="519"/>
      <c r="E183" s="513"/>
      <c r="F183" s="517"/>
      <c r="G183" s="217"/>
    </row>
    <row r="184" spans="1:7" x14ac:dyDescent="0.2">
      <c r="A184" s="494"/>
      <c r="B184" s="495"/>
      <c r="C184" s="222"/>
      <c r="D184" s="519"/>
      <c r="E184" s="513"/>
      <c r="F184" s="517"/>
      <c r="G184" s="217"/>
    </row>
    <row r="185" spans="1:7" x14ac:dyDescent="0.2">
      <c r="A185" s="494"/>
      <c r="B185" s="495"/>
      <c r="C185" s="222"/>
      <c r="D185" s="257"/>
      <c r="E185" s="513"/>
      <c r="F185" s="517"/>
      <c r="G185" s="217"/>
    </row>
    <row r="186" spans="1:7" x14ac:dyDescent="0.2">
      <c r="A186" s="494"/>
      <c r="B186" s="495"/>
      <c r="C186" s="222"/>
      <c r="D186" s="520"/>
      <c r="E186" s="513"/>
      <c r="F186" s="517"/>
      <c r="G186" s="217"/>
    </row>
    <row r="187" spans="1:7" x14ac:dyDescent="0.2">
      <c r="A187" s="494"/>
      <c r="B187" s="495"/>
      <c r="C187" s="222"/>
      <c r="D187" s="521"/>
      <c r="E187" s="500"/>
      <c r="F187" s="501"/>
      <c r="G187" s="217"/>
    </row>
    <row r="188" spans="1:7" x14ac:dyDescent="0.2">
      <c r="A188" s="494"/>
      <c r="B188" s="495"/>
      <c r="C188" s="222"/>
      <c r="D188" s="251"/>
      <c r="E188" s="516"/>
      <c r="F188" s="501"/>
      <c r="G188" s="217"/>
    </row>
    <row r="189" spans="1:7" x14ac:dyDescent="0.2">
      <c r="A189" s="494"/>
      <c r="B189" s="495"/>
      <c r="C189" s="222"/>
      <c r="D189" s="251"/>
      <c r="E189" s="506"/>
      <c r="F189" s="501"/>
      <c r="G189" s="217"/>
    </row>
    <row r="190" spans="1:7" x14ac:dyDescent="0.2">
      <c r="A190" s="494"/>
      <c r="B190" s="495"/>
      <c r="C190" s="221"/>
      <c r="D190" s="257"/>
      <c r="E190" s="522"/>
      <c r="F190" s="523"/>
      <c r="G190" s="217"/>
    </row>
    <row r="191" spans="1:7" x14ac:dyDescent="0.2">
      <c r="A191" s="494"/>
      <c r="B191" s="495"/>
      <c r="C191" s="222"/>
      <c r="D191" s="524"/>
      <c r="E191" s="500"/>
      <c r="F191" s="504"/>
      <c r="G191" s="217"/>
    </row>
    <row r="192" spans="1:7" x14ac:dyDescent="0.2">
      <c r="A192" s="494"/>
      <c r="B192" s="495"/>
      <c r="C192" s="222"/>
      <c r="D192" s="510"/>
      <c r="E192" s="500"/>
      <c r="F192" s="504"/>
      <c r="G192" s="217"/>
    </row>
    <row r="193" spans="1:7" ht="13.5" thickBot="1" x14ac:dyDescent="0.25">
      <c r="A193" s="525"/>
      <c r="B193" s="526"/>
      <c r="C193" s="527"/>
      <c r="D193" s="527"/>
      <c r="E193" s="526"/>
      <c r="F193" s="528" t="s">
        <v>15</v>
      </c>
      <c r="G193" s="529">
        <f>SUM(G159:G192)</f>
        <v>15000</v>
      </c>
    </row>
    <row r="194" spans="1:7" ht="13.5" thickTop="1" x14ac:dyDescent="0.2">
      <c r="A194" s="936" t="s">
        <v>2748</v>
      </c>
      <c r="B194" s="937"/>
      <c r="C194" s="937"/>
      <c r="D194" s="937"/>
      <c r="E194" s="937"/>
      <c r="F194" s="937"/>
      <c r="G194" s="938"/>
    </row>
    <row r="195" spans="1:7" ht="13.5" thickBot="1" x14ac:dyDescent="0.25">
      <c r="A195" s="530"/>
      <c r="B195" s="531"/>
      <c r="C195" s="531" t="s">
        <v>8</v>
      </c>
      <c r="D195" s="532"/>
      <c r="E195" s="531"/>
      <c r="F195" s="533"/>
      <c r="G195" s="534"/>
    </row>
    <row r="196" spans="1:7" ht="13.5" thickTop="1" x14ac:dyDescent="0.2">
      <c r="A196" s="939"/>
      <c r="B196" s="940"/>
      <c r="C196" s="940"/>
      <c r="D196" s="535" t="s">
        <v>11</v>
      </c>
      <c r="E196" s="941" t="s">
        <v>12</v>
      </c>
      <c r="F196" s="941"/>
      <c r="G196" s="942"/>
    </row>
    <row r="197" spans="1:7" x14ac:dyDescent="0.2">
      <c r="A197" s="943" t="s">
        <v>17</v>
      </c>
      <c r="B197" s="944"/>
      <c r="C197" s="944"/>
      <c r="D197" s="536"/>
      <c r="E197" s="945"/>
      <c r="F197" s="946"/>
      <c r="G197" s="947"/>
    </row>
    <row r="198" spans="1:7" x14ac:dyDescent="0.2">
      <c r="A198" s="943" t="s">
        <v>38</v>
      </c>
      <c r="B198" s="944"/>
      <c r="C198" s="944"/>
      <c r="D198" s="537" t="s">
        <v>271</v>
      </c>
      <c r="E198" s="959" t="s">
        <v>142</v>
      </c>
      <c r="F198" s="959"/>
      <c r="G198" s="960"/>
    </row>
    <row r="199" spans="1:7" ht="13.5" thickBot="1" x14ac:dyDescent="0.25">
      <c r="A199" s="929" t="s">
        <v>39</v>
      </c>
      <c r="B199" s="930"/>
      <c r="C199" s="930"/>
      <c r="D199" s="538" t="s">
        <v>272</v>
      </c>
      <c r="E199" s="932" t="s">
        <v>0</v>
      </c>
      <c r="F199" s="932"/>
      <c r="G199" s="933"/>
    </row>
    <row r="200" spans="1:7" ht="16.5" x14ac:dyDescent="0.25">
      <c r="A200" s="885" t="s">
        <v>29</v>
      </c>
      <c r="B200" s="886"/>
      <c r="C200" s="886"/>
      <c r="D200" s="886"/>
      <c r="E200" s="886"/>
      <c r="F200" s="886"/>
      <c r="G200" s="887"/>
    </row>
    <row r="201" spans="1:7" x14ac:dyDescent="0.2">
      <c r="A201" s="888" t="s">
        <v>48</v>
      </c>
      <c r="B201" s="889"/>
      <c r="C201" s="889"/>
      <c r="D201" s="889"/>
      <c r="E201" s="889"/>
      <c r="F201" s="889"/>
      <c r="G201" s="890"/>
    </row>
    <row r="202" spans="1:7" x14ac:dyDescent="0.2">
      <c r="A202" s="915" t="s">
        <v>49</v>
      </c>
      <c r="B202" s="916"/>
      <c r="C202" s="916"/>
      <c r="D202" s="916"/>
      <c r="E202" s="916"/>
      <c r="F202" s="916"/>
      <c r="G202" s="917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27</v>
      </c>
      <c r="D204" s="13"/>
      <c r="E204" s="362" t="s">
        <v>1361</v>
      </c>
      <c r="F204" s="98"/>
      <c r="G204" s="363" t="s">
        <v>1343</v>
      </c>
    </row>
    <row r="205" spans="1:7" x14ac:dyDescent="0.2">
      <c r="A205" s="17" t="s">
        <v>8</v>
      </c>
      <c r="B205" s="100"/>
      <c r="C205" s="19"/>
      <c r="D205" s="4"/>
      <c r="E205" s="918"/>
      <c r="F205" s="919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920"/>
      <c r="F207" s="921"/>
      <c r="G207" s="25"/>
    </row>
    <row r="208" spans="1:7" ht="26.25" thickBot="1" x14ac:dyDescent="0.25">
      <c r="A208" s="207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71" t="s">
        <v>242</v>
      </c>
      <c r="D209" s="370" t="s">
        <v>1195</v>
      </c>
      <c r="E209" s="158">
        <v>25</v>
      </c>
      <c r="F209" s="128">
        <v>350</v>
      </c>
      <c r="G209" s="35">
        <f>F209*E209</f>
        <v>8750</v>
      </c>
    </row>
    <row r="210" spans="1:7" x14ac:dyDescent="0.2">
      <c r="A210" s="29"/>
      <c r="B210" s="101"/>
      <c r="C210" s="41"/>
      <c r="D210" s="370" t="s">
        <v>1196</v>
      </c>
      <c r="E210" s="156"/>
      <c r="F210" s="128"/>
      <c r="G210" s="35"/>
    </row>
    <row r="211" spans="1:7" x14ac:dyDescent="0.2">
      <c r="A211" s="29"/>
      <c r="B211" s="101"/>
      <c r="C211" s="371"/>
      <c r="D211" s="370"/>
      <c r="E211" s="108"/>
      <c r="F211" s="128"/>
      <c r="G211" s="35"/>
    </row>
    <row r="212" spans="1:7" x14ac:dyDescent="0.2">
      <c r="A212" s="29"/>
      <c r="B212" s="105"/>
      <c r="C212" s="371"/>
      <c r="D212" s="376"/>
      <c r="E212" s="102"/>
      <c r="F212" s="128"/>
      <c r="G212" s="35"/>
    </row>
    <row r="213" spans="1:7" x14ac:dyDescent="0.2">
      <c r="A213" s="29"/>
      <c r="B213" s="105"/>
      <c r="C213" s="371"/>
      <c r="D213" s="376"/>
      <c r="E213" s="102"/>
      <c r="F213" s="128"/>
      <c r="G213" s="35"/>
    </row>
    <row r="214" spans="1:7" x14ac:dyDescent="0.2">
      <c r="A214" s="29"/>
      <c r="B214" s="105"/>
      <c r="C214" s="41"/>
      <c r="D214" s="376"/>
      <c r="E214" s="102"/>
      <c r="F214" s="128"/>
      <c r="G214" s="35"/>
    </row>
    <row r="215" spans="1:7" x14ac:dyDescent="0.2">
      <c r="A215" s="29"/>
      <c r="B215" s="151"/>
      <c r="C215" s="119"/>
      <c r="D215" s="136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6"/>
      <c r="C218" s="41"/>
      <c r="D218" s="136"/>
      <c r="E218" s="104"/>
      <c r="F218" s="128"/>
      <c r="G218" s="35"/>
    </row>
    <row r="219" spans="1:7" x14ac:dyDescent="0.2">
      <c r="A219" s="29"/>
      <c r="B219" s="105"/>
      <c r="C219" s="41" t="s">
        <v>150</v>
      </c>
      <c r="D219" s="136"/>
      <c r="E219" s="108"/>
      <c r="F219" s="152"/>
      <c r="G219" s="35"/>
    </row>
    <row r="220" spans="1:7" x14ac:dyDescent="0.2">
      <c r="A220" s="29"/>
      <c r="B220" s="107"/>
      <c r="C220" s="41"/>
      <c r="D220" s="136"/>
      <c r="E220" s="153"/>
      <c r="F220" s="128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 t="s">
        <v>150</v>
      </c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9" x14ac:dyDescent="0.2">
      <c r="A241" s="29"/>
      <c r="B241" s="101"/>
      <c r="C241" s="41"/>
      <c r="D241" s="118"/>
      <c r="E241" s="108"/>
      <c r="F241" s="149"/>
      <c r="G241" s="35"/>
    </row>
    <row r="242" spans="1:9" x14ac:dyDescent="0.2">
      <c r="A242" s="29"/>
      <c r="B242" s="101"/>
      <c r="C242" s="41"/>
      <c r="D242" s="144"/>
      <c r="E242" s="108"/>
      <c r="F242" s="149"/>
      <c r="G242" s="35"/>
    </row>
    <row r="243" spans="1:9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8750</v>
      </c>
    </row>
    <row r="244" spans="1:9" ht="13.5" thickTop="1" x14ac:dyDescent="0.2">
      <c r="A244" s="875" t="s">
        <v>1359</v>
      </c>
      <c r="B244" s="899"/>
      <c r="C244" s="899"/>
      <c r="D244" s="899"/>
      <c r="E244" s="899"/>
      <c r="F244" s="899"/>
      <c r="G244" s="900"/>
    </row>
    <row r="245" spans="1:9" ht="13.5" thickBot="1" x14ac:dyDescent="0.25">
      <c r="A245" s="52"/>
      <c r="B245" s="103"/>
      <c r="C245" s="374" t="s">
        <v>1360</v>
      </c>
      <c r="D245" s="54"/>
      <c r="E245" s="103"/>
      <c r="F245" s="55"/>
      <c r="G245" s="56"/>
    </row>
    <row r="246" spans="1:9" ht="13.5" thickTop="1" x14ac:dyDescent="0.2">
      <c r="A246" s="906"/>
      <c r="B246" s="907"/>
      <c r="C246" s="907"/>
      <c r="D246" s="57" t="s">
        <v>11</v>
      </c>
      <c r="E246" s="908" t="s">
        <v>12</v>
      </c>
      <c r="F246" s="908"/>
      <c r="G246" s="909"/>
    </row>
    <row r="247" spans="1:9" x14ac:dyDescent="0.2">
      <c r="A247" s="910" t="s">
        <v>17</v>
      </c>
      <c r="B247" s="911"/>
      <c r="C247" s="911"/>
      <c r="D247" s="39"/>
      <c r="E247" s="912"/>
      <c r="F247" s="913"/>
      <c r="G247" s="914"/>
    </row>
    <row r="248" spans="1:9" x14ac:dyDescent="0.2">
      <c r="A248" s="910" t="s">
        <v>38</v>
      </c>
      <c r="B248" s="911"/>
      <c r="C248" s="911"/>
      <c r="D248" s="58" t="s">
        <v>271</v>
      </c>
      <c r="E248" s="868" t="s">
        <v>142</v>
      </c>
      <c r="F248" s="868"/>
      <c r="G248" s="869"/>
    </row>
    <row r="249" spans="1:9" ht="13.5" thickBot="1" x14ac:dyDescent="0.25">
      <c r="A249" s="901" t="s">
        <v>39</v>
      </c>
      <c r="B249" s="902"/>
      <c r="C249" s="902"/>
      <c r="D249" s="59" t="s">
        <v>272</v>
      </c>
      <c r="E249" s="904" t="s">
        <v>0</v>
      </c>
      <c r="F249" s="904"/>
      <c r="G249" s="905"/>
    </row>
    <row r="250" spans="1:9" ht="16.5" x14ac:dyDescent="0.25">
      <c r="A250" s="948" t="s">
        <v>29</v>
      </c>
      <c r="B250" s="949"/>
      <c r="C250" s="949"/>
      <c r="D250" s="949"/>
      <c r="E250" s="949"/>
      <c r="F250" s="949"/>
      <c r="G250" s="950"/>
    </row>
    <row r="251" spans="1:9" x14ac:dyDescent="0.2">
      <c r="A251" s="951" t="s">
        <v>48</v>
      </c>
      <c r="B251" s="952"/>
      <c r="C251" s="952"/>
      <c r="D251" s="952"/>
      <c r="E251" s="952"/>
      <c r="F251" s="952"/>
      <c r="G251" s="953"/>
    </row>
    <row r="252" spans="1:9" x14ac:dyDescent="0.2">
      <c r="A252" s="954" t="s">
        <v>49</v>
      </c>
      <c r="B252" s="955"/>
      <c r="C252" s="955"/>
      <c r="D252" s="955"/>
      <c r="E252" s="955"/>
      <c r="F252" s="955"/>
      <c r="G252" s="956"/>
    </row>
    <row r="253" spans="1:9" x14ac:dyDescent="0.2">
      <c r="A253" s="470"/>
      <c r="B253" s="471"/>
      <c r="C253" s="472"/>
      <c r="D253" s="473"/>
      <c r="E253" s="471"/>
      <c r="F253" s="474"/>
      <c r="G253" s="475" t="s">
        <v>20</v>
      </c>
      <c r="I253" s="275" t="s">
        <v>2753</v>
      </c>
    </row>
    <row r="254" spans="1:9" x14ac:dyDescent="0.2">
      <c r="A254" s="476" t="s">
        <v>1</v>
      </c>
      <c r="B254" s="477"/>
      <c r="C254" s="478" t="s">
        <v>27</v>
      </c>
      <c r="D254" s="477"/>
      <c r="E254" s="272" t="s">
        <v>2750</v>
      </c>
      <c r="F254" s="273"/>
      <c r="G254" s="274" t="s">
        <v>2751</v>
      </c>
    </row>
    <row r="255" spans="1:9" x14ac:dyDescent="0.2">
      <c r="A255" s="479" t="s">
        <v>8</v>
      </c>
      <c r="B255" s="480"/>
      <c r="C255" s="481"/>
      <c r="D255" s="469"/>
      <c r="E255" s="957"/>
      <c r="F255" s="958"/>
      <c r="G255" s="482"/>
    </row>
    <row r="256" spans="1:9" x14ac:dyDescent="0.2">
      <c r="A256" s="483" t="s">
        <v>37</v>
      </c>
      <c r="B256" s="484"/>
      <c r="C256" s="484"/>
      <c r="D256" s="484"/>
      <c r="E256" s="485" t="s">
        <v>46</v>
      </c>
      <c r="F256" s="486"/>
      <c r="G256" s="482" t="s">
        <v>50</v>
      </c>
    </row>
    <row r="257" spans="1:7" x14ac:dyDescent="0.2">
      <c r="A257" s="470"/>
      <c r="B257" s="471"/>
      <c r="C257" s="472"/>
      <c r="D257" s="472"/>
      <c r="E257" s="934"/>
      <c r="F257" s="935"/>
      <c r="G257" s="487"/>
    </row>
    <row r="258" spans="1:7" ht="26.25" thickBot="1" x14ac:dyDescent="0.25">
      <c r="A258" s="488" t="s">
        <v>47</v>
      </c>
      <c r="B258" s="489" t="s">
        <v>23</v>
      </c>
      <c r="C258" s="489" t="s">
        <v>34</v>
      </c>
      <c r="D258" s="490" t="s">
        <v>53</v>
      </c>
      <c r="E258" s="491" t="s">
        <v>54</v>
      </c>
      <c r="F258" s="492" t="s">
        <v>55</v>
      </c>
      <c r="G258" s="493" t="s">
        <v>35</v>
      </c>
    </row>
    <row r="259" spans="1:7" ht="13.5" thickTop="1" x14ac:dyDescent="0.2">
      <c r="A259" s="494">
        <v>1</v>
      </c>
      <c r="B259" s="495"/>
      <c r="C259" s="222" t="s">
        <v>242</v>
      </c>
      <c r="D259" s="502" t="s">
        <v>1535</v>
      </c>
      <c r="E259" s="671">
        <v>45</v>
      </c>
      <c r="F259" s="501">
        <v>200</v>
      </c>
      <c r="G259" s="217">
        <f>F259*E259</f>
        <v>9000</v>
      </c>
    </row>
    <row r="260" spans="1:7" x14ac:dyDescent="0.2">
      <c r="A260" s="494"/>
      <c r="B260" s="495"/>
      <c r="C260" s="222"/>
      <c r="D260" s="502" t="s">
        <v>1536</v>
      </c>
      <c r="E260" s="672"/>
      <c r="F260" s="501"/>
      <c r="G260" s="217"/>
    </row>
    <row r="261" spans="1:7" x14ac:dyDescent="0.2">
      <c r="A261" s="494">
        <v>2</v>
      </c>
      <c r="B261" s="495"/>
      <c r="C261" s="222" t="s">
        <v>242</v>
      </c>
      <c r="D261" s="502" t="s">
        <v>1381</v>
      </c>
      <c r="E261" s="500">
        <v>45</v>
      </c>
      <c r="F261" s="501">
        <v>350</v>
      </c>
      <c r="G261" s="217">
        <f>F261*E261</f>
        <v>15750</v>
      </c>
    </row>
    <row r="262" spans="1:7" x14ac:dyDescent="0.2">
      <c r="A262" s="494"/>
      <c r="B262" s="505"/>
      <c r="C262" s="222"/>
      <c r="D262" s="251" t="s">
        <v>1196</v>
      </c>
      <c r="E262" s="506"/>
      <c r="F262" s="501"/>
      <c r="G262" s="217"/>
    </row>
    <row r="263" spans="1:7" x14ac:dyDescent="0.2">
      <c r="A263" s="494"/>
      <c r="B263" s="505"/>
      <c r="C263" s="222"/>
      <c r="D263" s="251"/>
      <c r="E263" s="506"/>
      <c r="F263" s="501"/>
      <c r="G263" s="217"/>
    </row>
    <row r="264" spans="1:7" x14ac:dyDescent="0.2">
      <c r="A264" s="494"/>
      <c r="B264" s="505"/>
      <c r="C264" s="222"/>
      <c r="D264" s="251"/>
      <c r="E264" s="506"/>
      <c r="F264" s="501"/>
      <c r="G264" s="217"/>
    </row>
    <row r="265" spans="1:7" x14ac:dyDescent="0.2">
      <c r="A265" s="494"/>
      <c r="B265" s="507"/>
      <c r="C265" s="508"/>
      <c r="D265" s="251"/>
      <c r="E265" s="500"/>
      <c r="F265" s="509"/>
      <c r="G265" s="217"/>
    </row>
    <row r="266" spans="1:7" x14ac:dyDescent="0.2">
      <c r="A266" s="494"/>
      <c r="B266" s="507"/>
      <c r="C266" s="508"/>
      <c r="D266" s="510"/>
      <c r="E266" s="500"/>
      <c r="F266" s="509"/>
      <c r="G266" s="217"/>
    </row>
    <row r="267" spans="1:7" x14ac:dyDescent="0.2">
      <c r="A267" s="494"/>
      <c r="B267" s="495"/>
      <c r="C267" s="222"/>
      <c r="D267" s="510"/>
      <c r="E267" s="511"/>
      <c r="F267" s="501"/>
      <c r="G267" s="217"/>
    </row>
    <row r="268" spans="1:7" x14ac:dyDescent="0.2">
      <c r="A268" s="494"/>
      <c r="B268" s="512"/>
      <c r="C268" s="222"/>
      <c r="D268" s="251"/>
      <c r="E268" s="513"/>
      <c r="F268" s="501"/>
      <c r="G268" s="217"/>
    </row>
    <row r="269" spans="1:7" x14ac:dyDescent="0.2">
      <c r="A269" s="494"/>
      <c r="B269" s="505"/>
      <c r="C269" s="222" t="s">
        <v>150</v>
      </c>
      <c r="D269" s="251"/>
      <c r="E269" s="500"/>
      <c r="F269" s="514"/>
      <c r="G269" s="217"/>
    </row>
    <row r="270" spans="1:7" x14ac:dyDescent="0.2">
      <c r="A270" s="494"/>
      <c r="B270" s="515"/>
      <c r="C270" s="222"/>
      <c r="D270" s="251"/>
      <c r="E270" s="516"/>
      <c r="F270" s="501"/>
      <c r="G270" s="217"/>
    </row>
    <row r="271" spans="1:7" x14ac:dyDescent="0.2">
      <c r="A271" s="494"/>
      <c r="B271" s="515"/>
      <c r="C271" s="222"/>
      <c r="D271" s="257"/>
      <c r="E271" s="516"/>
      <c r="F271" s="501"/>
      <c r="G271" s="217"/>
    </row>
    <row r="272" spans="1:7" x14ac:dyDescent="0.2">
      <c r="A272" s="494"/>
      <c r="B272" s="495"/>
      <c r="C272" s="222"/>
      <c r="D272" s="257"/>
      <c r="E272" s="500"/>
      <c r="F272" s="501"/>
      <c r="G272" s="217"/>
    </row>
    <row r="273" spans="1:7" x14ac:dyDescent="0.2">
      <c r="A273" s="494"/>
      <c r="B273" s="495"/>
      <c r="C273" s="222"/>
      <c r="D273" s="257"/>
      <c r="E273" s="516"/>
      <c r="F273" s="501"/>
      <c r="G273" s="217"/>
    </row>
    <row r="274" spans="1:7" x14ac:dyDescent="0.2">
      <c r="A274" s="494"/>
      <c r="B274" s="512"/>
      <c r="C274" s="222"/>
      <c r="D274" s="257"/>
      <c r="E274" s="513" t="s">
        <v>150</v>
      </c>
      <c r="F274" s="517"/>
      <c r="G274" s="217"/>
    </row>
    <row r="275" spans="1:7" x14ac:dyDescent="0.2">
      <c r="A275" s="494"/>
      <c r="B275" s="505"/>
      <c r="C275" s="222"/>
      <c r="D275" s="518"/>
      <c r="E275" s="513"/>
      <c r="F275" s="517"/>
      <c r="G275" s="217"/>
    </row>
    <row r="276" spans="1:7" x14ac:dyDescent="0.2">
      <c r="A276" s="494"/>
      <c r="B276" s="505"/>
      <c r="C276" s="222"/>
      <c r="D276" s="257"/>
      <c r="E276" s="513"/>
      <c r="F276" s="517"/>
      <c r="G276" s="217"/>
    </row>
    <row r="277" spans="1:7" x14ac:dyDescent="0.2">
      <c r="A277" s="494"/>
      <c r="B277" s="495"/>
      <c r="C277" s="222"/>
      <c r="D277" s="257"/>
      <c r="E277" s="513"/>
      <c r="F277" s="517"/>
      <c r="G277" s="217"/>
    </row>
    <row r="278" spans="1:7" x14ac:dyDescent="0.2">
      <c r="A278" s="494"/>
      <c r="B278" s="495"/>
      <c r="C278" s="222"/>
      <c r="D278" s="251"/>
      <c r="E278" s="513"/>
      <c r="F278" s="517"/>
      <c r="G278" s="217"/>
    </row>
    <row r="279" spans="1:7" x14ac:dyDescent="0.2">
      <c r="A279" s="494"/>
      <c r="B279" s="495"/>
      <c r="C279" s="222"/>
      <c r="D279" s="251"/>
      <c r="E279" s="513"/>
      <c r="F279" s="517"/>
      <c r="G279" s="217"/>
    </row>
    <row r="280" spans="1:7" x14ac:dyDescent="0.2">
      <c r="A280" s="494"/>
      <c r="B280" s="495"/>
      <c r="C280" s="222"/>
      <c r="D280" s="519"/>
      <c r="E280" s="513"/>
      <c r="F280" s="517"/>
      <c r="G280" s="217"/>
    </row>
    <row r="281" spans="1:7" x14ac:dyDescent="0.2">
      <c r="A281" s="494"/>
      <c r="B281" s="495"/>
      <c r="C281" s="222"/>
      <c r="D281" s="519"/>
      <c r="E281" s="513"/>
      <c r="F281" s="517"/>
      <c r="G281" s="217"/>
    </row>
    <row r="282" spans="1:7" x14ac:dyDescent="0.2">
      <c r="A282" s="494"/>
      <c r="B282" s="495"/>
      <c r="C282" s="222"/>
      <c r="D282" s="519"/>
      <c r="E282" s="513"/>
      <c r="F282" s="517"/>
      <c r="G282" s="217"/>
    </row>
    <row r="283" spans="1:7" x14ac:dyDescent="0.2">
      <c r="A283" s="494"/>
      <c r="B283" s="495"/>
      <c r="C283" s="222"/>
      <c r="D283" s="519"/>
      <c r="E283" s="513"/>
      <c r="F283" s="517"/>
      <c r="G283" s="217"/>
    </row>
    <row r="284" spans="1:7" x14ac:dyDescent="0.2">
      <c r="A284" s="494"/>
      <c r="B284" s="495"/>
      <c r="C284" s="222"/>
      <c r="D284" s="519"/>
      <c r="E284" s="513"/>
      <c r="F284" s="517"/>
      <c r="G284" s="217"/>
    </row>
    <row r="285" spans="1:7" x14ac:dyDescent="0.2">
      <c r="A285" s="494"/>
      <c r="B285" s="495"/>
      <c r="C285" s="222"/>
      <c r="D285" s="257"/>
      <c r="E285" s="513"/>
      <c r="F285" s="517"/>
      <c r="G285" s="217"/>
    </row>
    <row r="286" spans="1:7" x14ac:dyDescent="0.2">
      <c r="A286" s="494"/>
      <c r="B286" s="495"/>
      <c r="C286" s="222"/>
      <c r="D286" s="520"/>
      <c r="E286" s="513"/>
      <c r="F286" s="517"/>
      <c r="G286" s="217"/>
    </row>
    <row r="287" spans="1:7" x14ac:dyDescent="0.2">
      <c r="A287" s="494"/>
      <c r="B287" s="495"/>
      <c r="C287" s="222"/>
      <c r="D287" s="521"/>
      <c r="E287" s="500"/>
      <c r="F287" s="501"/>
      <c r="G287" s="217"/>
    </row>
    <row r="288" spans="1:7" x14ac:dyDescent="0.2">
      <c r="A288" s="494"/>
      <c r="B288" s="495"/>
      <c r="C288" s="222"/>
      <c r="D288" s="251"/>
      <c r="E288" s="516"/>
      <c r="F288" s="501"/>
      <c r="G288" s="217"/>
    </row>
    <row r="289" spans="1:15" x14ac:dyDescent="0.2">
      <c r="A289" s="494"/>
      <c r="B289" s="495"/>
      <c r="C289" s="222"/>
      <c r="D289" s="251"/>
      <c r="E289" s="506"/>
      <c r="F289" s="501"/>
      <c r="G289" s="217"/>
    </row>
    <row r="290" spans="1:15" x14ac:dyDescent="0.2">
      <c r="A290" s="494"/>
      <c r="B290" s="495"/>
      <c r="C290" s="221"/>
      <c r="D290" s="257"/>
      <c r="E290" s="522"/>
      <c r="F290" s="523"/>
      <c r="G290" s="217"/>
    </row>
    <row r="291" spans="1:15" x14ac:dyDescent="0.2">
      <c r="A291" s="494"/>
      <c r="B291" s="495"/>
      <c r="C291" s="222"/>
      <c r="D291" s="524"/>
      <c r="E291" s="500"/>
      <c r="F291" s="504"/>
      <c r="G291" s="217"/>
    </row>
    <row r="292" spans="1:15" x14ac:dyDescent="0.2">
      <c r="A292" s="494"/>
      <c r="B292" s="495"/>
      <c r="C292" s="222"/>
      <c r="D292" s="510"/>
      <c r="E292" s="500"/>
      <c r="F292" s="504"/>
      <c r="G292" s="217"/>
    </row>
    <row r="293" spans="1:15" ht="13.5" thickBot="1" x14ac:dyDescent="0.25">
      <c r="A293" s="525"/>
      <c r="B293" s="526"/>
      <c r="C293" s="527"/>
      <c r="D293" s="527"/>
      <c r="E293" s="526"/>
      <c r="F293" s="528" t="s">
        <v>15</v>
      </c>
      <c r="G293" s="529">
        <f>SUM(G259:G292)</f>
        <v>24750</v>
      </c>
    </row>
    <row r="294" spans="1:15" ht="13.5" thickTop="1" x14ac:dyDescent="0.2">
      <c r="A294" s="936" t="s">
        <v>2752</v>
      </c>
      <c r="B294" s="937"/>
      <c r="C294" s="937"/>
      <c r="D294" s="937"/>
      <c r="E294" s="937"/>
      <c r="F294" s="937"/>
      <c r="G294" s="938"/>
      <c r="I294" s="875" t="s">
        <v>1552</v>
      </c>
      <c r="J294" s="899"/>
      <c r="K294" s="899"/>
      <c r="L294" s="899"/>
      <c r="M294" s="899"/>
      <c r="N294" s="899"/>
      <c r="O294" s="900"/>
    </row>
    <row r="295" spans="1:15" ht="13.5" thickBot="1" x14ac:dyDescent="0.25">
      <c r="A295" s="530"/>
      <c r="B295" s="531"/>
      <c r="C295" s="531" t="s">
        <v>1633</v>
      </c>
      <c r="D295" s="532"/>
      <c r="E295" s="531"/>
      <c r="F295" s="533"/>
      <c r="G295" s="534"/>
      <c r="I295" s="52"/>
      <c r="J295" s="103"/>
      <c r="K295" s="374" t="s">
        <v>1551</v>
      </c>
      <c r="L295" s="54"/>
      <c r="M295" s="103"/>
      <c r="N295" s="55"/>
      <c r="O295" s="56"/>
    </row>
    <row r="296" spans="1:15" ht="13.5" thickTop="1" x14ac:dyDescent="0.2">
      <c r="A296" s="939"/>
      <c r="B296" s="940"/>
      <c r="C296" s="940"/>
      <c r="D296" s="535" t="s">
        <v>11</v>
      </c>
      <c r="E296" s="941" t="s">
        <v>12</v>
      </c>
      <c r="F296" s="941"/>
      <c r="G296" s="942"/>
    </row>
    <row r="297" spans="1:15" x14ac:dyDescent="0.2">
      <c r="A297" s="943" t="s">
        <v>17</v>
      </c>
      <c r="B297" s="944"/>
      <c r="C297" s="944"/>
      <c r="D297" s="536"/>
      <c r="E297" s="945"/>
      <c r="F297" s="946"/>
      <c r="G297" s="947"/>
    </row>
    <row r="298" spans="1:15" x14ac:dyDescent="0.2">
      <c r="A298" s="943" t="s">
        <v>38</v>
      </c>
      <c r="B298" s="944"/>
      <c r="C298" s="944"/>
      <c r="D298" s="537" t="s">
        <v>271</v>
      </c>
      <c r="E298" s="959" t="s">
        <v>142</v>
      </c>
      <c r="F298" s="959"/>
      <c r="G298" s="960"/>
    </row>
    <row r="299" spans="1:15" ht="13.5" thickBot="1" x14ac:dyDescent="0.25">
      <c r="A299" s="929" t="s">
        <v>39</v>
      </c>
      <c r="B299" s="930"/>
      <c r="C299" s="930"/>
      <c r="D299" s="538" t="s">
        <v>272</v>
      </c>
      <c r="E299" s="932" t="s">
        <v>0</v>
      </c>
      <c r="F299" s="932"/>
      <c r="G299" s="933"/>
    </row>
    <row r="300" spans="1:15" ht="16.5" x14ac:dyDescent="0.25">
      <c r="A300" s="885" t="s">
        <v>29</v>
      </c>
      <c r="B300" s="886"/>
      <c r="C300" s="886"/>
      <c r="D300" s="886"/>
      <c r="E300" s="886"/>
      <c r="F300" s="886"/>
      <c r="G300" s="887"/>
    </row>
    <row r="301" spans="1:15" x14ac:dyDescent="0.2">
      <c r="A301" s="888" t="s">
        <v>48</v>
      </c>
      <c r="B301" s="889"/>
      <c r="C301" s="889"/>
      <c r="D301" s="889"/>
      <c r="E301" s="889"/>
      <c r="F301" s="889"/>
      <c r="G301" s="890"/>
    </row>
    <row r="302" spans="1:15" x14ac:dyDescent="0.2">
      <c r="A302" s="915" t="s">
        <v>49</v>
      </c>
      <c r="B302" s="916"/>
      <c r="C302" s="916"/>
      <c r="D302" s="916"/>
      <c r="E302" s="916"/>
      <c r="F302" s="916"/>
      <c r="G302" s="917"/>
    </row>
    <row r="303" spans="1:15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15" x14ac:dyDescent="0.2">
      <c r="A304" s="12" t="s">
        <v>1</v>
      </c>
      <c r="B304" s="13"/>
      <c r="C304" s="14" t="s">
        <v>27</v>
      </c>
      <c r="D304" s="13"/>
      <c r="E304" s="362" t="s">
        <v>1617</v>
      </c>
      <c r="F304" s="98"/>
      <c r="G304" s="363" t="s">
        <v>1521</v>
      </c>
    </row>
    <row r="305" spans="1:7" x14ac:dyDescent="0.2">
      <c r="A305" s="17" t="s">
        <v>8</v>
      </c>
      <c r="B305" s="100"/>
      <c r="C305" s="19"/>
      <c r="D305" s="4"/>
      <c r="E305" s="918"/>
      <c r="F305" s="919"/>
      <c r="G305" s="20"/>
    </row>
    <row r="306" spans="1:7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7" x14ac:dyDescent="0.2">
      <c r="A307" s="6"/>
      <c r="B307" s="99"/>
      <c r="C307" s="8"/>
      <c r="D307" s="8"/>
      <c r="E307" s="920"/>
      <c r="F307" s="921"/>
      <c r="G307" s="25"/>
    </row>
    <row r="308" spans="1:7" ht="26.25" thickBot="1" x14ac:dyDescent="0.25">
      <c r="A308" s="207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7" ht="13.5" thickTop="1" x14ac:dyDescent="0.2">
      <c r="A309" s="29">
        <v>1</v>
      </c>
      <c r="B309" s="101"/>
      <c r="C309" s="371" t="s">
        <v>242</v>
      </c>
      <c r="D309" s="370" t="s">
        <v>2311</v>
      </c>
      <c r="E309" s="158">
        <v>25</v>
      </c>
      <c r="F309" s="128">
        <v>200</v>
      </c>
      <c r="G309" s="35">
        <f>F309*E309</f>
        <v>5000</v>
      </c>
    </row>
    <row r="310" spans="1:7" x14ac:dyDescent="0.2">
      <c r="A310" s="29"/>
      <c r="B310" s="101"/>
      <c r="C310" s="41"/>
      <c r="D310" s="370" t="s">
        <v>2312</v>
      </c>
      <c r="E310" s="156"/>
      <c r="F310" s="128"/>
      <c r="G310" s="35"/>
    </row>
    <row r="311" spans="1:7" x14ac:dyDescent="0.2">
      <c r="A311" s="29"/>
      <c r="B311" s="101"/>
      <c r="C311" s="371"/>
      <c r="D311" s="370"/>
      <c r="E311" s="108"/>
      <c r="F311" s="128"/>
      <c r="G311" s="35"/>
    </row>
    <row r="312" spans="1:7" x14ac:dyDescent="0.2">
      <c r="A312" s="29"/>
      <c r="B312" s="105"/>
      <c r="C312" s="371"/>
      <c r="D312" s="376"/>
      <c r="E312" s="102"/>
      <c r="F312" s="128"/>
      <c r="G312" s="35"/>
    </row>
    <row r="313" spans="1:7" x14ac:dyDescent="0.2">
      <c r="A313" s="29"/>
      <c r="B313" s="105"/>
      <c r="C313" s="371"/>
      <c r="D313" s="376"/>
      <c r="E313" s="102"/>
      <c r="F313" s="128"/>
      <c r="G313" s="35"/>
    </row>
    <row r="314" spans="1:7" x14ac:dyDescent="0.2">
      <c r="A314" s="29"/>
      <c r="B314" s="105"/>
      <c r="C314" s="41"/>
      <c r="D314" s="376"/>
      <c r="E314" s="102"/>
      <c r="F314" s="128"/>
      <c r="G314" s="35"/>
    </row>
    <row r="315" spans="1:7" x14ac:dyDescent="0.2">
      <c r="A315" s="29"/>
      <c r="B315" s="151"/>
      <c r="C315" s="119"/>
      <c r="D315" s="136"/>
      <c r="E315" s="108"/>
      <c r="F315" s="150"/>
      <c r="G315" s="35"/>
    </row>
    <row r="316" spans="1:7" x14ac:dyDescent="0.2">
      <c r="A316" s="29"/>
      <c r="B316" s="151"/>
      <c r="C316" s="119"/>
      <c r="D316" s="144"/>
      <c r="E316" s="108"/>
      <c r="F316" s="150"/>
      <c r="G316" s="35"/>
    </row>
    <row r="317" spans="1:7" x14ac:dyDescent="0.2">
      <c r="A317" s="29"/>
      <c r="B317" s="101"/>
      <c r="C317" s="41"/>
      <c r="D317" s="144"/>
      <c r="E317" s="155"/>
      <c r="F317" s="403" t="s">
        <v>1719</v>
      </c>
      <c r="G317" s="35"/>
    </row>
    <row r="318" spans="1:7" x14ac:dyDescent="0.2">
      <c r="A318" s="29"/>
      <c r="B318" s="106"/>
      <c r="C318" s="41"/>
      <c r="D318" s="136"/>
      <c r="E318" s="104"/>
      <c r="F318" s="128"/>
      <c r="G318" s="35"/>
    </row>
    <row r="319" spans="1:7" x14ac:dyDescent="0.2">
      <c r="A319" s="29"/>
      <c r="B319" s="105"/>
      <c r="C319" s="41" t="s">
        <v>150</v>
      </c>
      <c r="D319" s="136"/>
      <c r="E319" s="108"/>
      <c r="F319" s="152"/>
      <c r="G319" s="35"/>
    </row>
    <row r="320" spans="1:7" x14ac:dyDescent="0.2">
      <c r="A320" s="29"/>
      <c r="B320" s="107"/>
      <c r="C320" s="41"/>
      <c r="D320" s="136"/>
      <c r="E320" s="153"/>
      <c r="F320" s="128"/>
      <c r="G320" s="35"/>
    </row>
    <row r="321" spans="1:7" x14ac:dyDescent="0.2">
      <c r="A321" s="29"/>
      <c r="B321" s="107"/>
      <c r="C321" s="41"/>
      <c r="D321" s="67"/>
      <c r="E321" s="153"/>
      <c r="F321" s="128"/>
      <c r="G321" s="35"/>
    </row>
    <row r="322" spans="1:7" x14ac:dyDescent="0.2">
      <c r="A322" s="29"/>
      <c r="B322" s="101"/>
      <c r="C322" s="41"/>
      <c r="D322" s="67"/>
      <c r="E322" s="108"/>
      <c r="F322" s="128"/>
      <c r="G322" s="35"/>
    </row>
    <row r="323" spans="1:7" x14ac:dyDescent="0.2">
      <c r="A323" s="29"/>
      <c r="B323" s="101"/>
      <c r="C323" s="41"/>
      <c r="D323" s="67"/>
      <c r="E323" s="153"/>
      <c r="F323" s="128"/>
      <c r="G323" s="35"/>
    </row>
    <row r="324" spans="1:7" x14ac:dyDescent="0.2">
      <c r="A324" s="29"/>
      <c r="B324" s="106"/>
      <c r="C324" s="41"/>
      <c r="D324" s="67"/>
      <c r="E324" s="104" t="s">
        <v>150</v>
      </c>
      <c r="F324" s="154"/>
      <c r="G324" s="35"/>
    </row>
    <row r="325" spans="1:7" x14ac:dyDescent="0.2">
      <c r="A325" s="29"/>
      <c r="B325" s="105"/>
      <c r="C325" s="41"/>
      <c r="D325" s="130"/>
      <c r="E325" s="104"/>
      <c r="F325" s="154"/>
      <c r="G325" s="35"/>
    </row>
    <row r="326" spans="1:7" x14ac:dyDescent="0.2">
      <c r="A326" s="29"/>
      <c r="B326" s="105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62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2"/>
      <c r="E332" s="104"/>
      <c r="F332" s="154"/>
      <c r="G332" s="35"/>
    </row>
    <row r="333" spans="1:7" x14ac:dyDescent="0.2">
      <c r="A333" s="29"/>
      <c r="B333" s="101"/>
      <c r="C333" s="41"/>
      <c r="D333" s="62"/>
      <c r="E333" s="104"/>
      <c r="F333" s="154"/>
      <c r="G333" s="35"/>
    </row>
    <row r="334" spans="1:7" x14ac:dyDescent="0.2">
      <c r="A334" s="29"/>
      <c r="B334" s="101"/>
      <c r="C334" s="41"/>
      <c r="D334" s="62"/>
      <c r="E334" s="104"/>
      <c r="F334" s="154"/>
      <c r="G334" s="35"/>
    </row>
    <row r="335" spans="1:7" x14ac:dyDescent="0.2">
      <c r="A335" s="29"/>
      <c r="B335" s="101"/>
      <c r="C335" s="41"/>
      <c r="D335" s="67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60"/>
      <c r="E337" s="108"/>
      <c r="F337" s="128"/>
      <c r="G337" s="35"/>
    </row>
    <row r="338" spans="1:7" x14ac:dyDescent="0.2">
      <c r="A338" s="29"/>
      <c r="B338" s="101"/>
      <c r="C338" s="41"/>
      <c r="D338" s="136"/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5000</v>
      </c>
    </row>
    <row r="344" spans="1:7" ht="13.5" thickTop="1" x14ac:dyDescent="0.2">
      <c r="A344" s="875" t="s">
        <v>1697</v>
      </c>
      <c r="B344" s="899"/>
      <c r="C344" s="899"/>
      <c r="D344" s="899"/>
      <c r="E344" s="899"/>
      <c r="F344" s="899"/>
      <c r="G344" s="900"/>
    </row>
    <row r="345" spans="1:7" ht="13.5" thickBot="1" x14ac:dyDescent="0.25">
      <c r="A345" s="52"/>
      <c r="B345" s="103"/>
      <c r="C345" s="374" t="s">
        <v>1698</v>
      </c>
      <c r="D345" s="54"/>
      <c r="E345" s="103"/>
      <c r="F345" s="55"/>
      <c r="G345" s="56"/>
    </row>
    <row r="346" spans="1:7" ht="13.5" thickTop="1" x14ac:dyDescent="0.2">
      <c r="A346" s="906"/>
      <c r="B346" s="907"/>
      <c r="C346" s="907"/>
      <c r="D346" s="57" t="s">
        <v>11</v>
      </c>
      <c r="E346" s="908" t="s">
        <v>12</v>
      </c>
      <c r="F346" s="908"/>
      <c r="G346" s="909"/>
    </row>
    <row r="347" spans="1:7" x14ac:dyDescent="0.2">
      <c r="A347" s="910" t="s">
        <v>17</v>
      </c>
      <c r="B347" s="911"/>
      <c r="C347" s="911"/>
      <c r="D347" s="39"/>
      <c r="E347" s="912"/>
      <c r="F347" s="913"/>
      <c r="G347" s="914"/>
    </row>
    <row r="348" spans="1:7" x14ac:dyDescent="0.2">
      <c r="A348" s="910" t="s">
        <v>38</v>
      </c>
      <c r="B348" s="911"/>
      <c r="C348" s="911"/>
      <c r="D348" s="58" t="s">
        <v>271</v>
      </c>
      <c r="E348" s="868" t="s">
        <v>142</v>
      </c>
      <c r="F348" s="868"/>
      <c r="G348" s="869"/>
    </row>
    <row r="349" spans="1:7" ht="13.5" thickBot="1" x14ac:dyDescent="0.25">
      <c r="A349" s="901" t="s">
        <v>39</v>
      </c>
      <c r="B349" s="902"/>
      <c r="C349" s="902"/>
      <c r="D349" s="59" t="s">
        <v>272</v>
      </c>
      <c r="E349" s="904" t="s">
        <v>0</v>
      </c>
      <c r="F349" s="904"/>
      <c r="G349" s="905"/>
    </row>
    <row r="350" spans="1:7" ht="16.5" x14ac:dyDescent="0.25">
      <c r="A350" s="885" t="s">
        <v>29</v>
      </c>
      <c r="B350" s="886"/>
      <c r="C350" s="886"/>
      <c r="D350" s="886"/>
      <c r="E350" s="886"/>
      <c r="F350" s="886"/>
      <c r="G350" s="887"/>
    </row>
    <row r="351" spans="1:7" x14ac:dyDescent="0.2">
      <c r="A351" s="888" t="s">
        <v>48</v>
      </c>
      <c r="B351" s="889"/>
      <c r="C351" s="889"/>
      <c r="D351" s="889"/>
      <c r="E351" s="889"/>
      <c r="F351" s="889"/>
      <c r="G351" s="890"/>
    </row>
    <row r="352" spans="1:7" x14ac:dyDescent="0.2">
      <c r="A352" s="915" t="s">
        <v>49</v>
      </c>
      <c r="B352" s="916"/>
      <c r="C352" s="916"/>
      <c r="D352" s="916"/>
      <c r="E352" s="916"/>
      <c r="F352" s="916"/>
      <c r="G352" s="917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27</v>
      </c>
      <c r="D354" s="13"/>
      <c r="E354" s="362" t="s">
        <v>1800</v>
      </c>
      <c r="F354" s="98"/>
      <c r="G354" s="363" t="s">
        <v>1739</v>
      </c>
    </row>
    <row r="355" spans="1:7" x14ac:dyDescent="0.2">
      <c r="A355" s="17" t="s">
        <v>8</v>
      </c>
      <c r="B355" s="100"/>
      <c r="C355" s="19"/>
      <c r="D355" s="4"/>
      <c r="E355" s="918"/>
      <c r="F355" s="919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920"/>
      <c r="F357" s="921"/>
      <c r="G357" s="25"/>
    </row>
    <row r="358" spans="1:7" ht="26.25" thickBot="1" x14ac:dyDescent="0.25">
      <c r="A358" s="207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71" t="s">
        <v>242</v>
      </c>
      <c r="D359" s="370" t="s">
        <v>1828</v>
      </c>
      <c r="E359" s="158">
        <v>70</v>
      </c>
      <c r="F359" s="128">
        <v>350</v>
      </c>
      <c r="G359" s="35">
        <f>F359*E359</f>
        <v>24500</v>
      </c>
    </row>
    <row r="360" spans="1:7" x14ac:dyDescent="0.2">
      <c r="A360" s="29"/>
      <c r="B360" s="101"/>
      <c r="C360" s="41"/>
      <c r="D360" s="370" t="s">
        <v>1827</v>
      </c>
      <c r="E360" s="156"/>
      <c r="F360" s="128"/>
      <c r="G360" s="35"/>
    </row>
    <row r="361" spans="1:7" x14ac:dyDescent="0.2">
      <c r="A361" s="29"/>
      <c r="B361" s="101"/>
      <c r="C361" s="371"/>
      <c r="D361" s="370"/>
      <c r="E361" s="108"/>
      <c r="F361" s="128"/>
      <c r="G361" s="35"/>
    </row>
    <row r="362" spans="1:7" x14ac:dyDescent="0.2">
      <c r="A362" s="29"/>
      <c r="B362" s="105"/>
      <c r="C362" s="371"/>
      <c r="D362" s="376"/>
      <c r="E362" s="102"/>
      <c r="F362" s="128"/>
      <c r="G362" s="35"/>
    </row>
    <row r="363" spans="1:7" x14ac:dyDescent="0.2">
      <c r="A363" s="29"/>
      <c r="B363" s="105"/>
      <c r="C363" s="371"/>
      <c r="D363" s="376"/>
      <c r="E363" s="102"/>
      <c r="F363" s="128"/>
      <c r="G363" s="35"/>
    </row>
    <row r="364" spans="1:7" x14ac:dyDescent="0.2">
      <c r="A364" s="29"/>
      <c r="B364" s="105"/>
      <c r="C364" s="41"/>
      <c r="D364" s="376"/>
      <c r="E364" s="102"/>
      <c r="F364" s="128"/>
      <c r="G364" s="35"/>
    </row>
    <row r="365" spans="1:7" x14ac:dyDescent="0.2">
      <c r="A365" s="29"/>
      <c r="B365" s="151"/>
      <c r="C365" s="119"/>
      <c r="D365" s="136"/>
      <c r="E365" s="108"/>
      <c r="F365" s="150"/>
      <c r="G365" s="35"/>
    </row>
    <row r="366" spans="1:7" x14ac:dyDescent="0.2">
      <c r="A366" s="29"/>
      <c r="B366" s="151"/>
      <c r="C366" s="119"/>
      <c r="D366" s="144"/>
      <c r="E366" s="108"/>
      <c r="F366" s="150"/>
      <c r="G366" s="35"/>
    </row>
    <row r="367" spans="1:7" x14ac:dyDescent="0.2">
      <c r="A367" s="29"/>
      <c r="B367" s="101"/>
      <c r="C367" s="41"/>
      <c r="D367" s="144"/>
      <c r="E367" s="155"/>
      <c r="F367" s="128"/>
      <c r="G367" s="35"/>
    </row>
    <row r="368" spans="1:7" x14ac:dyDescent="0.2">
      <c r="A368" s="29"/>
      <c r="B368" s="106"/>
      <c r="C368" s="41"/>
      <c r="D368" s="136"/>
      <c r="E368" s="104"/>
      <c r="F368" s="128"/>
      <c r="G368" s="35"/>
    </row>
    <row r="369" spans="1:7" x14ac:dyDescent="0.2">
      <c r="A369" s="29"/>
      <c r="B369" s="105"/>
      <c r="C369" s="41" t="s">
        <v>150</v>
      </c>
      <c r="D369" s="136"/>
      <c r="E369" s="108"/>
      <c r="F369" s="152"/>
      <c r="G369" s="35"/>
    </row>
    <row r="370" spans="1:7" x14ac:dyDescent="0.2">
      <c r="A370" s="29"/>
      <c r="B370" s="107"/>
      <c r="C370" s="41"/>
      <c r="D370" s="136"/>
      <c r="E370" s="153"/>
      <c r="F370" s="128"/>
      <c r="G370" s="35"/>
    </row>
    <row r="371" spans="1:7" x14ac:dyDescent="0.2">
      <c r="A371" s="29"/>
      <c r="B371" s="107"/>
      <c r="C371" s="41"/>
      <c r="D371" s="67"/>
      <c r="E371" s="153"/>
      <c r="F371" s="128"/>
      <c r="G371" s="35"/>
    </row>
    <row r="372" spans="1:7" x14ac:dyDescent="0.2">
      <c r="A372" s="29"/>
      <c r="B372" s="101"/>
      <c r="C372" s="41"/>
      <c r="D372" s="67"/>
      <c r="E372" s="108"/>
      <c r="F372" s="128"/>
      <c r="G372" s="35"/>
    </row>
    <row r="373" spans="1:7" x14ac:dyDescent="0.2">
      <c r="A373" s="29"/>
      <c r="B373" s="101"/>
      <c r="C373" s="41"/>
      <c r="D373" s="67"/>
      <c r="E373" s="153"/>
      <c r="F373" s="128"/>
      <c r="G373" s="35"/>
    </row>
    <row r="374" spans="1:7" x14ac:dyDescent="0.2">
      <c r="A374" s="29"/>
      <c r="B374" s="106"/>
      <c r="C374" s="41"/>
      <c r="D374" s="67"/>
      <c r="E374" s="104" t="s">
        <v>150</v>
      </c>
      <c r="F374" s="154"/>
      <c r="G374" s="35"/>
    </row>
    <row r="375" spans="1:7" x14ac:dyDescent="0.2">
      <c r="A375" s="29"/>
      <c r="B375" s="105"/>
      <c r="C375" s="41"/>
      <c r="D375" s="130"/>
      <c r="E375" s="104"/>
      <c r="F375" s="154"/>
      <c r="G375" s="35"/>
    </row>
    <row r="376" spans="1:7" x14ac:dyDescent="0.2">
      <c r="A376" s="29"/>
      <c r="B376" s="105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2"/>
      <c r="E382" s="104"/>
      <c r="F382" s="154"/>
      <c r="G382" s="35"/>
    </row>
    <row r="383" spans="1:7" x14ac:dyDescent="0.2">
      <c r="A383" s="29"/>
      <c r="B383" s="101"/>
      <c r="C383" s="41"/>
      <c r="D383" s="62"/>
      <c r="E383" s="104"/>
      <c r="F383" s="154"/>
      <c r="G383" s="35"/>
    </row>
    <row r="384" spans="1:7" x14ac:dyDescent="0.2">
      <c r="A384" s="29"/>
      <c r="B384" s="101"/>
      <c r="C384" s="41"/>
      <c r="D384" s="62"/>
      <c r="E384" s="104"/>
      <c r="F384" s="154"/>
      <c r="G384" s="35"/>
    </row>
    <row r="385" spans="1:7" x14ac:dyDescent="0.2">
      <c r="A385" s="29"/>
      <c r="B385" s="101"/>
      <c r="C385" s="41"/>
      <c r="D385" s="67"/>
      <c r="E385" s="104"/>
      <c r="F385" s="154"/>
      <c r="G385" s="35"/>
    </row>
    <row r="386" spans="1:7" x14ac:dyDescent="0.2">
      <c r="A386" s="29"/>
      <c r="B386" s="101"/>
      <c r="C386" s="41"/>
      <c r="D386" s="159"/>
      <c r="E386" s="104"/>
      <c r="F386" s="154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5"/>
    </row>
    <row r="388" spans="1:7" x14ac:dyDescent="0.2">
      <c r="A388" s="29"/>
      <c r="B388" s="101"/>
      <c r="C388" s="41"/>
      <c r="D388" s="136"/>
      <c r="E388" s="153"/>
      <c r="F388" s="128"/>
      <c r="G388" s="35"/>
    </row>
    <row r="389" spans="1:7" x14ac:dyDescent="0.2">
      <c r="A389" s="29"/>
      <c r="B389" s="101"/>
      <c r="C389" s="41"/>
      <c r="D389" s="136"/>
      <c r="E389" s="102"/>
      <c r="F389" s="128"/>
      <c r="G389" s="35"/>
    </row>
    <row r="390" spans="1:7" x14ac:dyDescent="0.2">
      <c r="A390" s="29"/>
      <c r="B390" s="101"/>
      <c r="C390" s="31"/>
      <c r="D390" s="67"/>
      <c r="E390" s="131"/>
      <c r="F390" s="117"/>
      <c r="G390" s="35"/>
    </row>
    <row r="391" spans="1:7" x14ac:dyDescent="0.2">
      <c r="A391" s="29"/>
      <c r="B391" s="101"/>
      <c r="C391" s="41"/>
      <c r="D391" s="118"/>
      <c r="E391" s="108"/>
      <c r="F391" s="149"/>
      <c r="G391" s="35"/>
    </row>
    <row r="392" spans="1:7" x14ac:dyDescent="0.2">
      <c r="A392" s="29"/>
      <c r="B392" s="101"/>
      <c r="C392" s="41"/>
      <c r="D392" s="144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24500</v>
      </c>
    </row>
    <row r="394" spans="1:7" ht="13.5" thickTop="1" x14ac:dyDescent="0.2">
      <c r="A394" s="875" t="s">
        <v>1825</v>
      </c>
      <c r="B394" s="899"/>
      <c r="C394" s="899"/>
      <c r="D394" s="899"/>
      <c r="E394" s="899"/>
      <c r="F394" s="899"/>
      <c r="G394" s="900"/>
    </row>
    <row r="395" spans="1:7" ht="13.5" thickBot="1" x14ac:dyDescent="0.25">
      <c r="A395" s="52"/>
      <c r="B395" s="103"/>
      <c r="C395" s="374" t="s">
        <v>1826</v>
      </c>
      <c r="D395" s="54"/>
      <c r="E395" s="103"/>
      <c r="F395" s="55"/>
      <c r="G395" s="56"/>
    </row>
    <row r="396" spans="1:7" ht="13.5" thickTop="1" x14ac:dyDescent="0.2">
      <c r="A396" s="906"/>
      <c r="B396" s="907"/>
      <c r="C396" s="907"/>
      <c r="D396" s="57" t="s">
        <v>11</v>
      </c>
      <c r="E396" s="908" t="s">
        <v>12</v>
      </c>
      <c r="F396" s="908"/>
      <c r="G396" s="909"/>
    </row>
    <row r="397" spans="1:7" x14ac:dyDescent="0.2">
      <c r="A397" s="910" t="s">
        <v>17</v>
      </c>
      <c r="B397" s="911"/>
      <c r="C397" s="911"/>
      <c r="D397" s="39"/>
      <c r="E397" s="912"/>
      <c r="F397" s="913"/>
      <c r="G397" s="914"/>
    </row>
    <row r="398" spans="1:7" x14ac:dyDescent="0.2">
      <c r="A398" s="910" t="s">
        <v>38</v>
      </c>
      <c r="B398" s="911"/>
      <c r="C398" s="911"/>
      <c r="D398" s="58" t="s">
        <v>271</v>
      </c>
      <c r="E398" s="868" t="s">
        <v>142</v>
      </c>
      <c r="F398" s="868"/>
      <c r="G398" s="869"/>
    </row>
    <row r="399" spans="1:7" ht="13.5" thickBot="1" x14ac:dyDescent="0.25">
      <c r="A399" s="901" t="s">
        <v>39</v>
      </c>
      <c r="B399" s="902"/>
      <c r="C399" s="902"/>
      <c r="D399" s="59" t="s">
        <v>272</v>
      </c>
      <c r="E399" s="904" t="s">
        <v>0</v>
      </c>
      <c r="F399" s="904"/>
      <c r="G399" s="905"/>
    </row>
    <row r="400" spans="1:7" ht="16.5" x14ac:dyDescent="0.25">
      <c r="A400" s="885" t="s">
        <v>29</v>
      </c>
      <c r="B400" s="886"/>
      <c r="C400" s="886"/>
      <c r="D400" s="886"/>
      <c r="E400" s="886"/>
      <c r="F400" s="886"/>
      <c r="G400" s="887"/>
    </row>
    <row r="401" spans="1:11" x14ac:dyDescent="0.2">
      <c r="A401" s="888" t="s">
        <v>48</v>
      </c>
      <c r="B401" s="889"/>
      <c r="C401" s="889"/>
      <c r="D401" s="889"/>
      <c r="E401" s="889"/>
      <c r="F401" s="889"/>
      <c r="G401" s="890"/>
    </row>
    <row r="402" spans="1:11" x14ac:dyDescent="0.2">
      <c r="A402" s="915" t="s">
        <v>49</v>
      </c>
      <c r="B402" s="916"/>
      <c r="C402" s="916"/>
      <c r="D402" s="916"/>
      <c r="E402" s="916"/>
      <c r="F402" s="916"/>
      <c r="G402" s="917"/>
    </row>
    <row r="403" spans="1:11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11" x14ac:dyDescent="0.2">
      <c r="A404" s="12" t="s">
        <v>1</v>
      </c>
      <c r="B404" s="13"/>
      <c r="C404" s="14" t="s">
        <v>27</v>
      </c>
      <c r="D404" s="13"/>
      <c r="E404" s="362" t="s">
        <v>2431</v>
      </c>
      <c r="F404" s="98"/>
      <c r="G404" s="363" t="s">
        <v>2420</v>
      </c>
      <c r="I404" s="272" t="s">
        <v>2432</v>
      </c>
      <c r="J404" s="273"/>
      <c r="K404" s="274" t="s">
        <v>2433</v>
      </c>
    </row>
    <row r="405" spans="1:11" x14ac:dyDescent="0.2">
      <c r="A405" s="17" t="s">
        <v>8</v>
      </c>
      <c r="B405" s="100"/>
      <c r="C405" s="19"/>
      <c r="D405" s="4"/>
      <c r="E405" s="918"/>
      <c r="F405" s="919"/>
      <c r="G405" s="20"/>
      <c r="I405" s="258"/>
      <c r="J405" s="258"/>
      <c r="K405" s="258"/>
    </row>
    <row r="406" spans="1:11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11" x14ac:dyDescent="0.2">
      <c r="A407" s="6"/>
      <c r="B407" s="99"/>
      <c r="C407" s="8"/>
      <c r="D407" s="8"/>
      <c r="E407" s="920"/>
      <c r="F407" s="921"/>
      <c r="G407" s="25"/>
    </row>
    <row r="408" spans="1:11" ht="26.25" thickBot="1" x14ac:dyDescent="0.25">
      <c r="A408" s="207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11" ht="13.5" thickTop="1" x14ac:dyDescent="0.2">
      <c r="A409" s="29">
        <v>1</v>
      </c>
      <c r="B409" s="101"/>
      <c r="C409" s="371" t="s">
        <v>242</v>
      </c>
      <c r="D409" s="370" t="s">
        <v>2379</v>
      </c>
      <c r="E409" s="158">
        <v>25</v>
      </c>
      <c r="F409" s="128">
        <v>200</v>
      </c>
      <c r="G409" s="35">
        <f>F409*E409</f>
        <v>5000</v>
      </c>
    </row>
    <row r="410" spans="1:11" x14ac:dyDescent="0.2">
      <c r="A410" s="29"/>
      <c r="B410" s="101"/>
      <c r="C410" s="41"/>
      <c r="D410" s="370" t="s">
        <v>2380</v>
      </c>
      <c r="E410" s="156"/>
      <c r="F410" s="128"/>
      <c r="G410" s="35"/>
    </row>
    <row r="411" spans="1:11" x14ac:dyDescent="0.2">
      <c r="A411" s="29"/>
      <c r="B411" s="101"/>
      <c r="C411" s="371"/>
      <c r="D411" s="370"/>
      <c r="E411" s="108"/>
      <c r="F411" s="128"/>
      <c r="G411" s="35"/>
    </row>
    <row r="412" spans="1:11" x14ac:dyDescent="0.2">
      <c r="A412" s="29"/>
      <c r="B412" s="105"/>
      <c r="C412" s="371"/>
      <c r="D412" s="376"/>
      <c r="E412" s="102"/>
      <c r="F412" s="128"/>
      <c r="G412" s="35"/>
    </row>
    <row r="413" spans="1:11" x14ac:dyDescent="0.2">
      <c r="A413" s="29"/>
      <c r="B413" s="105"/>
      <c r="C413" s="371"/>
      <c r="D413" s="376"/>
      <c r="E413" s="102"/>
      <c r="F413" s="128"/>
      <c r="G413" s="35"/>
    </row>
    <row r="414" spans="1:11" x14ac:dyDescent="0.2">
      <c r="A414" s="29"/>
      <c r="B414" s="105"/>
      <c r="C414" s="41"/>
      <c r="D414" s="376"/>
      <c r="E414" s="102"/>
      <c r="F414" s="128"/>
      <c r="G414" s="35"/>
    </row>
    <row r="415" spans="1:11" x14ac:dyDescent="0.2">
      <c r="A415" s="29"/>
      <c r="B415" s="151"/>
      <c r="C415" s="119"/>
      <c r="D415" s="136"/>
      <c r="E415" s="108"/>
      <c r="F415" s="150"/>
      <c r="G415" s="35"/>
    </row>
    <row r="416" spans="1:11" x14ac:dyDescent="0.2">
      <c r="A416" s="29"/>
      <c r="B416" s="151"/>
      <c r="C416" s="119"/>
      <c r="D416" s="144"/>
      <c r="E416" s="108"/>
      <c r="F416" s="150"/>
      <c r="G416" s="35"/>
    </row>
    <row r="417" spans="1:7" x14ac:dyDescent="0.2">
      <c r="A417" s="29"/>
      <c r="B417" s="101"/>
      <c r="C417" s="41"/>
      <c r="D417" s="144"/>
      <c r="E417" s="155"/>
      <c r="F417" s="128"/>
      <c r="G417" s="35"/>
    </row>
    <row r="418" spans="1:7" x14ac:dyDescent="0.2">
      <c r="A418" s="29"/>
      <c r="B418" s="106"/>
      <c r="C418" s="41"/>
      <c r="D418" s="136"/>
      <c r="E418" s="104"/>
      <c r="F418" s="128"/>
      <c r="G418" s="35"/>
    </row>
    <row r="419" spans="1:7" x14ac:dyDescent="0.2">
      <c r="A419" s="29"/>
      <c r="B419" s="105"/>
      <c r="C419" s="41" t="s">
        <v>150</v>
      </c>
      <c r="D419" s="136"/>
      <c r="E419" s="108"/>
      <c r="F419" s="152"/>
      <c r="G419" s="35"/>
    </row>
    <row r="420" spans="1:7" x14ac:dyDescent="0.2">
      <c r="A420" s="29"/>
      <c r="B420" s="107"/>
      <c r="C420" s="41"/>
      <c r="D420" s="136"/>
      <c r="E420" s="417" t="s">
        <v>8</v>
      </c>
      <c r="F420" s="128"/>
      <c r="G420" s="35"/>
    </row>
    <row r="421" spans="1:7" x14ac:dyDescent="0.2">
      <c r="A421" s="29"/>
      <c r="B421" s="107"/>
      <c r="C421" s="41"/>
      <c r="D421" s="67"/>
      <c r="E421" s="153"/>
      <c r="F421" s="128"/>
      <c r="G421" s="35"/>
    </row>
    <row r="422" spans="1:7" x14ac:dyDescent="0.2">
      <c r="A422" s="29"/>
      <c r="B422" s="101"/>
      <c r="C422" s="41"/>
      <c r="D422" s="67"/>
      <c r="E422" s="108"/>
      <c r="F422" s="128"/>
      <c r="G422" s="35"/>
    </row>
    <row r="423" spans="1:7" x14ac:dyDescent="0.2">
      <c r="A423" s="29"/>
      <c r="B423" s="101"/>
      <c r="C423" s="41"/>
      <c r="D423" s="67"/>
      <c r="E423" s="153"/>
      <c r="F423" s="128"/>
      <c r="G423" s="35"/>
    </row>
    <row r="424" spans="1:7" x14ac:dyDescent="0.2">
      <c r="A424" s="29"/>
      <c r="B424" s="106"/>
      <c r="C424" s="41"/>
      <c r="D424" s="67"/>
      <c r="E424" s="104" t="s">
        <v>150</v>
      </c>
      <c r="F424" s="154"/>
      <c r="G424" s="35"/>
    </row>
    <row r="425" spans="1:7" x14ac:dyDescent="0.2">
      <c r="A425" s="29"/>
      <c r="B425" s="105"/>
      <c r="C425" s="41"/>
      <c r="D425" s="130"/>
      <c r="E425" s="104"/>
      <c r="F425" s="154"/>
      <c r="G425" s="35"/>
    </row>
    <row r="426" spans="1:7" x14ac:dyDescent="0.2">
      <c r="A426" s="29"/>
      <c r="B426" s="105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62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7" x14ac:dyDescent="0.2">
      <c r="A433" s="29"/>
      <c r="B433" s="101"/>
      <c r="C433" s="41"/>
      <c r="D433" s="62"/>
      <c r="E433" s="104"/>
      <c r="F433" s="154"/>
      <c r="G433" s="35"/>
    </row>
    <row r="434" spans="1:7" x14ac:dyDescent="0.2">
      <c r="A434" s="29"/>
      <c r="B434" s="101"/>
      <c r="C434" s="41"/>
      <c r="D434" s="62"/>
      <c r="E434" s="104"/>
      <c r="F434" s="154"/>
      <c r="G434" s="35"/>
    </row>
    <row r="435" spans="1:7" x14ac:dyDescent="0.2">
      <c r="A435" s="29"/>
      <c r="B435" s="101"/>
      <c r="C435" s="41"/>
      <c r="D435" s="67"/>
      <c r="E435" s="104"/>
      <c r="F435" s="154"/>
      <c r="G435" s="35"/>
    </row>
    <row r="436" spans="1:7" x14ac:dyDescent="0.2">
      <c r="A436" s="29"/>
      <c r="B436" s="101"/>
      <c r="C436" s="41"/>
      <c r="D436" s="159"/>
      <c r="E436" s="104"/>
      <c r="F436" s="154"/>
      <c r="G436" s="35"/>
    </row>
    <row r="437" spans="1:7" x14ac:dyDescent="0.2">
      <c r="A437" s="29"/>
      <c r="B437" s="101"/>
      <c r="C437" s="41"/>
      <c r="D437" s="160"/>
      <c r="E437" s="108"/>
      <c r="F437" s="128"/>
      <c r="G437" s="35"/>
    </row>
    <row r="438" spans="1:7" x14ac:dyDescent="0.2">
      <c r="A438" s="29"/>
      <c r="B438" s="101"/>
      <c r="C438" s="41"/>
      <c r="D438" s="136"/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02"/>
      <c r="F439" s="128"/>
      <c r="G439" s="35"/>
    </row>
    <row r="440" spans="1:7" x14ac:dyDescent="0.2">
      <c r="A440" s="29"/>
      <c r="B440" s="101"/>
      <c r="C440" s="31"/>
      <c r="D440" s="67"/>
      <c r="E440" s="131"/>
      <c r="F440" s="117"/>
      <c r="G440" s="35"/>
    </row>
    <row r="441" spans="1:7" x14ac:dyDescent="0.2">
      <c r="A441" s="29"/>
      <c r="B441" s="101"/>
      <c r="C441" s="41"/>
      <c r="D441" s="118"/>
      <c r="E441" s="108"/>
      <c r="F441" s="149"/>
      <c r="G441" s="35"/>
    </row>
    <row r="442" spans="1:7" x14ac:dyDescent="0.2">
      <c r="A442" s="29"/>
      <c r="B442" s="101"/>
      <c r="C442" s="41"/>
      <c r="D442" s="144"/>
      <c r="E442" s="108"/>
      <c r="F442" s="149"/>
      <c r="G442" s="35"/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5000</v>
      </c>
    </row>
    <row r="444" spans="1:7" ht="13.5" thickTop="1" x14ac:dyDescent="0.2">
      <c r="A444" s="875" t="s">
        <v>1699</v>
      </c>
      <c r="B444" s="899"/>
      <c r="C444" s="899"/>
      <c r="D444" s="899"/>
      <c r="E444" s="899"/>
      <c r="F444" s="899"/>
      <c r="G444" s="900"/>
    </row>
    <row r="445" spans="1:7" ht="13.5" thickBot="1" x14ac:dyDescent="0.25">
      <c r="A445" s="52"/>
      <c r="B445" s="103"/>
      <c r="C445" s="374" t="s">
        <v>1860</v>
      </c>
      <c r="D445" s="54"/>
      <c r="E445" s="103"/>
      <c r="F445" s="55"/>
      <c r="G445" s="56"/>
    </row>
    <row r="446" spans="1:7" ht="13.5" thickTop="1" x14ac:dyDescent="0.2">
      <c r="A446" s="906"/>
      <c r="B446" s="907"/>
      <c r="C446" s="907"/>
      <c r="D446" s="57" t="s">
        <v>11</v>
      </c>
      <c r="E446" s="908" t="s">
        <v>12</v>
      </c>
      <c r="F446" s="908"/>
      <c r="G446" s="909"/>
    </row>
    <row r="447" spans="1:7" x14ac:dyDescent="0.2">
      <c r="A447" s="910" t="s">
        <v>17</v>
      </c>
      <c r="B447" s="911"/>
      <c r="C447" s="911"/>
      <c r="D447" s="39"/>
      <c r="E447" s="912"/>
      <c r="F447" s="913"/>
      <c r="G447" s="914"/>
    </row>
    <row r="448" spans="1:7" x14ac:dyDescent="0.2">
      <c r="A448" s="910" t="s">
        <v>38</v>
      </c>
      <c r="B448" s="911"/>
      <c r="C448" s="911"/>
      <c r="D448" s="58" t="s">
        <v>271</v>
      </c>
      <c r="E448" s="868" t="s">
        <v>142</v>
      </c>
      <c r="F448" s="868"/>
      <c r="G448" s="869"/>
    </row>
    <row r="449" spans="1:7" ht="13.5" thickBot="1" x14ac:dyDescent="0.25">
      <c r="A449" s="901" t="s">
        <v>39</v>
      </c>
      <c r="B449" s="902"/>
      <c r="C449" s="902"/>
      <c r="D449" s="59" t="s">
        <v>272</v>
      </c>
      <c r="E449" s="904" t="s">
        <v>0</v>
      </c>
      <c r="F449" s="904"/>
      <c r="G449" s="905"/>
    </row>
    <row r="450" spans="1:7" ht="16.5" x14ac:dyDescent="0.25">
      <c r="A450" s="885" t="s">
        <v>29</v>
      </c>
      <c r="B450" s="886"/>
      <c r="C450" s="886"/>
      <c r="D450" s="886"/>
      <c r="E450" s="886"/>
      <c r="F450" s="886"/>
      <c r="G450" s="887"/>
    </row>
    <row r="451" spans="1:7" x14ac:dyDescent="0.2">
      <c r="A451" s="888" t="s">
        <v>48</v>
      </c>
      <c r="B451" s="889"/>
      <c r="C451" s="889"/>
      <c r="D451" s="889"/>
      <c r="E451" s="889"/>
      <c r="F451" s="889"/>
      <c r="G451" s="890"/>
    </row>
    <row r="452" spans="1:7" x14ac:dyDescent="0.2">
      <c r="A452" s="915" t="s">
        <v>49</v>
      </c>
      <c r="B452" s="916"/>
      <c r="C452" s="916"/>
      <c r="D452" s="916"/>
      <c r="E452" s="916"/>
      <c r="F452" s="916"/>
      <c r="G452" s="917"/>
    </row>
    <row r="453" spans="1:7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7" x14ac:dyDescent="0.2">
      <c r="A454" s="12" t="s">
        <v>1</v>
      </c>
      <c r="B454" s="13"/>
      <c r="C454" s="14" t="s">
        <v>27</v>
      </c>
      <c r="D454" s="13"/>
      <c r="E454" s="362" t="s">
        <v>1637</v>
      </c>
      <c r="F454" s="98"/>
      <c r="G454" s="363" t="s">
        <v>2163</v>
      </c>
    </row>
    <row r="455" spans="1:7" x14ac:dyDescent="0.2">
      <c r="A455" s="17" t="s">
        <v>8</v>
      </c>
      <c r="B455" s="100"/>
      <c r="C455" s="19"/>
      <c r="D455" s="4"/>
      <c r="E455" s="918"/>
      <c r="F455" s="919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7" x14ac:dyDescent="0.2">
      <c r="A457" s="6"/>
      <c r="B457" s="99"/>
      <c r="C457" s="8"/>
      <c r="D457" s="8"/>
      <c r="E457" s="920"/>
      <c r="F457" s="921"/>
      <c r="G457" s="25"/>
    </row>
    <row r="458" spans="1:7" ht="26.25" thickBot="1" x14ac:dyDescent="0.25">
      <c r="A458" s="207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29">
        <v>1</v>
      </c>
      <c r="B459" s="101"/>
      <c r="C459" s="371" t="s">
        <v>242</v>
      </c>
      <c r="D459" s="370" t="s">
        <v>1291</v>
      </c>
      <c r="E459" s="158">
        <v>15</v>
      </c>
      <c r="F459" s="128">
        <v>250</v>
      </c>
      <c r="G459" s="35">
        <f>F459*E459</f>
        <v>3750</v>
      </c>
    </row>
    <row r="460" spans="1:7" x14ac:dyDescent="0.2">
      <c r="A460" s="29"/>
      <c r="B460" s="101"/>
      <c r="C460" s="41"/>
      <c r="D460" s="370" t="s">
        <v>1358</v>
      </c>
      <c r="E460" s="156"/>
      <c r="F460" s="128"/>
      <c r="G460" s="35"/>
    </row>
    <row r="461" spans="1:7" x14ac:dyDescent="0.2">
      <c r="A461" s="29"/>
      <c r="B461" s="101"/>
      <c r="C461" s="371"/>
      <c r="D461" s="370"/>
      <c r="E461" s="108"/>
      <c r="F461" s="128"/>
      <c r="G461" s="35"/>
    </row>
    <row r="462" spans="1:7" x14ac:dyDescent="0.2">
      <c r="A462" s="29"/>
      <c r="B462" s="105"/>
      <c r="C462" s="371"/>
      <c r="D462" s="376"/>
      <c r="E462" s="102"/>
      <c r="F462" s="128"/>
      <c r="G462" s="35"/>
    </row>
    <row r="463" spans="1:7" x14ac:dyDescent="0.2">
      <c r="A463" s="29"/>
      <c r="B463" s="105"/>
      <c r="C463" s="371"/>
      <c r="D463" s="376"/>
      <c r="E463" s="102"/>
      <c r="F463" s="128"/>
      <c r="G463" s="35"/>
    </row>
    <row r="464" spans="1:7" x14ac:dyDescent="0.2">
      <c r="A464" s="29"/>
      <c r="B464" s="105"/>
      <c r="C464" s="41"/>
      <c r="D464" s="376"/>
      <c r="E464" s="102"/>
      <c r="F464" s="128"/>
      <c r="G464" s="35"/>
    </row>
    <row r="465" spans="1:7" x14ac:dyDescent="0.2">
      <c r="A465" s="29"/>
      <c r="B465" s="151"/>
      <c r="C465" s="119"/>
      <c r="D465" s="136"/>
      <c r="E465" s="108"/>
      <c r="F465" s="150"/>
      <c r="G465" s="35"/>
    </row>
    <row r="466" spans="1:7" x14ac:dyDescent="0.2">
      <c r="A466" s="29"/>
      <c r="B466" s="151"/>
      <c r="C466" s="119"/>
      <c r="D466" s="144"/>
      <c r="E466" s="108"/>
      <c r="F466" s="150"/>
      <c r="G466" s="35"/>
    </row>
    <row r="467" spans="1:7" x14ac:dyDescent="0.2">
      <c r="A467" s="29"/>
      <c r="B467" s="101"/>
      <c r="C467" s="41"/>
      <c r="D467" s="144"/>
      <c r="E467" s="155"/>
      <c r="F467" s="128"/>
      <c r="G467" s="35"/>
    </row>
    <row r="468" spans="1:7" x14ac:dyDescent="0.2">
      <c r="A468" s="29"/>
      <c r="B468" s="106"/>
      <c r="C468" s="41"/>
      <c r="D468" s="136"/>
      <c r="E468" s="104"/>
      <c r="F468" s="128"/>
      <c r="G468" s="35"/>
    </row>
    <row r="469" spans="1:7" x14ac:dyDescent="0.2">
      <c r="A469" s="29"/>
      <c r="B469" s="105"/>
      <c r="C469" s="41" t="s">
        <v>150</v>
      </c>
      <c r="D469" s="136"/>
      <c r="E469" s="108"/>
      <c r="F469" s="152"/>
      <c r="G469" s="35"/>
    </row>
    <row r="470" spans="1:7" x14ac:dyDescent="0.2">
      <c r="A470" s="29"/>
      <c r="B470" s="107"/>
      <c r="C470" s="41"/>
      <c r="D470" s="136"/>
      <c r="E470" s="153"/>
      <c r="F470" s="128"/>
      <c r="G470" s="35"/>
    </row>
    <row r="471" spans="1:7" x14ac:dyDescent="0.2">
      <c r="A471" s="29"/>
      <c r="B471" s="107"/>
      <c r="C471" s="41"/>
      <c r="D471" s="67"/>
      <c r="E471" s="153"/>
      <c r="F471" s="128"/>
      <c r="G471" s="35"/>
    </row>
    <row r="472" spans="1:7" x14ac:dyDescent="0.2">
      <c r="A472" s="29"/>
      <c r="B472" s="101"/>
      <c r="C472" s="41"/>
      <c r="D472" s="67"/>
      <c r="E472" s="108"/>
      <c r="F472" s="128"/>
      <c r="G472" s="35"/>
    </row>
    <row r="473" spans="1:7" x14ac:dyDescent="0.2">
      <c r="A473" s="29"/>
      <c r="B473" s="101"/>
      <c r="C473" s="41"/>
      <c r="D473" s="67"/>
      <c r="E473" s="153"/>
      <c r="F473" s="128"/>
      <c r="G473" s="35"/>
    </row>
    <row r="474" spans="1:7" x14ac:dyDescent="0.2">
      <c r="A474" s="29"/>
      <c r="B474" s="106"/>
      <c r="C474" s="41"/>
      <c r="D474" s="67"/>
      <c r="E474" s="104" t="s">
        <v>150</v>
      </c>
      <c r="F474" s="154"/>
      <c r="G474" s="35"/>
    </row>
    <row r="475" spans="1:7" x14ac:dyDescent="0.2">
      <c r="A475" s="29"/>
      <c r="B475" s="105"/>
      <c r="C475" s="41"/>
      <c r="D475" s="130"/>
      <c r="E475" s="104"/>
      <c r="F475" s="154"/>
      <c r="G475" s="35"/>
    </row>
    <row r="476" spans="1:7" x14ac:dyDescent="0.2">
      <c r="A476" s="29"/>
      <c r="B476" s="105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62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2"/>
      <c r="E483" s="104"/>
      <c r="F483" s="154"/>
      <c r="G483" s="35"/>
    </row>
    <row r="484" spans="1:7" x14ac:dyDescent="0.2">
      <c r="A484" s="29"/>
      <c r="B484" s="101"/>
      <c r="C484" s="41"/>
      <c r="D484" s="62"/>
      <c r="E484" s="104"/>
      <c r="F484" s="154"/>
      <c r="G484" s="35"/>
    </row>
    <row r="485" spans="1:7" x14ac:dyDescent="0.2">
      <c r="A485" s="29"/>
      <c r="B485" s="101"/>
      <c r="C485" s="41"/>
      <c r="D485" s="67"/>
      <c r="E485" s="104"/>
      <c r="F485" s="154"/>
      <c r="G485" s="35"/>
    </row>
    <row r="486" spans="1:7" x14ac:dyDescent="0.2">
      <c r="A486" s="29"/>
      <c r="B486" s="101"/>
      <c r="C486" s="41"/>
      <c r="D486" s="159"/>
      <c r="E486" s="104"/>
      <c r="F486" s="154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5"/>
    </row>
    <row r="488" spans="1:7" x14ac:dyDescent="0.2">
      <c r="A488" s="29"/>
      <c r="B488" s="101"/>
      <c r="C488" s="41"/>
      <c r="D488" s="136"/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02"/>
      <c r="F489" s="128"/>
      <c r="G489" s="35"/>
    </row>
    <row r="490" spans="1:7" x14ac:dyDescent="0.2">
      <c r="A490" s="29"/>
      <c r="B490" s="101"/>
      <c r="C490" s="31"/>
      <c r="D490" s="67"/>
      <c r="E490" s="131"/>
      <c r="F490" s="117"/>
      <c r="G490" s="35"/>
    </row>
    <row r="491" spans="1:7" x14ac:dyDescent="0.2">
      <c r="A491" s="29"/>
      <c r="B491" s="101"/>
      <c r="C491" s="41"/>
      <c r="D491" s="118"/>
      <c r="E491" s="108"/>
      <c r="F491" s="149"/>
      <c r="G491" s="35"/>
    </row>
    <row r="492" spans="1:7" x14ac:dyDescent="0.2">
      <c r="A492" s="29"/>
      <c r="B492" s="101"/>
      <c r="C492" s="41"/>
      <c r="D492" s="144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SUM(G459:G492)</f>
        <v>3750</v>
      </c>
    </row>
    <row r="494" spans="1:7" x14ac:dyDescent="0.2">
      <c r="A494" s="875" t="s">
        <v>1700</v>
      </c>
      <c r="B494" s="899"/>
      <c r="C494" s="899"/>
      <c r="D494" s="899"/>
      <c r="E494" s="899"/>
      <c r="F494" s="899"/>
      <c r="G494" s="900"/>
    </row>
    <row r="495" spans="1:7" ht="13.5" thickBot="1" x14ac:dyDescent="0.25">
      <c r="A495" s="52"/>
      <c r="B495" s="103"/>
      <c r="C495" s="374" t="s">
        <v>2184</v>
      </c>
      <c r="D495" s="54"/>
      <c r="E495" s="103"/>
      <c r="F495" s="55"/>
      <c r="G495" s="56"/>
    </row>
    <row r="496" spans="1:7" ht="13.5" thickTop="1" x14ac:dyDescent="0.2">
      <c r="A496" s="906"/>
      <c r="B496" s="907"/>
      <c r="C496" s="907"/>
      <c r="D496" s="57" t="s">
        <v>11</v>
      </c>
      <c r="E496" s="908" t="s">
        <v>12</v>
      </c>
      <c r="F496" s="908"/>
      <c r="G496" s="909"/>
    </row>
    <row r="497" spans="1:7" x14ac:dyDescent="0.2">
      <c r="A497" s="910" t="s">
        <v>17</v>
      </c>
      <c r="B497" s="911"/>
      <c r="C497" s="911"/>
      <c r="D497" s="39"/>
      <c r="E497" s="912"/>
      <c r="F497" s="913"/>
      <c r="G497" s="914"/>
    </row>
    <row r="498" spans="1:7" x14ac:dyDescent="0.2">
      <c r="A498" s="910" t="s">
        <v>38</v>
      </c>
      <c r="B498" s="911"/>
      <c r="C498" s="911"/>
      <c r="D498" s="58" t="s">
        <v>271</v>
      </c>
      <c r="E498" s="868" t="s">
        <v>142</v>
      </c>
      <c r="F498" s="868"/>
      <c r="G498" s="869"/>
    </row>
    <row r="499" spans="1:7" ht="13.5" thickBot="1" x14ac:dyDescent="0.25">
      <c r="A499" s="901" t="s">
        <v>39</v>
      </c>
      <c r="B499" s="902"/>
      <c r="C499" s="902"/>
      <c r="D499" s="59" t="s">
        <v>272</v>
      </c>
      <c r="E499" s="904" t="s">
        <v>0</v>
      </c>
      <c r="F499" s="904"/>
      <c r="G499" s="905"/>
    </row>
    <row r="500" spans="1:7" ht="16.5" x14ac:dyDescent="0.25">
      <c r="A500" s="885" t="s">
        <v>29</v>
      </c>
      <c r="B500" s="886"/>
      <c r="C500" s="886"/>
      <c r="D500" s="886"/>
      <c r="E500" s="886"/>
      <c r="F500" s="886"/>
      <c r="G500" s="887"/>
    </row>
    <row r="501" spans="1:7" x14ac:dyDescent="0.2">
      <c r="A501" s="888" t="s">
        <v>48</v>
      </c>
      <c r="B501" s="889"/>
      <c r="C501" s="889"/>
      <c r="D501" s="889"/>
      <c r="E501" s="889"/>
      <c r="F501" s="889"/>
      <c r="G501" s="890"/>
    </row>
    <row r="502" spans="1:7" x14ac:dyDescent="0.2">
      <c r="A502" s="915" t="s">
        <v>49</v>
      </c>
      <c r="B502" s="916"/>
      <c r="C502" s="916"/>
      <c r="D502" s="916"/>
      <c r="E502" s="916"/>
      <c r="F502" s="916"/>
      <c r="G502" s="917"/>
    </row>
    <row r="503" spans="1:7" x14ac:dyDescent="0.2">
      <c r="A503" s="6"/>
      <c r="B503" s="99"/>
      <c r="C503" s="8"/>
      <c r="D503" s="9"/>
      <c r="E503" s="99"/>
      <c r="F503" s="10"/>
      <c r="G503" s="11" t="s">
        <v>20</v>
      </c>
    </row>
    <row r="504" spans="1:7" x14ac:dyDescent="0.2">
      <c r="A504" s="12" t="s">
        <v>1</v>
      </c>
      <c r="B504" s="13"/>
      <c r="C504" s="14" t="s">
        <v>27</v>
      </c>
      <c r="D504" s="13"/>
      <c r="E504" s="362" t="s">
        <v>2708</v>
      </c>
      <c r="F504" s="98"/>
      <c r="G504" s="363" t="s">
        <v>2677</v>
      </c>
    </row>
    <row r="505" spans="1:7" x14ac:dyDescent="0.2">
      <c r="A505" s="17" t="s">
        <v>8</v>
      </c>
      <c r="B505" s="100"/>
      <c r="C505" s="19"/>
      <c r="D505" s="4"/>
      <c r="E505" s="918"/>
      <c r="F505" s="919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20" t="s">
        <v>50</v>
      </c>
    </row>
    <row r="507" spans="1:7" x14ac:dyDescent="0.2">
      <c r="A507" s="6"/>
      <c r="B507" s="99"/>
      <c r="C507" s="8"/>
      <c r="D507" s="8"/>
      <c r="E507" s="920"/>
      <c r="F507" s="921"/>
      <c r="G507" s="25"/>
    </row>
    <row r="508" spans="1:7" ht="26.25" thickBot="1" x14ac:dyDescent="0.25">
      <c r="A508" s="207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29">
        <v>1</v>
      </c>
      <c r="B509" s="101"/>
      <c r="C509" s="371" t="s">
        <v>242</v>
      </c>
      <c r="D509" s="370" t="s">
        <v>2464</v>
      </c>
      <c r="E509" s="158">
        <v>30</v>
      </c>
      <c r="F509" s="128">
        <v>250</v>
      </c>
      <c r="G509" s="35">
        <f>F509*E509</f>
        <v>7500</v>
      </c>
    </row>
    <row r="510" spans="1:7" x14ac:dyDescent="0.2">
      <c r="A510" s="29"/>
      <c r="B510" s="101"/>
      <c r="C510" s="41"/>
      <c r="D510" s="370" t="s">
        <v>8</v>
      </c>
      <c r="E510" s="156"/>
      <c r="F510" s="128"/>
      <c r="G510" s="35"/>
    </row>
    <row r="511" spans="1:7" x14ac:dyDescent="0.2">
      <c r="A511" s="29"/>
      <c r="B511" s="101"/>
      <c r="C511" s="371"/>
      <c r="D511" s="370"/>
      <c r="E511" s="108"/>
      <c r="F511" s="128"/>
      <c r="G511" s="35"/>
    </row>
    <row r="512" spans="1:7" x14ac:dyDescent="0.2">
      <c r="A512" s="29"/>
      <c r="B512" s="105"/>
      <c r="C512" s="371"/>
      <c r="D512" s="376"/>
      <c r="E512" s="102"/>
      <c r="F512" s="128"/>
      <c r="G512" s="35"/>
    </row>
    <row r="513" spans="1:7" x14ac:dyDescent="0.2">
      <c r="A513" s="29"/>
      <c r="B513" s="105"/>
      <c r="C513" s="371"/>
      <c r="D513" s="376"/>
      <c r="E513" s="102"/>
      <c r="F513" s="128"/>
      <c r="G513" s="35"/>
    </row>
    <row r="514" spans="1:7" x14ac:dyDescent="0.2">
      <c r="A514" s="29"/>
      <c r="B514" s="105"/>
      <c r="C514" s="41"/>
      <c r="D514" s="376"/>
      <c r="E514" s="102"/>
      <c r="F514" s="128"/>
      <c r="G514" s="35"/>
    </row>
    <row r="515" spans="1:7" x14ac:dyDescent="0.2">
      <c r="A515" s="29"/>
      <c r="B515" s="151"/>
      <c r="C515" s="119"/>
      <c r="D515" s="136"/>
      <c r="E515" s="108"/>
      <c r="F515" s="150"/>
      <c r="G515" s="35"/>
    </row>
    <row r="516" spans="1:7" x14ac:dyDescent="0.2">
      <c r="A516" s="29"/>
      <c r="B516" s="151"/>
      <c r="C516" s="119"/>
      <c r="D516" s="144"/>
      <c r="E516" s="108"/>
      <c r="F516" s="150"/>
      <c r="G516" s="35"/>
    </row>
    <row r="517" spans="1:7" x14ac:dyDescent="0.2">
      <c r="A517" s="29"/>
      <c r="B517" s="101"/>
      <c r="C517" s="41"/>
      <c r="D517" s="144"/>
      <c r="E517" s="155"/>
      <c r="F517" s="128"/>
      <c r="G517" s="35"/>
    </row>
    <row r="518" spans="1:7" x14ac:dyDescent="0.2">
      <c r="A518" s="29"/>
      <c r="B518" s="106"/>
      <c r="C518" s="41"/>
      <c r="D518" s="136"/>
      <c r="E518" s="104"/>
      <c r="F518" s="128"/>
      <c r="G518" s="35"/>
    </row>
    <row r="519" spans="1:7" x14ac:dyDescent="0.2">
      <c r="A519" s="29"/>
      <c r="B519" s="105"/>
      <c r="C519" s="41" t="s">
        <v>150</v>
      </c>
      <c r="D519" s="136"/>
      <c r="E519" s="108"/>
      <c r="F519" s="152"/>
      <c r="G519" s="35"/>
    </row>
    <row r="520" spans="1:7" x14ac:dyDescent="0.2">
      <c r="A520" s="29"/>
      <c r="B520" s="107"/>
      <c r="C520" s="41"/>
      <c r="D520" s="136"/>
      <c r="E520" s="153"/>
      <c r="F520" s="128"/>
      <c r="G520" s="35"/>
    </row>
    <row r="521" spans="1:7" x14ac:dyDescent="0.2">
      <c r="A521" s="29"/>
      <c r="B521" s="107"/>
      <c r="C521" s="41"/>
      <c r="D521" s="67"/>
      <c r="E521" s="153"/>
      <c r="F521" s="128"/>
      <c r="G521" s="35"/>
    </row>
    <row r="522" spans="1:7" x14ac:dyDescent="0.2">
      <c r="A522" s="29"/>
      <c r="B522" s="101"/>
      <c r="C522" s="41"/>
      <c r="D522" s="67"/>
      <c r="E522" s="108"/>
      <c r="F522" s="128"/>
      <c r="G522" s="35"/>
    </row>
    <row r="523" spans="1:7" x14ac:dyDescent="0.2">
      <c r="A523" s="29"/>
      <c r="B523" s="101"/>
      <c r="C523" s="41"/>
      <c r="D523" s="67"/>
      <c r="E523" s="153"/>
      <c r="F523" s="128"/>
      <c r="G523" s="35"/>
    </row>
    <row r="524" spans="1:7" x14ac:dyDescent="0.2">
      <c r="A524" s="29"/>
      <c r="B524" s="106"/>
      <c r="C524" s="41"/>
      <c r="D524" s="67"/>
      <c r="E524" s="104" t="s">
        <v>150</v>
      </c>
      <c r="F524" s="154"/>
      <c r="G524" s="35"/>
    </row>
    <row r="525" spans="1:7" x14ac:dyDescent="0.2">
      <c r="A525" s="29"/>
      <c r="B525" s="105"/>
      <c r="C525" s="41"/>
      <c r="D525" s="130"/>
      <c r="E525" s="104"/>
      <c r="F525" s="154"/>
      <c r="G525" s="35"/>
    </row>
    <row r="526" spans="1:7" x14ac:dyDescent="0.2">
      <c r="A526" s="29"/>
      <c r="B526" s="105"/>
      <c r="C526" s="41"/>
      <c r="D526" s="67"/>
      <c r="E526" s="104"/>
      <c r="F526" s="154"/>
      <c r="G526" s="35"/>
    </row>
    <row r="527" spans="1:7" x14ac:dyDescent="0.2">
      <c r="A527" s="29"/>
      <c r="B527" s="101"/>
      <c r="C527" s="41"/>
      <c r="D527" s="67"/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62"/>
      <c r="E530" s="104"/>
      <c r="F530" s="154"/>
      <c r="G530" s="35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2"/>
      <c r="E532" s="104"/>
      <c r="F532" s="154"/>
      <c r="G532" s="35"/>
    </row>
    <row r="533" spans="1:7" x14ac:dyDescent="0.2">
      <c r="A533" s="29"/>
      <c r="B533" s="101"/>
      <c r="C533" s="41"/>
      <c r="D533" s="62"/>
      <c r="E533" s="104"/>
      <c r="F533" s="154"/>
      <c r="G533" s="35"/>
    </row>
    <row r="534" spans="1:7" x14ac:dyDescent="0.2">
      <c r="A534" s="29"/>
      <c r="B534" s="101"/>
      <c r="C534" s="41"/>
      <c r="D534" s="62"/>
      <c r="E534" s="104"/>
      <c r="F534" s="154"/>
      <c r="G534" s="35"/>
    </row>
    <row r="535" spans="1:7" x14ac:dyDescent="0.2">
      <c r="A535" s="29"/>
      <c r="B535" s="101"/>
      <c r="C535" s="41"/>
      <c r="D535" s="67"/>
      <c r="E535" s="104"/>
      <c r="F535" s="154"/>
      <c r="G535" s="35"/>
    </row>
    <row r="536" spans="1:7" x14ac:dyDescent="0.2">
      <c r="A536" s="29"/>
      <c r="B536" s="101"/>
      <c r="C536" s="41"/>
      <c r="D536" s="159"/>
      <c r="E536" s="104"/>
      <c r="F536" s="154"/>
      <c r="G536" s="35"/>
    </row>
    <row r="537" spans="1:7" x14ac:dyDescent="0.2">
      <c r="A537" s="29"/>
      <c r="B537" s="101"/>
      <c r="C537" s="41"/>
      <c r="D537" s="160"/>
      <c r="E537" s="108"/>
      <c r="F537" s="128"/>
      <c r="G537" s="35"/>
    </row>
    <row r="538" spans="1:7" x14ac:dyDescent="0.2">
      <c r="A538" s="29"/>
      <c r="B538" s="101"/>
      <c r="C538" s="41"/>
      <c r="D538" s="136"/>
      <c r="E538" s="153"/>
      <c r="F538" s="128"/>
      <c r="G538" s="35"/>
    </row>
    <row r="539" spans="1:7" x14ac:dyDescent="0.2">
      <c r="A539" s="29"/>
      <c r="B539" s="101"/>
      <c r="C539" s="41"/>
      <c r="D539" s="136"/>
      <c r="E539" s="102"/>
      <c r="F539" s="128"/>
      <c r="G539" s="35"/>
    </row>
    <row r="540" spans="1:7" x14ac:dyDescent="0.2">
      <c r="A540" s="29"/>
      <c r="B540" s="101"/>
      <c r="C540" s="31"/>
      <c r="D540" s="67"/>
      <c r="E540" s="131"/>
      <c r="F540" s="117"/>
      <c r="G540" s="35"/>
    </row>
    <row r="541" spans="1:7" x14ac:dyDescent="0.2">
      <c r="A541" s="29"/>
      <c r="B541" s="101"/>
      <c r="C541" s="41"/>
      <c r="D541" s="118"/>
      <c r="E541" s="108"/>
      <c r="F541" s="149"/>
      <c r="G541" s="35"/>
    </row>
    <row r="542" spans="1:7" x14ac:dyDescent="0.2">
      <c r="A542" s="29"/>
      <c r="B542" s="101"/>
      <c r="C542" s="41"/>
      <c r="D542" s="144"/>
      <c r="E542" s="108"/>
      <c r="F542" s="149"/>
      <c r="G542" s="35"/>
    </row>
    <row r="543" spans="1:7" ht="13.5" thickBot="1" x14ac:dyDescent="0.25">
      <c r="A543" s="45"/>
      <c r="B543" s="132"/>
      <c r="C543" s="115"/>
      <c r="D543" s="115"/>
      <c r="E543" s="132"/>
      <c r="F543" s="49" t="s">
        <v>15</v>
      </c>
      <c r="G543" s="50">
        <f>SUM(G509:G542)</f>
        <v>7500</v>
      </c>
    </row>
    <row r="544" spans="1:7" ht="13.5" thickTop="1" x14ac:dyDescent="0.2">
      <c r="A544" s="875" t="s">
        <v>1699</v>
      </c>
      <c r="B544" s="899"/>
      <c r="C544" s="899"/>
      <c r="D544" s="899"/>
      <c r="E544" s="899"/>
      <c r="F544" s="899"/>
      <c r="G544" s="900"/>
    </row>
    <row r="545" spans="1:7" ht="13.5" thickBot="1" x14ac:dyDescent="0.25">
      <c r="A545" s="52"/>
      <c r="B545" s="103"/>
      <c r="C545" s="374" t="s">
        <v>1861</v>
      </c>
      <c r="D545" s="54"/>
      <c r="E545" s="103"/>
      <c r="F545" s="55"/>
      <c r="G545" s="56"/>
    </row>
    <row r="546" spans="1:7" ht="13.5" thickTop="1" x14ac:dyDescent="0.2">
      <c r="A546" s="906"/>
      <c r="B546" s="907"/>
      <c r="C546" s="907"/>
      <c r="D546" s="57" t="s">
        <v>11</v>
      </c>
      <c r="E546" s="908" t="s">
        <v>12</v>
      </c>
      <c r="F546" s="908"/>
      <c r="G546" s="909"/>
    </row>
    <row r="547" spans="1:7" x14ac:dyDescent="0.2">
      <c r="A547" s="910" t="s">
        <v>17</v>
      </c>
      <c r="B547" s="911"/>
      <c r="C547" s="911"/>
      <c r="D547" s="39"/>
      <c r="E547" s="912"/>
      <c r="F547" s="913"/>
      <c r="G547" s="914"/>
    </row>
    <row r="548" spans="1:7" x14ac:dyDescent="0.2">
      <c r="A548" s="910" t="s">
        <v>38</v>
      </c>
      <c r="B548" s="911"/>
      <c r="C548" s="911"/>
      <c r="D548" s="58" t="s">
        <v>271</v>
      </c>
      <c r="E548" s="868" t="s">
        <v>142</v>
      </c>
      <c r="F548" s="868"/>
      <c r="G548" s="869"/>
    </row>
    <row r="549" spans="1:7" ht="13.5" thickBot="1" x14ac:dyDescent="0.25">
      <c r="A549" s="901" t="s">
        <v>39</v>
      </c>
      <c r="B549" s="902"/>
      <c r="C549" s="902"/>
      <c r="D549" s="59" t="s">
        <v>272</v>
      </c>
      <c r="E549" s="904" t="s">
        <v>0</v>
      </c>
      <c r="F549" s="904"/>
      <c r="G549" s="905"/>
    </row>
    <row r="550" spans="1:7" ht="16.5" x14ac:dyDescent="0.25">
      <c r="A550" s="885" t="s">
        <v>29</v>
      </c>
      <c r="B550" s="886"/>
      <c r="C550" s="886"/>
      <c r="D550" s="886"/>
      <c r="E550" s="886"/>
      <c r="F550" s="886"/>
      <c r="G550" s="887"/>
    </row>
    <row r="551" spans="1:7" x14ac:dyDescent="0.2">
      <c r="A551" s="888" t="s">
        <v>48</v>
      </c>
      <c r="B551" s="889"/>
      <c r="C551" s="889"/>
      <c r="D551" s="889"/>
      <c r="E551" s="889"/>
      <c r="F551" s="889"/>
      <c r="G551" s="890"/>
    </row>
    <row r="552" spans="1:7" x14ac:dyDescent="0.2">
      <c r="A552" s="915" t="s">
        <v>49</v>
      </c>
      <c r="B552" s="916"/>
      <c r="C552" s="916"/>
      <c r="D552" s="916"/>
      <c r="E552" s="916"/>
      <c r="F552" s="916"/>
      <c r="G552" s="917"/>
    </row>
    <row r="553" spans="1:7" x14ac:dyDescent="0.2">
      <c r="A553" s="6"/>
      <c r="B553" s="99"/>
      <c r="C553" s="8"/>
      <c r="D553" s="9"/>
      <c r="E553" s="99"/>
      <c r="F553" s="10"/>
      <c r="G553" s="11" t="s">
        <v>20</v>
      </c>
    </row>
    <row r="554" spans="1:7" x14ac:dyDescent="0.2">
      <c r="A554" s="12" t="s">
        <v>1</v>
      </c>
      <c r="B554" s="13"/>
      <c r="C554" s="14" t="s">
        <v>27</v>
      </c>
      <c r="D554" s="13"/>
      <c r="E554" s="362" t="s">
        <v>1785</v>
      </c>
      <c r="F554" s="98"/>
      <c r="G554" s="363" t="s">
        <v>1739</v>
      </c>
    </row>
    <row r="555" spans="1:7" x14ac:dyDescent="0.2">
      <c r="A555" s="17" t="s">
        <v>8</v>
      </c>
      <c r="B555" s="100"/>
      <c r="C555" s="19"/>
      <c r="D555" s="4"/>
      <c r="E555" s="918"/>
      <c r="F555" s="919"/>
      <c r="G555" s="20"/>
    </row>
    <row r="556" spans="1:7" x14ac:dyDescent="0.2">
      <c r="A556" s="21" t="s">
        <v>37</v>
      </c>
      <c r="B556" s="22"/>
      <c r="C556" s="22"/>
      <c r="D556" s="22"/>
      <c r="E556" s="23" t="s">
        <v>46</v>
      </c>
      <c r="F556" s="24"/>
      <c r="G556" s="20" t="s">
        <v>50</v>
      </c>
    </row>
    <row r="557" spans="1:7" x14ac:dyDescent="0.2">
      <c r="A557" s="6"/>
      <c r="B557" s="99"/>
      <c r="C557" s="8"/>
      <c r="D557" s="8"/>
      <c r="E557" s="920"/>
      <c r="F557" s="921"/>
      <c r="G557" s="25"/>
    </row>
    <row r="558" spans="1:7" ht="26.25" thickBot="1" x14ac:dyDescent="0.25">
      <c r="A558" s="207" t="s">
        <v>47</v>
      </c>
      <c r="B558" s="28" t="s">
        <v>23</v>
      </c>
      <c r="C558" s="28" t="s">
        <v>34</v>
      </c>
      <c r="D558" s="110" t="s">
        <v>53</v>
      </c>
      <c r="E558" s="114" t="s">
        <v>54</v>
      </c>
      <c r="F558" s="111" t="s">
        <v>55</v>
      </c>
      <c r="G558" s="112" t="s">
        <v>35</v>
      </c>
    </row>
    <row r="559" spans="1:7" ht="13.5" thickTop="1" x14ac:dyDescent="0.2">
      <c r="A559" s="29">
        <v>1</v>
      </c>
      <c r="B559" s="101"/>
      <c r="C559" s="371" t="s">
        <v>242</v>
      </c>
      <c r="D559" s="370" t="s">
        <v>1786</v>
      </c>
      <c r="E559" s="158">
        <v>100</v>
      </c>
      <c r="F559" s="128">
        <v>200</v>
      </c>
      <c r="G559" s="35">
        <f>F559*E559</f>
        <v>20000</v>
      </c>
    </row>
    <row r="560" spans="1:7" x14ac:dyDescent="0.2">
      <c r="A560" s="29"/>
      <c r="B560" s="101"/>
      <c r="C560" s="41"/>
      <c r="D560" s="370" t="s">
        <v>1201</v>
      </c>
      <c r="E560" s="156"/>
      <c r="F560" s="128"/>
      <c r="G560" s="35"/>
    </row>
    <row r="561" spans="1:7" x14ac:dyDescent="0.2">
      <c r="A561" s="29">
        <v>2</v>
      </c>
      <c r="B561" s="101"/>
      <c r="C561" s="371" t="s">
        <v>242</v>
      </c>
      <c r="D561" s="370" t="s">
        <v>1787</v>
      </c>
      <c r="E561" s="108">
        <v>100</v>
      </c>
      <c r="F561" s="128">
        <v>350</v>
      </c>
      <c r="G561" s="35">
        <f>F561*E561</f>
        <v>35000</v>
      </c>
    </row>
    <row r="562" spans="1:7" x14ac:dyDescent="0.2">
      <c r="A562" s="29"/>
      <c r="B562" s="105"/>
      <c r="C562" s="371"/>
      <c r="D562" s="376" t="s">
        <v>1303</v>
      </c>
      <c r="E562" s="102"/>
      <c r="F562" s="128"/>
      <c r="G562" s="35"/>
    </row>
    <row r="563" spans="1:7" x14ac:dyDescent="0.2">
      <c r="A563" s="29">
        <v>3</v>
      </c>
      <c r="B563" s="105"/>
      <c r="C563" s="371" t="s">
        <v>242</v>
      </c>
      <c r="D563" s="376" t="s">
        <v>1788</v>
      </c>
      <c r="E563" s="102">
        <v>100</v>
      </c>
      <c r="F563" s="128">
        <v>200</v>
      </c>
      <c r="G563" s="35">
        <f>F563*E563</f>
        <v>20000</v>
      </c>
    </row>
    <row r="564" spans="1:7" x14ac:dyDescent="0.2">
      <c r="A564" s="29"/>
      <c r="B564" s="105"/>
      <c r="C564" s="41"/>
      <c r="D564" s="376" t="s">
        <v>1789</v>
      </c>
      <c r="E564" s="102"/>
      <c r="F564" s="128"/>
      <c r="G564" s="35"/>
    </row>
    <row r="565" spans="1:7" x14ac:dyDescent="0.2">
      <c r="A565" s="29"/>
      <c r="B565" s="151"/>
      <c r="C565" s="119"/>
      <c r="D565" s="136"/>
      <c r="E565" s="108"/>
      <c r="F565" s="150"/>
      <c r="G565" s="35"/>
    </row>
    <row r="566" spans="1:7" x14ac:dyDescent="0.2">
      <c r="A566" s="29"/>
      <c r="B566" s="151"/>
      <c r="C566" s="119"/>
      <c r="D566" s="144"/>
      <c r="E566" s="108"/>
      <c r="F566" s="150"/>
      <c r="G566" s="35"/>
    </row>
    <row r="567" spans="1:7" x14ac:dyDescent="0.2">
      <c r="A567" s="29"/>
      <c r="B567" s="101"/>
      <c r="C567" s="41"/>
      <c r="D567" s="144"/>
      <c r="E567" s="155"/>
      <c r="F567" s="128"/>
      <c r="G567" s="35"/>
    </row>
    <row r="568" spans="1:7" x14ac:dyDescent="0.2">
      <c r="A568" s="29"/>
      <c r="B568" s="106"/>
      <c r="C568" s="41"/>
      <c r="D568" s="136"/>
      <c r="E568" s="104"/>
      <c r="F568" s="128"/>
      <c r="G568" s="35"/>
    </row>
    <row r="569" spans="1:7" x14ac:dyDescent="0.2">
      <c r="A569" s="29"/>
      <c r="B569" s="105"/>
      <c r="C569" s="41" t="s">
        <v>150</v>
      </c>
      <c r="D569" s="136"/>
      <c r="E569" s="108"/>
      <c r="F569" s="152"/>
      <c r="G569" s="35"/>
    </row>
    <row r="570" spans="1:7" x14ac:dyDescent="0.2">
      <c r="A570" s="29"/>
      <c r="B570" s="107"/>
      <c r="C570" s="41"/>
      <c r="D570" s="136"/>
      <c r="E570" s="153"/>
      <c r="F570" s="128"/>
      <c r="G570" s="35"/>
    </row>
    <row r="571" spans="1:7" x14ac:dyDescent="0.2">
      <c r="A571" s="29"/>
      <c r="B571" s="107"/>
      <c r="C571" s="41"/>
      <c r="D571" s="67"/>
      <c r="E571" s="153"/>
      <c r="F571" s="128"/>
      <c r="G571" s="35"/>
    </row>
    <row r="572" spans="1:7" x14ac:dyDescent="0.2">
      <c r="A572" s="29"/>
      <c r="B572" s="101"/>
      <c r="C572" s="41"/>
      <c r="D572" s="67"/>
      <c r="E572" s="108"/>
      <c r="F572" s="128"/>
      <c r="G572" s="35"/>
    </row>
    <row r="573" spans="1:7" x14ac:dyDescent="0.2">
      <c r="A573" s="29"/>
      <c r="B573" s="101"/>
      <c r="C573" s="41"/>
      <c r="D573" s="67"/>
      <c r="E573" s="153"/>
      <c r="F573" s="128"/>
      <c r="G573" s="35"/>
    </row>
    <row r="574" spans="1:7" x14ac:dyDescent="0.2">
      <c r="A574" s="29"/>
      <c r="B574" s="106"/>
      <c r="C574" s="41"/>
      <c r="D574" s="67"/>
      <c r="E574" s="104" t="s">
        <v>150</v>
      </c>
      <c r="F574" s="154"/>
      <c r="G574" s="35"/>
    </row>
    <row r="575" spans="1:7" x14ac:dyDescent="0.2">
      <c r="A575" s="29"/>
      <c r="B575" s="105"/>
      <c r="C575" s="41"/>
      <c r="D575" s="130"/>
      <c r="E575" s="104"/>
      <c r="F575" s="154"/>
      <c r="G575" s="35"/>
    </row>
    <row r="576" spans="1:7" x14ac:dyDescent="0.2">
      <c r="A576" s="29"/>
      <c r="B576" s="105"/>
      <c r="C576" s="41"/>
      <c r="D576" s="67"/>
      <c r="E576" s="104"/>
      <c r="F576" s="154"/>
      <c r="G576" s="35"/>
    </row>
    <row r="577" spans="1:7" x14ac:dyDescent="0.2">
      <c r="A577" s="29"/>
      <c r="B577" s="101"/>
      <c r="C577" s="41"/>
      <c r="D577" s="67"/>
      <c r="E577" s="104"/>
      <c r="F577" s="154"/>
      <c r="G577" s="35"/>
    </row>
    <row r="578" spans="1:7" x14ac:dyDescent="0.2">
      <c r="A578" s="29"/>
      <c r="B578" s="101"/>
      <c r="C578" s="41"/>
      <c r="D578" s="136"/>
      <c r="E578" s="104"/>
      <c r="F578" s="154"/>
      <c r="G578" s="35"/>
    </row>
    <row r="579" spans="1:7" x14ac:dyDescent="0.2">
      <c r="A579" s="29"/>
      <c r="B579" s="101"/>
      <c r="C579" s="41"/>
      <c r="D579" s="136"/>
      <c r="E579" s="104"/>
      <c r="F579" s="154"/>
      <c r="G579" s="35"/>
    </row>
    <row r="580" spans="1:7" x14ac:dyDescent="0.2">
      <c r="A580" s="29"/>
      <c r="B580" s="101"/>
      <c r="C580" s="41"/>
      <c r="D580" s="62"/>
      <c r="E580" s="104"/>
      <c r="F580" s="154"/>
      <c r="G580" s="35"/>
    </row>
    <row r="581" spans="1:7" x14ac:dyDescent="0.2">
      <c r="A581" s="29"/>
      <c r="B581" s="101"/>
      <c r="C581" s="41"/>
      <c r="D581" s="62"/>
      <c r="E581" s="104"/>
      <c r="F581" s="154"/>
      <c r="G581" s="35"/>
    </row>
    <row r="582" spans="1:7" x14ac:dyDescent="0.2">
      <c r="A582" s="29"/>
      <c r="B582" s="101"/>
      <c r="C582" s="41"/>
      <c r="D582" s="62"/>
      <c r="E582" s="104"/>
      <c r="F582" s="154"/>
      <c r="G582" s="35"/>
    </row>
    <row r="583" spans="1:7" x14ac:dyDescent="0.2">
      <c r="A583" s="29"/>
      <c r="B583" s="101"/>
      <c r="C583" s="41"/>
      <c r="D583" s="62"/>
      <c r="E583" s="104"/>
      <c r="F583" s="154"/>
      <c r="G583" s="35"/>
    </row>
    <row r="584" spans="1:7" x14ac:dyDescent="0.2">
      <c r="A584" s="29"/>
      <c r="B584" s="101"/>
      <c r="C584" s="41"/>
      <c r="D584" s="62"/>
      <c r="E584" s="104"/>
      <c r="F584" s="154"/>
      <c r="G584" s="35"/>
    </row>
    <row r="585" spans="1:7" x14ac:dyDescent="0.2">
      <c r="A585" s="29"/>
      <c r="B585" s="101"/>
      <c r="C585" s="41"/>
      <c r="D585" s="67"/>
      <c r="E585" s="104"/>
      <c r="F585" s="154"/>
      <c r="G585" s="35"/>
    </row>
    <row r="586" spans="1:7" x14ac:dyDescent="0.2">
      <c r="A586" s="29"/>
      <c r="B586" s="101"/>
      <c r="C586" s="41"/>
      <c r="D586" s="159"/>
      <c r="E586" s="104"/>
      <c r="F586" s="154"/>
      <c r="G586" s="35"/>
    </row>
    <row r="587" spans="1:7" x14ac:dyDescent="0.2">
      <c r="A587" s="29"/>
      <c r="B587" s="101"/>
      <c r="C587" s="41"/>
      <c r="D587" s="160"/>
      <c r="E587" s="108"/>
      <c r="F587" s="128"/>
      <c r="G587" s="35"/>
    </row>
    <row r="588" spans="1:7" x14ac:dyDescent="0.2">
      <c r="A588" s="29"/>
      <c r="B588" s="101"/>
      <c r="C588" s="41"/>
      <c r="D588" s="136"/>
      <c r="E588" s="153"/>
      <c r="F588" s="128"/>
      <c r="G588" s="35"/>
    </row>
    <row r="589" spans="1:7" x14ac:dyDescent="0.2">
      <c r="A589" s="29"/>
      <c r="B589" s="101"/>
      <c r="C589" s="41"/>
      <c r="D589" s="136"/>
      <c r="E589" s="102"/>
      <c r="F589" s="128"/>
      <c r="G589" s="35"/>
    </row>
    <row r="590" spans="1:7" x14ac:dyDescent="0.2">
      <c r="A590" s="29"/>
      <c r="B590" s="101"/>
      <c r="C590" s="31"/>
      <c r="D590" s="67"/>
      <c r="E590" s="131"/>
      <c r="F590" s="117"/>
      <c r="G590" s="35"/>
    </row>
    <row r="591" spans="1:7" x14ac:dyDescent="0.2">
      <c r="A591" s="29"/>
      <c r="B591" s="101"/>
      <c r="C591" s="41"/>
      <c r="D591" s="118"/>
      <c r="E591" s="108"/>
      <c r="F591" s="149"/>
      <c r="G591" s="35"/>
    </row>
    <row r="592" spans="1:7" x14ac:dyDescent="0.2">
      <c r="A592" s="29"/>
      <c r="B592" s="101"/>
      <c r="C592" s="41"/>
      <c r="D592" s="144"/>
      <c r="E592" s="108"/>
      <c r="F592" s="149"/>
      <c r="G592" s="35"/>
    </row>
    <row r="593" spans="1:7" x14ac:dyDescent="0.2">
      <c r="A593" s="45"/>
      <c r="B593" s="132"/>
      <c r="C593" s="115"/>
      <c r="D593" s="115"/>
      <c r="E593" s="132"/>
      <c r="F593" s="49" t="s">
        <v>15</v>
      </c>
      <c r="G593" s="50">
        <f>SUM(G559:G592)</f>
        <v>75000</v>
      </c>
    </row>
    <row r="594" spans="1:7" x14ac:dyDescent="0.2">
      <c r="A594" s="875" t="s">
        <v>1790</v>
      </c>
      <c r="B594" s="899"/>
      <c r="C594" s="899"/>
      <c r="D594" s="899"/>
      <c r="E594" s="899"/>
      <c r="F594" s="899"/>
      <c r="G594" s="900"/>
    </row>
    <row r="595" spans="1:7" x14ac:dyDescent="0.2">
      <c r="A595" s="52"/>
      <c r="B595" s="103"/>
      <c r="C595" s="374" t="s">
        <v>1791</v>
      </c>
      <c r="D595" s="54"/>
      <c r="E595" s="103"/>
      <c r="F595" s="55"/>
      <c r="G595" s="56"/>
    </row>
    <row r="596" spans="1:7" x14ac:dyDescent="0.2">
      <c r="A596" s="906"/>
      <c r="B596" s="907"/>
      <c r="C596" s="907"/>
      <c r="D596" s="57" t="s">
        <v>11</v>
      </c>
      <c r="E596" s="908" t="s">
        <v>12</v>
      </c>
      <c r="F596" s="908"/>
      <c r="G596" s="909"/>
    </row>
    <row r="597" spans="1:7" x14ac:dyDescent="0.2">
      <c r="A597" s="910" t="s">
        <v>17</v>
      </c>
      <c r="B597" s="911"/>
      <c r="C597" s="911"/>
      <c r="D597" s="39"/>
      <c r="E597" s="912"/>
      <c r="F597" s="913"/>
      <c r="G597" s="914"/>
    </row>
    <row r="598" spans="1:7" x14ac:dyDescent="0.2">
      <c r="A598" s="910" t="s">
        <v>38</v>
      </c>
      <c r="B598" s="911"/>
      <c r="C598" s="911"/>
      <c r="D598" s="58" t="s">
        <v>271</v>
      </c>
      <c r="E598" s="868" t="s">
        <v>142</v>
      </c>
      <c r="F598" s="868"/>
      <c r="G598" s="869"/>
    </row>
    <row r="599" spans="1:7" x14ac:dyDescent="0.2">
      <c r="A599" s="901" t="s">
        <v>39</v>
      </c>
      <c r="B599" s="902"/>
      <c r="C599" s="902"/>
      <c r="D599" s="59" t="s">
        <v>272</v>
      </c>
      <c r="E599" s="904" t="s">
        <v>0</v>
      </c>
      <c r="F599" s="904"/>
      <c r="G599" s="905"/>
    </row>
    <row r="600" spans="1:7" ht="16.5" x14ac:dyDescent="0.25">
      <c r="A600" s="885" t="s">
        <v>29</v>
      </c>
      <c r="B600" s="886"/>
      <c r="C600" s="886"/>
      <c r="D600" s="886"/>
      <c r="E600" s="886"/>
      <c r="F600" s="886"/>
      <c r="G600" s="887"/>
    </row>
    <row r="601" spans="1:7" x14ac:dyDescent="0.2">
      <c r="A601" s="888" t="s">
        <v>48</v>
      </c>
      <c r="B601" s="889"/>
      <c r="C601" s="889"/>
      <c r="D601" s="889"/>
      <c r="E601" s="889"/>
      <c r="F601" s="889"/>
      <c r="G601" s="890"/>
    </row>
    <row r="602" spans="1:7" x14ac:dyDescent="0.2">
      <c r="A602" s="915" t="s">
        <v>49</v>
      </c>
      <c r="B602" s="916"/>
      <c r="C602" s="916"/>
      <c r="D602" s="916"/>
      <c r="E602" s="916"/>
      <c r="F602" s="916"/>
      <c r="G602" s="917"/>
    </row>
    <row r="603" spans="1:7" x14ac:dyDescent="0.2">
      <c r="A603" s="6"/>
      <c r="B603" s="99"/>
      <c r="C603" s="8"/>
      <c r="D603" s="9"/>
      <c r="E603" s="99"/>
      <c r="F603" s="10"/>
      <c r="G603" s="11" t="s">
        <v>20</v>
      </c>
    </row>
    <row r="604" spans="1:7" x14ac:dyDescent="0.2">
      <c r="A604" s="12" t="s">
        <v>1</v>
      </c>
      <c r="B604" s="13"/>
      <c r="C604" s="14" t="s">
        <v>27</v>
      </c>
      <c r="D604" s="13"/>
      <c r="E604" s="362" t="s">
        <v>1838</v>
      </c>
      <c r="F604" s="98"/>
      <c r="G604" s="363" t="s">
        <v>1829</v>
      </c>
    </row>
    <row r="605" spans="1:7" x14ac:dyDescent="0.2">
      <c r="A605" s="17" t="s">
        <v>8</v>
      </c>
      <c r="B605" s="100"/>
      <c r="C605" s="19"/>
      <c r="D605" s="4"/>
      <c r="E605" s="918"/>
      <c r="F605" s="919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920"/>
      <c r="F607" s="921"/>
      <c r="G607" s="25"/>
    </row>
    <row r="608" spans="1:7" ht="25.5" x14ac:dyDescent="0.2">
      <c r="A608" s="207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x14ac:dyDescent="0.2">
      <c r="A609" s="29">
        <v>1</v>
      </c>
      <c r="B609" s="101"/>
      <c r="C609" s="371" t="s">
        <v>242</v>
      </c>
      <c r="D609" s="370" t="s">
        <v>1195</v>
      </c>
      <c r="E609" s="158">
        <v>70</v>
      </c>
      <c r="F609" s="128">
        <v>350</v>
      </c>
      <c r="G609" s="35">
        <f>F609*E609</f>
        <v>24500</v>
      </c>
    </row>
    <row r="610" spans="1:7" x14ac:dyDescent="0.2">
      <c r="A610" s="29"/>
      <c r="B610" s="101"/>
      <c r="C610" s="41"/>
      <c r="D610" s="370" t="s">
        <v>1827</v>
      </c>
      <c r="E610" s="156"/>
      <c r="F610" s="128"/>
      <c r="G610" s="35"/>
    </row>
    <row r="611" spans="1:7" x14ac:dyDescent="0.2">
      <c r="A611" s="29"/>
      <c r="B611" s="101"/>
      <c r="C611" s="371"/>
      <c r="D611" s="370"/>
      <c r="E611" s="108"/>
      <c r="F611" s="128"/>
      <c r="G611" s="35"/>
    </row>
    <row r="612" spans="1:7" x14ac:dyDescent="0.2">
      <c r="A612" s="29"/>
      <c r="B612" s="105"/>
      <c r="C612" s="371"/>
      <c r="D612" s="376"/>
      <c r="E612" s="102"/>
      <c r="F612" s="128"/>
      <c r="G612" s="35"/>
    </row>
    <row r="613" spans="1:7" x14ac:dyDescent="0.2">
      <c r="A613" s="29"/>
      <c r="B613" s="105"/>
      <c r="C613" s="371"/>
      <c r="D613" s="376"/>
      <c r="E613" s="102"/>
      <c r="F613" s="128"/>
      <c r="G613" s="35"/>
    </row>
    <row r="614" spans="1:7" x14ac:dyDescent="0.2">
      <c r="A614" s="29"/>
      <c r="B614" s="105"/>
      <c r="C614" s="41"/>
      <c r="D614" s="376"/>
      <c r="E614" s="102"/>
      <c r="F614" s="128"/>
      <c r="G614" s="35"/>
    </row>
    <row r="615" spans="1:7" x14ac:dyDescent="0.2">
      <c r="A615" s="29"/>
      <c r="B615" s="151"/>
      <c r="C615" s="119"/>
      <c r="D615" s="136"/>
      <c r="E615" s="108"/>
      <c r="F615" s="150"/>
      <c r="G615" s="35"/>
    </row>
    <row r="616" spans="1:7" x14ac:dyDescent="0.2">
      <c r="A616" s="29"/>
      <c r="B616" s="151"/>
      <c r="C616" s="119"/>
      <c r="D616" s="144"/>
      <c r="E616" s="108"/>
      <c r="F616" s="150"/>
      <c r="G616" s="35"/>
    </row>
    <row r="617" spans="1:7" x14ac:dyDescent="0.2">
      <c r="A617" s="29"/>
      <c r="B617" s="101"/>
      <c r="C617" s="41"/>
      <c r="D617" s="144"/>
      <c r="E617" s="155"/>
      <c r="F617" s="128"/>
      <c r="G617" s="35"/>
    </row>
    <row r="618" spans="1:7" x14ac:dyDescent="0.2">
      <c r="A618" s="29"/>
      <c r="B618" s="106"/>
      <c r="C618" s="41"/>
      <c r="D618" s="136"/>
      <c r="E618" s="104"/>
      <c r="F618" s="128"/>
      <c r="G618" s="35"/>
    </row>
    <row r="619" spans="1:7" x14ac:dyDescent="0.2">
      <c r="A619" s="29"/>
      <c r="B619" s="105"/>
      <c r="C619" s="41" t="s">
        <v>150</v>
      </c>
      <c r="D619" s="136"/>
      <c r="E619" s="108"/>
      <c r="F619" s="152"/>
      <c r="G619" s="35"/>
    </row>
    <row r="620" spans="1:7" x14ac:dyDescent="0.2">
      <c r="A620" s="29"/>
      <c r="B620" s="107"/>
      <c r="C620" s="41"/>
      <c r="D620" s="136"/>
      <c r="E620" s="153"/>
      <c r="F620" s="128"/>
      <c r="G620" s="35"/>
    </row>
    <row r="621" spans="1:7" x14ac:dyDescent="0.2">
      <c r="A621" s="29"/>
      <c r="B621" s="107"/>
      <c r="C621" s="41"/>
      <c r="D621" s="67"/>
      <c r="E621" s="153"/>
      <c r="F621" s="128"/>
      <c r="G621" s="35"/>
    </row>
    <row r="622" spans="1:7" x14ac:dyDescent="0.2">
      <c r="A622" s="29"/>
      <c r="B622" s="101"/>
      <c r="C622" s="41"/>
      <c r="D622" s="67"/>
      <c r="E622" s="108"/>
      <c r="F622" s="128"/>
      <c r="G622" s="35"/>
    </row>
    <row r="623" spans="1:7" x14ac:dyDescent="0.2">
      <c r="A623" s="29"/>
      <c r="B623" s="101"/>
      <c r="C623" s="41"/>
      <c r="D623" s="67"/>
      <c r="E623" s="153"/>
      <c r="F623" s="128"/>
      <c r="G623" s="35"/>
    </row>
    <row r="624" spans="1:7" x14ac:dyDescent="0.2">
      <c r="A624" s="29"/>
      <c r="B624" s="106"/>
      <c r="C624" s="41"/>
      <c r="D624" s="67"/>
      <c r="E624" s="104" t="s">
        <v>150</v>
      </c>
      <c r="F624" s="154"/>
      <c r="G624" s="35"/>
    </row>
    <row r="625" spans="1:7" x14ac:dyDescent="0.2">
      <c r="A625" s="29"/>
      <c r="B625" s="105"/>
      <c r="C625" s="41"/>
      <c r="D625" s="130"/>
      <c r="E625" s="104"/>
      <c r="F625" s="154"/>
      <c r="G625" s="35"/>
    </row>
    <row r="626" spans="1:7" x14ac:dyDescent="0.2">
      <c r="A626" s="29"/>
      <c r="B626" s="105"/>
      <c r="C626" s="41"/>
      <c r="D626" s="67"/>
      <c r="E626" s="104"/>
      <c r="F626" s="154"/>
      <c r="G626" s="35"/>
    </row>
    <row r="627" spans="1:7" x14ac:dyDescent="0.2">
      <c r="A627" s="29"/>
      <c r="B627" s="101"/>
      <c r="C627" s="41"/>
      <c r="D627" s="67"/>
      <c r="E627" s="104"/>
      <c r="F627" s="154"/>
      <c r="G627" s="35"/>
    </row>
    <row r="628" spans="1:7" x14ac:dyDescent="0.2">
      <c r="A628" s="29"/>
      <c r="B628" s="101"/>
      <c r="C628" s="41"/>
      <c r="D628" s="136"/>
      <c r="E628" s="104"/>
      <c r="F628" s="154"/>
      <c r="G628" s="35"/>
    </row>
    <row r="629" spans="1:7" x14ac:dyDescent="0.2">
      <c r="A629" s="29"/>
      <c r="B629" s="101"/>
      <c r="C629" s="41"/>
      <c r="D629" s="136"/>
      <c r="E629" s="104"/>
      <c r="F629" s="154"/>
      <c r="G629" s="35"/>
    </row>
    <row r="630" spans="1:7" x14ac:dyDescent="0.2">
      <c r="A630" s="29"/>
      <c r="B630" s="101"/>
      <c r="C630" s="41"/>
      <c r="D630" s="62"/>
      <c r="E630" s="104"/>
      <c r="F630" s="154"/>
      <c r="G630" s="35"/>
    </row>
    <row r="631" spans="1:7" x14ac:dyDescent="0.2">
      <c r="A631" s="29"/>
      <c r="B631" s="101"/>
      <c r="C631" s="41"/>
      <c r="D631" s="62"/>
      <c r="E631" s="104"/>
      <c r="F631" s="154"/>
      <c r="G631" s="35"/>
    </row>
    <row r="632" spans="1:7" x14ac:dyDescent="0.2">
      <c r="A632" s="29"/>
      <c r="B632" s="101"/>
      <c r="C632" s="41"/>
      <c r="D632" s="62"/>
      <c r="E632" s="104"/>
      <c r="F632" s="154"/>
      <c r="G632" s="35"/>
    </row>
    <row r="633" spans="1:7" x14ac:dyDescent="0.2">
      <c r="A633" s="29"/>
      <c r="B633" s="101"/>
      <c r="C633" s="41"/>
      <c r="D633" s="62"/>
      <c r="E633" s="104"/>
      <c r="F633" s="154"/>
      <c r="G633" s="35"/>
    </row>
    <row r="634" spans="1:7" x14ac:dyDescent="0.2">
      <c r="A634" s="29"/>
      <c r="B634" s="101"/>
      <c r="C634" s="41"/>
      <c r="D634" s="62"/>
      <c r="E634" s="104"/>
      <c r="F634" s="154"/>
      <c r="G634" s="35"/>
    </row>
    <row r="635" spans="1:7" x14ac:dyDescent="0.2">
      <c r="A635" s="29"/>
      <c r="B635" s="101"/>
      <c r="C635" s="41"/>
      <c r="D635" s="67"/>
      <c r="E635" s="104"/>
      <c r="F635" s="154"/>
      <c r="G635" s="35"/>
    </row>
    <row r="636" spans="1:7" x14ac:dyDescent="0.2">
      <c r="A636" s="29"/>
      <c r="B636" s="101"/>
      <c r="C636" s="41"/>
      <c r="D636" s="159"/>
      <c r="E636" s="104"/>
      <c r="F636" s="154"/>
      <c r="G636" s="35"/>
    </row>
    <row r="637" spans="1:7" x14ac:dyDescent="0.2">
      <c r="A637" s="29"/>
      <c r="B637" s="101"/>
      <c r="C637" s="41"/>
      <c r="D637" s="160"/>
      <c r="E637" s="108"/>
      <c r="F637" s="128"/>
      <c r="G637" s="35"/>
    </row>
    <row r="638" spans="1:7" x14ac:dyDescent="0.2">
      <c r="A638" s="29"/>
      <c r="B638" s="101"/>
      <c r="C638" s="41"/>
      <c r="D638" s="136"/>
      <c r="E638" s="153"/>
      <c r="F638" s="128"/>
      <c r="G638" s="35"/>
    </row>
    <row r="639" spans="1:7" x14ac:dyDescent="0.2">
      <c r="A639" s="29"/>
      <c r="B639" s="101"/>
      <c r="C639" s="41"/>
      <c r="D639" s="136"/>
      <c r="E639" s="102"/>
      <c r="F639" s="128"/>
      <c r="G639" s="35"/>
    </row>
    <row r="640" spans="1:7" x14ac:dyDescent="0.2">
      <c r="A640" s="29"/>
      <c r="B640" s="101"/>
      <c r="C640" s="31"/>
      <c r="D640" s="67"/>
      <c r="E640" s="131"/>
      <c r="F640" s="117"/>
      <c r="G640" s="35"/>
    </row>
    <row r="641" spans="1:7" x14ac:dyDescent="0.2">
      <c r="A641" s="29"/>
      <c r="B641" s="101"/>
      <c r="C641" s="41"/>
      <c r="D641" s="118"/>
      <c r="E641" s="108"/>
      <c r="F641" s="149"/>
      <c r="G641" s="35"/>
    </row>
    <row r="642" spans="1:7" x14ac:dyDescent="0.2">
      <c r="A642" s="29"/>
      <c r="B642" s="101"/>
      <c r="C642" s="41"/>
      <c r="D642" s="144"/>
      <c r="E642" s="108"/>
      <c r="F642" s="149"/>
      <c r="G642" s="35"/>
    </row>
    <row r="643" spans="1:7" x14ac:dyDescent="0.2">
      <c r="A643" s="45"/>
      <c r="B643" s="132"/>
      <c r="C643" s="115"/>
      <c r="D643" s="115"/>
      <c r="E643" s="132"/>
      <c r="F643" s="49" t="s">
        <v>15</v>
      </c>
      <c r="G643" s="50">
        <f>SUM(G609:G642)</f>
        <v>24500</v>
      </c>
    </row>
    <row r="644" spans="1:7" x14ac:dyDescent="0.2">
      <c r="A644" s="875" t="s">
        <v>1830</v>
      </c>
      <c r="B644" s="899"/>
      <c r="C644" s="899"/>
      <c r="D644" s="899"/>
      <c r="E644" s="899"/>
      <c r="F644" s="899"/>
      <c r="G644" s="900"/>
    </row>
    <row r="645" spans="1:7" x14ac:dyDescent="0.2">
      <c r="A645" s="52"/>
      <c r="B645" s="103"/>
      <c r="C645" s="374" t="s">
        <v>1835</v>
      </c>
      <c r="D645" s="54"/>
      <c r="E645" s="103"/>
      <c r="F645" s="55"/>
      <c r="G645" s="56"/>
    </row>
    <row r="646" spans="1:7" x14ac:dyDescent="0.2">
      <c r="A646" s="906"/>
      <c r="B646" s="907"/>
      <c r="C646" s="907"/>
      <c r="D646" s="57" t="s">
        <v>11</v>
      </c>
      <c r="E646" s="908" t="s">
        <v>12</v>
      </c>
      <c r="F646" s="908"/>
      <c r="G646" s="909"/>
    </row>
    <row r="647" spans="1:7" x14ac:dyDescent="0.2">
      <c r="A647" s="910" t="s">
        <v>17</v>
      </c>
      <c r="B647" s="911"/>
      <c r="C647" s="911"/>
      <c r="D647" s="39"/>
      <c r="E647" s="912"/>
      <c r="F647" s="913"/>
      <c r="G647" s="914"/>
    </row>
    <row r="648" spans="1:7" x14ac:dyDescent="0.2">
      <c r="A648" s="910" t="s">
        <v>38</v>
      </c>
      <c r="B648" s="911"/>
      <c r="C648" s="911"/>
      <c r="D648" s="58" t="s">
        <v>271</v>
      </c>
      <c r="E648" s="868" t="s">
        <v>142</v>
      </c>
      <c r="F648" s="868"/>
      <c r="G648" s="869"/>
    </row>
    <row r="649" spans="1:7" ht="13.5" thickBot="1" x14ac:dyDescent="0.25">
      <c r="A649" s="901" t="s">
        <v>39</v>
      </c>
      <c r="B649" s="902"/>
      <c r="C649" s="902"/>
      <c r="D649" s="59" t="s">
        <v>272</v>
      </c>
      <c r="E649" s="904" t="s">
        <v>0</v>
      </c>
      <c r="F649" s="904"/>
      <c r="G649" s="905"/>
    </row>
    <row r="650" spans="1:7" ht="16.5" x14ac:dyDescent="0.25">
      <c r="A650" s="885" t="s">
        <v>29</v>
      </c>
      <c r="B650" s="886"/>
      <c r="C650" s="886"/>
      <c r="D650" s="886"/>
      <c r="E650" s="886"/>
      <c r="F650" s="886"/>
      <c r="G650" s="887"/>
    </row>
    <row r="651" spans="1:7" x14ac:dyDescent="0.2">
      <c r="A651" s="888" t="s">
        <v>48</v>
      </c>
      <c r="B651" s="889"/>
      <c r="C651" s="889"/>
      <c r="D651" s="889"/>
      <c r="E651" s="889"/>
      <c r="F651" s="889"/>
      <c r="G651" s="890"/>
    </row>
    <row r="652" spans="1:7" x14ac:dyDescent="0.2">
      <c r="A652" s="915" t="s">
        <v>49</v>
      </c>
      <c r="B652" s="916"/>
      <c r="C652" s="916"/>
      <c r="D652" s="916"/>
      <c r="E652" s="916"/>
      <c r="F652" s="916"/>
      <c r="G652" s="917"/>
    </row>
    <row r="653" spans="1:7" x14ac:dyDescent="0.2">
      <c r="A653" s="6"/>
      <c r="B653" s="99"/>
      <c r="C653" s="8"/>
      <c r="D653" s="9"/>
      <c r="E653" s="99"/>
      <c r="F653" s="10"/>
      <c r="G653" s="11" t="s">
        <v>20</v>
      </c>
    </row>
    <row r="654" spans="1:7" x14ac:dyDescent="0.2">
      <c r="A654" s="12" t="s">
        <v>1</v>
      </c>
      <c r="B654" s="13"/>
      <c r="C654" s="14" t="s">
        <v>27</v>
      </c>
      <c r="D654" s="13"/>
      <c r="E654" s="362" t="s">
        <v>2155</v>
      </c>
      <c r="F654" s="98"/>
      <c r="G654" s="363" t="s">
        <v>2151</v>
      </c>
    </row>
    <row r="655" spans="1:7" x14ac:dyDescent="0.2">
      <c r="A655" s="17" t="s">
        <v>8</v>
      </c>
      <c r="B655" s="100"/>
      <c r="C655" s="19"/>
      <c r="D655" s="4"/>
      <c r="E655" s="918"/>
      <c r="F655" s="919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920"/>
      <c r="F657" s="921"/>
      <c r="G657" s="25"/>
    </row>
    <row r="658" spans="1:7" ht="26.25" thickBot="1" x14ac:dyDescent="0.25">
      <c r="A658" s="207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29">
        <v>1</v>
      </c>
      <c r="B659" s="101"/>
      <c r="C659" s="371" t="s">
        <v>242</v>
      </c>
      <c r="D659" s="370" t="s">
        <v>2061</v>
      </c>
      <c r="E659" s="158">
        <v>150</v>
      </c>
      <c r="F659" s="128">
        <v>200</v>
      </c>
      <c r="G659" s="35">
        <f>F659*E659</f>
        <v>30000</v>
      </c>
    </row>
    <row r="660" spans="1:7" x14ac:dyDescent="0.2">
      <c r="A660" s="29"/>
      <c r="B660" s="101"/>
      <c r="C660" s="41"/>
      <c r="D660" s="370" t="s">
        <v>1201</v>
      </c>
      <c r="E660" s="156"/>
      <c r="F660" s="128"/>
      <c r="G660" s="35"/>
    </row>
    <row r="661" spans="1:7" x14ac:dyDescent="0.2">
      <c r="A661" s="29">
        <v>2</v>
      </c>
      <c r="B661" s="101"/>
      <c r="C661" s="371" t="s">
        <v>242</v>
      </c>
      <c r="D661" s="370" t="s">
        <v>2062</v>
      </c>
      <c r="E661" s="108">
        <v>150</v>
      </c>
      <c r="F661" s="128">
        <v>600</v>
      </c>
      <c r="G661" s="35">
        <f>F661*E661</f>
        <v>90000</v>
      </c>
    </row>
    <row r="662" spans="1:7" x14ac:dyDescent="0.2">
      <c r="A662" s="29"/>
      <c r="B662" s="105"/>
      <c r="C662" s="371"/>
      <c r="D662" s="376" t="s">
        <v>2063</v>
      </c>
      <c r="E662" s="102"/>
      <c r="F662" s="128"/>
      <c r="G662" s="35"/>
    </row>
    <row r="663" spans="1:7" x14ac:dyDescent="0.2">
      <c r="A663" s="29"/>
      <c r="B663" s="105"/>
      <c r="C663" s="371"/>
      <c r="D663" s="376"/>
      <c r="E663" s="102"/>
      <c r="F663" s="128"/>
      <c r="G663" s="35"/>
    </row>
    <row r="664" spans="1:7" x14ac:dyDescent="0.2">
      <c r="A664" s="29"/>
      <c r="B664" s="105"/>
      <c r="C664" s="41"/>
      <c r="D664" s="376"/>
      <c r="E664" s="102"/>
      <c r="F664" s="128"/>
      <c r="G664" s="35"/>
    </row>
    <row r="665" spans="1:7" x14ac:dyDescent="0.2">
      <c r="A665" s="29"/>
      <c r="B665" s="151"/>
      <c r="C665" s="119"/>
      <c r="D665" s="136"/>
      <c r="E665" s="108"/>
      <c r="F665" s="150"/>
      <c r="G665" s="35"/>
    </row>
    <row r="666" spans="1:7" x14ac:dyDescent="0.2">
      <c r="A666" s="29"/>
      <c r="B666" s="151"/>
      <c r="C666" s="119"/>
      <c r="D666" s="144"/>
      <c r="E666" s="108"/>
      <c r="F666" s="150"/>
      <c r="G666" s="35"/>
    </row>
    <row r="667" spans="1:7" x14ac:dyDescent="0.2">
      <c r="A667" s="29"/>
      <c r="B667" s="101"/>
      <c r="C667" s="41"/>
      <c r="D667" s="144"/>
      <c r="E667" s="155"/>
      <c r="F667" s="128"/>
      <c r="G667" s="35"/>
    </row>
    <row r="668" spans="1:7" x14ac:dyDescent="0.2">
      <c r="A668" s="29"/>
      <c r="B668" s="106"/>
      <c r="C668" s="41"/>
      <c r="D668" s="136"/>
      <c r="E668" s="104"/>
      <c r="F668" s="128"/>
      <c r="G668" s="35"/>
    </row>
    <row r="669" spans="1:7" x14ac:dyDescent="0.2">
      <c r="A669" s="29"/>
      <c r="B669" s="105"/>
      <c r="C669" s="41" t="s">
        <v>150</v>
      </c>
      <c r="D669" s="136"/>
      <c r="E669" s="108"/>
      <c r="F669" s="152"/>
      <c r="G669" s="35"/>
    </row>
    <row r="670" spans="1:7" x14ac:dyDescent="0.2">
      <c r="A670" s="29"/>
      <c r="B670" s="107"/>
      <c r="C670" s="41"/>
      <c r="D670" s="136"/>
      <c r="E670" s="153"/>
      <c r="F670" s="128"/>
      <c r="G670" s="35"/>
    </row>
    <row r="671" spans="1:7" x14ac:dyDescent="0.2">
      <c r="A671" s="29"/>
      <c r="B671" s="107"/>
      <c r="C671" s="41"/>
      <c r="D671" s="67"/>
      <c r="E671" s="153"/>
      <c r="F671" s="128"/>
      <c r="G671" s="35"/>
    </row>
    <row r="672" spans="1:7" x14ac:dyDescent="0.2">
      <c r="A672" s="29"/>
      <c r="B672" s="101"/>
      <c r="C672" s="41"/>
      <c r="D672" s="67"/>
      <c r="E672" s="108"/>
      <c r="F672" s="128"/>
      <c r="G672" s="35"/>
    </row>
    <row r="673" spans="1:7" x14ac:dyDescent="0.2">
      <c r="A673" s="29"/>
      <c r="B673" s="101"/>
      <c r="C673" s="41"/>
      <c r="D673" s="67"/>
      <c r="E673" s="153"/>
      <c r="F673" s="128"/>
      <c r="G673" s="35"/>
    </row>
    <row r="674" spans="1:7" x14ac:dyDescent="0.2">
      <c r="A674" s="29"/>
      <c r="B674" s="106"/>
      <c r="C674" s="41"/>
      <c r="D674" s="67"/>
      <c r="E674" s="104" t="s">
        <v>150</v>
      </c>
      <c r="F674" s="154"/>
      <c r="G674" s="35"/>
    </row>
    <row r="675" spans="1:7" x14ac:dyDescent="0.2">
      <c r="A675" s="29"/>
      <c r="B675" s="105"/>
      <c r="C675" s="41"/>
      <c r="D675" s="130"/>
      <c r="E675" s="104"/>
      <c r="F675" s="154"/>
      <c r="G675" s="35"/>
    </row>
    <row r="676" spans="1:7" x14ac:dyDescent="0.2">
      <c r="A676" s="29"/>
      <c r="B676" s="105"/>
      <c r="C676" s="41"/>
      <c r="D676" s="67"/>
      <c r="E676" s="104"/>
      <c r="F676" s="154"/>
      <c r="G676" s="35"/>
    </row>
    <row r="677" spans="1:7" x14ac:dyDescent="0.2">
      <c r="A677" s="29"/>
      <c r="B677" s="101"/>
      <c r="C677" s="41"/>
      <c r="D677" s="67"/>
      <c r="E677" s="104"/>
      <c r="F677" s="154"/>
      <c r="G677" s="35"/>
    </row>
    <row r="678" spans="1:7" x14ac:dyDescent="0.2">
      <c r="A678" s="29"/>
      <c r="B678" s="101"/>
      <c r="C678" s="41"/>
      <c r="D678" s="136"/>
      <c r="E678" s="104"/>
      <c r="F678" s="154"/>
      <c r="G678" s="35"/>
    </row>
    <row r="679" spans="1:7" x14ac:dyDescent="0.2">
      <c r="A679" s="29"/>
      <c r="B679" s="101"/>
      <c r="C679" s="41"/>
      <c r="D679" s="136"/>
      <c r="E679" s="104"/>
      <c r="F679" s="154"/>
      <c r="G679" s="35"/>
    </row>
    <row r="680" spans="1:7" x14ac:dyDescent="0.2">
      <c r="A680" s="29"/>
      <c r="B680" s="101"/>
      <c r="C680" s="41"/>
      <c r="D680" s="62"/>
      <c r="E680" s="104"/>
      <c r="F680" s="154"/>
      <c r="G680" s="35"/>
    </row>
    <row r="681" spans="1:7" x14ac:dyDescent="0.2">
      <c r="A681" s="29"/>
      <c r="B681" s="101"/>
      <c r="C681" s="41"/>
      <c r="D681" s="62"/>
      <c r="E681" s="104"/>
      <c r="F681" s="154"/>
      <c r="G681" s="35"/>
    </row>
    <row r="682" spans="1:7" x14ac:dyDescent="0.2">
      <c r="A682" s="29"/>
      <c r="B682" s="101"/>
      <c r="C682" s="41"/>
      <c r="D682" s="62"/>
      <c r="E682" s="104"/>
      <c r="F682" s="154"/>
      <c r="G682" s="35"/>
    </row>
    <row r="683" spans="1:7" x14ac:dyDescent="0.2">
      <c r="A683" s="29"/>
      <c r="B683" s="101"/>
      <c r="C683" s="41"/>
      <c r="D683" s="62"/>
      <c r="E683" s="104"/>
      <c r="F683" s="154"/>
      <c r="G683" s="35"/>
    </row>
    <row r="684" spans="1:7" x14ac:dyDescent="0.2">
      <c r="A684" s="29"/>
      <c r="B684" s="101"/>
      <c r="C684" s="41"/>
      <c r="D684" s="62"/>
      <c r="E684" s="104"/>
      <c r="F684" s="154"/>
      <c r="G684" s="35"/>
    </row>
    <row r="685" spans="1:7" x14ac:dyDescent="0.2">
      <c r="A685" s="29"/>
      <c r="B685" s="101"/>
      <c r="C685" s="41"/>
      <c r="D685" s="67"/>
      <c r="E685" s="104"/>
      <c r="F685" s="154"/>
      <c r="G685" s="35"/>
    </row>
    <row r="686" spans="1:7" x14ac:dyDescent="0.2">
      <c r="A686" s="29"/>
      <c r="B686" s="101"/>
      <c r="C686" s="41"/>
      <c r="D686" s="159"/>
      <c r="E686" s="104"/>
      <c r="F686" s="154"/>
      <c r="G686" s="35"/>
    </row>
    <row r="687" spans="1:7" x14ac:dyDescent="0.2">
      <c r="A687" s="29"/>
      <c r="B687" s="101"/>
      <c r="C687" s="41"/>
      <c r="D687" s="160"/>
      <c r="E687" s="108"/>
      <c r="F687" s="128"/>
      <c r="G687" s="35"/>
    </row>
    <row r="688" spans="1:7" x14ac:dyDescent="0.2">
      <c r="A688" s="29"/>
      <c r="B688" s="101"/>
      <c r="C688" s="41"/>
      <c r="D688" s="136"/>
      <c r="E688" s="153"/>
      <c r="F688" s="128"/>
      <c r="G688" s="35"/>
    </row>
    <row r="689" spans="1:7" x14ac:dyDescent="0.2">
      <c r="A689" s="29"/>
      <c r="B689" s="101"/>
      <c r="C689" s="41"/>
      <c r="D689" s="136"/>
      <c r="E689" s="102"/>
      <c r="F689" s="128"/>
      <c r="G689" s="35"/>
    </row>
    <row r="690" spans="1:7" x14ac:dyDescent="0.2">
      <c r="A690" s="29"/>
      <c r="B690" s="101"/>
      <c r="C690" s="31"/>
      <c r="D690" s="67"/>
      <c r="E690" s="131"/>
      <c r="F690" s="117"/>
      <c r="G690" s="35"/>
    </row>
    <row r="691" spans="1:7" x14ac:dyDescent="0.2">
      <c r="A691" s="29"/>
      <c r="B691" s="101"/>
      <c r="C691" s="41"/>
      <c r="D691" s="118"/>
      <c r="E691" s="108"/>
      <c r="F691" s="149"/>
      <c r="G691" s="35"/>
    </row>
    <row r="692" spans="1:7" x14ac:dyDescent="0.2">
      <c r="A692" s="29"/>
      <c r="B692" s="101"/>
      <c r="C692" s="41"/>
      <c r="D692" s="144"/>
      <c r="E692" s="108"/>
      <c r="F692" s="149"/>
      <c r="G692" s="35"/>
    </row>
    <row r="693" spans="1:7" ht="13.5" thickBot="1" x14ac:dyDescent="0.25">
      <c r="A693" s="45"/>
      <c r="B693" s="132"/>
      <c r="C693" s="115"/>
      <c r="D693" s="115"/>
      <c r="E693" s="132"/>
      <c r="F693" s="49" t="s">
        <v>15</v>
      </c>
      <c r="G693" s="50">
        <f>SUM(G659:G692)</f>
        <v>120000</v>
      </c>
    </row>
    <row r="694" spans="1:7" ht="13.5" thickTop="1" x14ac:dyDescent="0.2">
      <c r="A694" s="875" t="s">
        <v>2064</v>
      </c>
      <c r="B694" s="899"/>
      <c r="C694" s="899"/>
      <c r="D694" s="899"/>
      <c r="E694" s="899"/>
      <c r="F694" s="899"/>
      <c r="G694" s="900"/>
    </row>
    <row r="695" spans="1:7" ht="13.5" thickBot="1" x14ac:dyDescent="0.25">
      <c r="A695" s="52"/>
      <c r="B695" s="103"/>
      <c r="C695" s="374" t="s">
        <v>8</v>
      </c>
      <c r="D695" s="54"/>
      <c r="E695" s="103"/>
      <c r="F695" s="55"/>
      <c r="G695" s="56"/>
    </row>
    <row r="696" spans="1:7" ht="13.5" thickTop="1" x14ac:dyDescent="0.2">
      <c r="A696" s="906"/>
      <c r="B696" s="907"/>
      <c r="C696" s="907"/>
      <c r="D696" s="57" t="s">
        <v>11</v>
      </c>
      <c r="E696" s="908" t="s">
        <v>12</v>
      </c>
      <c r="F696" s="908"/>
      <c r="G696" s="909"/>
    </row>
    <row r="697" spans="1:7" x14ac:dyDescent="0.2">
      <c r="A697" s="910" t="s">
        <v>17</v>
      </c>
      <c r="B697" s="911"/>
      <c r="C697" s="911"/>
      <c r="D697" s="39"/>
      <c r="E697" s="912"/>
      <c r="F697" s="913"/>
      <c r="G697" s="914"/>
    </row>
    <row r="698" spans="1:7" x14ac:dyDescent="0.2">
      <c r="A698" s="910" t="s">
        <v>38</v>
      </c>
      <c r="B698" s="911"/>
      <c r="C698" s="911"/>
      <c r="D698" s="58" t="s">
        <v>271</v>
      </c>
      <c r="E698" s="868" t="s">
        <v>142</v>
      </c>
      <c r="F698" s="868"/>
      <c r="G698" s="869"/>
    </row>
    <row r="699" spans="1:7" ht="13.5" thickBot="1" x14ac:dyDescent="0.25">
      <c r="A699" s="901" t="s">
        <v>39</v>
      </c>
      <c r="B699" s="902"/>
      <c r="C699" s="902"/>
      <c r="D699" s="59" t="s">
        <v>272</v>
      </c>
      <c r="E699" s="904" t="s">
        <v>0</v>
      </c>
      <c r="F699" s="904"/>
      <c r="G699" s="905"/>
    </row>
    <row r="700" spans="1:7" ht="16.5" x14ac:dyDescent="0.25">
      <c r="A700" s="885" t="s">
        <v>29</v>
      </c>
      <c r="B700" s="886"/>
      <c r="C700" s="886"/>
      <c r="D700" s="886"/>
      <c r="E700" s="886"/>
      <c r="F700" s="886"/>
      <c r="G700" s="887"/>
    </row>
    <row r="701" spans="1:7" x14ac:dyDescent="0.2">
      <c r="A701" s="888" t="s">
        <v>48</v>
      </c>
      <c r="B701" s="889"/>
      <c r="C701" s="889"/>
      <c r="D701" s="889"/>
      <c r="E701" s="889"/>
      <c r="F701" s="889"/>
      <c r="G701" s="890"/>
    </row>
    <row r="702" spans="1:7" x14ac:dyDescent="0.2">
      <c r="A702" s="915" t="s">
        <v>49</v>
      </c>
      <c r="B702" s="916"/>
      <c r="C702" s="916"/>
      <c r="D702" s="916"/>
      <c r="E702" s="916"/>
      <c r="F702" s="916"/>
      <c r="G702" s="917"/>
    </row>
    <row r="703" spans="1:7" x14ac:dyDescent="0.2">
      <c r="A703" s="6"/>
      <c r="B703" s="99"/>
      <c r="C703" s="8"/>
      <c r="D703" s="9"/>
      <c r="E703" s="99"/>
      <c r="F703" s="10"/>
      <c r="G703" s="11" t="s">
        <v>20</v>
      </c>
    </row>
    <row r="704" spans="1:7" x14ac:dyDescent="0.2">
      <c r="A704" s="12" t="s">
        <v>1</v>
      </c>
      <c r="B704" s="13"/>
      <c r="C704" s="14" t="s">
        <v>27</v>
      </c>
      <c r="D704" s="13"/>
      <c r="E704" s="362" t="s">
        <v>2161</v>
      </c>
      <c r="F704" s="98"/>
      <c r="G704" s="363" t="s">
        <v>2151</v>
      </c>
    </row>
    <row r="705" spans="1:7" x14ac:dyDescent="0.2">
      <c r="A705" s="17" t="s">
        <v>8</v>
      </c>
      <c r="B705" s="100"/>
      <c r="C705" s="19"/>
      <c r="D705" s="4"/>
      <c r="E705" s="918"/>
      <c r="F705" s="919"/>
      <c r="G705" s="20"/>
    </row>
    <row r="706" spans="1:7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7" x14ac:dyDescent="0.2">
      <c r="A707" s="6"/>
      <c r="B707" s="99"/>
      <c r="C707" s="8"/>
      <c r="D707" s="8"/>
      <c r="E707" s="920"/>
      <c r="F707" s="921"/>
      <c r="G707" s="25"/>
    </row>
    <row r="708" spans="1:7" ht="26.25" thickBot="1" x14ac:dyDescent="0.25">
      <c r="A708" s="207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7" ht="13.5" thickTop="1" x14ac:dyDescent="0.2">
      <c r="A709" s="29"/>
      <c r="B709" s="101"/>
      <c r="C709" s="371"/>
      <c r="D709" s="370" t="s">
        <v>878</v>
      </c>
      <c r="E709" s="158"/>
      <c r="F709" s="128"/>
      <c r="G709" s="35"/>
    </row>
    <row r="710" spans="1:7" x14ac:dyDescent="0.2">
      <c r="A710" s="29">
        <v>1</v>
      </c>
      <c r="B710" s="101"/>
      <c r="C710" s="371" t="s">
        <v>242</v>
      </c>
      <c r="D710" s="370" t="s">
        <v>1786</v>
      </c>
      <c r="E710" s="108">
        <v>60</v>
      </c>
      <c r="F710" s="128">
        <v>200</v>
      </c>
      <c r="G710" s="35">
        <f>F710*E710</f>
        <v>12000</v>
      </c>
    </row>
    <row r="711" spans="1:7" x14ac:dyDescent="0.2">
      <c r="A711" s="29"/>
      <c r="B711" s="101"/>
      <c r="C711" s="371"/>
      <c r="D711" s="370" t="s">
        <v>1201</v>
      </c>
      <c r="E711" s="108"/>
      <c r="F711" s="128"/>
      <c r="G711" s="372" t="s">
        <v>8</v>
      </c>
    </row>
    <row r="712" spans="1:7" x14ac:dyDescent="0.2">
      <c r="A712" s="29">
        <v>2</v>
      </c>
      <c r="B712" s="105"/>
      <c r="C712" s="371" t="s">
        <v>242</v>
      </c>
      <c r="D712" s="376" t="s">
        <v>2069</v>
      </c>
      <c r="E712" s="102">
        <v>60</v>
      </c>
      <c r="F712" s="128">
        <v>350</v>
      </c>
      <c r="G712" s="35">
        <f t="shared" ref="G712:G721" si="0">F712*E712</f>
        <v>21000</v>
      </c>
    </row>
    <row r="713" spans="1:7" x14ac:dyDescent="0.2">
      <c r="A713" s="29"/>
      <c r="B713" s="105"/>
      <c r="C713" s="371"/>
      <c r="D713" s="376" t="s">
        <v>1196</v>
      </c>
      <c r="E713" s="102"/>
      <c r="F713" s="128"/>
      <c r="G713" s="372" t="s">
        <v>8</v>
      </c>
    </row>
    <row r="714" spans="1:7" x14ac:dyDescent="0.2">
      <c r="A714" s="29">
        <v>3</v>
      </c>
      <c r="B714" s="105"/>
      <c r="C714" s="371" t="s">
        <v>242</v>
      </c>
      <c r="D714" s="376" t="s">
        <v>2065</v>
      </c>
      <c r="E714" s="102">
        <v>60</v>
      </c>
      <c r="F714" s="128">
        <v>250</v>
      </c>
      <c r="G714" s="35">
        <f t="shared" si="0"/>
        <v>15000</v>
      </c>
    </row>
    <row r="715" spans="1:7" x14ac:dyDescent="0.2">
      <c r="A715" s="29"/>
      <c r="B715" s="151"/>
      <c r="C715" s="119"/>
      <c r="D715" s="376" t="s">
        <v>1358</v>
      </c>
      <c r="E715" s="108"/>
      <c r="F715" s="150"/>
      <c r="G715" s="372" t="s">
        <v>8</v>
      </c>
    </row>
    <row r="716" spans="1:7" x14ac:dyDescent="0.2">
      <c r="A716" s="29"/>
      <c r="B716" s="151"/>
      <c r="C716" s="119"/>
      <c r="D716" s="383" t="s">
        <v>880</v>
      </c>
      <c r="E716" s="108"/>
      <c r="F716" s="150"/>
      <c r="G716" s="372" t="s">
        <v>8</v>
      </c>
    </row>
    <row r="717" spans="1:7" x14ac:dyDescent="0.2">
      <c r="A717" s="29">
        <v>4</v>
      </c>
      <c r="B717" s="101"/>
      <c r="C717" s="371" t="s">
        <v>242</v>
      </c>
      <c r="D717" s="383" t="s">
        <v>2160</v>
      </c>
      <c r="E717" s="155">
        <v>60</v>
      </c>
      <c r="F717" s="128">
        <v>200</v>
      </c>
      <c r="G717" s="35">
        <f t="shared" si="0"/>
        <v>12000</v>
      </c>
    </row>
    <row r="718" spans="1:7" x14ac:dyDescent="0.2">
      <c r="A718" s="29"/>
      <c r="B718" s="106"/>
      <c r="C718" s="41"/>
      <c r="D718" s="376" t="s">
        <v>1201</v>
      </c>
      <c r="E718" s="104"/>
      <c r="F718" s="128"/>
      <c r="G718" s="372" t="s">
        <v>8</v>
      </c>
    </row>
    <row r="719" spans="1:7" x14ac:dyDescent="0.2">
      <c r="A719" s="29">
        <v>5</v>
      </c>
      <c r="B719" s="105"/>
      <c r="C719" s="371" t="s">
        <v>242</v>
      </c>
      <c r="D719" s="376" t="s">
        <v>2069</v>
      </c>
      <c r="E719" s="108">
        <v>60</v>
      </c>
      <c r="F719" s="152">
        <v>350</v>
      </c>
      <c r="G719" s="35">
        <f t="shared" si="0"/>
        <v>21000</v>
      </c>
    </row>
    <row r="720" spans="1:7" x14ac:dyDescent="0.2">
      <c r="A720" s="29"/>
      <c r="B720" s="107"/>
      <c r="C720" s="41"/>
      <c r="D720" s="376" t="s">
        <v>1196</v>
      </c>
      <c r="E720" s="153"/>
      <c r="F720" s="128"/>
      <c r="G720" s="372" t="s">
        <v>8</v>
      </c>
    </row>
    <row r="721" spans="1:7" x14ac:dyDescent="0.2">
      <c r="A721" s="29">
        <v>6</v>
      </c>
      <c r="B721" s="107"/>
      <c r="C721" s="371" t="s">
        <v>242</v>
      </c>
      <c r="D721" s="384" t="s">
        <v>2066</v>
      </c>
      <c r="E721" s="153">
        <v>60</v>
      </c>
      <c r="F721" s="128">
        <v>250</v>
      </c>
      <c r="G721" s="35">
        <f t="shared" si="0"/>
        <v>15000</v>
      </c>
    </row>
    <row r="722" spans="1:7" x14ac:dyDescent="0.2">
      <c r="A722" s="29"/>
      <c r="B722" s="101"/>
      <c r="C722" s="41"/>
      <c r="D722" s="384" t="s">
        <v>2067</v>
      </c>
      <c r="E722" s="108"/>
      <c r="F722" s="128"/>
      <c r="G722" s="372" t="s">
        <v>8</v>
      </c>
    </row>
    <row r="723" spans="1:7" x14ac:dyDescent="0.2">
      <c r="A723" s="29"/>
      <c r="B723" s="101"/>
      <c r="C723" s="41"/>
      <c r="D723" s="67"/>
      <c r="E723" s="153"/>
      <c r="F723" s="128"/>
      <c r="G723" s="372" t="s">
        <v>8</v>
      </c>
    </row>
    <row r="724" spans="1:7" x14ac:dyDescent="0.2">
      <c r="A724" s="29"/>
      <c r="B724" s="106"/>
      <c r="C724" s="41"/>
      <c r="D724" s="67"/>
      <c r="E724" s="104" t="s">
        <v>150</v>
      </c>
      <c r="F724" s="154"/>
      <c r="G724" s="35"/>
    </row>
    <row r="725" spans="1:7" x14ac:dyDescent="0.2">
      <c r="A725" s="29"/>
      <c r="B725" s="105"/>
      <c r="C725" s="41"/>
      <c r="D725" s="130"/>
      <c r="E725" s="104"/>
      <c r="F725" s="154"/>
      <c r="G725" s="35"/>
    </row>
    <row r="726" spans="1:7" x14ac:dyDescent="0.2">
      <c r="A726" s="29"/>
      <c r="B726" s="105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67"/>
      <c r="E727" s="104"/>
      <c r="F727" s="154"/>
      <c r="G727" s="35"/>
    </row>
    <row r="728" spans="1:7" x14ac:dyDescent="0.2">
      <c r="A728" s="29"/>
      <c r="B728" s="101"/>
      <c r="C728" s="41"/>
      <c r="D728" s="136"/>
      <c r="E728" s="104"/>
      <c r="F728" s="154"/>
      <c r="G728" s="35"/>
    </row>
    <row r="729" spans="1:7" x14ac:dyDescent="0.2">
      <c r="A729" s="29"/>
      <c r="B729" s="101"/>
      <c r="C729" s="41"/>
      <c r="D729" s="136"/>
      <c r="E729" s="104"/>
      <c r="F729" s="154"/>
      <c r="G729" s="35"/>
    </row>
    <row r="730" spans="1:7" x14ac:dyDescent="0.2">
      <c r="A730" s="29"/>
      <c r="B730" s="101"/>
      <c r="C730" s="41"/>
      <c r="D730" s="62"/>
      <c r="E730" s="104"/>
      <c r="F730" s="154"/>
      <c r="G730" s="35"/>
    </row>
    <row r="731" spans="1:7" x14ac:dyDescent="0.2">
      <c r="A731" s="29"/>
      <c r="B731" s="101"/>
      <c r="C731" s="41"/>
      <c r="D731" s="62"/>
      <c r="E731" s="104"/>
      <c r="F731" s="154"/>
      <c r="G731" s="35"/>
    </row>
    <row r="732" spans="1:7" x14ac:dyDescent="0.2">
      <c r="A732" s="29"/>
      <c r="B732" s="101"/>
      <c r="C732" s="41"/>
      <c r="D732" s="62"/>
      <c r="E732" s="104"/>
      <c r="F732" s="154"/>
      <c r="G732" s="35"/>
    </row>
    <row r="733" spans="1:7" x14ac:dyDescent="0.2">
      <c r="A733" s="29"/>
      <c r="B733" s="101"/>
      <c r="C733" s="41"/>
      <c r="D733" s="62"/>
      <c r="E733" s="104"/>
      <c r="F733" s="154"/>
      <c r="G733" s="35"/>
    </row>
    <row r="734" spans="1:7" x14ac:dyDescent="0.2">
      <c r="A734" s="29"/>
      <c r="B734" s="101"/>
      <c r="C734" s="41"/>
      <c r="D734" s="62"/>
      <c r="E734" s="104"/>
      <c r="F734" s="154"/>
      <c r="G734" s="35"/>
    </row>
    <row r="735" spans="1:7" x14ac:dyDescent="0.2">
      <c r="A735" s="29"/>
      <c r="B735" s="101"/>
      <c r="C735" s="41"/>
      <c r="D735" s="67"/>
      <c r="E735" s="104"/>
      <c r="F735" s="154"/>
      <c r="G735" s="35"/>
    </row>
    <row r="736" spans="1:7" x14ac:dyDescent="0.2">
      <c r="A736" s="29"/>
      <c r="B736" s="101"/>
      <c r="C736" s="41"/>
      <c r="D736" s="159"/>
      <c r="E736" s="104"/>
      <c r="F736" s="154"/>
      <c r="G736" s="35"/>
    </row>
    <row r="737" spans="1:7" x14ac:dyDescent="0.2">
      <c r="A737" s="29"/>
      <c r="B737" s="101"/>
      <c r="C737" s="41"/>
      <c r="D737" s="160"/>
      <c r="E737" s="108"/>
      <c r="F737" s="128"/>
      <c r="G737" s="35"/>
    </row>
    <row r="738" spans="1:7" x14ac:dyDescent="0.2">
      <c r="A738" s="29"/>
      <c r="B738" s="101"/>
      <c r="C738" s="41"/>
      <c r="D738" s="136"/>
      <c r="E738" s="153"/>
      <c r="F738" s="128"/>
      <c r="G738" s="35"/>
    </row>
    <row r="739" spans="1:7" x14ac:dyDescent="0.2">
      <c r="A739" s="29"/>
      <c r="B739" s="101"/>
      <c r="C739" s="41"/>
      <c r="D739" s="136"/>
      <c r="E739" s="102"/>
      <c r="F739" s="128"/>
      <c r="G739" s="35"/>
    </row>
    <row r="740" spans="1:7" x14ac:dyDescent="0.2">
      <c r="A740" s="29"/>
      <c r="B740" s="101"/>
      <c r="C740" s="31"/>
      <c r="D740" s="67"/>
      <c r="E740" s="131"/>
      <c r="F740" s="117"/>
      <c r="G740" s="35"/>
    </row>
    <row r="741" spans="1:7" x14ac:dyDescent="0.2">
      <c r="A741" s="29"/>
      <c r="B741" s="101"/>
      <c r="C741" s="41"/>
      <c r="D741" s="118"/>
      <c r="E741" s="108"/>
      <c r="F741" s="149"/>
      <c r="G741" s="35"/>
    </row>
    <row r="742" spans="1:7" x14ac:dyDescent="0.2">
      <c r="A742" s="29"/>
      <c r="B742" s="101"/>
      <c r="C742" s="41"/>
      <c r="D742" s="144"/>
      <c r="E742" s="108"/>
      <c r="F742" s="149"/>
      <c r="G742" s="35"/>
    </row>
    <row r="743" spans="1:7" ht="13.5" thickBot="1" x14ac:dyDescent="0.25">
      <c r="A743" s="45"/>
      <c r="B743" s="132"/>
      <c r="C743" s="115"/>
      <c r="D743" s="115"/>
      <c r="E743" s="132"/>
      <c r="F743" s="49" t="s">
        <v>15</v>
      </c>
      <c r="G743" s="50">
        <f>SUM(G710:G742)</f>
        <v>96000</v>
      </c>
    </row>
    <row r="744" spans="1:7" ht="13.5" thickTop="1" x14ac:dyDescent="0.2">
      <c r="A744" s="875" t="s">
        <v>2068</v>
      </c>
      <c r="B744" s="899"/>
      <c r="C744" s="899"/>
      <c r="D744" s="899"/>
      <c r="E744" s="899"/>
      <c r="F744" s="899"/>
      <c r="G744" s="900"/>
    </row>
    <row r="745" spans="1:7" ht="13.5" thickBot="1" x14ac:dyDescent="0.25">
      <c r="A745" s="52"/>
      <c r="B745" s="103"/>
      <c r="C745" s="374" t="s">
        <v>8</v>
      </c>
      <c r="D745" s="54"/>
      <c r="E745" s="103"/>
      <c r="F745" s="55"/>
      <c r="G745" s="56"/>
    </row>
    <row r="746" spans="1:7" ht="13.5" thickTop="1" x14ac:dyDescent="0.2">
      <c r="A746" s="906"/>
      <c r="B746" s="907"/>
      <c r="C746" s="907"/>
      <c r="D746" s="57" t="s">
        <v>11</v>
      </c>
      <c r="E746" s="908" t="s">
        <v>12</v>
      </c>
      <c r="F746" s="908"/>
      <c r="G746" s="909"/>
    </row>
    <row r="747" spans="1:7" x14ac:dyDescent="0.2">
      <c r="A747" s="910" t="s">
        <v>17</v>
      </c>
      <c r="B747" s="911"/>
      <c r="C747" s="911"/>
      <c r="D747" s="39"/>
      <c r="E747" s="912"/>
      <c r="F747" s="913"/>
      <c r="G747" s="914"/>
    </row>
    <row r="748" spans="1:7" x14ac:dyDescent="0.2">
      <c r="A748" s="910" t="s">
        <v>38</v>
      </c>
      <c r="B748" s="911"/>
      <c r="C748" s="911"/>
      <c r="D748" s="58" t="s">
        <v>271</v>
      </c>
      <c r="E748" s="868" t="s">
        <v>142</v>
      </c>
      <c r="F748" s="868"/>
      <c r="G748" s="869"/>
    </row>
    <row r="749" spans="1:7" ht="13.5" thickBot="1" x14ac:dyDescent="0.25">
      <c r="A749" s="901" t="s">
        <v>39</v>
      </c>
      <c r="B749" s="902"/>
      <c r="C749" s="902"/>
      <c r="D749" s="59" t="s">
        <v>272</v>
      </c>
      <c r="E749" s="904" t="s">
        <v>0</v>
      </c>
      <c r="F749" s="904"/>
      <c r="G749" s="905"/>
    </row>
    <row r="750" spans="1:7" ht="16.5" x14ac:dyDescent="0.25">
      <c r="A750" s="885" t="s">
        <v>29</v>
      </c>
      <c r="B750" s="886"/>
      <c r="C750" s="886"/>
      <c r="D750" s="886"/>
      <c r="E750" s="886"/>
      <c r="F750" s="886"/>
      <c r="G750" s="887"/>
    </row>
    <row r="751" spans="1:7" x14ac:dyDescent="0.2">
      <c r="A751" s="888" t="s">
        <v>48</v>
      </c>
      <c r="B751" s="889"/>
      <c r="C751" s="889"/>
      <c r="D751" s="889"/>
      <c r="E751" s="889"/>
      <c r="F751" s="889"/>
      <c r="G751" s="890"/>
    </row>
    <row r="752" spans="1:7" x14ac:dyDescent="0.2">
      <c r="A752" s="915" t="s">
        <v>49</v>
      </c>
      <c r="B752" s="916"/>
      <c r="C752" s="916"/>
      <c r="D752" s="916"/>
      <c r="E752" s="916"/>
      <c r="F752" s="916"/>
      <c r="G752" s="917"/>
    </row>
    <row r="753" spans="1:7" x14ac:dyDescent="0.2">
      <c r="A753" s="6"/>
      <c r="B753" s="99"/>
      <c r="C753" s="8"/>
      <c r="D753" s="9"/>
      <c r="E753" s="99"/>
      <c r="F753" s="10"/>
      <c r="G753" s="11" t="s">
        <v>20</v>
      </c>
    </row>
    <row r="754" spans="1:7" x14ac:dyDescent="0.2">
      <c r="A754" s="12" t="s">
        <v>1</v>
      </c>
      <c r="B754" s="13"/>
      <c r="C754" s="14" t="s">
        <v>27</v>
      </c>
      <c r="D754" s="13"/>
      <c r="E754" s="362" t="s">
        <v>2159</v>
      </c>
      <c r="F754" s="98"/>
      <c r="G754" s="363" t="s">
        <v>2151</v>
      </c>
    </row>
    <row r="755" spans="1:7" x14ac:dyDescent="0.2">
      <c r="A755" s="17" t="s">
        <v>8</v>
      </c>
      <c r="B755" s="100"/>
      <c r="C755" s="19"/>
      <c r="D755" s="4"/>
      <c r="E755" s="918"/>
      <c r="F755" s="919"/>
      <c r="G755" s="20"/>
    </row>
    <row r="756" spans="1:7" x14ac:dyDescent="0.2">
      <c r="A756" s="21" t="s">
        <v>37</v>
      </c>
      <c r="B756" s="22"/>
      <c r="C756" s="22"/>
      <c r="D756" s="22"/>
      <c r="E756" s="23" t="s">
        <v>46</v>
      </c>
      <c r="F756" s="24"/>
      <c r="G756" s="20" t="s">
        <v>50</v>
      </c>
    </row>
    <row r="757" spans="1:7" x14ac:dyDescent="0.2">
      <c r="A757" s="6"/>
      <c r="B757" s="99"/>
      <c r="C757" s="8"/>
      <c r="D757" s="8"/>
      <c r="E757" s="920"/>
      <c r="F757" s="921"/>
      <c r="G757" s="25"/>
    </row>
    <row r="758" spans="1:7" ht="26.25" thickBot="1" x14ac:dyDescent="0.25">
      <c r="A758" s="207" t="s">
        <v>47</v>
      </c>
      <c r="B758" s="28" t="s">
        <v>23</v>
      </c>
      <c r="C758" s="28" t="s">
        <v>34</v>
      </c>
      <c r="D758" s="110" t="s">
        <v>53</v>
      </c>
      <c r="E758" s="114" t="s">
        <v>54</v>
      </c>
      <c r="F758" s="111" t="s">
        <v>55</v>
      </c>
      <c r="G758" s="112" t="s">
        <v>35</v>
      </c>
    </row>
    <row r="759" spans="1:7" ht="13.5" thickTop="1" x14ac:dyDescent="0.2">
      <c r="A759" s="29"/>
      <c r="B759" s="101"/>
      <c r="C759" s="371"/>
      <c r="D759" s="370" t="s">
        <v>2070</v>
      </c>
      <c r="E759" s="158"/>
      <c r="F759" s="128"/>
      <c r="G759" s="35"/>
    </row>
    <row r="760" spans="1:7" x14ac:dyDescent="0.2">
      <c r="A760" s="29">
        <v>1</v>
      </c>
      <c r="B760" s="101"/>
      <c r="C760" s="371" t="s">
        <v>910</v>
      </c>
      <c r="D760" s="370" t="s">
        <v>1237</v>
      </c>
      <c r="E760" s="108">
        <v>1</v>
      </c>
      <c r="F760" s="128">
        <v>10000</v>
      </c>
      <c r="G760" s="35">
        <f>F760*E760</f>
        <v>10000</v>
      </c>
    </row>
    <row r="761" spans="1:7" x14ac:dyDescent="0.2">
      <c r="A761" s="29"/>
      <c r="B761" s="101"/>
      <c r="C761" s="371"/>
      <c r="D761" s="370" t="s">
        <v>2157</v>
      </c>
      <c r="E761" s="108"/>
      <c r="F761" s="128"/>
      <c r="G761" s="35"/>
    </row>
    <row r="762" spans="1:7" x14ac:dyDescent="0.2">
      <c r="A762" s="29"/>
      <c r="B762" s="101"/>
      <c r="C762" s="371"/>
      <c r="D762" s="370" t="s">
        <v>2071</v>
      </c>
      <c r="E762" s="108"/>
      <c r="F762" s="128"/>
      <c r="G762" s="372"/>
    </row>
    <row r="763" spans="1:7" x14ac:dyDescent="0.2">
      <c r="A763" s="29"/>
      <c r="B763" s="105"/>
      <c r="C763" s="371"/>
      <c r="D763" s="376"/>
      <c r="E763" s="102"/>
      <c r="F763" s="128"/>
      <c r="G763" s="35"/>
    </row>
    <row r="764" spans="1:7" x14ac:dyDescent="0.2">
      <c r="A764" s="29"/>
      <c r="B764" s="105"/>
      <c r="C764" s="371"/>
      <c r="D764" s="376"/>
      <c r="E764" s="102"/>
      <c r="F764" s="128"/>
      <c r="G764" s="372"/>
    </row>
    <row r="765" spans="1:7" x14ac:dyDescent="0.2">
      <c r="A765" s="29"/>
      <c r="B765" s="105"/>
      <c r="C765" s="371"/>
      <c r="D765" s="376"/>
      <c r="E765" s="102"/>
      <c r="F765" s="128"/>
      <c r="G765" s="35"/>
    </row>
    <row r="766" spans="1:7" x14ac:dyDescent="0.2">
      <c r="A766" s="29"/>
      <c r="B766" s="151"/>
      <c r="C766" s="119"/>
      <c r="D766" s="376"/>
      <c r="E766" s="108"/>
      <c r="F766" s="150"/>
      <c r="G766" s="372"/>
    </row>
    <row r="767" spans="1:7" x14ac:dyDescent="0.2">
      <c r="A767" s="29"/>
      <c r="B767" s="151"/>
      <c r="C767" s="119"/>
      <c r="D767" s="383"/>
      <c r="E767" s="108"/>
      <c r="F767" s="150"/>
      <c r="G767" s="372"/>
    </row>
    <row r="768" spans="1:7" x14ac:dyDescent="0.2">
      <c r="A768" s="29"/>
      <c r="B768" s="106"/>
      <c r="C768" s="41"/>
      <c r="D768" s="376"/>
      <c r="E768" s="104"/>
      <c r="F768" s="128"/>
      <c r="G768" s="372"/>
    </row>
    <row r="769" spans="1:7" x14ac:dyDescent="0.2">
      <c r="A769" s="29"/>
      <c r="B769" s="105"/>
      <c r="C769" s="371"/>
      <c r="D769" s="376"/>
      <c r="E769" s="108"/>
      <c r="F769" s="152"/>
      <c r="G769" s="35"/>
    </row>
    <row r="770" spans="1:7" x14ac:dyDescent="0.2">
      <c r="A770" s="29"/>
      <c r="B770" s="107"/>
      <c r="C770" s="41"/>
      <c r="D770" s="376"/>
      <c r="E770" s="153"/>
      <c r="F770" s="128"/>
      <c r="G770" s="372"/>
    </row>
    <row r="771" spans="1:7" x14ac:dyDescent="0.2">
      <c r="A771" s="29"/>
      <c r="B771" s="107"/>
      <c r="C771" s="371"/>
      <c r="D771" s="384"/>
      <c r="E771" s="153"/>
      <c r="F771" s="128"/>
      <c r="G771" s="35"/>
    </row>
    <row r="772" spans="1:7" x14ac:dyDescent="0.2">
      <c r="A772" s="29"/>
      <c r="B772" s="101"/>
      <c r="C772" s="41"/>
      <c r="D772" s="384"/>
      <c r="E772" s="108"/>
      <c r="F772" s="128"/>
      <c r="G772" s="372"/>
    </row>
    <row r="773" spans="1:7" x14ac:dyDescent="0.2">
      <c r="A773" s="29"/>
      <c r="B773" s="106"/>
      <c r="C773" s="41"/>
      <c r="D773" s="67"/>
      <c r="E773" s="104" t="s">
        <v>150</v>
      </c>
      <c r="F773" s="154"/>
      <c r="G773" s="35"/>
    </row>
    <row r="774" spans="1:7" x14ac:dyDescent="0.2">
      <c r="A774" s="29"/>
      <c r="B774" s="105"/>
      <c r="C774" s="41"/>
      <c r="D774" s="130"/>
      <c r="E774" s="104"/>
      <c r="F774" s="154"/>
      <c r="G774" s="35"/>
    </row>
    <row r="775" spans="1:7" x14ac:dyDescent="0.2">
      <c r="A775" s="29"/>
      <c r="B775" s="105"/>
      <c r="C775" s="41"/>
      <c r="D775" s="67"/>
      <c r="E775" s="104"/>
      <c r="F775" s="154"/>
      <c r="G775" s="35"/>
    </row>
    <row r="776" spans="1:7" x14ac:dyDescent="0.2">
      <c r="A776" s="29"/>
      <c r="B776" s="101"/>
      <c r="C776" s="41"/>
      <c r="D776" s="67"/>
      <c r="E776" s="104"/>
      <c r="F776" s="154"/>
      <c r="G776" s="35"/>
    </row>
    <row r="777" spans="1:7" x14ac:dyDescent="0.2">
      <c r="A777" s="29"/>
      <c r="B777" s="101"/>
      <c r="C777" s="41"/>
      <c r="D777" s="136"/>
      <c r="E777" s="104"/>
      <c r="F777" s="154"/>
      <c r="G777" s="35"/>
    </row>
    <row r="778" spans="1:7" x14ac:dyDescent="0.2">
      <c r="A778" s="29"/>
      <c r="B778" s="101"/>
      <c r="C778" s="41"/>
      <c r="D778" s="136"/>
      <c r="E778" s="104"/>
      <c r="F778" s="154"/>
      <c r="G778" s="35"/>
    </row>
    <row r="779" spans="1:7" x14ac:dyDescent="0.2">
      <c r="A779" s="29"/>
      <c r="B779" s="101"/>
      <c r="C779" s="41"/>
      <c r="D779" s="62"/>
      <c r="E779" s="104"/>
      <c r="F779" s="154"/>
      <c r="G779" s="35"/>
    </row>
    <row r="780" spans="1:7" x14ac:dyDescent="0.2">
      <c r="A780" s="29"/>
      <c r="B780" s="101"/>
      <c r="C780" s="41"/>
      <c r="D780" s="62"/>
      <c r="E780" s="104"/>
      <c r="F780" s="154"/>
      <c r="G780" s="35"/>
    </row>
    <row r="781" spans="1:7" x14ac:dyDescent="0.2">
      <c r="A781" s="29"/>
      <c r="B781" s="101"/>
      <c r="C781" s="41"/>
      <c r="D781" s="62"/>
      <c r="E781" s="104"/>
      <c r="F781" s="154"/>
      <c r="G781" s="35"/>
    </row>
    <row r="782" spans="1:7" x14ac:dyDescent="0.2">
      <c r="A782" s="29"/>
      <c r="B782" s="101"/>
      <c r="C782" s="41"/>
      <c r="D782" s="62"/>
      <c r="E782" s="104"/>
      <c r="F782" s="154"/>
      <c r="G782" s="35"/>
    </row>
    <row r="783" spans="1:7" x14ac:dyDescent="0.2">
      <c r="A783" s="29"/>
      <c r="B783" s="101"/>
      <c r="C783" s="41"/>
      <c r="D783" s="62"/>
      <c r="E783" s="104"/>
      <c r="F783" s="154"/>
      <c r="G783" s="35"/>
    </row>
    <row r="784" spans="1:7" x14ac:dyDescent="0.2">
      <c r="A784" s="29"/>
      <c r="B784" s="101"/>
      <c r="C784" s="41"/>
      <c r="D784" s="67"/>
      <c r="E784" s="104"/>
      <c r="F784" s="154"/>
      <c r="G784" s="35"/>
    </row>
    <row r="785" spans="1:15" x14ac:dyDescent="0.2">
      <c r="A785" s="29"/>
      <c r="B785" s="101"/>
      <c r="C785" s="41"/>
      <c r="D785" s="159"/>
      <c r="E785" s="104"/>
      <c r="F785" s="154"/>
      <c r="G785" s="35"/>
    </row>
    <row r="786" spans="1:15" x14ac:dyDescent="0.2">
      <c r="A786" s="29"/>
      <c r="B786" s="101"/>
      <c r="C786" s="41"/>
      <c r="D786" s="160"/>
      <c r="E786" s="108"/>
      <c r="F786" s="128"/>
      <c r="G786" s="35"/>
    </row>
    <row r="787" spans="1:15" x14ac:dyDescent="0.2">
      <c r="A787" s="29"/>
      <c r="B787" s="101"/>
      <c r="C787" s="41"/>
      <c r="D787" s="136"/>
      <c r="E787" s="153"/>
      <c r="F787" s="128"/>
      <c r="G787" s="35"/>
    </row>
    <row r="788" spans="1:15" x14ac:dyDescent="0.2">
      <c r="A788" s="29"/>
      <c r="B788" s="101"/>
      <c r="C788" s="41"/>
      <c r="D788" s="136"/>
      <c r="E788" s="102"/>
      <c r="F788" s="128"/>
      <c r="G788" s="35"/>
    </row>
    <row r="789" spans="1:15" x14ac:dyDescent="0.2">
      <c r="A789" s="29"/>
      <c r="B789" s="101"/>
      <c r="C789" s="31"/>
      <c r="D789" s="384" t="s">
        <v>150</v>
      </c>
      <c r="E789" s="131"/>
      <c r="F789" s="117"/>
      <c r="G789" s="35"/>
    </row>
    <row r="790" spans="1:15" x14ac:dyDescent="0.2">
      <c r="A790" s="29"/>
      <c r="B790" s="101"/>
      <c r="C790" s="41"/>
      <c r="D790" s="118"/>
      <c r="E790" s="108"/>
      <c r="F790" s="149"/>
      <c r="G790" s="35"/>
    </row>
    <row r="791" spans="1:15" x14ac:dyDescent="0.2">
      <c r="A791" s="29"/>
      <c r="B791" s="101"/>
      <c r="C791" s="41"/>
      <c r="D791" s="383" t="s">
        <v>8</v>
      </c>
      <c r="E791" s="108"/>
      <c r="F791" s="149"/>
      <c r="G791" s="35"/>
    </row>
    <row r="792" spans="1:15" ht="13.5" thickBot="1" x14ac:dyDescent="0.25">
      <c r="A792" s="45"/>
      <c r="B792" s="132"/>
      <c r="C792" s="115"/>
      <c r="D792" s="115"/>
      <c r="E792" s="132"/>
      <c r="F792" s="49" t="s">
        <v>15</v>
      </c>
      <c r="G792" s="50">
        <f>SUM(G760:G791)</f>
        <v>10000</v>
      </c>
      <c r="I792" s="875" t="s">
        <v>2072</v>
      </c>
      <c r="J792" s="876"/>
      <c r="K792" s="876"/>
      <c r="L792" s="876"/>
      <c r="M792" s="876"/>
      <c r="N792" s="876"/>
      <c r="O792" s="877"/>
    </row>
    <row r="793" spans="1:15" ht="14.25" thickTop="1" thickBot="1" x14ac:dyDescent="0.25">
      <c r="A793" s="875" t="s">
        <v>2158</v>
      </c>
      <c r="B793" s="899"/>
      <c r="C793" s="899"/>
      <c r="D793" s="899"/>
      <c r="E793" s="899"/>
      <c r="F793" s="899"/>
      <c r="G793" s="900"/>
      <c r="I793" s="442"/>
      <c r="J793" s="588"/>
      <c r="K793" s="961" t="s">
        <v>2073</v>
      </c>
      <c r="L793" s="961"/>
      <c r="M793" s="961"/>
      <c r="N793" s="961"/>
      <c r="O793" s="962"/>
    </row>
    <row r="794" spans="1:15" ht="14.25" thickTop="1" thickBot="1" x14ac:dyDescent="0.25">
      <c r="A794" s="52"/>
      <c r="B794" s="103"/>
      <c r="C794" s="927" t="s">
        <v>2156</v>
      </c>
      <c r="D794" s="927"/>
      <c r="E794" s="103"/>
      <c r="F794" s="55"/>
      <c r="G794" s="56"/>
    </row>
    <row r="795" spans="1:15" ht="13.5" thickTop="1" x14ac:dyDescent="0.2">
      <c r="A795" s="906"/>
      <c r="B795" s="907"/>
      <c r="C795" s="907"/>
      <c r="D795" s="57" t="s">
        <v>11</v>
      </c>
      <c r="E795" s="908" t="s">
        <v>12</v>
      </c>
      <c r="F795" s="908"/>
      <c r="G795" s="909"/>
    </row>
    <row r="796" spans="1:15" x14ac:dyDescent="0.2">
      <c r="A796" s="910" t="s">
        <v>17</v>
      </c>
      <c r="B796" s="911"/>
      <c r="C796" s="911"/>
      <c r="D796" s="39"/>
      <c r="E796" s="912"/>
      <c r="F796" s="913"/>
      <c r="G796" s="914"/>
    </row>
    <row r="797" spans="1:15" x14ac:dyDescent="0.2">
      <c r="A797" s="910" t="s">
        <v>38</v>
      </c>
      <c r="B797" s="911"/>
      <c r="C797" s="911"/>
      <c r="D797" s="58" t="s">
        <v>271</v>
      </c>
      <c r="E797" s="868" t="s">
        <v>142</v>
      </c>
      <c r="F797" s="868"/>
      <c r="G797" s="869"/>
    </row>
    <row r="798" spans="1:15" ht="13.5" thickBot="1" x14ac:dyDescent="0.25">
      <c r="A798" s="901" t="s">
        <v>39</v>
      </c>
      <c r="B798" s="902"/>
      <c r="C798" s="902"/>
      <c r="D798" s="59" t="s">
        <v>272</v>
      </c>
      <c r="E798" s="904" t="s">
        <v>0</v>
      </c>
      <c r="F798" s="904"/>
      <c r="G798" s="905"/>
    </row>
    <row r="799" spans="1:15" ht="16.5" x14ac:dyDescent="0.25">
      <c r="A799" s="885" t="s">
        <v>29</v>
      </c>
      <c r="B799" s="886"/>
      <c r="C799" s="886"/>
      <c r="D799" s="886"/>
      <c r="E799" s="886"/>
      <c r="F799" s="886"/>
      <c r="G799" s="887"/>
    </row>
    <row r="800" spans="1:15" x14ac:dyDescent="0.2">
      <c r="A800" s="888" t="s">
        <v>48</v>
      </c>
      <c r="B800" s="889"/>
      <c r="C800" s="889"/>
      <c r="D800" s="889"/>
      <c r="E800" s="889"/>
      <c r="F800" s="889"/>
      <c r="G800" s="890"/>
    </row>
    <row r="801" spans="1:7" x14ac:dyDescent="0.2">
      <c r="A801" s="915" t="s">
        <v>49</v>
      </c>
      <c r="B801" s="916"/>
      <c r="C801" s="916"/>
      <c r="D801" s="916"/>
      <c r="E801" s="916"/>
      <c r="F801" s="916"/>
      <c r="G801" s="917"/>
    </row>
    <row r="802" spans="1:7" x14ac:dyDescent="0.2">
      <c r="A802" s="6"/>
      <c r="B802" s="99"/>
      <c r="C802" s="8"/>
      <c r="D802" s="9"/>
      <c r="E802" s="99"/>
      <c r="F802" s="10"/>
      <c r="G802" s="11" t="s">
        <v>20</v>
      </c>
    </row>
    <row r="803" spans="1:7" x14ac:dyDescent="0.2">
      <c r="A803" s="12" t="s">
        <v>1</v>
      </c>
      <c r="B803" s="13"/>
      <c r="C803" s="14" t="s">
        <v>27</v>
      </c>
      <c r="D803" s="13"/>
      <c r="E803" s="362" t="s">
        <v>2370</v>
      </c>
      <c r="F803" s="98"/>
      <c r="G803" s="363" t="s">
        <v>2367</v>
      </c>
    </row>
    <row r="804" spans="1:7" x14ac:dyDescent="0.2">
      <c r="A804" s="17" t="s">
        <v>8</v>
      </c>
      <c r="B804" s="100"/>
      <c r="C804" s="19"/>
      <c r="D804" s="4"/>
      <c r="E804" s="918"/>
      <c r="F804" s="919"/>
      <c r="G804" s="20"/>
    </row>
    <row r="805" spans="1:7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7" x14ac:dyDescent="0.2">
      <c r="A806" s="6"/>
      <c r="B806" s="99"/>
      <c r="C806" s="8"/>
      <c r="D806" s="8"/>
      <c r="E806" s="920"/>
      <c r="F806" s="921"/>
      <c r="G806" s="25"/>
    </row>
    <row r="807" spans="1:7" ht="26.25" thickBot="1" x14ac:dyDescent="0.25">
      <c r="A807" s="207" t="s">
        <v>47</v>
      </c>
      <c r="B807" s="28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7" ht="13.5" thickTop="1" x14ac:dyDescent="0.2">
      <c r="A808" s="29">
        <v>1</v>
      </c>
      <c r="B808" s="101"/>
      <c r="C808" s="371" t="s">
        <v>153</v>
      </c>
      <c r="D808" s="370" t="s">
        <v>2371</v>
      </c>
      <c r="E808" s="158">
        <v>19</v>
      </c>
      <c r="F808" s="128">
        <v>37</v>
      </c>
      <c r="G808" s="35">
        <f>F808*E808</f>
        <v>703</v>
      </c>
    </row>
    <row r="809" spans="1:7" x14ac:dyDescent="0.2">
      <c r="A809" s="29">
        <f>A808+1</f>
        <v>2</v>
      </c>
      <c r="B809" s="101"/>
      <c r="C809" s="371" t="s">
        <v>153</v>
      </c>
      <c r="D809" s="370" t="s">
        <v>2353</v>
      </c>
      <c r="E809" s="108">
        <v>10</v>
      </c>
      <c r="F809" s="128">
        <v>37</v>
      </c>
      <c r="G809" s="35">
        <f t="shared" ref="G809:G819" si="1">F809*E809</f>
        <v>370</v>
      </c>
    </row>
    <row r="810" spans="1:7" x14ac:dyDescent="0.2">
      <c r="A810" s="29">
        <f t="shared" ref="A810:A819" si="2">A809+1</f>
        <v>3</v>
      </c>
      <c r="B810" s="101"/>
      <c r="C810" s="371" t="s">
        <v>153</v>
      </c>
      <c r="D810" s="370" t="s">
        <v>2354</v>
      </c>
      <c r="E810" s="108">
        <v>8</v>
      </c>
      <c r="F810" s="128">
        <v>37</v>
      </c>
      <c r="G810" s="35">
        <f t="shared" si="1"/>
        <v>296</v>
      </c>
    </row>
    <row r="811" spans="1:7" x14ac:dyDescent="0.2">
      <c r="A811" s="29">
        <f t="shared" si="2"/>
        <v>4</v>
      </c>
      <c r="B811" s="101"/>
      <c r="C811" s="371" t="s">
        <v>153</v>
      </c>
      <c r="D811" s="370" t="s">
        <v>2355</v>
      </c>
      <c r="E811" s="108">
        <v>10</v>
      </c>
      <c r="F811" s="128">
        <v>37</v>
      </c>
      <c r="G811" s="35">
        <f t="shared" si="1"/>
        <v>370</v>
      </c>
    </row>
    <row r="812" spans="1:7" x14ac:dyDescent="0.2">
      <c r="A812" s="29">
        <f t="shared" si="2"/>
        <v>5</v>
      </c>
      <c r="B812" s="105"/>
      <c r="C812" s="371" t="s">
        <v>153</v>
      </c>
      <c r="D812" s="376" t="s">
        <v>2356</v>
      </c>
      <c r="E812" s="102">
        <v>14</v>
      </c>
      <c r="F812" s="128">
        <v>37</v>
      </c>
      <c r="G812" s="35">
        <f t="shared" si="1"/>
        <v>518</v>
      </c>
    </row>
    <row r="813" spans="1:7" x14ac:dyDescent="0.2">
      <c r="A813" s="29">
        <f t="shared" si="2"/>
        <v>6</v>
      </c>
      <c r="B813" s="105"/>
      <c r="C813" s="371" t="s">
        <v>153</v>
      </c>
      <c r="D813" s="376" t="s">
        <v>2357</v>
      </c>
      <c r="E813" s="102">
        <v>5</v>
      </c>
      <c r="F813" s="128">
        <v>37</v>
      </c>
      <c r="G813" s="35">
        <f t="shared" si="1"/>
        <v>185</v>
      </c>
    </row>
    <row r="814" spans="1:7" x14ac:dyDescent="0.2">
      <c r="A814" s="29">
        <f t="shared" si="2"/>
        <v>7</v>
      </c>
      <c r="B814" s="105"/>
      <c r="C814" s="371" t="s">
        <v>153</v>
      </c>
      <c r="D814" s="376" t="s">
        <v>2358</v>
      </c>
      <c r="E814" s="102">
        <v>7</v>
      </c>
      <c r="F814" s="128">
        <v>37</v>
      </c>
      <c r="G814" s="35">
        <f t="shared" si="1"/>
        <v>259</v>
      </c>
    </row>
    <row r="815" spans="1:7" x14ac:dyDescent="0.2">
      <c r="A815" s="29">
        <f t="shared" si="2"/>
        <v>8</v>
      </c>
      <c r="B815" s="151"/>
      <c r="C815" s="371" t="s">
        <v>153</v>
      </c>
      <c r="D815" s="376" t="s">
        <v>2359</v>
      </c>
      <c r="E815" s="108">
        <v>11</v>
      </c>
      <c r="F815" s="150">
        <v>37</v>
      </c>
      <c r="G815" s="35">
        <f t="shared" si="1"/>
        <v>407</v>
      </c>
    </row>
    <row r="816" spans="1:7" x14ac:dyDescent="0.2">
      <c r="A816" s="29">
        <f t="shared" si="2"/>
        <v>9</v>
      </c>
      <c r="B816" s="151"/>
      <c r="C816" s="371" t="s">
        <v>153</v>
      </c>
      <c r="D816" s="383" t="s">
        <v>2360</v>
      </c>
      <c r="E816" s="108">
        <v>31</v>
      </c>
      <c r="F816" s="150">
        <v>30</v>
      </c>
      <c r="G816" s="35">
        <f t="shared" si="1"/>
        <v>930</v>
      </c>
    </row>
    <row r="817" spans="1:10" x14ac:dyDescent="0.2">
      <c r="A817" s="29">
        <f t="shared" si="2"/>
        <v>10</v>
      </c>
      <c r="B817" s="106"/>
      <c r="C817" s="371" t="s">
        <v>153</v>
      </c>
      <c r="D817" s="376" t="s">
        <v>2361</v>
      </c>
      <c r="E817" s="104">
        <v>2</v>
      </c>
      <c r="F817" s="128">
        <v>39</v>
      </c>
      <c r="G817" s="35">
        <f t="shared" si="1"/>
        <v>78</v>
      </c>
      <c r="J817" s="211">
        <v>3271</v>
      </c>
    </row>
    <row r="818" spans="1:10" x14ac:dyDescent="0.2">
      <c r="A818" s="29">
        <f t="shared" si="2"/>
        <v>11</v>
      </c>
      <c r="B818" s="105"/>
      <c r="C818" s="371" t="s">
        <v>153</v>
      </c>
      <c r="D818" s="376" t="s">
        <v>2362</v>
      </c>
      <c r="E818" s="108">
        <v>3</v>
      </c>
      <c r="F818" s="152">
        <v>39</v>
      </c>
      <c r="G818" s="35">
        <f t="shared" si="1"/>
        <v>117</v>
      </c>
      <c r="H818" s="637">
        <f>SUM(G808:G818)</f>
        <v>4233</v>
      </c>
      <c r="J818" s="211">
        <v>962</v>
      </c>
    </row>
    <row r="819" spans="1:10" x14ac:dyDescent="0.2">
      <c r="A819" s="29">
        <f t="shared" si="2"/>
        <v>12</v>
      </c>
      <c r="B819" s="107"/>
      <c r="C819" s="371" t="s">
        <v>153</v>
      </c>
      <c r="D819" s="376" t="s">
        <v>2363</v>
      </c>
      <c r="E819" s="153">
        <v>2</v>
      </c>
      <c r="F819" s="128">
        <v>498</v>
      </c>
      <c r="G819" s="35">
        <f t="shared" si="1"/>
        <v>996</v>
      </c>
      <c r="H819" s="637">
        <f>G819</f>
        <v>996</v>
      </c>
      <c r="J819" s="212">
        <f>SUM(J817:J818)</f>
        <v>4233</v>
      </c>
    </row>
    <row r="820" spans="1:10" x14ac:dyDescent="0.2">
      <c r="A820" s="29"/>
      <c r="B820" s="107"/>
      <c r="C820" s="371"/>
      <c r="D820" s="384"/>
      <c r="E820" s="153"/>
      <c r="F820" s="128"/>
      <c r="G820" s="35"/>
    </row>
    <row r="821" spans="1:10" x14ac:dyDescent="0.2">
      <c r="A821" s="29"/>
      <c r="B821" s="101"/>
      <c r="C821" s="41"/>
      <c r="D821" s="384"/>
      <c r="E821" s="108"/>
      <c r="F821" s="128"/>
      <c r="G821" s="372"/>
    </row>
    <row r="822" spans="1:10" x14ac:dyDescent="0.2">
      <c r="A822" s="29"/>
      <c r="B822" s="106"/>
      <c r="C822" s="41"/>
      <c r="D822" s="67"/>
      <c r="E822" s="104" t="s">
        <v>150</v>
      </c>
      <c r="F822" s="154"/>
      <c r="G822" s="35"/>
    </row>
    <row r="823" spans="1:10" x14ac:dyDescent="0.2">
      <c r="A823" s="29"/>
      <c r="B823" s="105"/>
      <c r="C823" s="41"/>
      <c r="D823" s="130"/>
      <c r="E823" s="104"/>
      <c r="F823" s="154"/>
      <c r="G823" s="35"/>
    </row>
    <row r="824" spans="1:10" x14ac:dyDescent="0.2">
      <c r="A824" s="29"/>
      <c r="B824" s="105"/>
      <c r="C824" s="41"/>
      <c r="D824" s="67"/>
      <c r="E824" s="104"/>
      <c r="F824" s="154"/>
      <c r="G824" s="35"/>
    </row>
    <row r="825" spans="1:10" x14ac:dyDescent="0.2">
      <c r="A825" s="29"/>
      <c r="B825" s="101"/>
      <c r="C825" s="41"/>
      <c r="D825" s="67"/>
      <c r="E825" s="104"/>
      <c r="F825" s="154"/>
      <c r="G825" s="35"/>
    </row>
    <row r="826" spans="1:10" x14ac:dyDescent="0.2">
      <c r="A826" s="29"/>
      <c r="B826" s="101"/>
      <c r="C826" s="41"/>
      <c r="D826" s="136"/>
      <c r="E826" s="104"/>
      <c r="F826" s="154"/>
      <c r="G826" s="35"/>
    </row>
    <row r="827" spans="1:10" x14ac:dyDescent="0.2">
      <c r="A827" s="29"/>
      <c r="B827" s="101"/>
      <c r="C827" s="41"/>
      <c r="D827" s="136"/>
      <c r="E827" s="104"/>
      <c r="F827" s="154"/>
      <c r="G827" s="35"/>
    </row>
    <row r="828" spans="1:10" x14ac:dyDescent="0.2">
      <c r="A828" s="29"/>
      <c r="B828" s="101"/>
      <c r="C828" s="41"/>
      <c r="D828" s="62"/>
      <c r="E828" s="104"/>
      <c r="F828" s="154"/>
      <c r="G828" s="35"/>
    </row>
    <row r="829" spans="1:10" x14ac:dyDescent="0.2">
      <c r="A829" s="29"/>
      <c r="B829" s="101"/>
      <c r="C829" s="41"/>
      <c r="D829" s="62"/>
      <c r="E829" s="104"/>
      <c r="F829" s="154"/>
      <c r="G829" s="35"/>
    </row>
    <row r="830" spans="1:10" x14ac:dyDescent="0.2">
      <c r="A830" s="29"/>
      <c r="B830" s="101"/>
      <c r="C830" s="41"/>
      <c r="D830" s="62"/>
      <c r="E830" s="104"/>
      <c r="F830" s="154"/>
      <c r="G830" s="35"/>
    </row>
    <row r="831" spans="1:10" x14ac:dyDescent="0.2">
      <c r="A831" s="29"/>
      <c r="B831" s="101"/>
      <c r="C831" s="41"/>
      <c r="D831" s="62"/>
      <c r="E831" s="104"/>
      <c r="F831" s="154"/>
      <c r="G831" s="35"/>
    </row>
    <row r="832" spans="1:10" x14ac:dyDescent="0.2">
      <c r="A832" s="29"/>
      <c r="B832" s="101"/>
      <c r="C832" s="41"/>
      <c r="D832" s="62"/>
      <c r="E832" s="104"/>
      <c r="F832" s="154"/>
      <c r="G832" s="35"/>
    </row>
    <row r="833" spans="1:15" x14ac:dyDescent="0.2">
      <c r="A833" s="29"/>
      <c r="B833" s="101"/>
      <c r="C833" s="41"/>
      <c r="D833" s="67"/>
      <c r="E833" s="104"/>
      <c r="F833" s="154"/>
      <c r="G833" s="35"/>
    </row>
    <row r="834" spans="1:15" x14ac:dyDescent="0.2">
      <c r="A834" s="29"/>
      <c r="B834" s="101"/>
      <c r="C834" s="41"/>
      <c r="D834" s="159"/>
      <c r="E834" s="104"/>
      <c r="F834" s="154"/>
      <c r="G834" s="35"/>
    </row>
    <row r="835" spans="1:15" x14ac:dyDescent="0.2">
      <c r="A835" s="29"/>
      <c r="B835" s="101"/>
      <c r="C835" s="41"/>
      <c r="D835" s="160"/>
      <c r="E835" s="108"/>
      <c r="F835" s="128"/>
      <c r="G835" s="35"/>
    </row>
    <row r="836" spans="1:15" x14ac:dyDescent="0.2">
      <c r="A836" s="29"/>
      <c r="B836" s="101"/>
      <c r="C836" s="41"/>
      <c r="D836" s="136"/>
      <c r="E836" s="153"/>
      <c r="F836" s="128"/>
      <c r="G836" s="35"/>
    </row>
    <row r="837" spans="1:15" x14ac:dyDescent="0.2">
      <c r="A837" s="29"/>
      <c r="B837" s="101"/>
      <c r="C837" s="41"/>
      <c r="D837" s="136"/>
      <c r="E837" s="102"/>
      <c r="F837" s="128"/>
      <c r="G837" s="35"/>
    </row>
    <row r="838" spans="1:15" x14ac:dyDescent="0.2">
      <c r="A838" s="29"/>
      <c r="B838" s="101"/>
      <c r="C838" s="31"/>
      <c r="D838" s="384" t="s">
        <v>150</v>
      </c>
      <c r="E838" s="131"/>
      <c r="F838" s="117"/>
      <c r="G838" s="35"/>
    </row>
    <row r="839" spans="1:15" x14ac:dyDescent="0.2">
      <c r="A839" s="29"/>
      <c r="B839" s="101"/>
      <c r="C839" s="41"/>
      <c r="D839" s="118"/>
      <c r="E839" s="108"/>
      <c r="F839" s="149"/>
      <c r="G839" s="35"/>
      <c r="I839" s="875" t="s">
        <v>2364</v>
      </c>
      <c r="J839" s="899"/>
      <c r="K839" s="899"/>
      <c r="L839" s="899"/>
      <c r="M839" s="899"/>
      <c r="N839" s="899"/>
      <c r="O839" s="900"/>
    </row>
    <row r="840" spans="1:15" ht="13.5" thickBot="1" x14ac:dyDescent="0.25">
      <c r="A840" s="29"/>
      <c r="B840" s="101"/>
      <c r="C840" s="41"/>
      <c r="D840" s="383" t="s">
        <v>8</v>
      </c>
      <c r="E840" s="108"/>
      <c r="F840" s="149"/>
      <c r="G840" s="35"/>
      <c r="I840" s="52"/>
      <c r="J840" s="103"/>
      <c r="K840" s="927" t="s">
        <v>2366</v>
      </c>
      <c r="L840" s="927"/>
      <c r="M840" s="927"/>
      <c r="N840" s="927"/>
      <c r="O840" s="928"/>
    </row>
    <row r="841" spans="1:15" ht="14.25" thickTop="1" thickBot="1" x14ac:dyDescent="0.25">
      <c r="A841" s="45"/>
      <c r="B841" s="132"/>
      <c r="C841" s="115"/>
      <c r="D841" s="115"/>
      <c r="E841" s="132"/>
      <c r="F841" s="49" t="s">
        <v>15</v>
      </c>
      <c r="G841" s="50">
        <f>SUM(G809:G840)</f>
        <v>4526</v>
      </c>
    </row>
    <row r="842" spans="1:15" ht="13.5" thickTop="1" x14ac:dyDescent="0.2">
      <c r="A842" s="875" t="s">
        <v>2439</v>
      </c>
      <c r="B842" s="899"/>
      <c r="C842" s="899"/>
      <c r="D842" s="899"/>
      <c r="E842" s="899"/>
      <c r="F842" s="899"/>
      <c r="G842" s="900"/>
      <c r="I842" s="430" t="s">
        <v>2365</v>
      </c>
    </row>
    <row r="843" spans="1:15" ht="13.5" thickBot="1" x14ac:dyDescent="0.25">
      <c r="A843" s="52"/>
      <c r="B843" s="103"/>
      <c r="C843" s="927" t="s">
        <v>8</v>
      </c>
      <c r="D843" s="927"/>
      <c r="E843" s="927"/>
      <c r="F843" s="927"/>
      <c r="G843" s="928"/>
    </row>
    <row r="844" spans="1:15" ht="13.5" thickTop="1" x14ac:dyDescent="0.2">
      <c r="A844" s="906"/>
      <c r="B844" s="907"/>
      <c r="C844" s="907"/>
      <c r="D844" s="57" t="s">
        <v>11</v>
      </c>
      <c r="E844" s="908" t="s">
        <v>12</v>
      </c>
      <c r="F844" s="908"/>
      <c r="G844" s="909"/>
    </row>
    <row r="845" spans="1:15" x14ac:dyDescent="0.2">
      <c r="A845" s="910" t="s">
        <v>17</v>
      </c>
      <c r="B845" s="911"/>
      <c r="C845" s="911"/>
      <c r="D845" s="39"/>
      <c r="E845" s="912"/>
      <c r="F845" s="913"/>
      <c r="G845" s="914"/>
    </row>
    <row r="846" spans="1:15" x14ac:dyDescent="0.2">
      <c r="A846" s="910" t="s">
        <v>38</v>
      </c>
      <c r="B846" s="911"/>
      <c r="C846" s="911"/>
      <c r="D846" s="58" t="s">
        <v>271</v>
      </c>
      <c r="E846" s="868" t="s">
        <v>142</v>
      </c>
      <c r="F846" s="868"/>
      <c r="G846" s="869"/>
    </row>
    <row r="847" spans="1:15" ht="13.5" thickBot="1" x14ac:dyDescent="0.25">
      <c r="A847" s="901" t="s">
        <v>39</v>
      </c>
      <c r="B847" s="902"/>
      <c r="C847" s="902"/>
      <c r="D847" s="59" t="s">
        <v>272</v>
      </c>
      <c r="E847" s="904" t="s">
        <v>0</v>
      </c>
      <c r="F847" s="904"/>
      <c r="G847" s="905"/>
    </row>
    <row r="848" spans="1:15" ht="16.5" x14ac:dyDescent="0.25">
      <c r="A848" s="948" t="s">
        <v>29</v>
      </c>
      <c r="B848" s="949"/>
      <c r="C848" s="949"/>
      <c r="D848" s="949"/>
      <c r="E848" s="949"/>
      <c r="F848" s="949"/>
      <c r="G848" s="950"/>
    </row>
    <row r="849" spans="1:9" x14ac:dyDescent="0.2">
      <c r="A849" s="951" t="s">
        <v>48</v>
      </c>
      <c r="B849" s="952"/>
      <c r="C849" s="952"/>
      <c r="D849" s="952"/>
      <c r="E849" s="952"/>
      <c r="F849" s="952"/>
      <c r="G849" s="953"/>
      <c r="I849" s="258" t="s">
        <v>2753</v>
      </c>
    </row>
    <row r="850" spans="1:9" x14ac:dyDescent="0.2">
      <c r="A850" s="954" t="s">
        <v>49</v>
      </c>
      <c r="B850" s="955"/>
      <c r="C850" s="955"/>
      <c r="D850" s="955"/>
      <c r="E850" s="955"/>
      <c r="F850" s="955"/>
      <c r="G850" s="956"/>
    </row>
    <row r="851" spans="1:9" x14ac:dyDescent="0.2">
      <c r="A851" s="470"/>
      <c r="B851" s="471"/>
      <c r="C851" s="472"/>
      <c r="D851" s="473"/>
      <c r="E851" s="471"/>
      <c r="F851" s="474"/>
      <c r="G851" s="475" t="s">
        <v>20</v>
      </c>
    </row>
    <row r="852" spans="1:9" x14ac:dyDescent="0.2">
      <c r="A852" s="476" t="s">
        <v>1</v>
      </c>
      <c r="B852" s="477"/>
      <c r="C852" s="478" t="s">
        <v>27</v>
      </c>
      <c r="D852" s="477"/>
      <c r="E852" s="272" t="s">
        <v>2754</v>
      </c>
      <c r="F852" s="273"/>
      <c r="G852" s="274" t="s">
        <v>2755</v>
      </c>
    </row>
    <row r="853" spans="1:9" x14ac:dyDescent="0.2">
      <c r="A853" s="479" t="s">
        <v>8</v>
      </c>
      <c r="B853" s="480"/>
      <c r="C853" s="481"/>
      <c r="D853" s="469"/>
      <c r="E853" s="957"/>
      <c r="F853" s="958"/>
      <c r="G853" s="482"/>
    </row>
    <row r="854" spans="1:9" x14ac:dyDescent="0.2">
      <c r="A854" s="483" t="s">
        <v>37</v>
      </c>
      <c r="B854" s="484"/>
      <c r="C854" s="484"/>
      <c r="D854" s="484"/>
      <c r="E854" s="485" t="s">
        <v>46</v>
      </c>
      <c r="F854" s="486"/>
      <c r="G854" s="482" t="s">
        <v>50</v>
      </c>
    </row>
    <row r="855" spans="1:9" x14ac:dyDescent="0.2">
      <c r="A855" s="470"/>
      <c r="B855" s="471"/>
      <c r="C855" s="472"/>
      <c r="D855" s="472"/>
      <c r="E855" s="934"/>
      <c r="F855" s="935"/>
      <c r="G855" s="487"/>
    </row>
    <row r="856" spans="1:9" ht="26.25" thickBot="1" x14ac:dyDescent="0.25">
      <c r="A856" s="488" t="s">
        <v>47</v>
      </c>
      <c r="B856" s="489" t="s">
        <v>23</v>
      </c>
      <c r="C856" s="489" t="s">
        <v>34</v>
      </c>
      <c r="D856" s="490" t="s">
        <v>53</v>
      </c>
      <c r="E856" s="491" t="s">
        <v>54</v>
      </c>
      <c r="F856" s="492" t="s">
        <v>55</v>
      </c>
      <c r="G856" s="493" t="s">
        <v>35</v>
      </c>
    </row>
    <row r="857" spans="1:9" ht="13.5" thickTop="1" x14ac:dyDescent="0.2">
      <c r="A857" s="494">
        <v>1</v>
      </c>
      <c r="B857" s="495"/>
      <c r="C857" s="222" t="s">
        <v>149</v>
      </c>
      <c r="D857" s="502" t="s">
        <v>2311</v>
      </c>
      <c r="E857" s="671">
        <v>25</v>
      </c>
      <c r="F857" s="501">
        <v>200</v>
      </c>
      <c r="G857" s="217">
        <f>F857*E857</f>
        <v>5000</v>
      </c>
    </row>
    <row r="858" spans="1:9" x14ac:dyDescent="0.2">
      <c r="A858" s="494"/>
      <c r="B858" s="495"/>
      <c r="C858" s="222"/>
      <c r="D858" s="502" t="s">
        <v>1420</v>
      </c>
      <c r="E858" s="672"/>
      <c r="F858" s="501"/>
      <c r="G858" s="217"/>
    </row>
    <row r="859" spans="1:9" x14ac:dyDescent="0.2">
      <c r="A859" s="494"/>
      <c r="B859" s="495"/>
      <c r="C859" s="222"/>
      <c r="D859" s="502"/>
      <c r="E859" s="500"/>
      <c r="F859" s="501"/>
      <c r="G859" s="217"/>
    </row>
    <row r="860" spans="1:9" x14ac:dyDescent="0.2">
      <c r="A860" s="494"/>
      <c r="B860" s="505"/>
      <c r="C860" s="222"/>
      <c r="D860" s="251"/>
      <c r="E860" s="506"/>
      <c r="F860" s="501"/>
      <c r="G860" s="217"/>
    </row>
    <row r="861" spans="1:9" x14ac:dyDescent="0.2">
      <c r="A861" s="494"/>
      <c r="B861" s="505"/>
      <c r="C861" s="222"/>
      <c r="D861" s="251"/>
      <c r="E861" s="506"/>
      <c r="F861" s="501"/>
      <c r="G861" s="217"/>
    </row>
    <row r="862" spans="1:9" x14ac:dyDescent="0.2">
      <c r="A862" s="494"/>
      <c r="B862" s="505"/>
      <c r="C862" s="222"/>
      <c r="D862" s="251"/>
      <c r="E862" s="506"/>
      <c r="F862" s="501"/>
      <c r="G862" s="217"/>
    </row>
    <row r="863" spans="1:9" x14ac:dyDescent="0.2">
      <c r="A863" s="494"/>
      <c r="B863" s="507"/>
      <c r="C863" s="508"/>
      <c r="D863" s="251"/>
      <c r="E863" s="500"/>
      <c r="F863" s="509"/>
      <c r="G863" s="217"/>
    </row>
    <row r="864" spans="1:9" x14ac:dyDescent="0.2">
      <c r="A864" s="494"/>
      <c r="B864" s="507"/>
      <c r="C864" s="508"/>
      <c r="D864" s="510"/>
      <c r="E864" s="500"/>
      <c r="F864" s="509"/>
      <c r="G864" s="217"/>
    </row>
    <row r="865" spans="1:7" x14ac:dyDescent="0.2">
      <c r="A865" s="494"/>
      <c r="B865" s="495"/>
      <c r="C865" s="222"/>
      <c r="D865" s="510"/>
      <c r="E865" s="511"/>
      <c r="F865" s="501"/>
      <c r="G865" s="217"/>
    </row>
    <row r="866" spans="1:7" x14ac:dyDescent="0.2">
      <c r="A866" s="494"/>
      <c r="B866" s="512"/>
      <c r="C866" s="222"/>
      <c r="D866" s="251"/>
      <c r="E866" s="513"/>
      <c r="F866" s="501"/>
      <c r="G866" s="217"/>
    </row>
    <row r="867" spans="1:7" x14ac:dyDescent="0.2">
      <c r="A867" s="494"/>
      <c r="B867" s="505"/>
      <c r="C867" s="222" t="s">
        <v>150</v>
      </c>
      <c r="D867" s="251"/>
      <c r="E867" s="500"/>
      <c r="F867" s="514"/>
      <c r="G867" s="217"/>
    </row>
    <row r="868" spans="1:7" x14ac:dyDescent="0.2">
      <c r="A868" s="494"/>
      <c r="B868" s="515"/>
      <c r="C868" s="222"/>
      <c r="D868" s="251"/>
      <c r="E868" s="516"/>
      <c r="F868" s="501"/>
      <c r="G868" s="217"/>
    </row>
    <row r="869" spans="1:7" x14ac:dyDescent="0.2">
      <c r="A869" s="494"/>
      <c r="B869" s="515"/>
      <c r="C869" s="222"/>
      <c r="D869" s="257"/>
      <c r="E869" s="516"/>
      <c r="F869" s="501"/>
      <c r="G869" s="217"/>
    </row>
    <row r="870" spans="1:7" x14ac:dyDescent="0.2">
      <c r="A870" s="494"/>
      <c r="B870" s="495"/>
      <c r="C870" s="222"/>
      <c r="D870" s="257"/>
      <c r="E870" s="500"/>
      <c r="F870" s="501"/>
      <c r="G870" s="217"/>
    </row>
    <row r="871" spans="1:7" x14ac:dyDescent="0.2">
      <c r="A871" s="494"/>
      <c r="B871" s="495"/>
      <c r="C871" s="222"/>
      <c r="D871" s="257"/>
      <c r="E871" s="516"/>
      <c r="F871" s="501"/>
      <c r="G871" s="217"/>
    </row>
    <row r="872" spans="1:7" x14ac:dyDescent="0.2">
      <c r="A872" s="494"/>
      <c r="B872" s="512"/>
      <c r="C872" s="222"/>
      <c r="D872" s="257"/>
      <c r="E872" s="513" t="s">
        <v>150</v>
      </c>
      <c r="F872" s="517"/>
      <c r="G872" s="217"/>
    </row>
    <row r="873" spans="1:7" x14ac:dyDescent="0.2">
      <c r="A873" s="494"/>
      <c r="B873" s="505"/>
      <c r="C873" s="222"/>
      <c r="D873" s="518"/>
      <c r="E873" s="513"/>
      <c r="F873" s="517"/>
      <c r="G873" s="217"/>
    </row>
    <row r="874" spans="1:7" x14ac:dyDescent="0.2">
      <c r="A874" s="494"/>
      <c r="B874" s="505"/>
      <c r="C874" s="222"/>
      <c r="D874" s="257"/>
      <c r="E874" s="513"/>
      <c r="F874" s="517"/>
      <c r="G874" s="217"/>
    </row>
    <row r="875" spans="1:7" x14ac:dyDescent="0.2">
      <c r="A875" s="494"/>
      <c r="B875" s="495"/>
      <c r="C875" s="222"/>
      <c r="D875" s="257"/>
      <c r="E875" s="513"/>
      <c r="F875" s="517"/>
      <c r="G875" s="217"/>
    </row>
    <row r="876" spans="1:7" x14ac:dyDescent="0.2">
      <c r="A876" s="494"/>
      <c r="B876" s="495"/>
      <c r="C876" s="222"/>
      <c r="D876" s="251"/>
      <c r="E876" s="513"/>
      <c r="F876" s="517"/>
      <c r="G876" s="217"/>
    </row>
    <row r="877" spans="1:7" x14ac:dyDescent="0.2">
      <c r="A877" s="494"/>
      <c r="B877" s="495"/>
      <c r="C877" s="222"/>
      <c r="D877" s="251"/>
      <c r="E877" s="513"/>
      <c r="F877" s="517"/>
      <c r="G877" s="217"/>
    </row>
    <row r="878" spans="1:7" x14ac:dyDescent="0.2">
      <c r="A878" s="494"/>
      <c r="B878" s="495"/>
      <c r="C878" s="222"/>
      <c r="D878" s="519"/>
      <c r="E878" s="513"/>
      <c r="F878" s="517"/>
      <c r="G878" s="217"/>
    </row>
    <row r="879" spans="1:7" x14ac:dyDescent="0.2">
      <c r="A879" s="494"/>
      <c r="B879" s="495"/>
      <c r="C879" s="222"/>
      <c r="D879" s="519"/>
      <c r="E879" s="513"/>
      <c r="F879" s="517"/>
      <c r="G879" s="217"/>
    </row>
    <row r="880" spans="1:7" x14ac:dyDescent="0.2">
      <c r="A880" s="494"/>
      <c r="B880" s="495"/>
      <c r="C880" s="222"/>
      <c r="D880" s="519"/>
      <c r="E880" s="513"/>
      <c r="F880" s="517"/>
      <c r="G880" s="217"/>
    </row>
    <row r="881" spans="1:7" x14ac:dyDescent="0.2">
      <c r="A881" s="494"/>
      <c r="B881" s="495"/>
      <c r="C881" s="222"/>
      <c r="D881" s="519"/>
      <c r="E881" s="513"/>
      <c r="F881" s="517"/>
      <c r="G881" s="217"/>
    </row>
    <row r="882" spans="1:7" x14ac:dyDescent="0.2">
      <c r="A882" s="494"/>
      <c r="B882" s="495"/>
      <c r="C882" s="222"/>
      <c r="D882" s="519"/>
      <c r="E882" s="513"/>
      <c r="F882" s="517"/>
      <c r="G882" s="217"/>
    </row>
    <row r="883" spans="1:7" x14ac:dyDescent="0.2">
      <c r="A883" s="494"/>
      <c r="B883" s="495"/>
      <c r="C883" s="222"/>
      <c r="D883" s="257"/>
      <c r="E883" s="513"/>
      <c r="F883" s="517"/>
      <c r="G883" s="217"/>
    </row>
    <row r="884" spans="1:7" x14ac:dyDescent="0.2">
      <c r="A884" s="494"/>
      <c r="B884" s="495"/>
      <c r="C884" s="222"/>
      <c r="D884" s="520"/>
      <c r="E884" s="513"/>
      <c r="F884" s="517"/>
      <c r="G884" s="217"/>
    </row>
    <row r="885" spans="1:7" x14ac:dyDescent="0.2">
      <c r="A885" s="494"/>
      <c r="B885" s="495"/>
      <c r="C885" s="222"/>
      <c r="D885" s="521"/>
      <c r="E885" s="500"/>
      <c r="F885" s="501"/>
      <c r="G885" s="217"/>
    </row>
    <row r="886" spans="1:7" x14ac:dyDescent="0.2">
      <c r="A886" s="494"/>
      <c r="B886" s="495"/>
      <c r="C886" s="222"/>
      <c r="D886" s="251"/>
      <c r="E886" s="516"/>
      <c r="F886" s="501"/>
      <c r="G886" s="217"/>
    </row>
    <row r="887" spans="1:7" x14ac:dyDescent="0.2">
      <c r="A887" s="494"/>
      <c r="B887" s="495"/>
      <c r="C887" s="222"/>
      <c r="D887" s="251"/>
      <c r="E887" s="506"/>
      <c r="F887" s="501"/>
      <c r="G887" s="217"/>
    </row>
    <row r="888" spans="1:7" x14ac:dyDescent="0.2">
      <c r="A888" s="494"/>
      <c r="B888" s="495"/>
      <c r="C888" s="221"/>
      <c r="D888" s="257"/>
      <c r="E888" s="522"/>
      <c r="F888" s="523"/>
      <c r="G888" s="217"/>
    </row>
    <row r="889" spans="1:7" x14ac:dyDescent="0.2">
      <c r="A889" s="494"/>
      <c r="B889" s="495"/>
      <c r="C889" s="222"/>
      <c r="D889" s="524"/>
      <c r="E889" s="500"/>
      <c r="F889" s="504"/>
      <c r="G889" s="217"/>
    </row>
    <row r="890" spans="1:7" x14ac:dyDescent="0.2">
      <c r="A890" s="494"/>
      <c r="B890" s="495"/>
      <c r="C890" s="222"/>
      <c r="D890" s="510"/>
      <c r="E890" s="500"/>
      <c r="F890" s="504"/>
      <c r="G890" s="217"/>
    </row>
    <row r="891" spans="1:7" ht="13.5" thickBot="1" x14ac:dyDescent="0.25">
      <c r="A891" s="525"/>
      <c r="B891" s="526"/>
      <c r="C891" s="527"/>
      <c r="D891" s="527"/>
      <c r="E891" s="526"/>
      <c r="F891" s="528" t="s">
        <v>15</v>
      </c>
      <c r="G891" s="529">
        <f>SUM(G857:G890)</f>
        <v>5000</v>
      </c>
    </row>
    <row r="892" spans="1:7" ht="13.5" thickTop="1" x14ac:dyDescent="0.2">
      <c r="A892" s="936" t="s">
        <v>2756</v>
      </c>
      <c r="B892" s="937"/>
      <c r="C892" s="937"/>
      <c r="D892" s="937"/>
      <c r="E892" s="937"/>
      <c r="F892" s="937"/>
      <c r="G892" s="938"/>
    </row>
    <row r="893" spans="1:7" ht="13.5" thickBot="1" x14ac:dyDescent="0.25">
      <c r="A893" s="530"/>
      <c r="B893" s="531"/>
      <c r="C893" s="531" t="s">
        <v>2391</v>
      </c>
      <c r="D893" s="532"/>
      <c r="E893" s="531"/>
      <c r="F893" s="533"/>
      <c r="G893" s="534"/>
    </row>
    <row r="894" spans="1:7" ht="13.5" thickTop="1" x14ac:dyDescent="0.2">
      <c r="A894" s="939"/>
      <c r="B894" s="940"/>
      <c r="C894" s="940"/>
      <c r="D894" s="535" t="s">
        <v>11</v>
      </c>
      <c r="E894" s="941" t="s">
        <v>12</v>
      </c>
      <c r="F894" s="941"/>
      <c r="G894" s="942"/>
    </row>
    <row r="895" spans="1:7" x14ac:dyDescent="0.2">
      <c r="A895" s="943" t="s">
        <v>17</v>
      </c>
      <c r="B895" s="944"/>
      <c r="C895" s="944"/>
      <c r="D895" s="536"/>
      <c r="E895" s="945"/>
      <c r="F895" s="946"/>
      <c r="G895" s="947"/>
    </row>
    <row r="896" spans="1:7" x14ac:dyDescent="0.2">
      <c r="A896" s="943" t="s">
        <v>38</v>
      </c>
      <c r="B896" s="944"/>
      <c r="C896" s="944"/>
      <c r="D896" s="537" t="s">
        <v>271</v>
      </c>
      <c r="E896" s="959" t="s">
        <v>142</v>
      </c>
      <c r="F896" s="959"/>
      <c r="G896" s="960"/>
    </row>
    <row r="897" spans="1:7" ht="13.5" thickBot="1" x14ac:dyDescent="0.25">
      <c r="A897" s="929" t="s">
        <v>39</v>
      </c>
      <c r="B897" s="930"/>
      <c r="C897" s="930"/>
      <c r="D897" s="538" t="s">
        <v>272</v>
      </c>
      <c r="E897" s="932" t="s">
        <v>0</v>
      </c>
      <c r="F897" s="932"/>
      <c r="G897" s="933"/>
    </row>
    <row r="898" spans="1:7" ht="16.5" x14ac:dyDescent="0.25">
      <c r="A898" s="885" t="s">
        <v>29</v>
      </c>
      <c r="B898" s="886"/>
      <c r="C898" s="886"/>
      <c r="D898" s="886"/>
      <c r="E898" s="886"/>
      <c r="F898" s="886"/>
      <c r="G898" s="887"/>
    </row>
    <row r="899" spans="1:7" x14ac:dyDescent="0.2">
      <c r="A899" s="888" t="s">
        <v>48</v>
      </c>
      <c r="B899" s="889"/>
      <c r="C899" s="889"/>
      <c r="D899" s="889"/>
      <c r="E899" s="889"/>
      <c r="F899" s="889"/>
      <c r="G899" s="890"/>
    </row>
    <row r="900" spans="1:7" x14ac:dyDescent="0.2">
      <c r="A900" s="915" t="s">
        <v>49</v>
      </c>
      <c r="B900" s="916"/>
      <c r="C900" s="916"/>
      <c r="D900" s="916"/>
      <c r="E900" s="916"/>
      <c r="F900" s="916"/>
      <c r="G900" s="917"/>
    </row>
    <row r="901" spans="1:7" x14ac:dyDescent="0.2">
      <c r="A901" s="6"/>
      <c r="B901" s="99"/>
      <c r="C901" s="8"/>
      <c r="D901" s="9"/>
      <c r="E901" s="99"/>
      <c r="F901" s="10"/>
      <c r="G901" s="11" t="s">
        <v>20</v>
      </c>
    </row>
    <row r="902" spans="1:7" x14ac:dyDescent="0.2">
      <c r="A902" s="12" t="s">
        <v>1</v>
      </c>
      <c r="B902" s="13"/>
      <c r="C902" s="14" t="s">
        <v>27</v>
      </c>
      <c r="D902" s="13"/>
      <c r="E902" s="362" t="s">
        <v>2458</v>
      </c>
      <c r="F902" s="98"/>
      <c r="G902" s="363" t="s">
        <v>2440</v>
      </c>
    </row>
    <row r="903" spans="1:7" x14ac:dyDescent="0.2">
      <c r="A903" s="17" t="s">
        <v>8</v>
      </c>
      <c r="B903" s="100"/>
      <c r="C903" s="19"/>
      <c r="D903" s="4"/>
      <c r="E903" s="918"/>
      <c r="F903" s="919"/>
      <c r="G903" s="20"/>
    </row>
    <row r="904" spans="1:7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7" x14ac:dyDescent="0.2">
      <c r="A905" s="6"/>
      <c r="B905" s="99"/>
      <c r="C905" s="8"/>
      <c r="D905" s="8"/>
      <c r="E905" s="920"/>
      <c r="F905" s="921"/>
      <c r="G905" s="25"/>
    </row>
    <row r="906" spans="1:7" ht="26.25" thickBot="1" x14ac:dyDescent="0.25">
      <c r="A906" s="207" t="s">
        <v>47</v>
      </c>
      <c r="B906" s="28" t="s">
        <v>23</v>
      </c>
      <c r="C906" s="28" t="s">
        <v>34</v>
      </c>
      <c r="D906" s="110" t="s">
        <v>53</v>
      </c>
      <c r="E906" s="114" t="s">
        <v>54</v>
      </c>
      <c r="F906" s="111" t="s">
        <v>55</v>
      </c>
      <c r="G906" s="112" t="s">
        <v>35</v>
      </c>
    </row>
    <row r="907" spans="1:7" ht="13.5" thickTop="1" x14ac:dyDescent="0.2">
      <c r="A907" s="29">
        <v>1</v>
      </c>
      <c r="B907" s="101"/>
      <c r="C907" s="371" t="s">
        <v>149</v>
      </c>
      <c r="D907" s="370" t="s">
        <v>2464</v>
      </c>
      <c r="E907" s="158">
        <v>15</v>
      </c>
      <c r="F907" s="128">
        <v>200</v>
      </c>
      <c r="G907" s="35">
        <f>F907*E907</f>
        <v>3000</v>
      </c>
    </row>
    <row r="908" spans="1:7" x14ac:dyDescent="0.2">
      <c r="A908" s="29"/>
      <c r="B908" s="101"/>
      <c r="C908" s="41"/>
      <c r="D908" s="370" t="s">
        <v>8</v>
      </c>
      <c r="E908" s="156"/>
      <c r="F908" s="128"/>
      <c r="G908" s="35"/>
    </row>
    <row r="909" spans="1:7" x14ac:dyDescent="0.2">
      <c r="A909" s="29"/>
      <c r="B909" s="101"/>
      <c r="C909" s="371"/>
      <c r="D909" s="370"/>
      <c r="E909" s="108"/>
      <c r="F909" s="128"/>
      <c r="G909" s="35"/>
    </row>
    <row r="910" spans="1:7" x14ac:dyDescent="0.2">
      <c r="A910" s="29"/>
      <c r="B910" s="105"/>
      <c r="C910" s="371"/>
      <c r="D910" s="376"/>
      <c r="E910" s="102"/>
      <c r="F910" s="128"/>
      <c r="G910" s="35"/>
    </row>
    <row r="911" spans="1:7" x14ac:dyDescent="0.2">
      <c r="A911" s="29"/>
      <c r="B911" s="105"/>
      <c r="C911" s="371"/>
      <c r="D911" s="376"/>
      <c r="E911" s="102"/>
      <c r="F911" s="128"/>
      <c r="G911" s="35"/>
    </row>
    <row r="912" spans="1:7" x14ac:dyDescent="0.2">
      <c r="A912" s="29"/>
      <c r="B912" s="105"/>
      <c r="C912" s="41"/>
      <c r="D912" s="376"/>
      <c r="E912" s="102"/>
      <c r="F912" s="128"/>
      <c r="G912" s="35"/>
    </row>
    <row r="913" spans="1:7" x14ac:dyDescent="0.2">
      <c r="A913" s="29"/>
      <c r="B913" s="151"/>
      <c r="C913" s="119"/>
      <c r="D913" s="136"/>
      <c r="E913" s="108"/>
      <c r="F913" s="150"/>
      <c r="G913" s="35"/>
    </row>
    <row r="914" spans="1:7" x14ac:dyDescent="0.2">
      <c r="A914" s="29"/>
      <c r="B914" s="151"/>
      <c r="C914" s="119"/>
      <c r="D914" s="144"/>
      <c r="E914" s="108"/>
      <c r="F914" s="150"/>
      <c r="G914" s="35"/>
    </row>
    <row r="915" spans="1:7" x14ac:dyDescent="0.2">
      <c r="A915" s="29"/>
      <c r="B915" s="101"/>
      <c r="C915" s="41"/>
      <c r="D915" s="144"/>
      <c r="E915" s="155"/>
      <c r="F915" s="128"/>
      <c r="G915" s="35"/>
    </row>
    <row r="916" spans="1:7" x14ac:dyDescent="0.2">
      <c r="A916" s="29"/>
      <c r="B916" s="106"/>
      <c r="C916" s="41"/>
      <c r="D916" s="136"/>
      <c r="E916" s="104"/>
      <c r="F916" s="128"/>
      <c r="G916" s="35"/>
    </row>
    <row r="917" spans="1:7" x14ac:dyDescent="0.2">
      <c r="A917" s="29"/>
      <c r="B917" s="105"/>
      <c r="C917" s="41" t="s">
        <v>150</v>
      </c>
      <c r="D917" s="136"/>
      <c r="E917" s="108"/>
      <c r="F917" s="152"/>
      <c r="G917" s="35"/>
    </row>
    <row r="918" spans="1:7" x14ac:dyDescent="0.2">
      <c r="A918" s="29"/>
      <c r="B918" s="107"/>
      <c r="C918" s="41"/>
      <c r="D918" s="136"/>
      <c r="E918" s="153"/>
      <c r="F918" s="128"/>
      <c r="G918" s="35"/>
    </row>
    <row r="919" spans="1:7" x14ac:dyDescent="0.2">
      <c r="A919" s="29"/>
      <c r="B919" s="107"/>
      <c r="C919" s="41"/>
      <c r="D919" s="67"/>
      <c r="E919" s="153"/>
      <c r="F919" s="128"/>
      <c r="G919" s="35"/>
    </row>
    <row r="920" spans="1:7" x14ac:dyDescent="0.2">
      <c r="A920" s="29"/>
      <c r="B920" s="101"/>
      <c r="C920" s="41"/>
      <c r="D920" s="67"/>
      <c r="E920" s="108"/>
      <c r="F920" s="128"/>
      <c r="G920" s="35"/>
    </row>
    <row r="921" spans="1:7" x14ac:dyDescent="0.2">
      <c r="A921" s="29"/>
      <c r="B921" s="101"/>
      <c r="C921" s="41"/>
      <c r="D921" s="67"/>
      <c r="E921" s="153"/>
      <c r="F921" s="128"/>
      <c r="G921" s="35"/>
    </row>
    <row r="922" spans="1:7" x14ac:dyDescent="0.2">
      <c r="A922" s="29"/>
      <c r="B922" s="106"/>
      <c r="C922" s="41"/>
      <c r="D922" s="67"/>
      <c r="E922" s="104" t="s">
        <v>150</v>
      </c>
      <c r="F922" s="154"/>
      <c r="G922" s="35"/>
    </row>
    <row r="923" spans="1:7" x14ac:dyDescent="0.2">
      <c r="A923" s="29"/>
      <c r="B923" s="105"/>
      <c r="C923" s="41"/>
      <c r="D923" s="130"/>
      <c r="E923" s="104"/>
      <c r="F923" s="154"/>
      <c r="G923" s="35"/>
    </row>
    <row r="924" spans="1:7" x14ac:dyDescent="0.2">
      <c r="A924" s="29"/>
      <c r="B924" s="105"/>
      <c r="C924" s="41"/>
      <c r="D924" s="67"/>
      <c r="E924" s="104"/>
      <c r="F924" s="154"/>
      <c r="G924" s="35"/>
    </row>
    <row r="925" spans="1:7" x14ac:dyDescent="0.2">
      <c r="A925" s="29"/>
      <c r="B925" s="101"/>
      <c r="C925" s="41"/>
      <c r="D925" s="67"/>
      <c r="E925" s="104"/>
      <c r="F925" s="154"/>
      <c r="G925" s="35"/>
    </row>
    <row r="926" spans="1:7" x14ac:dyDescent="0.2">
      <c r="A926" s="29"/>
      <c r="B926" s="101"/>
      <c r="C926" s="41"/>
      <c r="D926" s="136"/>
      <c r="E926" s="104"/>
      <c r="F926" s="154"/>
      <c r="G926" s="35"/>
    </row>
    <row r="927" spans="1:7" x14ac:dyDescent="0.2">
      <c r="A927" s="29"/>
      <c r="B927" s="101"/>
      <c r="C927" s="41"/>
      <c r="D927" s="136"/>
      <c r="E927" s="104"/>
      <c r="F927" s="154"/>
      <c r="G927" s="35"/>
    </row>
    <row r="928" spans="1:7" x14ac:dyDescent="0.2">
      <c r="A928" s="29"/>
      <c r="B928" s="101"/>
      <c r="C928" s="41"/>
      <c r="D928" s="62"/>
      <c r="E928" s="104"/>
      <c r="F928" s="154"/>
      <c r="G928" s="35"/>
    </row>
    <row r="929" spans="1:7" x14ac:dyDescent="0.2">
      <c r="A929" s="29"/>
      <c r="B929" s="101"/>
      <c r="C929" s="41"/>
      <c r="D929" s="62"/>
      <c r="E929" s="104"/>
      <c r="F929" s="154"/>
      <c r="G929" s="35"/>
    </row>
    <row r="930" spans="1:7" x14ac:dyDescent="0.2">
      <c r="A930" s="29"/>
      <c r="B930" s="101"/>
      <c r="C930" s="41"/>
      <c r="D930" s="62"/>
      <c r="E930" s="104"/>
      <c r="F930" s="154"/>
      <c r="G930" s="35"/>
    </row>
    <row r="931" spans="1:7" x14ac:dyDescent="0.2">
      <c r="A931" s="29"/>
      <c r="B931" s="101"/>
      <c r="C931" s="41"/>
      <c r="D931" s="62"/>
      <c r="E931" s="104"/>
      <c r="F931" s="154"/>
      <c r="G931" s="35"/>
    </row>
    <row r="932" spans="1:7" x14ac:dyDescent="0.2">
      <c r="A932" s="29"/>
      <c r="B932" s="101"/>
      <c r="C932" s="41"/>
      <c r="D932" s="62"/>
      <c r="E932" s="104"/>
      <c r="F932" s="154"/>
      <c r="G932" s="35"/>
    </row>
    <row r="933" spans="1:7" x14ac:dyDescent="0.2">
      <c r="A933" s="29"/>
      <c r="B933" s="101"/>
      <c r="C933" s="41"/>
      <c r="D933" s="67"/>
      <c r="E933" s="104"/>
      <c r="F933" s="154"/>
      <c r="G933" s="35"/>
    </row>
    <row r="934" spans="1:7" x14ac:dyDescent="0.2">
      <c r="A934" s="29"/>
      <c r="B934" s="101"/>
      <c r="C934" s="41"/>
      <c r="D934" s="159"/>
      <c r="E934" s="104"/>
      <c r="F934" s="154"/>
      <c r="G934" s="35"/>
    </row>
    <row r="935" spans="1:7" x14ac:dyDescent="0.2">
      <c r="A935" s="29"/>
      <c r="B935" s="101"/>
      <c r="C935" s="41"/>
      <c r="D935" s="160"/>
      <c r="E935" s="108"/>
      <c r="F935" s="128"/>
      <c r="G935" s="35"/>
    </row>
    <row r="936" spans="1:7" x14ac:dyDescent="0.2">
      <c r="A936" s="29"/>
      <c r="B936" s="101"/>
      <c r="C936" s="41"/>
      <c r="D936" s="136"/>
      <c r="E936" s="153"/>
      <c r="F936" s="128"/>
      <c r="G936" s="35"/>
    </row>
    <row r="937" spans="1:7" x14ac:dyDescent="0.2">
      <c r="A937" s="29"/>
      <c r="B937" s="101"/>
      <c r="C937" s="41"/>
      <c r="D937" s="136"/>
      <c r="E937" s="102"/>
      <c r="F937" s="128"/>
      <c r="G937" s="35"/>
    </row>
    <row r="938" spans="1:7" x14ac:dyDescent="0.2">
      <c r="A938" s="29"/>
      <c r="B938" s="101"/>
      <c r="C938" s="31"/>
      <c r="D938" s="67"/>
      <c r="E938" s="131"/>
      <c r="F938" s="117"/>
      <c r="G938" s="35"/>
    </row>
    <row r="939" spans="1:7" x14ac:dyDescent="0.2">
      <c r="A939" s="29"/>
      <c r="B939" s="101"/>
      <c r="C939" s="41"/>
      <c r="D939" s="118"/>
      <c r="E939" s="108"/>
      <c r="F939" s="149"/>
      <c r="G939" s="35"/>
    </row>
    <row r="940" spans="1:7" x14ac:dyDescent="0.2">
      <c r="A940" s="29"/>
      <c r="B940" s="101"/>
      <c r="C940" s="41"/>
      <c r="D940" s="144"/>
      <c r="E940" s="108"/>
      <c r="F940" s="149"/>
      <c r="G940" s="35"/>
    </row>
    <row r="941" spans="1:7" ht="13.5" thickBot="1" x14ac:dyDescent="0.25">
      <c r="A941" s="45"/>
      <c r="B941" s="132"/>
      <c r="C941" s="115"/>
      <c r="D941" s="115"/>
      <c r="E941" s="132"/>
      <c r="F941" s="49" t="s">
        <v>15</v>
      </c>
      <c r="G941" s="50">
        <f>SUM(G907:G940)</f>
        <v>3000</v>
      </c>
    </row>
    <row r="942" spans="1:7" ht="13.5" thickTop="1" x14ac:dyDescent="0.2">
      <c r="A942" s="875" t="s">
        <v>1699</v>
      </c>
      <c r="B942" s="899"/>
      <c r="C942" s="899"/>
      <c r="D942" s="899"/>
      <c r="E942" s="899"/>
      <c r="F942" s="899"/>
      <c r="G942" s="900"/>
    </row>
    <row r="943" spans="1:7" ht="13.5" thickBot="1" x14ac:dyDescent="0.25">
      <c r="A943" s="52"/>
      <c r="B943" s="103"/>
      <c r="C943" s="374" t="s">
        <v>2442</v>
      </c>
      <c r="D943" s="54"/>
      <c r="E943" s="103"/>
      <c r="F943" s="55"/>
      <c r="G943" s="56"/>
    </row>
    <row r="944" spans="1:7" ht="13.5" thickTop="1" x14ac:dyDescent="0.2">
      <c r="A944" s="906"/>
      <c r="B944" s="907"/>
      <c r="C944" s="907"/>
      <c r="D944" s="57" t="s">
        <v>11</v>
      </c>
      <c r="E944" s="908" t="s">
        <v>12</v>
      </c>
      <c r="F944" s="908"/>
      <c r="G944" s="909"/>
    </row>
    <row r="945" spans="1:7" x14ac:dyDescent="0.2">
      <c r="A945" s="910" t="s">
        <v>17</v>
      </c>
      <c r="B945" s="911"/>
      <c r="C945" s="911"/>
      <c r="D945" s="39"/>
      <c r="E945" s="912"/>
      <c r="F945" s="913"/>
      <c r="G945" s="914"/>
    </row>
    <row r="946" spans="1:7" x14ac:dyDescent="0.2">
      <c r="A946" s="910" t="s">
        <v>38</v>
      </c>
      <c r="B946" s="911"/>
      <c r="C946" s="911"/>
      <c r="D946" s="58" t="s">
        <v>271</v>
      </c>
      <c r="E946" s="868" t="s">
        <v>142</v>
      </c>
      <c r="F946" s="868"/>
      <c r="G946" s="869"/>
    </row>
    <row r="947" spans="1:7" ht="13.5" thickBot="1" x14ac:dyDescent="0.25">
      <c r="A947" s="901" t="s">
        <v>39</v>
      </c>
      <c r="B947" s="902"/>
      <c r="C947" s="902"/>
      <c r="D947" s="59" t="s">
        <v>272</v>
      </c>
      <c r="E947" s="904" t="s">
        <v>0</v>
      </c>
      <c r="F947" s="904"/>
      <c r="G947" s="905"/>
    </row>
    <row r="948" spans="1:7" ht="16.5" x14ac:dyDescent="0.25">
      <c r="A948" s="885" t="s">
        <v>29</v>
      </c>
      <c r="B948" s="886"/>
      <c r="C948" s="886"/>
      <c r="D948" s="886"/>
      <c r="E948" s="886"/>
      <c r="F948" s="886"/>
      <c r="G948" s="887"/>
    </row>
    <row r="949" spans="1:7" x14ac:dyDescent="0.2">
      <c r="A949" s="888" t="s">
        <v>48</v>
      </c>
      <c r="B949" s="889"/>
      <c r="C949" s="889"/>
      <c r="D949" s="889"/>
      <c r="E949" s="889"/>
      <c r="F949" s="889"/>
      <c r="G949" s="890"/>
    </row>
    <row r="950" spans="1:7" x14ac:dyDescent="0.2">
      <c r="A950" s="915" t="s">
        <v>49</v>
      </c>
      <c r="B950" s="916"/>
      <c r="C950" s="916"/>
      <c r="D950" s="916"/>
      <c r="E950" s="916"/>
      <c r="F950" s="916"/>
      <c r="G950" s="917"/>
    </row>
    <row r="951" spans="1:7" x14ac:dyDescent="0.2">
      <c r="A951" s="6"/>
      <c r="B951" s="99"/>
      <c r="C951" s="8"/>
      <c r="D951" s="9"/>
      <c r="E951" s="99"/>
      <c r="F951" s="10"/>
      <c r="G951" s="11" t="s">
        <v>20</v>
      </c>
    </row>
    <row r="952" spans="1:7" x14ac:dyDescent="0.2">
      <c r="A952" s="12" t="s">
        <v>1</v>
      </c>
      <c r="B952" s="13"/>
      <c r="C952" s="14" t="s">
        <v>27</v>
      </c>
      <c r="D952" s="13"/>
      <c r="E952" s="362" t="s">
        <v>2441</v>
      </c>
      <c r="F952" s="98"/>
      <c r="G952" s="363" t="s">
        <v>2506</v>
      </c>
    </row>
    <row r="953" spans="1:7" x14ac:dyDescent="0.2">
      <c r="A953" s="17" t="s">
        <v>8</v>
      </c>
      <c r="B953" s="100"/>
      <c r="C953" s="19"/>
      <c r="D953" s="4"/>
      <c r="E953" s="918"/>
      <c r="F953" s="919"/>
      <c r="G953" s="20"/>
    </row>
    <row r="954" spans="1:7" x14ac:dyDescent="0.2">
      <c r="A954" s="21" t="s">
        <v>37</v>
      </c>
      <c r="B954" s="22"/>
      <c r="C954" s="22"/>
      <c r="D954" s="22"/>
      <c r="E954" s="23" t="s">
        <v>46</v>
      </c>
      <c r="F954" s="24"/>
      <c r="G954" s="20" t="s">
        <v>50</v>
      </c>
    </row>
    <row r="955" spans="1:7" x14ac:dyDescent="0.2">
      <c r="A955" s="6"/>
      <c r="B955" s="99"/>
      <c r="C955" s="8"/>
      <c r="D955" s="8"/>
      <c r="E955" s="920"/>
      <c r="F955" s="921"/>
      <c r="G955" s="25"/>
    </row>
    <row r="956" spans="1:7" ht="26.25" thickBot="1" x14ac:dyDescent="0.25">
      <c r="A956" s="207" t="s">
        <v>47</v>
      </c>
      <c r="B956" s="28" t="s">
        <v>23</v>
      </c>
      <c r="C956" s="28" t="s">
        <v>34</v>
      </c>
      <c r="D956" s="110" t="s">
        <v>53</v>
      </c>
      <c r="E956" s="114" t="s">
        <v>54</v>
      </c>
      <c r="F956" s="111" t="s">
        <v>55</v>
      </c>
      <c r="G956" s="112" t="s">
        <v>35</v>
      </c>
    </row>
    <row r="957" spans="1:7" ht="13.5" thickTop="1" x14ac:dyDescent="0.2">
      <c r="A957" s="29">
        <v>1</v>
      </c>
      <c r="B957" s="101"/>
      <c r="C957" s="371" t="s">
        <v>149</v>
      </c>
      <c r="D957" s="370" t="s">
        <v>2464</v>
      </c>
      <c r="E957" s="158">
        <v>30</v>
      </c>
      <c r="F957" s="128">
        <v>200</v>
      </c>
      <c r="G957" s="35">
        <f>F957*E957</f>
        <v>6000</v>
      </c>
    </row>
    <row r="958" spans="1:7" x14ac:dyDescent="0.2">
      <c r="A958" s="29"/>
      <c r="B958" s="101"/>
      <c r="C958" s="41"/>
      <c r="D958" s="370" t="s">
        <v>8</v>
      </c>
      <c r="E958" s="156"/>
      <c r="F958" s="128"/>
      <c r="G958" s="35"/>
    </row>
    <row r="959" spans="1:7" x14ac:dyDescent="0.2">
      <c r="A959" s="29"/>
      <c r="B959" s="101"/>
      <c r="C959" s="371"/>
      <c r="D959" s="370"/>
      <c r="E959" s="108"/>
      <c r="F959" s="128"/>
      <c r="G959" s="35"/>
    </row>
    <row r="960" spans="1:7" x14ac:dyDescent="0.2">
      <c r="A960" s="29"/>
      <c r="B960" s="105"/>
      <c r="C960" s="371"/>
      <c r="D960" s="376"/>
      <c r="E960" s="102"/>
      <c r="F960" s="128"/>
      <c r="G960" s="35"/>
    </row>
    <row r="961" spans="1:7" x14ac:dyDescent="0.2">
      <c r="A961" s="29"/>
      <c r="B961" s="105"/>
      <c r="C961" s="371"/>
      <c r="D961" s="376"/>
      <c r="E961" s="102"/>
      <c r="F961" s="128"/>
      <c r="G961" s="35"/>
    </row>
    <row r="962" spans="1:7" x14ac:dyDescent="0.2">
      <c r="A962" s="29"/>
      <c r="B962" s="105"/>
      <c r="C962" s="41"/>
      <c r="D962" s="376"/>
      <c r="E962" s="102"/>
      <c r="F962" s="128"/>
      <c r="G962" s="35"/>
    </row>
    <row r="963" spans="1:7" x14ac:dyDescent="0.2">
      <c r="A963" s="29"/>
      <c r="B963" s="151"/>
      <c r="C963" s="119"/>
      <c r="D963" s="136"/>
      <c r="E963" s="108"/>
      <c r="F963" s="150"/>
      <c r="G963" s="35"/>
    </row>
    <row r="964" spans="1:7" x14ac:dyDescent="0.2">
      <c r="A964" s="29"/>
      <c r="B964" s="151"/>
      <c r="C964" s="119"/>
      <c r="D964" s="144"/>
      <c r="E964" s="108"/>
      <c r="F964" s="150"/>
      <c r="G964" s="35"/>
    </row>
    <row r="965" spans="1:7" x14ac:dyDescent="0.2">
      <c r="A965" s="29"/>
      <c r="B965" s="101"/>
      <c r="C965" s="41"/>
      <c r="D965" s="144"/>
      <c r="E965" s="155"/>
      <c r="F965" s="128"/>
      <c r="G965" s="35"/>
    </row>
    <row r="966" spans="1:7" x14ac:dyDescent="0.2">
      <c r="A966" s="29"/>
      <c r="B966" s="106"/>
      <c r="C966" s="41"/>
      <c r="D966" s="136"/>
      <c r="E966" s="104"/>
      <c r="F966" s="128"/>
      <c r="G966" s="35"/>
    </row>
    <row r="967" spans="1:7" x14ac:dyDescent="0.2">
      <c r="A967" s="29"/>
      <c r="B967" s="105"/>
      <c r="C967" s="41" t="s">
        <v>150</v>
      </c>
      <c r="D967" s="136"/>
      <c r="E967" s="108"/>
      <c r="F967" s="152"/>
      <c r="G967" s="35"/>
    </row>
    <row r="968" spans="1:7" x14ac:dyDescent="0.2">
      <c r="A968" s="29"/>
      <c r="B968" s="107"/>
      <c r="C968" s="41"/>
      <c r="D968" s="136"/>
      <c r="E968" s="153"/>
      <c r="F968" s="128"/>
      <c r="G968" s="35"/>
    </row>
    <row r="969" spans="1:7" x14ac:dyDescent="0.2">
      <c r="A969" s="29"/>
      <c r="B969" s="107"/>
      <c r="C969" s="41"/>
      <c r="D969" s="67"/>
      <c r="E969" s="153"/>
      <c r="F969" s="128"/>
      <c r="G969" s="35"/>
    </row>
    <row r="970" spans="1:7" x14ac:dyDescent="0.2">
      <c r="A970" s="29"/>
      <c r="B970" s="101"/>
      <c r="C970" s="41"/>
      <c r="D970" s="67"/>
      <c r="E970" s="108"/>
      <c r="F970" s="128"/>
      <c r="G970" s="35"/>
    </row>
    <row r="971" spans="1:7" x14ac:dyDescent="0.2">
      <c r="A971" s="29"/>
      <c r="B971" s="101"/>
      <c r="C971" s="41"/>
      <c r="D971" s="67"/>
      <c r="E971" s="153"/>
      <c r="F971" s="128"/>
      <c r="G971" s="35"/>
    </row>
    <row r="972" spans="1:7" x14ac:dyDescent="0.2">
      <c r="A972" s="29"/>
      <c r="B972" s="106"/>
      <c r="C972" s="41"/>
      <c r="D972" s="67"/>
      <c r="E972" s="104" t="s">
        <v>150</v>
      </c>
      <c r="F972" s="154"/>
      <c r="G972" s="35"/>
    </row>
    <row r="973" spans="1:7" x14ac:dyDescent="0.2">
      <c r="A973" s="29"/>
      <c r="B973" s="105"/>
      <c r="C973" s="41"/>
      <c r="D973" s="130"/>
      <c r="E973" s="104"/>
      <c r="F973" s="154"/>
      <c r="G973" s="35"/>
    </row>
    <row r="974" spans="1:7" x14ac:dyDescent="0.2">
      <c r="A974" s="29"/>
      <c r="B974" s="105"/>
      <c r="C974" s="41"/>
      <c r="D974" s="67"/>
      <c r="E974" s="104"/>
      <c r="F974" s="154"/>
      <c r="G974" s="35"/>
    </row>
    <row r="975" spans="1:7" x14ac:dyDescent="0.2">
      <c r="A975" s="29"/>
      <c r="B975" s="101"/>
      <c r="C975" s="41"/>
      <c r="D975" s="67"/>
      <c r="E975" s="104"/>
      <c r="F975" s="154"/>
      <c r="G975" s="35"/>
    </row>
    <row r="976" spans="1:7" x14ac:dyDescent="0.2">
      <c r="A976" s="29"/>
      <c r="B976" s="101"/>
      <c r="C976" s="41"/>
      <c r="D976" s="136"/>
      <c r="E976" s="104"/>
      <c r="F976" s="154"/>
      <c r="G976" s="35"/>
    </row>
    <row r="977" spans="1:7" x14ac:dyDescent="0.2">
      <c r="A977" s="29"/>
      <c r="B977" s="101"/>
      <c r="C977" s="41"/>
      <c r="D977" s="136"/>
      <c r="E977" s="104"/>
      <c r="F977" s="154"/>
      <c r="G977" s="35"/>
    </row>
    <row r="978" spans="1:7" x14ac:dyDescent="0.2">
      <c r="A978" s="29"/>
      <c r="B978" s="101"/>
      <c r="C978" s="41"/>
      <c r="D978" s="62"/>
      <c r="E978" s="104"/>
      <c r="F978" s="154"/>
      <c r="G978" s="35"/>
    </row>
    <row r="979" spans="1:7" x14ac:dyDescent="0.2">
      <c r="A979" s="29"/>
      <c r="B979" s="101"/>
      <c r="C979" s="41"/>
      <c r="D979" s="62"/>
      <c r="E979" s="104"/>
      <c r="F979" s="154"/>
      <c r="G979" s="35"/>
    </row>
    <row r="980" spans="1:7" x14ac:dyDescent="0.2">
      <c r="A980" s="29"/>
      <c r="B980" s="101"/>
      <c r="C980" s="41"/>
      <c r="D980" s="62"/>
      <c r="E980" s="104"/>
      <c r="F980" s="154"/>
      <c r="G980" s="35"/>
    </row>
    <row r="981" spans="1:7" x14ac:dyDescent="0.2">
      <c r="A981" s="29"/>
      <c r="B981" s="101"/>
      <c r="C981" s="41"/>
      <c r="D981" s="62"/>
      <c r="E981" s="104"/>
      <c r="F981" s="154"/>
      <c r="G981" s="35"/>
    </row>
    <row r="982" spans="1:7" x14ac:dyDescent="0.2">
      <c r="A982" s="29"/>
      <c r="B982" s="101"/>
      <c r="C982" s="41"/>
      <c r="D982" s="62"/>
      <c r="E982" s="104"/>
      <c r="F982" s="154"/>
      <c r="G982" s="35"/>
    </row>
    <row r="983" spans="1:7" x14ac:dyDescent="0.2">
      <c r="A983" s="29"/>
      <c r="B983" s="101"/>
      <c r="C983" s="41"/>
      <c r="D983" s="67"/>
      <c r="E983" s="104"/>
      <c r="F983" s="154"/>
      <c r="G983" s="35"/>
    </row>
    <row r="984" spans="1:7" x14ac:dyDescent="0.2">
      <c r="A984" s="29"/>
      <c r="B984" s="101"/>
      <c r="C984" s="41"/>
      <c r="D984" s="159"/>
      <c r="E984" s="104"/>
      <c r="F984" s="154"/>
      <c r="G984" s="35"/>
    </row>
    <row r="985" spans="1:7" x14ac:dyDescent="0.2">
      <c r="A985" s="29"/>
      <c r="B985" s="101"/>
      <c r="C985" s="41"/>
      <c r="D985" s="160"/>
      <c r="E985" s="108"/>
      <c r="F985" s="128"/>
      <c r="G985" s="35"/>
    </row>
    <row r="986" spans="1:7" x14ac:dyDescent="0.2">
      <c r="A986" s="29"/>
      <c r="B986" s="101"/>
      <c r="C986" s="41"/>
      <c r="D986" s="136"/>
      <c r="E986" s="153"/>
      <c r="F986" s="128"/>
      <c r="G986" s="35"/>
    </row>
    <row r="987" spans="1:7" x14ac:dyDescent="0.2">
      <c r="A987" s="29"/>
      <c r="B987" s="101"/>
      <c r="C987" s="41"/>
      <c r="D987" s="136"/>
      <c r="E987" s="102"/>
      <c r="F987" s="128"/>
      <c r="G987" s="35"/>
    </row>
    <row r="988" spans="1:7" x14ac:dyDescent="0.2">
      <c r="A988" s="29"/>
      <c r="B988" s="101"/>
      <c r="C988" s="31"/>
      <c r="D988" s="67"/>
      <c r="E988" s="131"/>
      <c r="F988" s="117"/>
      <c r="G988" s="35"/>
    </row>
    <row r="989" spans="1:7" x14ac:dyDescent="0.2">
      <c r="A989" s="29"/>
      <c r="B989" s="101"/>
      <c r="C989" s="41"/>
      <c r="D989" s="118"/>
      <c r="E989" s="108"/>
      <c r="F989" s="149"/>
      <c r="G989" s="35"/>
    </row>
    <row r="990" spans="1:7" x14ac:dyDescent="0.2">
      <c r="A990" s="29"/>
      <c r="B990" s="101"/>
      <c r="C990" s="41"/>
      <c r="D990" s="144"/>
      <c r="E990" s="108"/>
      <c r="F990" s="149"/>
      <c r="G990" s="35"/>
    </row>
    <row r="991" spans="1:7" ht="13.5" thickBot="1" x14ac:dyDescent="0.25">
      <c r="A991" s="45"/>
      <c r="B991" s="132"/>
      <c r="C991" s="115"/>
      <c r="D991" s="115"/>
      <c r="E991" s="132"/>
      <c r="F991" s="49" t="s">
        <v>15</v>
      </c>
      <c r="G991" s="50">
        <f>SUM(G957:G990)</f>
        <v>6000</v>
      </c>
    </row>
    <row r="992" spans="1:7" ht="13.5" thickTop="1" x14ac:dyDescent="0.2">
      <c r="A992" s="875" t="s">
        <v>1699</v>
      </c>
      <c r="B992" s="899"/>
      <c r="C992" s="899"/>
      <c r="D992" s="899"/>
      <c r="E992" s="899"/>
      <c r="F992" s="899"/>
      <c r="G992" s="900"/>
    </row>
    <row r="993" spans="1:7" ht="13.5" thickBot="1" x14ac:dyDescent="0.25">
      <c r="A993" s="52"/>
      <c r="B993" s="103"/>
      <c r="C993" s="374" t="s">
        <v>1861</v>
      </c>
      <c r="D993" s="54"/>
      <c r="E993" s="103"/>
      <c r="F993" s="55"/>
      <c r="G993" s="56"/>
    </row>
    <row r="994" spans="1:7" ht="13.5" thickTop="1" x14ac:dyDescent="0.2">
      <c r="A994" s="906"/>
      <c r="B994" s="907"/>
      <c r="C994" s="907"/>
      <c r="D994" s="57" t="s">
        <v>11</v>
      </c>
      <c r="E994" s="908" t="s">
        <v>12</v>
      </c>
      <c r="F994" s="908"/>
      <c r="G994" s="909"/>
    </row>
    <row r="995" spans="1:7" x14ac:dyDescent="0.2">
      <c r="A995" s="910" t="s">
        <v>17</v>
      </c>
      <c r="B995" s="911"/>
      <c r="C995" s="911"/>
      <c r="D995" s="39"/>
      <c r="E995" s="912"/>
      <c r="F995" s="913"/>
      <c r="G995" s="914"/>
    </row>
    <row r="996" spans="1:7" x14ac:dyDescent="0.2">
      <c r="A996" s="910" t="s">
        <v>38</v>
      </c>
      <c r="B996" s="911"/>
      <c r="C996" s="911"/>
      <c r="D996" s="58" t="s">
        <v>271</v>
      </c>
      <c r="E996" s="868" t="s">
        <v>142</v>
      </c>
      <c r="F996" s="868"/>
      <c r="G996" s="869"/>
    </row>
    <row r="997" spans="1:7" ht="13.5" thickBot="1" x14ac:dyDescent="0.25">
      <c r="A997" s="901" t="s">
        <v>39</v>
      </c>
      <c r="B997" s="902"/>
      <c r="C997" s="902"/>
      <c r="D997" s="59" t="s">
        <v>272</v>
      </c>
      <c r="E997" s="904" t="s">
        <v>0</v>
      </c>
      <c r="F997" s="904"/>
      <c r="G997" s="905"/>
    </row>
    <row r="998" spans="1:7" ht="16.5" x14ac:dyDescent="0.25">
      <c r="A998" s="885" t="s">
        <v>29</v>
      </c>
      <c r="B998" s="886"/>
      <c r="C998" s="886"/>
      <c r="D998" s="886"/>
      <c r="E998" s="886"/>
      <c r="F998" s="886"/>
      <c r="G998" s="887"/>
    </row>
    <row r="999" spans="1:7" x14ac:dyDescent="0.2">
      <c r="A999" s="888" t="s">
        <v>48</v>
      </c>
      <c r="B999" s="889"/>
      <c r="C999" s="889"/>
      <c r="D999" s="889"/>
      <c r="E999" s="889"/>
      <c r="F999" s="889"/>
      <c r="G999" s="890"/>
    </row>
    <row r="1000" spans="1:7" x14ac:dyDescent="0.2">
      <c r="A1000" s="915" t="s">
        <v>49</v>
      </c>
      <c r="B1000" s="916"/>
      <c r="C1000" s="916"/>
      <c r="D1000" s="916"/>
      <c r="E1000" s="916"/>
      <c r="F1000" s="916"/>
      <c r="G1000" s="917"/>
    </row>
    <row r="1001" spans="1:7" x14ac:dyDescent="0.2">
      <c r="A1001" s="6"/>
      <c r="B1001" s="99"/>
      <c r="C1001" s="8"/>
      <c r="D1001" s="9"/>
      <c r="E1001" s="99"/>
      <c r="F1001" s="10"/>
      <c r="G1001" s="11" t="s">
        <v>20</v>
      </c>
    </row>
    <row r="1002" spans="1:7" x14ac:dyDescent="0.2">
      <c r="A1002" s="12" t="s">
        <v>1</v>
      </c>
      <c r="B1002" s="13"/>
      <c r="C1002" s="14" t="s">
        <v>27</v>
      </c>
      <c r="D1002" s="13"/>
      <c r="E1002" s="362" t="s">
        <v>2523</v>
      </c>
      <c r="F1002" s="98"/>
      <c r="G1002" s="363" t="s">
        <v>2506</v>
      </c>
    </row>
    <row r="1003" spans="1:7" x14ac:dyDescent="0.2">
      <c r="A1003" s="17" t="s">
        <v>8</v>
      </c>
      <c r="B1003" s="100"/>
      <c r="C1003" s="19"/>
      <c r="D1003" s="4"/>
      <c r="E1003" s="918"/>
      <c r="F1003" s="919"/>
      <c r="G1003" s="20"/>
    </row>
    <row r="1004" spans="1:7" x14ac:dyDescent="0.2">
      <c r="A1004" s="21" t="s">
        <v>37</v>
      </c>
      <c r="B1004" s="22"/>
      <c r="C1004" s="22"/>
      <c r="D1004" s="22"/>
      <c r="E1004" s="23" t="s">
        <v>46</v>
      </c>
      <c r="F1004" s="24"/>
      <c r="G1004" s="20" t="s">
        <v>50</v>
      </c>
    </row>
    <row r="1005" spans="1:7" x14ac:dyDescent="0.2">
      <c r="A1005" s="6"/>
      <c r="B1005" s="99"/>
      <c r="C1005" s="8"/>
      <c r="D1005" s="8"/>
      <c r="E1005" s="920"/>
      <c r="F1005" s="921"/>
      <c r="G1005" s="25"/>
    </row>
    <row r="1006" spans="1:7" ht="26.25" thickBot="1" x14ac:dyDescent="0.25">
      <c r="A1006" s="207" t="s">
        <v>47</v>
      </c>
      <c r="B1006" s="28" t="s">
        <v>23</v>
      </c>
      <c r="C1006" s="28" t="s">
        <v>34</v>
      </c>
      <c r="D1006" s="110" t="s">
        <v>53</v>
      </c>
      <c r="E1006" s="114" t="s">
        <v>54</v>
      </c>
      <c r="F1006" s="111" t="s">
        <v>55</v>
      </c>
      <c r="G1006" s="112" t="s">
        <v>35</v>
      </c>
    </row>
    <row r="1007" spans="1:7" ht="13.5" thickTop="1" x14ac:dyDescent="0.2">
      <c r="A1007" s="29">
        <v>1</v>
      </c>
      <c r="B1007" s="101"/>
      <c r="C1007" s="371" t="s">
        <v>242</v>
      </c>
      <c r="D1007" s="370" t="s">
        <v>2511</v>
      </c>
      <c r="E1007" s="158">
        <v>60</v>
      </c>
      <c r="F1007" s="128">
        <v>200</v>
      </c>
      <c r="G1007" s="35">
        <f>F1007*E1007</f>
        <v>12000</v>
      </c>
    </row>
    <row r="1008" spans="1:7" x14ac:dyDescent="0.2">
      <c r="A1008" s="29">
        <v>2</v>
      </c>
      <c r="B1008" s="101"/>
      <c r="C1008" s="371" t="s">
        <v>242</v>
      </c>
      <c r="D1008" s="370" t="s">
        <v>2512</v>
      </c>
      <c r="E1008" s="108">
        <v>60</v>
      </c>
      <c r="F1008" s="128">
        <v>350</v>
      </c>
      <c r="G1008" s="35">
        <f t="shared" ref="G1008:G1010" si="3">F1008*E1008</f>
        <v>21000</v>
      </c>
    </row>
    <row r="1009" spans="1:7" x14ac:dyDescent="0.2">
      <c r="A1009" s="29"/>
      <c r="B1009" s="101"/>
      <c r="C1009" s="371"/>
      <c r="D1009" s="370" t="s">
        <v>1196</v>
      </c>
      <c r="E1009" s="108"/>
      <c r="F1009" s="128"/>
      <c r="G1009" s="35"/>
    </row>
    <row r="1010" spans="1:7" x14ac:dyDescent="0.2">
      <c r="A1010" s="29">
        <v>3</v>
      </c>
      <c r="B1010" s="101"/>
      <c r="C1010" s="371" t="s">
        <v>242</v>
      </c>
      <c r="D1010" s="370" t="s">
        <v>2513</v>
      </c>
      <c r="E1010" s="108">
        <v>60</v>
      </c>
      <c r="F1010" s="128">
        <v>200</v>
      </c>
      <c r="G1010" s="35">
        <f t="shared" si="3"/>
        <v>12000</v>
      </c>
    </row>
    <row r="1011" spans="1:7" x14ac:dyDescent="0.2">
      <c r="A1011" s="29"/>
      <c r="B1011" s="105"/>
      <c r="C1011" s="371"/>
      <c r="D1011" s="376" t="s">
        <v>1827</v>
      </c>
      <c r="E1011" s="102"/>
      <c r="F1011" s="128"/>
      <c r="G1011" s="35"/>
    </row>
    <row r="1012" spans="1:7" x14ac:dyDescent="0.2">
      <c r="A1012" s="29"/>
      <c r="B1012" s="105"/>
      <c r="C1012" s="41"/>
      <c r="D1012" s="376"/>
      <c r="E1012" s="102"/>
      <c r="F1012" s="128"/>
      <c r="G1012" s="35"/>
    </row>
    <row r="1013" spans="1:7" x14ac:dyDescent="0.2">
      <c r="A1013" s="29"/>
      <c r="B1013" s="151"/>
      <c r="C1013" s="119"/>
      <c r="D1013" s="136"/>
      <c r="E1013" s="108"/>
      <c r="F1013" s="150"/>
      <c r="G1013" s="35"/>
    </row>
    <row r="1014" spans="1:7" x14ac:dyDescent="0.2">
      <c r="A1014" s="29"/>
      <c r="B1014" s="151"/>
      <c r="C1014" s="119"/>
      <c r="D1014" s="144"/>
      <c r="E1014" s="108"/>
      <c r="F1014" s="150"/>
      <c r="G1014" s="35"/>
    </row>
    <row r="1015" spans="1:7" x14ac:dyDescent="0.2">
      <c r="A1015" s="29"/>
      <c r="B1015" s="101"/>
      <c r="C1015" s="41"/>
      <c r="D1015" s="144"/>
      <c r="E1015" s="155"/>
      <c r="F1015" s="128"/>
      <c r="G1015" s="35"/>
    </row>
    <row r="1016" spans="1:7" x14ac:dyDescent="0.2">
      <c r="A1016" s="29"/>
      <c r="B1016" s="106"/>
      <c r="C1016" s="41"/>
      <c r="D1016" s="136"/>
      <c r="E1016" s="104"/>
      <c r="F1016" s="128"/>
      <c r="G1016" s="35"/>
    </row>
    <row r="1017" spans="1:7" x14ac:dyDescent="0.2">
      <c r="A1017" s="29"/>
      <c r="B1017" s="105"/>
      <c r="C1017" s="41" t="s">
        <v>150</v>
      </c>
      <c r="D1017" s="136"/>
      <c r="E1017" s="108"/>
      <c r="F1017" s="152"/>
      <c r="G1017" s="35"/>
    </row>
    <row r="1018" spans="1:7" x14ac:dyDescent="0.2">
      <c r="A1018" s="29"/>
      <c r="B1018" s="107"/>
      <c r="C1018" s="41"/>
      <c r="D1018" s="136"/>
      <c r="E1018" s="153"/>
      <c r="F1018" s="128"/>
      <c r="G1018" s="35"/>
    </row>
    <row r="1019" spans="1:7" x14ac:dyDescent="0.2">
      <c r="A1019" s="29"/>
      <c r="B1019" s="107"/>
      <c r="C1019" s="41"/>
      <c r="D1019" s="67"/>
      <c r="E1019" s="153"/>
      <c r="F1019" s="128"/>
      <c r="G1019" s="35"/>
    </row>
    <row r="1020" spans="1:7" x14ac:dyDescent="0.2">
      <c r="A1020" s="29"/>
      <c r="B1020" s="101"/>
      <c r="C1020" s="41"/>
      <c r="D1020" s="67"/>
      <c r="E1020" s="108"/>
      <c r="F1020" s="128"/>
      <c r="G1020" s="35"/>
    </row>
    <row r="1021" spans="1:7" x14ac:dyDescent="0.2">
      <c r="A1021" s="29"/>
      <c r="B1021" s="101"/>
      <c r="C1021" s="41"/>
      <c r="D1021" s="67"/>
      <c r="E1021" s="153"/>
      <c r="F1021" s="128"/>
      <c r="G1021" s="35"/>
    </row>
    <row r="1022" spans="1:7" x14ac:dyDescent="0.2">
      <c r="A1022" s="29"/>
      <c r="B1022" s="106"/>
      <c r="C1022" s="41"/>
      <c r="D1022" s="67"/>
      <c r="E1022" s="104" t="s">
        <v>150</v>
      </c>
      <c r="F1022" s="154"/>
      <c r="G1022" s="35"/>
    </row>
    <row r="1023" spans="1:7" x14ac:dyDescent="0.2">
      <c r="A1023" s="29"/>
      <c r="B1023" s="105"/>
      <c r="C1023" s="41"/>
      <c r="D1023" s="130"/>
      <c r="E1023" s="104"/>
      <c r="F1023" s="154"/>
      <c r="G1023" s="35"/>
    </row>
    <row r="1024" spans="1:7" x14ac:dyDescent="0.2">
      <c r="A1024" s="29"/>
      <c r="B1024" s="105"/>
      <c r="C1024" s="41"/>
      <c r="D1024" s="67"/>
      <c r="E1024" s="104"/>
      <c r="F1024" s="154"/>
      <c r="G1024" s="35"/>
    </row>
    <row r="1025" spans="1:7" x14ac:dyDescent="0.2">
      <c r="A1025" s="29"/>
      <c r="B1025" s="101"/>
      <c r="C1025" s="41"/>
      <c r="D1025" s="67"/>
      <c r="E1025" s="104"/>
      <c r="F1025" s="154"/>
      <c r="G1025" s="35"/>
    </row>
    <row r="1026" spans="1:7" x14ac:dyDescent="0.2">
      <c r="A1026" s="29"/>
      <c r="B1026" s="101"/>
      <c r="C1026" s="41"/>
      <c r="D1026" s="136"/>
      <c r="E1026" s="104"/>
      <c r="F1026" s="154"/>
      <c r="G1026" s="35"/>
    </row>
    <row r="1027" spans="1:7" x14ac:dyDescent="0.2">
      <c r="A1027" s="29"/>
      <c r="B1027" s="101"/>
      <c r="C1027" s="41"/>
      <c r="D1027" s="136"/>
      <c r="E1027" s="104"/>
      <c r="F1027" s="154"/>
      <c r="G1027" s="35"/>
    </row>
    <row r="1028" spans="1:7" x14ac:dyDescent="0.2">
      <c r="A1028" s="29"/>
      <c r="B1028" s="101"/>
      <c r="C1028" s="41"/>
      <c r="D1028" s="62"/>
      <c r="E1028" s="104"/>
      <c r="F1028" s="154"/>
      <c r="G1028" s="35"/>
    </row>
    <row r="1029" spans="1:7" x14ac:dyDescent="0.2">
      <c r="A1029" s="29"/>
      <c r="B1029" s="101"/>
      <c r="C1029" s="41"/>
      <c r="D1029" s="62"/>
      <c r="E1029" s="104"/>
      <c r="F1029" s="154"/>
      <c r="G1029" s="35"/>
    </row>
    <row r="1030" spans="1:7" x14ac:dyDescent="0.2">
      <c r="A1030" s="29"/>
      <c r="B1030" s="101"/>
      <c r="C1030" s="41"/>
      <c r="D1030" s="62"/>
      <c r="E1030" s="104"/>
      <c r="F1030" s="154"/>
      <c r="G1030" s="35"/>
    </row>
    <row r="1031" spans="1:7" x14ac:dyDescent="0.2">
      <c r="A1031" s="29"/>
      <c r="B1031" s="101"/>
      <c r="C1031" s="41"/>
      <c r="D1031" s="62"/>
      <c r="E1031" s="104"/>
      <c r="F1031" s="154"/>
      <c r="G1031" s="35"/>
    </row>
    <row r="1032" spans="1:7" x14ac:dyDescent="0.2">
      <c r="A1032" s="29"/>
      <c r="B1032" s="101"/>
      <c r="C1032" s="41"/>
      <c r="D1032" s="62"/>
      <c r="E1032" s="104"/>
      <c r="F1032" s="154"/>
      <c r="G1032" s="35"/>
    </row>
    <row r="1033" spans="1:7" x14ac:dyDescent="0.2">
      <c r="A1033" s="29"/>
      <c r="B1033" s="101"/>
      <c r="C1033" s="41"/>
      <c r="D1033" s="67"/>
      <c r="E1033" s="104"/>
      <c r="F1033" s="154"/>
      <c r="G1033" s="35"/>
    </row>
    <row r="1034" spans="1:7" x14ac:dyDescent="0.2">
      <c r="A1034" s="29"/>
      <c r="B1034" s="101"/>
      <c r="C1034" s="41"/>
      <c r="D1034" s="159"/>
      <c r="E1034" s="104"/>
      <c r="F1034" s="154"/>
      <c r="G1034" s="35"/>
    </row>
    <row r="1035" spans="1:7" x14ac:dyDescent="0.2">
      <c r="A1035" s="29"/>
      <c r="B1035" s="101"/>
      <c r="C1035" s="41"/>
      <c r="D1035" s="160"/>
      <c r="E1035" s="108"/>
      <c r="F1035" s="128"/>
      <c r="G1035" s="35"/>
    </row>
    <row r="1036" spans="1:7" x14ac:dyDescent="0.2">
      <c r="A1036" s="29"/>
      <c r="B1036" s="101"/>
      <c r="C1036" s="41"/>
      <c r="D1036" s="136"/>
      <c r="E1036" s="153"/>
      <c r="F1036" s="128"/>
      <c r="G1036" s="35"/>
    </row>
    <row r="1037" spans="1:7" x14ac:dyDescent="0.2">
      <c r="A1037" s="29"/>
      <c r="B1037" s="101"/>
      <c r="C1037" s="41"/>
      <c r="D1037" s="136"/>
      <c r="E1037" s="102"/>
      <c r="F1037" s="128"/>
      <c r="G1037" s="35"/>
    </row>
    <row r="1038" spans="1:7" x14ac:dyDescent="0.2">
      <c r="A1038" s="29"/>
      <c r="B1038" s="101"/>
      <c r="C1038" s="31"/>
      <c r="D1038" s="67"/>
      <c r="E1038" s="131"/>
      <c r="F1038" s="117"/>
      <c r="G1038" s="35"/>
    </row>
    <row r="1039" spans="1:7" x14ac:dyDescent="0.2">
      <c r="A1039" s="29"/>
      <c r="B1039" s="101"/>
      <c r="C1039" s="41"/>
      <c r="D1039" s="118"/>
      <c r="E1039" s="108"/>
      <c r="F1039" s="149"/>
      <c r="G1039" s="35"/>
    </row>
    <row r="1040" spans="1:7" x14ac:dyDescent="0.2">
      <c r="A1040" s="29"/>
      <c r="B1040" s="101"/>
      <c r="C1040" s="41"/>
      <c r="D1040" s="144"/>
      <c r="E1040" s="108"/>
      <c r="F1040" s="149"/>
      <c r="G1040" s="35"/>
    </row>
    <row r="1041" spans="1:7" ht="13.5" thickBot="1" x14ac:dyDescent="0.25">
      <c r="A1041" s="45"/>
      <c r="B1041" s="132"/>
      <c r="C1041" s="115"/>
      <c r="D1041" s="115"/>
      <c r="E1041" s="132"/>
      <c r="F1041" s="49" t="s">
        <v>15</v>
      </c>
      <c r="G1041" s="50">
        <f>SUM(G1007:G1040)</f>
        <v>45000</v>
      </c>
    </row>
    <row r="1042" spans="1:7" ht="13.5" thickTop="1" x14ac:dyDescent="0.2">
      <c r="A1042" s="875" t="s">
        <v>2514</v>
      </c>
      <c r="B1042" s="899"/>
      <c r="C1042" s="899"/>
      <c r="D1042" s="899"/>
      <c r="E1042" s="899"/>
      <c r="F1042" s="899"/>
      <c r="G1042" s="900"/>
    </row>
    <row r="1043" spans="1:7" ht="13.5" thickBot="1" x14ac:dyDescent="0.25">
      <c r="A1043" s="52"/>
      <c r="B1043" s="103"/>
      <c r="C1043" s="374" t="s">
        <v>8</v>
      </c>
      <c r="D1043" s="54"/>
      <c r="E1043" s="103"/>
      <c r="F1043" s="55"/>
      <c r="G1043" s="56"/>
    </row>
    <row r="1044" spans="1:7" ht="13.5" thickTop="1" x14ac:dyDescent="0.2">
      <c r="A1044" s="906"/>
      <c r="B1044" s="907"/>
      <c r="C1044" s="907"/>
      <c r="D1044" s="57" t="s">
        <v>11</v>
      </c>
      <c r="E1044" s="908" t="s">
        <v>12</v>
      </c>
      <c r="F1044" s="908"/>
      <c r="G1044" s="909"/>
    </row>
    <row r="1045" spans="1:7" x14ac:dyDescent="0.2">
      <c r="A1045" s="910" t="s">
        <v>17</v>
      </c>
      <c r="B1045" s="911"/>
      <c r="C1045" s="911"/>
      <c r="D1045" s="39"/>
      <c r="E1045" s="912"/>
      <c r="F1045" s="913"/>
      <c r="G1045" s="914"/>
    </row>
    <row r="1046" spans="1:7" x14ac:dyDescent="0.2">
      <c r="A1046" s="910" t="s">
        <v>38</v>
      </c>
      <c r="B1046" s="911"/>
      <c r="C1046" s="911"/>
      <c r="D1046" s="58" t="s">
        <v>271</v>
      </c>
      <c r="E1046" s="868" t="s">
        <v>142</v>
      </c>
      <c r="F1046" s="868"/>
      <c r="G1046" s="869"/>
    </row>
    <row r="1047" spans="1:7" ht="13.5" thickBot="1" x14ac:dyDescent="0.25">
      <c r="A1047" s="901" t="s">
        <v>39</v>
      </c>
      <c r="B1047" s="902"/>
      <c r="C1047" s="902"/>
      <c r="D1047" s="59" t="s">
        <v>272</v>
      </c>
      <c r="E1047" s="904" t="s">
        <v>0</v>
      </c>
      <c r="F1047" s="904"/>
      <c r="G1047" s="905"/>
    </row>
    <row r="1048" spans="1:7" ht="16.5" x14ac:dyDescent="0.25">
      <c r="A1048" s="885" t="s">
        <v>29</v>
      </c>
      <c r="B1048" s="886"/>
      <c r="C1048" s="886"/>
      <c r="D1048" s="886"/>
      <c r="E1048" s="886"/>
      <c r="F1048" s="886"/>
      <c r="G1048" s="887"/>
    </row>
    <row r="1049" spans="1:7" x14ac:dyDescent="0.2">
      <c r="A1049" s="888" t="s">
        <v>48</v>
      </c>
      <c r="B1049" s="889"/>
      <c r="C1049" s="889"/>
      <c r="D1049" s="889"/>
      <c r="E1049" s="889"/>
      <c r="F1049" s="889"/>
      <c r="G1049" s="890"/>
    </row>
    <row r="1050" spans="1:7" x14ac:dyDescent="0.2">
      <c r="A1050" s="915" t="s">
        <v>49</v>
      </c>
      <c r="B1050" s="916"/>
      <c r="C1050" s="916"/>
      <c r="D1050" s="916"/>
      <c r="E1050" s="916"/>
      <c r="F1050" s="916"/>
      <c r="G1050" s="917"/>
    </row>
    <row r="1051" spans="1:7" x14ac:dyDescent="0.2">
      <c r="A1051" s="6"/>
      <c r="B1051" s="99"/>
      <c r="C1051" s="8"/>
      <c r="D1051" s="9"/>
      <c r="E1051" s="99"/>
      <c r="F1051" s="10"/>
      <c r="G1051" s="11" t="s">
        <v>20</v>
      </c>
    </row>
    <row r="1052" spans="1:7" x14ac:dyDescent="0.2">
      <c r="A1052" s="12" t="s">
        <v>1</v>
      </c>
      <c r="B1052" s="13"/>
      <c r="C1052" s="14" t="s">
        <v>27</v>
      </c>
      <c r="D1052" s="13"/>
      <c r="E1052" s="362" t="s">
        <v>2744</v>
      </c>
      <c r="F1052" s="98"/>
      <c r="G1052" s="363" t="s">
        <v>2719</v>
      </c>
    </row>
    <row r="1053" spans="1:7" x14ac:dyDescent="0.2">
      <c r="A1053" s="17" t="s">
        <v>8</v>
      </c>
      <c r="B1053" s="100"/>
      <c r="C1053" s="19"/>
      <c r="D1053" s="4"/>
      <c r="E1053" s="918"/>
      <c r="F1053" s="919"/>
      <c r="G1053" s="20"/>
    </row>
    <row r="1054" spans="1:7" x14ac:dyDescent="0.2">
      <c r="A1054" s="21" t="s">
        <v>37</v>
      </c>
      <c r="B1054" s="22"/>
      <c r="C1054" s="22"/>
      <c r="D1054" s="22"/>
      <c r="E1054" s="23" t="s">
        <v>46</v>
      </c>
      <c r="F1054" s="24"/>
      <c r="G1054" s="20" t="s">
        <v>50</v>
      </c>
    </row>
    <row r="1055" spans="1:7" x14ac:dyDescent="0.2">
      <c r="A1055" s="6"/>
      <c r="B1055" s="99"/>
      <c r="C1055" s="8"/>
      <c r="D1055" s="8"/>
      <c r="E1055" s="920"/>
      <c r="F1055" s="921"/>
      <c r="G1055" s="25"/>
    </row>
    <row r="1056" spans="1:7" ht="26.25" thickBot="1" x14ac:dyDescent="0.25">
      <c r="A1056" s="207" t="s">
        <v>47</v>
      </c>
      <c r="B1056" s="28" t="s">
        <v>23</v>
      </c>
      <c r="C1056" s="28" t="s">
        <v>34</v>
      </c>
      <c r="D1056" s="110" t="s">
        <v>53</v>
      </c>
      <c r="E1056" s="114" t="s">
        <v>54</v>
      </c>
      <c r="F1056" s="111" t="s">
        <v>55</v>
      </c>
      <c r="G1056" s="112" t="s">
        <v>35</v>
      </c>
    </row>
    <row r="1057" spans="1:7" ht="13.5" thickTop="1" x14ac:dyDescent="0.2">
      <c r="A1057" s="29">
        <v>1</v>
      </c>
      <c r="B1057" s="101"/>
      <c r="C1057" s="371" t="s">
        <v>242</v>
      </c>
      <c r="D1057" s="370" t="s">
        <v>2732</v>
      </c>
      <c r="E1057" s="158">
        <v>25</v>
      </c>
      <c r="F1057" s="128">
        <v>200</v>
      </c>
      <c r="G1057" s="35">
        <f>F1057*E1057</f>
        <v>5000</v>
      </c>
    </row>
    <row r="1058" spans="1:7" x14ac:dyDescent="0.2">
      <c r="A1058" s="29"/>
      <c r="B1058" s="655"/>
      <c r="C1058" s="665"/>
      <c r="D1058" s="666" t="s">
        <v>2733</v>
      </c>
      <c r="E1058" s="667"/>
      <c r="F1058" s="668"/>
      <c r="G1058" s="35"/>
    </row>
    <row r="1059" spans="1:7" x14ac:dyDescent="0.2">
      <c r="A1059" s="29">
        <v>2</v>
      </c>
      <c r="B1059" s="101"/>
      <c r="C1059" s="371" t="s">
        <v>242</v>
      </c>
      <c r="D1059" s="370" t="s">
        <v>2512</v>
      </c>
      <c r="E1059" s="108">
        <v>25</v>
      </c>
      <c r="F1059" s="128">
        <v>350</v>
      </c>
      <c r="G1059" s="35">
        <f t="shared" ref="G1059" si="4">F1059*E1059</f>
        <v>8750</v>
      </c>
    </row>
    <row r="1060" spans="1:7" x14ac:dyDescent="0.2">
      <c r="A1060" s="29"/>
      <c r="B1060" s="101"/>
      <c r="C1060" s="371"/>
      <c r="D1060" s="370" t="s">
        <v>1196</v>
      </c>
      <c r="E1060" s="108"/>
      <c r="F1060" s="128"/>
      <c r="G1060" s="35"/>
    </row>
    <row r="1061" spans="1:7" x14ac:dyDescent="0.2">
      <c r="A1061" s="29"/>
      <c r="B1061" s="101"/>
      <c r="C1061" s="371"/>
      <c r="D1061" s="370"/>
      <c r="E1061" s="108"/>
      <c r="F1061" s="128"/>
      <c r="G1061" s="35"/>
    </row>
    <row r="1062" spans="1:7" x14ac:dyDescent="0.2">
      <c r="A1062" s="29"/>
      <c r="B1062" s="105"/>
      <c r="C1062" s="41"/>
      <c r="D1062" s="376"/>
      <c r="E1062" s="102"/>
      <c r="F1062" s="128"/>
      <c r="G1062" s="35"/>
    </row>
    <row r="1063" spans="1:7" x14ac:dyDescent="0.2">
      <c r="A1063" s="29"/>
      <c r="B1063" s="151"/>
      <c r="C1063" s="119"/>
      <c r="D1063" s="136"/>
      <c r="E1063" s="108"/>
      <c r="F1063" s="150"/>
      <c r="G1063" s="35"/>
    </row>
    <row r="1064" spans="1:7" x14ac:dyDescent="0.2">
      <c r="A1064" s="29"/>
      <c r="B1064" s="151"/>
      <c r="C1064" s="119"/>
      <c r="D1064" s="144"/>
      <c r="E1064" s="108"/>
      <c r="F1064" s="150"/>
      <c r="G1064" s="35"/>
    </row>
    <row r="1065" spans="1:7" x14ac:dyDescent="0.2">
      <c r="A1065" s="29"/>
      <c r="B1065" s="101"/>
      <c r="C1065" s="41"/>
      <c r="D1065" s="144"/>
      <c r="E1065" s="155"/>
      <c r="F1065" s="128"/>
      <c r="G1065" s="35"/>
    </row>
    <row r="1066" spans="1:7" x14ac:dyDescent="0.2">
      <c r="A1066" s="29"/>
      <c r="B1066" s="106"/>
      <c r="C1066" s="41"/>
      <c r="D1066" s="136"/>
      <c r="E1066" s="104"/>
      <c r="F1066" s="128"/>
      <c r="G1066" s="35"/>
    </row>
    <row r="1067" spans="1:7" x14ac:dyDescent="0.2">
      <c r="A1067" s="29"/>
      <c r="B1067" s="105"/>
      <c r="C1067" s="41" t="s">
        <v>150</v>
      </c>
      <c r="D1067" s="136"/>
      <c r="E1067" s="108"/>
      <c r="F1067" s="152"/>
      <c r="G1067" s="35"/>
    </row>
    <row r="1068" spans="1:7" x14ac:dyDescent="0.2">
      <c r="A1068" s="29"/>
      <c r="B1068" s="107"/>
      <c r="C1068" s="41"/>
      <c r="D1068" s="136"/>
      <c r="E1068" s="153"/>
      <c r="F1068" s="128"/>
      <c r="G1068" s="35"/>
    </row>
    <row r="1069" spans="1:7" x14ac:dyDescent="0.2">
      <c r="A1069" s="29"/>
      <c r="B1069" s="107"/>
      <c r="C1069" s="41"/>
      <c r="D1069" s="67"/>
      <c r="E1069" s="153"/>
      <c r="F1069" s="128"/>
      <c r="G1069" s="35"/>
    </row>
    <row r="1070" spans="1:7" x14ac:dyDescent="0.2">
      <c r="A1070" s="29"/>
      <c r="B1070" s="101"/>
      <c r="C1070" s="41"/>
      <c r="D1070" s="67"/>
      <c r="E1070" s="108"/>
      <c r="F1070" s="128"/>
      <c r="G1070" s="35"/>
    </row>
    <row r="1071" spans="1:7" x14ac:dyDescent="0.2">
      <c r="A1071" s="29"/>
      <c r="B1071" s="101"/>
      <c r="C1071" s="41"/>
      <c r="D1071" s="67"/>
      <c r="E1071" s="153"/>
      <c r="F1071" s="128"/>
      <c r="G1071" s="35"/>
    </row>
    <row r="1072" spans="1:7" x14ac:dyDescent="0.2">
      <c r="A1072" s="29"/>
      <c r="B1072" s="106"/>
      <c r="C1072" s="41"/>
      <c r="D1072" s="67"/>
      <c r="E1072" s="104" t="s">
        <v>150</v>
      </c>
      <c r="F1072" s="154"/>
      <c r="G1072" s="35"/>
    </row>
    <row r="1073" spans="1:7" x14ac:dyDescent="0.2">
      <c r="A1073" s="29"/>
      <c r="B1073" s="105"/>
      <c r="C1073" s="41"/>
      <c r="D1073" s="130"/>
      <c r="E1073" s="104"/>
      <c r="F1073" s="154"/>
      <c r="G1073" s="35"/>
    </row>
    <row r="1074" spans="1:7" x14ac:dyDescent="0.2">
      <c r="A1074" s="29"/>
      <c r="B1074" s="105"/>
      <c r="C1074" s="41"/>
      <c r="D1074" s="67"/>
      <c r="E1074" s="104"/>
      <c r="F1074" s="154"/>
      <c r="G1074" s="35"/>
    </row>
    <row r="1075" spans="1:7" x14ac:dyDescent="0.2">
      <c r="A1075" s="29"/>
      <c r="B1075" s="101"/>
      <c r="C1075" s="41"/>
      <c r="D1075" s="67"/>
      <c r="E1075" s="104"/>
      <c r="F1075" s="154"/>
      <c r="G1075" s="35"/>
    </row>
    <row r="1076" spans="1:7" x14ac:dyDescent="0.2">
      <c r="A1076" s="29"/>
      <c r="B1076" s="101"/>
      <c r="C1076" s="41"/>
      <c r="D1076" s="136"/>
      <c r="E1076" s="104"/>
      <c r="F1076" s="154"/>
      <c r="G1076" s="35"/>
    </row>
    <row r="1077" spans="1:7" x14ac:dyDescent="0.2">
      <c r="A1077" s="29"/>
      <c r="B1077" s="101"/>
      <c r="C1077" s="41"/>
      <c r="D1077" s="136"/>
      <c r="E1077" s="104"/>
      <c r="F1077" s="154"/>
      <c r="G1077" s="35"/>
    </row>
    <row r="1078" spans="1:7" x14ac:dyDescent="0.2">
      <c r="A1078" s="29"/>
      <c r="B1078" s="101"/>
      <c r="C1078" s="41"/>
      <c r="D1078" s="62"/>
      <c r="E1078" s="104"/>
      <c r="F1078" s="154"/>
      <c r="G1078" s="35"/>
    </row>
    <row r="1079" spans="1:7" x14ac:dyDescent="0.2">
      <c r="A1079" s="29"/>
      <c r="B1079" s="101"/>
      <c r="C1079" s="41"/>
      <c r="D1079" s="62"/>
      <c r="E1079" s="104"/>
      <c r="F1079" s="154"/>
      <c r="G1079" s="35"/>
    </row>
    <row r="1080" spans="1:7" x14ac:dyDescent="0.2">
      <c r="A1080" s="29"/>
      <c r="B1080" s="101"/>
      <c r="C1080" s="41"/>
      <c r="D1080" s="62"/>
      <c r="E1080" s="104"/>
      <c r="F1080" s="154"/>
      <c r="G1080" s="35"/>
    </row>
    <row r="1081" spans="1:7" x14ac:dyDescent="0.2">
      <c r="A1081" s="29"/>
      <c r="B1081" s="101"/>
      <c r="C1081" s="41"/>
      <c r="D1081" s="62"/>
      <c r="E1081" s="104"/>
      <c r="F1081" s="154"/>
      <c r="G1081" s="35"/>
    </row>
    <row r="1082" spans="1:7" x14ac:dyDescent="0.2">
      <c r="A1082" s="29"/>
      <c r="B1082" s="101"/>
      <c r="C1082" s="41"/>
      <c r="D1082" s="62"/>
      <c r="E1082" s="104"/>
      <c r="F1082" s="154"/>
      <c r="G1082" s="35"/>
    </row>
    <row r="1083" spans="1:7" x14ac:dyDescent="0.2">
      <c r="A1083" s="29"/>
      <c r="B1083" s="101"/>
      <c r="C1083" s="41"/>
      <c r="D1083" s="67"/>
      <c r="E1083" s="104"/>
      <c r="F1083" s="154"/>
      <c r="G1083" s="35"/>
    </row>
    <row r="1084" spans="1:7" x14ac:dyDescent="0.2">
      <c r="A1084" s="29"/>
      <c r="B1084" s="101"/>
      <c r="C1084" s="41"/>
      <c r="D1084" s="159"/>
      <c r="E1084" s="104"/>
      <c r="F1084" s="154"/>
      <c r="G1084" s="35"/>
    </row>
    <row r="1085" spans="1:7" x14ac:dyDescent="0.2">
      <c r="A1085" s="29"/>
      <c r="B1085" s="101"/>
      <c r="C1085" s="41"/>
      <c r="D1085" s="160"/>
      <c r="E1085" s="108"/>
      <c r="F1085" s="128"/>
      <c r="G1085" s="35"/>
    </row>
    <row r="1086" spans="1:7" x14ac:dyDescent="0.2">
      <c r="A1086" s="29"/>
      <c r="B1086" s="101"/>
      <c r="C1086" s="41"/>
      <c r="D1086" s="136"/>
      <c r="E1086" s="153"/>
      <c r="F1086" s="128"/>
      <c r="G1086" s="35"/>
    </row>
    <row r="1087" spans="1:7" x14ac:dyDescent="0.2">
      <c r="A1087" s="29"/>
      <c r="B1087" s="101"/>
      <c r="C1087" s="41"/>
      <c r="D1087" s="136"/>
      <c r="E1087" s="102"/>
      <c r="F1087" s="128"/>
      <c r="G1087" s="35"/>
    </row>
    <row r="1088" spans="1:7" x14ac:dyDescent="0.2">
      <c r="A1088" s="29"/>
      <c r="B1088" s="101"/>
      <c r="C1088" s="31"/>
      <c r="D1088" s="67"/>
      <c r="E1088" s="131"/>
      <c r="F1088" s="117"/>
      <c r="G1088" s="35"/>
    </row>
    <row r="1089" spans="1:7" x14ac:dyDescent="0.2">
      <c r="A1089" s="29"/>
      <c r="B1089" s="101"/>
      <c r="C1089" s="41"/>
      <c r="D1089" s="118"/>
      <c r="E1089" s="108"/>
      <c r="F1089" s="149"/>
      <c r="G1089" s="35"/>
    </row>
    <row r="1090" spans="1:7" x14ac:dyDescent="0.2">
      <c r="A1090" s="29"/>
      <c r="B1090" s="101"/>
      <c r="C1090" s="41"/>
      <c r="D1090" s="144"/>
      <c r="E1090" s="108"/>
      <c r="F1090" s="149"/>
      <c r="G1090" s="35"/>
    </row>
    <row r="1091" spans="1:7" ht="13.5" thickBot="1" x14ac:dyDescent="0.25">
      <c r="A1091" s="45"/>
      <c r="B1091" s="132"/>
      <c r="C1091" s="115"/>
      <c r="D1091" s="115"/>
      <c r="E1091" s="132"/>
      <c r="F1091" s="49" t="s">
        <v>15</v>
      </c>
      <c r="G1091" s="50">
        <f>SUM(G1057:G1090)</f>
        <v>13750</v>
      </c>
    </row>
    <row r="1092" spans="1:7" ht="13.5" thickTop="1" x14ac:dyDescent="0.2">
      <c r="A1092" s="875" t="s">
        <v>2734</v>
      </c>
      <c r="B1092" s="899"/>
      <c r="C1092" s="899"/>
      <c r="D1092" s="899"/>
      <c r="E1092" s="899"/>
      <c r="F1092" s="899"/>
      <c r="G1092" s="900"/>
    </row>
    <row r="1093" spans="1:7" ht="13.5" thickBot="1" x14ac:dyDescent="0.25">
      <c r="A1093" s="52"/>
      <c r="B1093" s="103"/>
      <c r="C1093" s="374" t="s">
        <v>2735</v>
      </c>
      <c r="D1093" s="54"/>
      <c r="E1093" s="103"/>
      <c r="F1093" s="55"/>
      <c r="G1093" s="56"/>
    </row>
    <row r="1094" spans="1:7" ht="13.5" thickTop="1" x14ac:dyDescent="0.2">
      <c r="A1094" s="906"/>
      <c r="B1094" s="907"/>
      <c r="C1094" s="907"/>
      <c r="D1094" s="57" t="s">
        <v>11</v>
      </c>
      <c r="E1094" s="908" t="s">
        <v>12</v>
      </c>
      <c r="F1094" s="908"/>
      <c r="G1094" s="909"/>
    </row>
    <row r="1095" spans="1:7" x14ac:dyDescent="0.2">
      <c r="A1095" s="910" t="s">
        <v>17</v>
      </c>
      <c r="B1095" s="911"/>
      <c r="C1095" s="911"/>
      <c r="D1095" s="39"/>
      <c r="E1095" s="912"/>
      <c r="F1095" s="913"/>
      <c r="G1095" s="914"/>
    </row>
    <row r="1096" spans="1:7" x14ac:dyDescent="0.2">
      <c r="A1096" s="910" t="s">
        <v>38</v>
      </c>
      <c r="B1096" s="911"/>
      <c r="C1096" s="911"/>
      <c r="D1096" s="58" t="s">
        <v>271</v>
      </c>
      <c r="E1096" s="868" t="s">
        <v>142</v>
      </c>
      <c r="F1096" s="868"/>
      <c r="G1096" s="869"/>
    </row>
    <row r="1097" spans="1:7" ht="13.5" thickBot="1" x14ac:dyDescent="0.25">
      <c r="A1097" s="901" t="s">
        <v>39</v>
      </c>
      <c r="B1097" s="902"/>
      <c r="C1097" s="902"/>
      <c r="D1097" s="59" t="s">
        <v>272</v>
      </c>
      <c r="E1097" s="904" t="s">
        <v>0</v>
      </c>
      <c r="F1097" s="904"/>
      <c r="G1097" s="905"/>
    </row>
    <row r="1098" spans="1:7" ht="16.5" x14ac:dyDescent="0.25">
      <c r="A1098" s="885" t="s">
        <v>29</v>
      </c>
      <c r="B1098" s="886"/>
      <c r="C1098" s="886"/>
      <c r="D1098" s="886"/>
      <c r="E1098" s="886"/>
      <c r="F1098" s="886"/>
      <c r="G1098" s="887"/>
    </row>
    <row r="1099" spans="1:7" x14ac:dyDescent="0.2">
      <c r="A1099" s="888" t="s">
        <v>48</v>
      </c>
      <c r="B1099" s="889"/>
      <c r="C1099" s="889"/>
      <c r="D1099" s="889"/>
      <c r="E1099" s="889"/>
      <c r="F1099" s="889"/>
      <c r="G1099" s="890"/>
    </row>
    <row r="1100" spans="1:7" x14ac:dyDescent="0.2">
      <c r="A1100" s="915" t="s">
        <v>49</v>
      </c>
      <c r="B1100" s="916"/>
      <c r="C1100" s="916"/>
      <c r="D1100" s="916"/>
      <c r="E1100" s="916"/>
      <c r="F1100" s="916"/>
      <c r="G1100" s="917"/>
    </row>
    <row r="1101" spans="1:7" x14ac:dyDescent="0.2">
      <c r="A1101" s="6"/>
      <c r="B1101" s="99"/>
      <c r="C1101" s="8"/>
      <c r="D1101" s="9"/>
      <c r="E1101" s="99"/>
      <c r="F1101" s="10"/>
      <c r="G1101" s="11" t="s">
        <v>20</v>
      </c>
    </row>
    <row r="1102" spans="1:7" x14ac:dyDescent="0.2">
      <c r="A1102" s="12" t="s">
        <v>1</v>
      </c>
      <c r="B1102" s="13"/>
      <c r="C1102" s="14" t="s">
        <v>27</v>
      </c>
      <c r="D1102" s="13"/>
      <c r="E1102" s="362" t="s">
        <v>2745</v>
      </c>
      <c r="F1102" s="98"/>
      <c r="G1102" s="363" t="s">
        <v>2719</v>
      </c>
    </row>
    <row r="1103" spans="1:7" x14ac:dyDescent="0.2">
      <c r="A1103" s="17" t="s">
        <v>8</v>
      </c>
      <c r="B1103" s="100"/>
      <c r="C1103" s="19"/>
      <c r="D1103" s="4"/>
      <c r="E1103" s="918"/>
      <c r="F1103" s="919"/>
      <c r="G1103" s="20"/>
    </row>
    <row r="1104" spans="1:7" x14ac:dyDescent="0.2">
      <c r="A1104" s="21" t="s">
        <v>37</v>
      </c>
      <c r="B1104" s="22"/>
      <c r="C1104" s="22"/>
      <c r="D1104" s="22"/>
      <c r="E1104" s="23" t="s">
        <v>46</v>
      </c>
      <c r="F1104" s="24"/>
      <c r="G1104" s="20" t="s">
        <v>50</v>
      </c>
    </row>
    <row r="1105" spans="1:7" x14ac:dyDescent="0.2">
      <c r="A1105" s="6"/>
      <c r="B1105" s="99"/>
      <c r="C1105" s="8"/>
      <c r="D1105" s="8"/>
      <c r="E1105" s="920"/>
      <c r="F1105" s="921"/>
      <c r="G1105" s="25"/>
    </row>
    <row r="1106" spans="1:7" ht="26.25" thickBot="1" x14ac:dyDescent="0.25">
      <c r="A1106" s="207" t="s">
        <v>47</v>
      </c>
      <c r="B1106" s="28" t="s">
        <v>23</v>
      </c>
      <c r="C1106" s="28" t="s">
        <v>34</v>
      </c>
      <c r="D1106" s="110" t="s">
        <v>53</v>
      </c>
      <c r="E1106" s="114" t="s">
        <v>54</v>
      </c>
      <c r="F1106" s="111" t="s">
        <v>55</v>
      </c>
      <c r="G1106" s="112" t="s">
        <v>35</v>
      </c>
    </row>
    <row r="1107" spans="1:7" ht="13.5" thickTop="1" x14ac:dyDescent="0.2">
      <c r="A1107" s="29">
        <v>1</v>
      </c>
      <c r="B1107" s="101"/>
      <c r="C1107" s="371" t="s">
        <v>242</v>
      </c>
      <c r="D1107" s="370" t="s">
        <v>2311</v>
      </c>
      <c r="E1107" s="158">
        <v>25</v>
      </c>
      <c r="F1107" s="128">
        <v>200</v>
      </c>
      <c r="G1107" s="35">
        <f>F1107*E1107</f>
        <v>5000</v>
      </c>
    </row>
    <row r="1108" spans="1:7" x14ac:dyDescent="0.2">
      <c r="A1108" s="29"/>
      <c r="B1108" s="655"/>
      <c r="C1108" s="665"/>
      <c r="D1108" s="666" t="s">
        <v>2736</v>
      </c>
      <c r="E1108" s="667"/>
      <c r="F1108" s="668"/>
      <c r="G1108" s="35"/>
    </row>
    <row r="1109" spans="1:7" x14ac:dyDescent="0.2">
      <c r="A1109" s="29">
        <v>2</v>
      </c>
      <c r="B1109" s="101"/>
      <c r="C1109" s="371" t="s">
        <v>242</v>
      </c>
      <c r="D1109" s="370" t="s">
        <v>2512</v>
      </c>
      <c r="E1109" s="108">
        <v>25</v>
      </c>
      <c r="F1109" s="128">
        <v>350</v>
      </c>
      <c r="G1109" s="35">
        <f t="shared" ref="G1109" si="5">F1109*E1109</f>
        <v>8750</v>
      </c>
    </row>
    <row r="1110" spans="1:7" x14ac:dyDescent="0.2">
      <c r="A1110" s="29"/>
      <c r="B1110" s="101"/>
      <c r="C1110" s="371"/>
      <c r="D1110" s="370" t="s">
        <v>1196</v>
      </c>
      <c r="E1110" s="108"/>
      <c r="F1110" s="128"/>
      <c r="G1110" s="35"/>
    </row>
    <row r="1111" spans="1:7" x14ac:dyDescent="0.2">
      <c r="A1111" s="29"/>
      <c r="B1111" s="101"/>
      <c r="C1111" s="371"/>
      <c r="D1111" s="370"/>
      <c r="E1111" s="108"/>
      <c r="F1111" s="128"/>
      <c r="G1111" s="35"/>
    </row>
    <row r="1112" spans="1:7" x14ac:dyDescent="0.2">
      <c r="A1112" s="29"/>
      <c r="B1112" s="105"/>
      <c r="C1112" s="41"/>
      <c r="D1112" s="376"/>
      <c r="E1112" s="102"/>
      <c r="F1112" s="128"/>
      <c r="G1112" s="35"/>
    </row>
    <row r="1113" spans="1:7" x14ac:dyDescent="0.2">
      <c r="A1113" s="29"/>
      <c r="B1113" s="151"/>
      <c r="C1113" s="119"/>
      <c r="D1113" s="136"/>
      <c r="E1113" s="108"/>
      <c r="F1113" s="150"/>
      <c r="G1113" s="35"/>
    </row>
    <row r="1114" spans="1:7" x14ac:dyDescent="0.2">
      <c r="A1114" s="29"/>
      <c r="B1114" s="151"/>
      <c r="C1114" s="119"/>
      <c r="D1114" s="144"/>
      <c r="E1114" s="108"/>
      <c r="F1114" s="150"/>
      <c r="G1114" s="35"/>
    </row>
    <row r="1115" spans="1:7" x14ac:dyDescent="0.2">
      <c r="A1115" s="29"/>
      <c r="B1115" s="101"/>
      <c r="C1115" s="41"/>
      <c r="D1115" s="144"/>
      <c r="E1115" s="155"/>
      <c r="F1115" s="128"/>
      <c r="G1115" s="35"/>
    </row>
    <row r="1116" spans="1:7" x14ac:dyDescent="0.2">
      <c r="A1116" s="29"/>
      <c r="B1116" s="106"/>
      <c r="C1116" s="41"/>
      <c r="D1116" s="136"/>
      <c r="E1116" s="104"/>
      <c r="F1116" s="128"/>
      <c r="G1116" s="35"/>
    </row>
    <row r="1117" spans="1:7" x14ac:dyDescent="0.2">
      <c r="A1117" s="29"/>
      <c r="B1117" s="105"/>
      <c r="C1117" s="41" t="s">
        <v>150</v>
      </c>
      <c r="D1117" s="136"/>
      <c r="E1117" s="108"/>
      <c r="F1117" s="152"/>
      <c r="G1117" s="35"/>
    </row>
    <row r="1118" spans="1:7" x14ac:dyDescent="0.2">
      <c r="A1118" s="29"/>
      <c r="B1118" s="107"/>
      <c r="C1118" s="41"/>
      <c r="D1118" s="136"/>
      <c r="E1118" s="153"/>
      <c r="F1118" s="128"/>
      <c r="G1118" s="35"/>
    </row>
    <row r="1119" spans="1:7" x14ac:dyDescent="0.2">
      <c r="A1119" s="29"/>
      <c r="B1119" s="107"/>
      <c r="C1119" s="41"/>
      <c r="D1119" s="67"/>
      <c r="E1119" s="153"/>
      <c r="F1119" s="128"/>
      <c r="G1119" s="35"/>
    </row>
    <row r="1120" spans="1:7" x14ac:dyDescent="0.2">
      <c r="A1120" s="29"/>
      <c r="B1120" s="101"/>
      <c r="C1120" s="41"/>
      <c r="D1120" s="67"/>
      <c r="E1120" s="108"/>
      <c r="F1120" s="128"/>
      <c r="G1120" s="35"/>
    </row>
    <row r="1121" spans="1:7" x14ac:dyDescent="0.2">
      <c r="A1121" s="29"/>
      <c r="B1121" s="101"/>
      <c r="C1121" s="41"/>
      <c r="D1121" s="67"/>
      <c r="E1121" s="153"/>
      <c r="F1121" s="128"/>
      <c r="G1121" s="35"/>
    </row>
    <row r="1122" spans="1:7" x14ac:dyDescent="0.2">
      <c r="A1122" s="29"/>
      <c r="B1122" s="106"/>
      <c r="C1122" s="41"/>
      <c r="D1122" s="67"/>
      <c r="E1122" s="104" t="s">
        <v>150</v>
      </c>
      <c r="F1122" s="154"/>
      <c r="G1122" s="35"/>
    </row>
    <row r="1123" spans="1:7" x14ac:dyDescent="0.2">
      <c r="A1123" s="29"/>
      <c r="B1123" s="105"/>
      <c r="C1123" s="41"/>
      <c r="D1123" s="130"/>
      <c r="E1123" s="104"/>
      <c r="F1123" s="154"/>
      <c r="G1123" s="35"/>
    </row>
    <row r="1124" spans="1:7" x14ac:dyDescent="0.2">
      <c r="A1124" s="29"/>
      <c r="B1124" s="105"/>
      <c r="C1124" s="41"/>
      <c r="D1124" s="67"/>
      <c r="E1124" s="104"/>
      <c r="F1124" s="154"/>
      <c r="G1124" s="35"/>
    </row>
    <row r="1125" spans="1:7" x14ac:dyDescent="0.2">
      <c r="A1125" s="29"/>
      <c r="B1125" s="101"/>
      <c r="C1125" s="41"/>
      <c r="D1125" s="67"/>
      <c r="E1125" s="104"/>
      <c r="F1125" s="154"/>
      <c r="G1125" s="35"/>
    </row>
    <row r="1126" spans="1:7" x14ac:dyDescent="0.2">
      <c r="A1126" s="29"/>
      <c r="B1126" s="101"/>
      <c r="C1126" s="41"/>
      <c r="D1126" s="136"/>
      <c r="E1126" s="104"/>
      <c r="F1126" s="154"/>
      <c r="G1126" s="35"/>
    </row>
    <row r="1127" spans="1:7" x14ac:dyDescent="0.2">
      <c r="A1127" s="29"/>
      <c r="B1127" s="101"/>
      <c r="C1127" s="41"/>
      <c r="D1127" s="136"/>
      <c r="E1127" s="104"/>
      <c r="F1127" s="154"/>
      <c r="G1127" s="35"/>
    </row>
    <row r="1128" spans="1:7" x14ac:dyDescent="0.2">
      <c r="A1128" s="29"/>
      <c r="B1128" s="101"/>
      <c r="C1128" s="41"/>
      <c r="D1128" s="62"/>
      <c r="E1128" s="104"/>
      <c r="F1128" s="154"/>
      <c r="G1128" s="35"/>
    </row>
    <row r="1129" spans="1:7" x14ac:dyDescent="0.2">
      <c r="A1129" s="29"/>
      <c r="B1129" s="101"/>
      <c r="C1129" s="41"/>
      <c r="D1129" s="62"/>
      <c r="E1129" s="104"/>
      <c r="F1129" s="154"/>
      <c r="G1129" s="35"/>
    </row>
    <row r="1130" spans="1:7" x14ac:dyDescent="0.2">
      <c r="A1130" s="29"/>
      <c r="B1130" s="101"/>
      <c r="C1130" s="41"/>
      <c r="D1130" s="62"/>
      <c r="E1130" s="104"/>
      <c r="F1130" s="154"/>
      <c r="G1130" s="35"/>
    </row>
    <row r="1131" spans="1:7" x14ac:dyDescent="0.2">
      <c r="A1131" s="29"/>
      <c r="B1131" s="101"/>
      <c r="C1131" s="41"/>
      <c r="D1131" s="62"/>
      <c r="E1131" s="104"/>
      <c r="F1131" s="154"/>
      <c r="G1131" s="35"/>
    </row>
    <row r="1132" spans="1:7" x14ac:dyDescent="0.2">
      <c r="A1132" s="29"/>
      <c r="B1132" s="101"/>
      <c r="C1132" s="41"/>
      <c r="D1132" s="62"/>
      <c r="E1132" s="104"/>
      <c r="F1132" s="154"/>
      <c r="G1132" s="35"/>
    </row>
    <row r="1133" spans="1:7" x14ac:dyDescent="0.2">
      <c r="A1133" s="29"/>
      <c r="B1133" s="101"/>
      <c r="C1133" s="41"/>
      <c r="D1133" s="67"/>
      <c r="E1133" s="104"/>
      <c r="F1133" s="154"/>
      <c r="G1133" s="35"/>
    </row>
    <row r="1134" spans="1:7" x14ac:dyDescent="0.2">
      <c r="A1134" s="29"/>
      <c r="B1134" s="101"/>
      <c r="C1134" s="41"/>
      <c r="D1134" s="159"/>
      <c r="E1134" s="104"/>
      <c r="F1134" s="154"/>
      <c r="G1134" s="35"/>
    </row>
    <row r="1135" spans="1:7" x14ac:dyDescent="0.2">
      <c r="A1135" s="29"/>
      <c r="B1135" s="101"/>
      <c r="C1135" s="41"/>
      <c r="D1135" s="160"/>
      <c r="E1135" s="108"/>
      <c r="F1135" s="128"/>
      <c r="G1135" s="35"/>
    </row>
    <row r="1136" spans="1:7" x14ac:dyDescent="0.2">
      <c r="A1136" s="29"/>
      <c r="B1136" s="101"/>
      <c r="C1136" s="41"/>
      <c r="D1136" s="136"/>
      <c r="E1136" s="153"/>
      <c r="F1136" s="128"/>
      <c r="G1136" s="35"/>
    </row>
    <row r="1137" spans="1:7" x14ac:dyDescent="0.2">
      <c r="A1137" s="29"/>
      <c r="B1137" s="101"/>
      <c r="C1137" s="41"/>
      <c r="D1137" s="136"/>
      <c r="E1137" s="102"/>
      <c r="F1137" s="128"/>
      <c r="G1137" s="35"/>
    </row>
    <row r="1138" spans="1:7" x14ac:dyDescent="0.2">
      <c r="A1138" s="29"/>
      <c r="B1138" s="101"/>
      <c r="C1138" s="31"/>
      <c r="D1138" s="67"/>
      <c r="E1138" s="131"/>
      <c r="F1138" s="117"/>
      <c r="G1138" s="35"/>
    </row>
    <row r="1139" spans="1:7" x14ac:dyDescent="0.2">
      <c r="A1139" s="29"/>
      <c r="B1139" s="101"/>
      <c r="C1139" s="41"/>
      <c r="D1139" s="118"/>
      <c r="E1139" s="108"/>
      <c r="F1139" s="149"/>
      <c r="G1139" s="35"/>
    </row>
    <row r="1140" spans="1:7" x14ac:dyDescent="0.2">
      <c r="A1140" s="29"/>
      <c r="B1140" s="101"/>
      <c r="C1140" s="41"/>
      <c r="D1140" s="144"/>
      <c r="E1140" s="108"/>
      <c r="F1140" s="149"/>
      <c r="G1140" s="35"/>
    </row>
    <row r="1141" spans="1:7" ht="13.5" thickBot="1" x14ac:dyDescent="0.25">
      <c r="A1141" s="45"/>
      <c r="B1141" s="132"/>
      <c r="C1141" s="115"/>
      <c r="D1141" s="115"/>
      <c r="E1141" s="132"/>
      <c r="F1141" s="49" t="s">
        <v>15</v>
      </c>
      <c r="G1141" s="50">
        <f>SUM(G1107:G1140)</f>
        <v>13750</v>
      </c>
    </row>
    <row r="1142" spans="1:7" ht="13.5" thickTop="1" x14ac:dyDescent="0.2">
      <c r="A1142" s="875" t="s">
        <v>2737</v>
      </c>
      <c r="B1142" s="899"/>
      <c r="C1142" s="899"/>
      <c r="D1142" s="899"/>
      <c r="E1142" s="899"/>
      <c r="F1142" s="899"/>
      <c r="G1142" s="900"/>
    </row>
    <row r="1143" spans="1:7" ht="13.5" thickBot="1" x14ac:dyDescent="0.25">
      <c r="A1143" s="52"/>
      <c r="B1143" s="103"/>
      <c r="C1143" s="374" t="s">
        <v>2738</v>
      </c>
      <c r="D1143" s="54"/>
      <c r="E1143" s="103"/>
      <c r="F1143" s="55"/>
      <c r="G1143" s="56"/>
    </row>
    <row r="1144" spans="1:7" ht="13.5" thickTop="1" x14ac:dyDescent="0.2">
      <c r="A1144" s="906"/>
      <c r="B1144" s="907"/>
      <c r="C1144" s="907"/>
      <c r="D1144" s="57" t="s">
        <v>11</v>
      </c>
      <c r="E1144" s="908" t="s">
        <v>12</v>
      </c>
      <c r="F1144" s="908"/>
      <c r="G1144" s="909"/>
    </row>
    <row r="1145" spans="1:7" x14ac:dyDescent="0.2">
      <c r="A1145" s="910" t="s">
        <v>17</v>
      </c>
      <c r="B1145" s="911"/>
      <c r="C1145" s="911"/>
      <c r="D1145" s="39"/>
      <c r="E1145" s="912"/>
      <c r="F1145" s="913"/>
      <c r="G1145" s="914"/>
    </row>
    <row r="1146" spans="1:7" x14ac:dyDescent="0.2">
      <c r="A1146" s="910" t="s">
        <v>38</v>
      </c>
      <c r="B1146" s="911"/>
      <c r="C1146" s="911"/>
      <c r="D1146" s="58" t="s">
        <v>271</v>
      </c>
      <c r="E1146" s="868" t="s">
        <v>142</v>
      </c>
      <c r="F1146" s="868"/>
      <c r="G1146" s="869"/>
    </row>
    <row r="1147" spans="1:7" ht="13.5" thickBot="1" x14ac:dyDescent="0.25">
      <c r="A1147" s="901" t="s">
        <v>39</v>
      </c>
      <c r="B1147" s="902"/>
      <c r="C1147" s="902"/>
      <c r="D1147" s="59" t="s">
        <v>272</v>
      </c>
      <c r="E1147" s="904" t="s">
        <v>0</v>
      </c>
      <c r="F1147" s="904"/>
      <c r="G1147" s="905"/>
    </row>
  </sheetData>
  <mergeCells count="329">
    <mergeCell ref="A1046:C1046"/>
    <mergeCell ref="E1046:G1046"/>
    <mergeCell ref="A1047:C1047"/>
    <mergeCell ref="E1047:G1047"/>
    <mergeCell ref="A998:G998"/>
    <mergeCell ref="A999:G999"/>
    <mergeCell ref="A1000:G1000"/>
    <mergeCell ref="E1003:F1003"/>
    <mergeCell ref="E1005:F1005"/>
    <mergeCell ref="A1042:G1042"/>
    <mergeCell ref="A1044:C1044"/>
    <mergeCell ref="E1044:G1044"/>
    <mergeCell ref="A1045:C1045"/>
    <mergeCell ref="E1045:G1045"/>
    <mergeCell ref="A992:G992"/>
    <mergeCell ref="A994:C994"/>
    <mergeCell ref="E994:G994"/>
    <mergeCell ref="A995:C995"/>
    <mergeCell ref="E995:G995"/>
    <mergeCell ref="A996:C996"/>
    <mergeCell ref="E996:G996"/>
    <mergeCell ref="A997:C997"/>
    <mergeCell ref="E997:G997"/>
    <mergeCell ref="A946:C946"/>
    <mergeCell ref="E946:G946"/>
    <mergeCell ref="A947:C947"/>
    <mergeCell ref="E947:G947"/>
    <mergeCell ref="A948:G948"/>
    <mergeCell ref="A949:G949"/>
    <mergeCell ref="A950:G950"/>
    <mergeCell ref="E953:F953"/>
    <mergeCell ref="E955:F955"/>
    <mergeCell ref="A898:G898"/>
    <mergeCell ref="A899:G899"/>
    <mergeCell ref="A900:G900"/>
    <mergeCell ref="E903:F903"/>
    <mergeCell ref="E905:F905"/>
    <mergeCell ref="A942:G942"/>
    <mergeCell ref="A944:C944"/>
    <mergeCell ref="E944:G944"/>
    <mergeCell ref="A945:C945"/>
    <mergeCell ref="E945:G945"/>
    <mergeCell ref="A896:C896"/>
    <mergeCell ref="E896:G896"/>
    <mergeCell ref="A897:C897"/>
    <mergeCell ref="E897:G897"/>
    <mergeCell ref="A848:G848"/>
    <mergeCell ref="A849:G849"/>
    <mergeCell ref="A850:G850"/>
    <mergeCell ref="E853:F853"/>
    <mergeCell ref="E855:F855"/>
    <mergeCell ref="A892:G892"/>
    <mergeCell ref="A894:C894"/>
    <mergeCell ref="E894:G894"/>
    <mergeCell ref="A895:C895"/>
    <mergeCell ref="E895:G895"/>
    <mergeCell ref="A845:C845"/>
    <mergeCell ref="E845:G845"/>
    <mergeCell ref="A846:C846"/>
    <mergeCell ref="E846:G846"/>
    <mergeCell ref="A847:C847"/>
    <mergeCell ref="E847:G847"/>
    <mergeCell ref="C843:G843"/>
    <mergeCell ref="A799:G799"/>
    <mergeCell ref="A800:G800"/>
    <mergeCell ref="A801:G801"/>
    <mergeCell ref="E804:F804"/>
    <mergeCell ref="E806:F806"/>
    <mergeCell ref="A842:G842"/>
    <mergeCell ref="A844:C844"/>
    <mergeCell ref="E844:G844"/>
    <mergeCell ref="C794:D794"/>
    <mergeCell ref="A797:C797"/>
    <mergeCell ref="E797:G797"/>
    <mergeCell ref="A798:C798"/>
    <mergeCell ref="E798:G798"/>
    <mergeCell ref="I792:O792"/>
    <mergeCell ref="K793:O793"/>
    <mergeCell ref="A750:G750"/>
    <mergeCell ref="A751:G751"/>
    <mergeCell ref="A752:G752"/>
    <mergeCell ref="E755:F755"/>
    <mergeCell ref="E757:F757"/>
    <mergeCell ref="A793:G793"/>
    <mergeCell ref="A795:C795"/>
    <mergeCell ref="E795:G795"/>
    <mergeCell ref="A796:C796"/>
    <mergeCell ref="E796:G796"/>
    <mergeCell ref="A744:G744"/>
    <mergeCell ref="A746:C746"/>
    <mergeCell ref="E746:G746"/>
    <mergeCell ref="A747:C747"/>
    <mergeCell ref="E747:G747"/>
    <mergeCell ref="A748:C748"/>
    <mergeCell ref="E748:G748"/>
    <mergeCell ref="A749:C749"/>
    <mergeCell ref="E749:G749"/>
    <mergeCell ref="A698:C698"/>
    <mergeCell ref="E698:G698"/>
    <mergeCell ref="A699:C699"/>
    <mergeCell ref="E699:G699"/>
    <mergeCell ref="A700:G700"/>
    <mergeCell ref="A701:G701"/>
    <mergeCell ref="A702:G702"/>
    <mergeCell ref="E705:F705"/>
    <mergeCell ref="E707:F707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697:C697"/>
    <mergeCell ref="E697:G697"/>
    <mergeCell ref="A544:G544"/>
    <mergeCell ref="A546:C546"/>
    <mergeCell ref="E546:G546"/>
    <mergeCell ref="A547:C547"/>
    <mergeCell ref="E547:G547"/>
    <mergeCell ref="A548:C548"/>
    <mergeCell ref="E548:G548"/>
    <mergeCell ref="A549:C549"/>
    <mergeCell ref="E549:G549"/>
    <mergeCell ref="A498:C498"/>
    <mergeCell ref="E498:G498"/>
    <mergeCell ref="A499:C499"/>
    <mergeCell ref="E499:G499"/>
    <mergeCell ref="A500:G500"/>
    <mergeCell ref="A501:G501"/>
    <mergeCell ref="A502:G502"/>
    <mergeCell ref="E505:F505"/>
    <mergeCell ref="E507:F507"/>
    <mergeCell ref="A450:G450"/>
    <mergeCell ref="A451:G451"/>
    <mergeCell ref="A452:G452"/>
    <mergeCell ref="E455:F455"/>
    <mergeCell ref="E457:F457"/>
    <mergeCell ref="A494:G494"/>
    <mergeCell ref="A496:C496"/>
    <mergeCell ref="E496:G496"/>
    <mergeCell ref="A497:C497"/>
    <mergeCell ref="E497:G497"/>
    <mergeCell ref="A444:G444"/>
    <mergeCell ref="A446:C446"/>
    <mergeCell ref="E446:G446"/>
    <mergeCell ref="A447:C447"/>
    <mergeCell ref="E447:G447"/>
    <mergeCell ref="A448:C448"/>
    <mergeCell ref="E448:G448"/>
    <mergeCell ref="A449:C449"/>
    <mergeCell ref="E449:G449"/>
    <mergeCell ref="A398:C398"/>
    <mergeCell ref="E398:G398"/>
    <mergeCell ref="A399:C399"/>
    <mergeCell ref="E399:G399"/>
    <mergeCell ref="A400:G400"/>
    <mergeCell ref="A401:G401"/>
    <mergeCell ref="A402:G402"/>
    <mergeCell ref="E405:F405"/>
    <mergeCell ref="E407:F407"/>
    <mergeCell ref="I294:O294"/>
    <mergeCell ref="A44:G44"/>
    <mergeCell ref="A46:C46"/>
    <mergeCell ref="E46:G46"/>
    <mergeCell ref="A47:C47"/>
    <mergeCell ref="E47:G47"/>
    <mergeCell ref="A1:G1"/>
    <mergeCell ref="A2:G2"/>
    <mergeCell ref="A3:G3"/>
    <mergeCell ref="E6:F6"/>
    <mergeCell ref="E8:F8"/>
    <mergeCell ref="A51:G51"/>
    <mergeCell ref="A52:G52"/>
    <mergeCell ref="E55:F55"/>
    <mergeCell ref="E57:F57"/>
    <mergeCell ref="A94:G94"/>
    <mergeCell ref="A48:C48"/>
    <mergeCell ref="E48:G48"/>
    <mergeCell ref="A49:C49"/>
    <mergeCell ref="E49:G49"/>
    <mergeCell ref="A50:G50"/>
    <mergeCell ref="A99:C99"/>
    <mergeCell ref="A101:G101"/>
    <mergeCell ref="A102:G102"/>
    <mergeCell ref="A96:C96"/>
    <mergeCell ref="E96:G96"/>
    <mergeCell ref="A97:C97"/>
    <mergeCell ref="E97:G97"/>
    <mergeCell ref="A98:C98"/>
    <mergeCell ref="E98:G98"/>
    <mergeCell ref="E99:G99"/>
    <mergeCell ref="A100:G100"/>
    <mergeCell ref="A148:C148"/>
    <mergeCell ref="E148:G148"/>
    <mergeCell ref="A149:C149"/>
    <mergeCell ref="E149:G149"/>
    <mergeCell ref="E105:F105"/>
    <mergeCell ref="E107:F107"/>
    <mergeCell ref="A144:G144"/>
    <mergeCell ref="A146:C146"/>
    <mergeCell ref="E146:G146"/>
    <mergeCell ref="A147:C147"/>
    <mergeCell ref="E147:G147"/>
    <mergeCell ref="A194:G194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200:G200"/>
    <mergeCell ref="A201:G201"/>
    <mergeCell ref="A202:G202"/>
    <mergeCell ref="E205:F205"/>
    <mergeCell ref="E207:F207"/>
    <mergeCell ref="A198:C198"/>
    <mergeCell ref="E198:G198"/>
    <mergeCell ref="A199:C199"/>
    <mergeCell ref="E199:G199"/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  <mergeCell ref="A294:G294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301:G301"/>
    <mergeCell ref="A302:G302"/>
    <mergeCell ref="E305:F305"/>
    <mergeCell ref="E307:F307"/>
    <mergeCell ref="A344:G344"/>
    <mergeCell ref="A298:C298"/>
    <mergeCell ref="E298:G298"/>
    <mergeCell ref="A299:C299"/>
    <mergeCell ref="E299:G299"/>
    <mergeCell ref="A300:G300"/>
    <mergeCell ref="E607:F607"/>
    <mergeCell ref="A644:G644"/>
    <mergeCell ref="A646:C646"/>
    <mergeCell ref="E646:G646"/>
    <mergeCell ref="A647:C647"/>
    <mergeCell ref="E647:G647"/>
    <mergeCell ref="A349:C349"/>
    <mergeCell ref="E349:G349"/>
    <mergeCell ref="A346:C346"/>
    <mergeCell ref="E346:G346"/>
    <mergeCell ref="A347:C347"/>
    <mergeCell ref="E347:G347"/>
    <mergeCell ref="A348:C348"/>
    <mergeCell ref="E348:G348"/>
    <mergeCell ref="A350:G350"/>
    <mergeCell ref="A351:G351"/>
    <mergeCell ref="A352:G352"/>
    <mergeCell ref="E355:F355"/>
    <mergeCell ref="E357:F357"/>
    <mergeCell ref="A394:G394"/>
    <mergeCell ref="A396:C396"/>
    <mergeCell ref="E396:G396"/>
    <mergeCell ref="A397:C397"/>
    <mergeCell ref="E397:G397"/>
    <mergeCell ref="I839:O839"/>
    <mergeCell ref="K840:O840"/>
    <mergeCell ref="A598:C598"/>
    <mergeCell ref="E598:G598"/>
    <mergeCell ref="A599:C599"/>
    <mergeCell ref="E599:G599"/>
    <mergeCell ref="A550:G550"/>
    <mergeCell ref="A551:G551"/>
    <mergeCell ref="A552:G552"/>
    <mergeCell ref="E555:F555"/>
    <mergeCell ref="A648:C648"/>
    <mergeCell ref="E648:G648"/>
    <mergeCell ref="E557:F557"/>
    <mergeCell ref="A594:G594"/>
    <mergeCell ref="A596:C596"/>
    <mergeCell ref="E596:G596"/>
    <mergeCell ref="A597:C597"/>
    <mergeCell ref="E597:G597"/>
    <mergeCell ref="A649:C649"/>
    <mergeCell ref="E649:G649"/>
    <mergeCell ref="A600:G600"/>
    <mergeCell ref="A601:G601"/>
    <mergeCell ref="A602:G602"/>
    <mergeCell ref="E605:F605"/>
    <mergeCell ref="A1048:G1048"/>
    <mergeCell ref="A1049:G1049"/>
    <mergeCell ref="A1050:G1050"/>
    <mergeCell ref="E1053:F1053"/>
    <mergeCell ref="E1055:F1055"/>
    <mergeCell ref="A1092:G1092"/>
    <mergeCell ref="A1094:C1094"/>
    <mergeCell ref="E1094:G1094"/>
    <mergeCell ref="A1095:C1095"/>
    <mergeCell ref="E1095:G1095"/>
    <mergeCell ref="A1096:C1096"/>
    <mergeCell ref="E1096:G1096"/>
    <mergeCell ref="A1097:C1097"/>
    <mergeCell ref="E1097:G1097"/>
    <mergeCell ref="A1098:G1098"/>
    <mergeCell ref="A1099:G1099"/>
    <mergeCell ref="A1100:G1100"/>
    <mergeCell ref="E1103:F1103"/>
    <mergeCell ref="E1105:F1105"/>
    <mergeCell ref="A1142:G1142"/>
    <mergeCell ref="A1144:C1144"/>
    <mergeCell ref="E1144:G1144"/>
    <mergeCell ref="A1145:C1145"/>
    <mergeCell ref="E1145:G1145"/>
    <mergeCell ref="A1146:C1146"/>
    <mergeCell ref="E1146:G1146"/>
    <mergeCell ref="A1147:C1147"/>
    <mergeCell ref="E1147:G11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A3CC4"/>
  </sheetPr>
  <dimension ref="A1:J99"/>
  <sheetViews>
    <sheetView topLeftCell="A50" zoomScale="110" zoomScaleNormal="110" workbookViewId="0">
      <selection activeCell="I73" sqref="I7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5.28515625" style="2" customWidth="1"/>
    <col min="11" max="11" width="11.5703125" style="2" customWidth="1"/>
    <col min="12" max="12" width="11.7109375" style="2" customWidth="1"/>
    <col min="13" max="13" width="15.42578125" style="2" customWidth="1"/>
    <col min="14" max="14" width="19" style="2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891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13</v>
      </c>
      <c r="D5" s="13"/>
      <c r="E5" s="362" t="s">
        <v>2081</v>
      </c>
      <c r="F5" s="98"/>
      <c r="G5" s="363" t="s">
        <v>2101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397" t="s">
        <v>1565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2077</v>
      </c>
      <c r="E10" s="158">
        <v>30</v>
      </c>
      <c r="F10" s="128">
        <v>200</v>
      </c>
      <c r="G10" s="35">
        <f>F10*E10</f>
        <v>6000</v>
      </c>
    </row>
    <row r="11" spans="1:7" x14ac:dyDescent="0.2">
      <c r="A11" s="29">
        <v>2</v>
      </c>
      <c r="B11" s="101"/>
      <c r="C11" s="371" t="s">
        <v>149</v>
      </c>
      <c r="D11" s="370" t="s">
        <v>325</v>
      </c>
      <c r="E11" s="108">
        <v>30</v>
      </c>
      <c r="F11" s="128">
        <v>350</v>
      </c>
      <c r="G11" s="35">
        <f t="shared" ref="G11:G12" si="0">F11*E11</f>
        <v>10500</v>
      </c>
    </row>
    <row r="12" spans="1:7" x14ac:dyDescent="0.2">
      <c r="A12" s="29">
        <v>3</v>
      </c>
      <c r="B12" s="101"/>
      <c r="C12" s="371" t="s">
        <v>149</v>
      </c>
      <c r="D12" s="370" t="s">
        <v>2078</v>
      </c>
      <c r="E12" s="108">
        <v>30</v>
      </c>
      <c r="F12" s="149">
        <v>200</v>
      </c>
      <c r="G12" s="35">
        <f t="shared" si="0"/>
        <v>6000</v>
      </c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29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</row>
    <row r="20" spans="1:10" x14ac:dyDescent="0.2">
      <c r="A20" s="29"/>
      <c r="B20" s="105"/>
      <c r="C20" s="41"/>
      <c r="D20" s="136"/>
      <c r="E20" s="108"/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  <c r="J27" s="211"/>
    </row>
    <row r="28" spans="1:10" x14ac:dyDescent="0.2">
      <c r="A28" s="29"/>
      <c r="B28" s="101"/>
      <c r="C28" s="41"/>
      <c r="D28" s="67"/>
      <c r="E28" s="104"/>
      <c r="F28" s="154"/>
      <c r="G28" s="35"/>
      <c r="J28" s="211"/>
    </row>
    <row r="29" spans="1:10" x14ac:dyDescent="0.2">
      <c r="A29" s="29"/>
      <c r="B29" s="101"/>
      <c r="C29" s="41"/>
      <c r="D29" s="136"/>
      <c r="E29" s="104"/>
      <c r="F29" s="154"/>
      <c r="G29" s="35"/>
      <c r="J29" s="211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62"/>
      <c r="E31" s="104"/>
      <c r="F31" s="154"/>
      <c r="G31" s="35"/>
    </row>
    <row r="32" spans="1:10" x14ac:dyDescent="0.2">
      <c r="A32" s="29"/>
      <c r="B32" s="101"/>
      <c r="C32" s="41"/>
      <c r="D32" s="67"/>
      <c r="E32" s="104" t="s">
        <v>152</v>
      </c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 t="s">
        <v>152</v>
      </c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53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 t="s">
        <v>8</v>
      </c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22500</v>
      </c>
    </row>
    <row r="43" spans="1:7" ht="13.5" thickTop="1" x14ac:dyDescent="0.2">
      <c r="A43" s="875" t="s">
        <v>2079</v>
      </c>
      <c r="B43" s="899"/>
      <c r="C43" s="899"/>
      <c r="D43" s="899"/>
      <c r="E43" s="899"/>
      <c r="F43" s="899"/>
      <c r="G43" s="900"/>
    </row>
    <row r="44" spans="1:7" x14ac:dyDescent="0.2">
      <c r="A44" s="373"/>
      <c r="B44" s="22"/>
      <c r="C44" s="377" t="s">
        <v>2102</v>
      </c>
      <c r="D44" s="22"/>
      <c r="E44" s="22"/>
      <c r="F44" s="22"/>
      <c r="G44" s="352"/>
    </row>
    <row r="45" spans="1:7" ht="13.5" thickBot="1" x14ac:dyDescent="0.25">
      <c r="A45" s="52"/>
      <c r="B45" s="103"/>
      <c r="C45" s="927" t="s">
        <v>2080</v>
      </c>
      <c r="D45" s="927"/>
      <c r="E45" s="927"/>
      <c r="F45" s="927"/>
      <c r="G45" s="928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58" t="s">
        <v>303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304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891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13</v>
      </c>
      <c r="D54" s="13"/>
      <c r="E54" s="362" t="s">
        <v>2436</v>
      </c>
      <c r="F54" s="98"/>
      <c r="G54" s="363" t="s">
        <v>2151</v>
      </c>
    </row>
    <row r="55" spans="1:7" x14ac:dyDescent="0.2">
      <c r="A55" s="17" t="s">
        <v>8</v>
      </c>
      <c r="B55" s="100"/>
      <c r="C55" s="19"/>
      <c r="D55" s="4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397" t="s">
        <v>1565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71" t="s">
        <v>242</v>
      </c>
      <c r="D59" s="376" t="s">
        <v>980</v>
      </c>
      <c r="E59" s="158">
        <v>15</v>
      </c>
      <c r="F59" s="128">
        <v>600</v>
      </c>
      <c r="G59" s="35">
        <f>F59*E59</f>
        <v>9000</v>
      </c>
    </row>
    <row r="60" spans="1:7" x14ac:dyDescent="0.2">
      <c r="A60" s="29"/>
      <c r="B60" s="101"/>
      <c r="C60" s="371"/>
      <c r="D60" s="370" t="s">
        <v>349</v>
      </c>
      <c r="E60" s="108"/>
      <c r="F60" s="128"/>
      <c r="G60" s="35"/>
    </row>
    <row r="61" spans="1:7" x14ac:dyDescent="0.2">
      <c r="A61" s="29"/>
      <c r="B61" s="101"/>
      <c r="C61" s="371"/>
      <c r="D61" s="370"/>
      <c r="E61" s="108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29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9" x14ac:dyDescent="0.2">
      <c r="A65" s="29"/>
      <c r="B65" s="151"/>
      <c r="C65" s="119"/>
      <c r="D65" s="136"/>
      <c r="E65" s="108"/>
      <c r="F65" s="150"/>
      <c r="G65" s="35"/>
    </row>
    <row r="66" spans="1:9" x14ac:dyDescent="0.2">
      <c r="A66" s="29"/>
      <c r="B66" s="151"/>
      <c r="C66" s="119"/>
      <c r="D66" s="144"/>
      <c r="E66" s="108"/>
      <c r="F66" s="150"/>
      <c r="G66" s="35"/>
    </row>
    <row r="67" spans="1:9" x14ac:dyDescent="0.2">
      <c r="A67" s="29"/>
      <c r="B67" s="101"/>
      <c r="C67" s="41"/>
      <c r="D67" s="144"/>
      <c r="E67" s="155"/>
      <c r="F67" s="128"/>
      <c r="G67" s="35"/>
    </row>
    <row r="68" spans="1:9" x14ac:dyDescent="0.2">
      <c r="A68" s="29"/>
      <c r="B68" s="106"/>
      <c r="C68" s="41"/>
      <c r="D68" s="136"/>
      <c r="E68" s="104"/>
      <c r="F68" s="128"/>
      <c r="G68" s="35"/>
    </row>
    <row r="69" spans="1:9" x14ac:dyDescent="0.2">
      <c r="A69" s="29"/>
      <c r="B69" s="105"/>
      <c r="C69" s="41"/>
      <c r="D69" s="136"/>
      <c r="E69" s="108"/>
      <c r="F69" s="152"/>
      <c r="G69" s="35"/>
    </row>
    <row r="70" spans="1:9" x14ac:dyDescent="0.2">
      <c r="A70" s="29"/>
      <c r="B70" s="107"/>
      <c r="C70" s="41"/>
      <c r="D70" s="136"/>
      <c r="E70" s="153"/>
      <c r="F70" s="128"/>
      <c r="G70" s="35"/>
      <c r="I70" s="430" t="s">
        <v>152</v>
      </c>
    </row>
    <row r="71" spans="1:9" x14ac:dyDescent="0.2">
      <c r="A71" s="29"/>
      <c r="B71" s="107"/>
      <c r="C71" s="41"/>
      <c r="D71" s="67"/>
      <c r="E71" s="153"/>
      <c r="F71" s="128"/>
      <c r="G71" s="35"/>
    </row>
    <row r="72" spans="1:9" x14ac:dyDescent="0.2">
      <c r="A72" s="29"/>
      <c r="B72" s="101"/>
      <c r="C72" s="41"/>
      <c r="D72" s="67"/>
      <c r="E72" s="108"/>
      <c r="F72" s="128"/>
      <c r="G72" s="35"/>
    </row>
    <row r="73" spans="1:9" x14ac:dyDescent="0.2">
      <c r="A73" s="29"/>
      <c r="B73" s="101"/>
      <c r="C73" s="41"/>
      <c r="D73" s="67"/>
      <c r="E73" s="153"/>
      <c r="F73" s="128"/>
      <c r="G73" s="35"/>
      <c r="H73" s="1" t="s">
        <v>2377</v>
      </c>
      <c r="I73" s="430" t="s">
        <v>152</v>
      </c>
    </row>
    <row r="74" spans="1:9" x14ac:dyDescent="0.2">
      <c r="A74" s="29"/>
      <c r="B74" s="106"/>
      <c r="C74" s="41"/>
      <c r="D74" s="67"/>
      <c r="E74" s="104"/>
      <c r="F74" s="154"/>
      <c r="G74" s="35"/>
    </row>
    <row r="75" spans="1:9" x14ac:dyDescent="0.2">
      <c r="A75" s="29"/>
      <c r="B75" s="105"/>
      <c r="C75" s="41"/>
      <c r="D75" s="130"/>
      <c r="E75" s="104"/>
      <c r="F75" s="154"/>
      <c r="G75" s="35"/>
    </row>
    <row r="76" spans="1:9" x14ac:dyDescent="0.2">
      <c r="A76" s="29"/>
      <c r="B76" s="105"/>
      <c r="C76" s="41"/>
      <c r="D76" s="67"/>
      <c r="E76" s="104"/>
      <c r="F76" s="154"/>
      <c r="G76" s="35"/>
    </row>
    <row r="77" spans="1:9" x14ac:dyDescent="0.2">
      <c r="A77" s="29"/>
      <c r="B77" s="101"/>
      <c r="C77" s="41"/>
      <c r="D77" s="67"/>
      <c r="E77" s="104"/>
      <c r="F77" s="154"/>
      <c r="G77" s="35"/>
    </row>
    <row r="78" spans="1:9" x14ac:dyDescent="0.2">
      <c r="A78" s="29"/>
      <c r="B78" s="101"/>
      <c r="C78" s="41"/>
      <c r="D78" s="136"/>
      <c r="E78" s="104"/>
      <c r="F78" s="154"/>
      <c r="G78" s="35"/>
    </row>
    <row r="79" spans="1:9" x14ac:dyDescent="0.2">
      <c r="A79" s="29"/>
      <c r="B79" s="101"/>
      <c r="C79" s="41"/>
      <c r="D79" s="136"/>
      <c r="E79" s="104"/>
      <c r="F79" s="154"/>
      <c r="G79" s="35"/>
    </row>
    <row r="80" spans="1:9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 t="s">
        <v>152</v>
      </c>
      <c r="F81" s="154"/>
      <c r="G81" s="35"/>
    </row>
    <row r="82" spans="1:7" x14ac:dyDescent="0.2">
      <c r="A82" s="29"/>
      <c r="B82" s="101"/>
      <c r="C82" s="41"/>
      <c r="D82" s="159"/>
      <c r="E82" s="104"/>
      <c r="F82" s="154"/>
      <c r="G82" s="35"/>
    </row>
    <row r="83" spans="1:7" x14ac:dyDescent="0.2">
      <c r="A83" s="29"/>
      <c r="B83" s="101"/>
      <c r="C83" s="41"/>
      <c r="D83" s="160" t="s">
        <v>152</v>
      </c>
      <c r="E83" s="108"/>
      <c r="F83" s="128"/>
      <c r="G83" s="35"/>
    </row>
    <row r="84" spans="1:7" x14ac:dyDescent="0.2">
      <c r="A84" s="29"/>
      <c r="B84" s="101"/>
      <c r="C84" s="41"/>
      <c r="D84" s="136"/>
      <c r="E84" s="153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 t="s">
        <v>8</v>
      </c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9000</v>
      </c>
    </row>
    <row r="94" spans="1:7" ht="13.5" thickTop="1" x14ac:dyDescent="0.2">
      <c r="A94" s="875" t="s">
        <v>2438</v>
      </c>
      <c r="B94" s="899"/>
      <c r="C94" s="899"/>
      <c r="D94" s="899"/>
      <c r="E94" s="899"/>
      <c r="F94" s="899"/>
      <c r="G94" s="900"/>
    </row>
    <row r="95" spans="1:7" ht="13.5" thickBot="1" x14ac:dyDescent="0.25">
      <c r="A95" s="52"/>
      <c r="B95" s="103"/>
      <c r="C95" s="927" t="s">
        <v>2314</v>
      </c>
      <c r="D95" s="927"/>
      <c r="E95" s="927"/>
      <c r="F95" s="927"/>
      <c r="G95" s="928"/>
    </row>
    <row r="96" spans="1:7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</row>
    <row r="97" spans="1:7" x14ac:dyDescent="0.2">
      <c r="A97" s="910" t="s">
        <v>17</v>
      </c>
      <c r="B97" s="911"/>
      <c r="C97" s="911"/>
      <c r="D97" s="39"/>
      <c r="E97" s="912"/>
      <c r="F97" s="913"/>
      <c r="G97" s="914"/>
    </row>
    <row r="98" spans="1:7" x14ac:dyDescent="0.2">
      <c r="A98" s="910" t="s">
        <v>38</v>
      </c>
      <c r="B98" s="911"/>
      <c r="C98" s="911"/>
      <c r="D98" s="58" t="s">
        <v>303</v>
      </c>
      <c r="E98" s="868" t="s">
        <v>142</v>
      </c>
      <c r="F98" s="868"/>
      <c r="G98" s="869"/>
    </row>
    <row r="99" spans="1:7" ht="13.5" thickBot="1" x14ac:dyDescent="0.25">
      <c r="A99" s="901" t="s">
        <v>39</v>
      </c>
      <c r="B99" s="902"/>
      <c r="C99" s="902"/>
      <c r="D99" s="59" t="s">
        <v>304</v>
      </c>
      <c r="E99" s="904" t="s">
        <v>0</v>
      </c>
      <c r="F99" s="904"/>
      <c r="G99" s="905"/>
    </row>
  </sheetData>
  <mergeCells count="30">
    <mergeCell ref="C45:G45"/>
    <mergeCell ref="A49:C49"/>
    <mergeCell ref="E49:G49"/>
    <mergeCell ref="A46:C46"/>
    <mergeCell ref="E46:G46"/>
    <mergeCell ref="A47:C47"/>
    <mergeCell ref="E47:G47"/>
    <mergeCell ref="A48:C48"/>
    <mergeCell ref="E48:G48"/>
    <mergeCell ref="A43:G43"/>
    <mergeCell ref="A1:G1"/>
    <mergeCell ref="A2:G2"/>
    <mergeCell ref="A3:G3"/>
    <mergeCell ref="E6:F6"/>
    <mergeCell ref="E8:F8"/>
    <mergeCell ref="A50:G50"/>
    <mergeCell ref="A51:G51"/>
    <mergeCell ref="A52:G52"/>
    <mergeCell ref="E55:F55"/>
    <mergeCell ref="E57:F57"/>
    <mergeCell ref="A98:C98"/>
    <mergeCell ref="E98:G98"/>
    <mergeCell ref="A99:C99"/>
    <mergeCell ref="E99:G99"/>
    <mergeCell ref="A94:G94"/>
    <mergeCell ref="C95:G95"/>
    <mergeCell ref="A96:C96"/>
    <mergeCell ref="E96:G96"/>
    <mergeCell ref="A97:C97"/>
    <mergeCell ref="E97:G9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A3CC4"/>
  </sheetPr>
  <dimension ref="A1:T397"/>
  <sheetViews>
    <sheetView topLeftCell="A63" zoomScale="110" zoomScaleNormal="110" workbookViewId="0">
      <selection activeCell="D63" sqref="D6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1.28515625" style="1" customWidth="1"/>
    <col min="10" max="10" width="14" style="2" customWidth="1"/>
    <col min="11" max="11" width="12.85546875" style="2" bestFit="1" customWidth="1"/>
    <col min="12" max="12" width="12.85546875" style="2" customWidth="1"/>
    <col min="13" max="13" width="11.5703125" style="2" customWidth="1"/>
    <col min="14" max="14" width="11.7109375" style="2" customWidth="1"/>
    <col min="15" max="15" width="10.7109375" style="2" customWidth="1"/>
    <col min="16" max="16" width="12.28515625" style="2" customWidth="1"/>
    <col min="17" max="17" width="10.42578125" style="2" bestFit="1" customWidth="1"/>
    <col min="18" max="18" width="10.5703125" style="2" bestFit="1" customWidth="1"/>
    <col min="19" max="19" width="11.5703125" style="2" bestFit="1" customWidth="1"/>
    <col min="20" max="20" width="10.5703125" style="2" bestFit="1" customWidth="1"/>
    <col min="21" max="21" width="9.140625" style="2"/>
    <col min="22" max="23" width="9.28515625" style="2" bestFit="1" customWidth="1"/>
    <col min="24" max="24" width="11.28515625" style="2" customWidth="1"/>
    <col min="25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45</v>
      </c>
      <c r="D5" s="13"/>
      <c r="E5" s="362" t="s">
        <v>1911</v>
      </c>
      <c r="F5" s="98"/>
      <c r="G5" s="363" t="s">
        <v>1883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449" t="s">
        <v>1884</v>
      </c>
      <c r="E10" s="158"/>
      <c r="F10" s="128"/>
      <c r="G10" s="35"/>
    </row>
    <row r="11" spans="1:7" x14ac:dyDescent="0.2">
      <c r="A11" s="29">
        <v>1</v>
      </c>
      <c r="B11" s="101"/>
      <c r="C11" s="371" t="s">
        <v>149</v>
      </c>
      <c r="D11" s="370" t="s">
        <v>1885</v>
      </c>
      <c r="E11" s="108">
        <v>10</v>
      </c>
      <c r="F11" s="128">
        <v>250</v>
      </c>
      <c r="G11" s="35">
        <f>F11*E11</f>
        <v>2500</v>
      </c>
    </row>
    <row r="12" spans="1:7" x14ac:dyDescent="0.2">
      <c r="A12" s="29"/>
      <c r="B12" s="101"/>
      <c r="C12" s="41"/>
      <c r="D12" s="370" t="s">
        <v>1886</v>
      </c>
      <c r="E12" s="157"/>
      <c r="F12" s="149"/>
      <c r="G12" s="372" t="s">
        <v>8</v>
      </c>
    </row>
    <row r="13" spans="1:7" x14ac:dyDescent="0.2">
      <c r="A13" s="29">
        <v>2</v>
      </c>
      <c r="B13" s="101"/>
      <c r="C13" s="371" t="s">
        <v>149</v>
      </c>
      <c r="D13" s="370" t="s">
        <v>325</v>
      </c>
      <c r="E13" s="108">
        <v>170</v>
      </c>
      <c r="F13" s="128">
        <v>350</v>
      </c>
      <c r="G13" s="35">
        <f t="shared" ref="G13:G14" si="0">F13*E13</f>
        <v>59500</v>
      </c>
    </row>
    <row r="14" spans="1:7" x14ac:dyDescent="0.2">
      <c r="A14" s="29">
        <v>3</v>
      </c>
      <c r="B14" s="105"/>
      <c r="C14" s="371" t="s">
        <v>149</v>
      </c>
      <c r="D14" s="376" t="s">
        <v>310</v>
      </c>
      <c r="E14" s="102">
        <v>170</v>
      </c>
      <c r="F14" s="128">
        <v>200</v>
      </c>
      <c r="G14" s="35">
        <f t="shared" si="0"/>
        <v>34000</v>
      </c>
    </row>
    <row r="15" spans="1:7" x14ac:dyDescent="0.2">
      <c r="A15" s="29"/>
      <c r="B15" s="105"/>
      <c r="C15" s="41"/>
      <c r="D15" s="449" t="s">
        <v>1887</v>
      </c>
      <c r="E15" s="102"/>
      <c r="F15" s="128"/>
      <c r="G15" s="35"/>
    </row>
    <row r="16" spans="1:7" x14ac:dyDescent="0.2">
      <c r="A16" s="29">
        <v>4</v>
      </c>
      <c r="B16" s="151"/>
      <c r="C16" s="385" t="s">
        <v>149</v>
      </c>
      <c r="D16" s="376" t="s">
        <v>1888</v>
      </c>
      <c r="E16" s="108">
        <v>10</v>
      </c>
      <c r="F16" s="150">
        <v>250</v>
      </c>
      <c r="G16" s="35">
        <f>F16*E16</f>
        <v>2500</v>
      </c>
    </row>
    <row r="17" spans="1:7" x14ac:dyDescent="0.2">
      <c r="A17" s="29"/>
      <c r="B17" s="151"/>
      <c r="C17" s="119"/>
      <c r="D17" s="383" t="s">
        <v>1889</v>
      </c>
      <c r="E17" s="108"/>
      <c r="F17" s="150"/>
      <c r="G17" s="372" t="s">
        <v>8</v>
      </c>
    </row>
    <row r="18" spans="1:7" x14ac:dyDescent="0.2">
      <c r="A18" s="29">
        <v>5</v>
      </c>
      <c r="B18" s="101"/>
      <c r="C18" s="371" t="s">
        <v>149</v>
      </c>
      <c r="D18" s="383" t="s">
        <v>325</v>
      </c>
      <c r="E18" s="155">
        <v>170</v>
      </c>
      <c r="F18" s="128">
        <v>350</v>
      </c>
      <c r="G18" s="35">
        <f t="shared" ref="G18:G19" si="1">F18*E18</f>
        <v>59500</v>
      </c>
    </row>
    <row r="19" spans="1:7" x14ac:dyDescent="0.2">
      <c r="A19" s="29">
        <v>6</v>
      </c>
      <c r="B19" s="106"/>
      <c r="C19" s="371" t="s">
        <v>149</v>
      </c>
      <c r="D19" s="376" t="s">
        <v>310</v>
      </c>
      <c r="E19" s="104">
        <v>170</v>
      </c>
      <c r="F19" s="128">
        <v>200</v>
      </c>
      <c r="G19" s="35">
        <f t="shared" si="1"/>
        <v>34000</v>
      </c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SUM(G11:G42)</f>
        <v>192000</v>
      </c>
    </row>
    <row r="44" spans="1:7" ht="13.5" thickTop="1" x14ac:dyDescent="0.2">
      <c r="A44" s="875" t="s">
        <v>1892</v>
      </c>
      <c r="B44" s="899"/>
      <c r="C44" s="899"/>
      <c r="D44" s="899"/>
      <c r="E44" s="899"/>
      <c r="F44" s="899"/>
      <c r="G44" s="900"/>
    </row>
    <row r="45" spans="1:7" ht="13.5" thickBot="1" x14ac:dyDescent="0.25">
      <c r="A45" s="52"/>
      <c r="B45" s="103"/>
      <c r="C45" s="374" t="s">
        <v>1912</v>
      </c>
      <c r="D45" s="54"/>
      <c r="E45" s="103"/>
      <c r="F45" s="55"/>
      <c r="G45" s="56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58" t="s">
        <v>1891</v>
      </c>
      <c r="E48" s="868" t="s">
        <v>142</v>
      </c>
      <c r="F48" s="868"/>
      <c r="G48" s="869"/>
    </row>
    <row r="49" spans="1:20" ht="13.5" thickBot="1" x14ac:dyDescent="0.25">
      <c r="A49" s="901" t="s">
        <v>39</v>
      </c>
      <c r="B49" s="902"/>
      <c r="C49" s="902"/>
      <c r="D49" s="125" t="s">
        <v>1024</v>
      </c>
      <c r="E49" s="904" t="s">
        <v>0</v>
      </c>
      <c r="F49" s="904"/>
      <c r="G49" s="905"/>
    </row>
    <row r="50" spans="1:20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20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20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20" x14ac:dyDescent="0.2">
      <c r="A53" s="6"/>
      <c r="B53" s="99"/>
      <c r="C53" s="8"/>
      <c r="D53" s="9"/>
      <c r="E53" s="99"/>
      <c r="F53" s="10"/>
      <c r="G53" s="11" t="s">
        <v>20</v>
      </c>
    </row>
    <row r="54" spans="1:20" x14ac:dyDescent="0.2">
      <c r="A54" s="12" t="s">
        <v>1</v>
      </c>
      <c r="B54" s="13"/>
      <c r="C54" s="14" t="s">
        <v>45</v>
      </c>
      <c r="D54" s="13"/>
      <c r="E54" s="362" t="s">
        <v>1913</v>
      </c>
      <c r="F54" s="98"/>
      <c r="G54" s="363" t="s">
        <v>1883</v>
      </c>
    </row>
    <row r="55" spans="1:20" x14ac:dyDescent="0.2">
      <c r="A55" s="17" t="s">
        <v>8</v>
      </c>
      <c r="B55" s="100"/>
      <c r="C55" s="19"/>
      <c r="D55" s="4"/>
      <c r="E55" s="918"/>
      <c r="F55" s="919"/>
      <c r="G55" s="20"/>
    </row>
    <row r="56" spans="1:20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20" x14ac:dyDescent="0.2">
      <c r="A57" s="6"/>
      <c r="B57" s="99"/>
      <c r="C57" s="8"/>
      <c r="D57" s="8"/>
      <c r="E57" s="920"/>
      <c r="F57" s="921"/>
      <c r="G57" s="25"/>
    </row>
    <row r="58" spans="1:20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20" ht="13.5" thickTop="1" x14ac:dyDescent="0.2">
      <c r="A59" s="29"/>
      <c r="B59" s="101"/>
      <c r="C59" s="41"/>
      <c r="D59" s="449" t="s">
        <v>1893</v>
      </c>
      <c r="E59" s="158"/>
      <c r="F59" s="128"/>
      <c r="G59" s="35"/>
    </row>
    <row r="60" spans="1:20" x14ac:dyDescent="0.2">
      <c r="A60" s="29">
        <v>1</v>
      </c>
      <c r="B60" s="101"/>
      <c r="C60" s="371" t="s">
        <v>149</v>
      </c>
      <c r="D60" s="370" t="s">
        <v>1885</v>
      </c>
      <c r="E60" s="108">
        <v>5</v>
      </c>
      <c r="F60" s="128">
        <v>250</v>
      </c>
      <c r="G60" s="35">
        <f>F60*E60</f>
        <v>1250</v>
      </c>
      <c r="J60" s="108">
        <v>5</v>
      </c>
      <c r="K60" s="128">
        <v>250</v>
      </c>
      <c r="L60" s="164">
        <f>K60*J60</f>
        <v>1250</v>
      </c>
      <c r="N60" s="108">
        <v>5</v>
      </c>
      <c r="O60" s="128">
        <v>250</v>
      </c>
      <c r="P60" s="164">
        <f>O60*N60</f>
        <v>1250</v>
      </c>
    </row>
    <row r="61" spans="1:20" x14ac:dyDescent="0.2">
      <c r="A61" s="29"/>
      <c r="B61" s="101"/>
      <c r="C61" s="41"/>
      <c r="D61" s="370" t="s">
        <v>1886</v>
      </c>
      <c r="E61" s="157"/>
      <c r="F61" s="149"/>
      <c r="G61" s="372" t="s">
        <v>8</v>
      </c>
      <c r="J61" s="157"/>
      <c r="K61" s="149"/>
      <c r="L61" s="544" t="s">
        <v>8</v>
      </c>
      <c r="N61" s="157"/>
      <c r="O61" s="149"/>
      <c r="P61" s="544" t="s">
        <v>8</v>
      </c>
    </row>
    <row r="62" spans="1:20" x14ac:dyDescent="0.2">
      <c r="A62" s="29">
        <v>2</v>
      </c>
      <c r="B62" s="101"/>
      <c r="C62" s="371" t="s">
        <v>149</v>
      </c>
      <c r="D62" s="370" t="s">
        <v>325</v>
      </c>
      <c r="E62" s="108">
        <v>55</v>
      </c>
      <c r="F62" s="128">
        <v>350</v>
      </c>
      <c r="G62" s="35">
        <f t="shared" ref="G62:G63" si="2">F62*E62</f>
        <v>19250</v>
      </c>
      <c r="J62" s="108">
        <v>85</v>
      </c>
      <c r="K62" s="128">
        <v>350</v>
      </c>
      <c r="L62" s="164">
        <f t="shared" ref="L62:L73" si="3">K62*J62</f>
        <v>29750</v>
      </c>
      <c r="N62" s="108">
        <v>55</v>
      </c>
      <c r="O62" s="128">
        <v>350</v>
      </c>
      <c r="P62" s="164">
        <f t="shared" ref="P62:P63" si="4">O62*N62</f>
        <v>19250</v>
      </c>
      <c r="Q62" s="164"/>
      <c r="R62" s="2">
        <f>30*3</f>
        <v>90</v>
      </c>
      <c r="S62" s="211">
        <v>350</v>
      </c>
      <c r="T62" s="164">
        <f>S62*R62</f>
        <v>31500</v>
      </c>
    </row>
    <row r="63" spans="1:20" x14ac:dyDescent="0.2">
      <c r="A63" s="29">
        <v>3</v>
      </c>
      <c r="B63" s="105"/>
      <c r="C63" s="371" t="s">
        <v>149</v>
      </c>
      <c r="D63" s="376" t="s">
        <v>1894</v>
      </c>
      <c r="E63" s="102">
        <v>55</v>
      </c>
      <c r="F63" s="128">
        <v>200</v>
      </c>
      <c r="G63" s="35">
        <f t="shared" si="2"/>
        <v>11000</v>
      </c>
      <c r="J63" s="102">
        <v>85</v>
      </c>
      <c r="K63" s="128">
        <v>200</v>
      </c>
      <c r="L63" s="164">
        <f t="shared" si="3"/>
        <v>17000</v>
      </c>
      <c r="N63" s="102">
        <v>55</v>
      </c>
      <c r="O63" s="128">
        <v>200</v>
      </c>
      <c r="P63" s="164">
        <f t="shared" si="4"/>
        <v>11000</v>
      </c>
      <c r="R63" s="2">
        <v>90</v>
      </c>
      <c r="S63" s="211">
        <v>200</v>
      </c>
      <c r="T63" s="164">
        <f>S63*R63</f>
        <v>18000</v>
      </c>
    </row>
    <row r="64" spans="1:20" x14ac:dyDescent="0.2">
      <c r="A64" s="29"/>
      <c r="B64" s="105"/>
      <c r="C64" s="41"/>
      <c r="D64" s="449" t="s">
        <v>1895</v>
      </c>
      <c r="E64" s="102"/>
      <c r="F64" s="128"/>
      <c r="G64" s="35"/>
      <c r="J64" s="102"/>
      <c r="K64" s="128"/>
      <c r="L64" s="544" t="s">
        <v>8</v>
      </c>
      <c r="N64" s="102"/>
      <c r="O64" s="128"/>
      <c r="P64" s="544" t="s">
        <v>8</v>
      </c>
    </row>
    <row r="65" spans="1:20" x14ac:dyDescent="0.2">
      <c r="A65" s="29">
        <v>4</v>
      </c>
      <c r="B65" s="151"/>
      <c r="C65" s="385" t="s">
        <v>149</v>
      </c>
      <c r="D65" s="376" t="s">
        <v>1896</v>
      </c>
      <c r="E65" s="108">
        <v>5</v>
      </c>
      <c r="F65" s="150">
        <v>250</v>
      </c>
      <c r="G65" s="35">
        <f>F65*E65</f>
        <v>1250</v>
      </c>
      <c r="J65" s="108">
        <v>5</v>
      </c>
      <c r="K65" s="150">
        <v>250</v>
      </c>
      <c r="L65" s="164">
        <f t="shared" si="3"/>
        <v>1250</v>
      </c>
      <c r="N65" s="108">
        <v>5</v>
      </c>
      <c r="O65" s="150">
        <v>250</v>
      </c>
      <c r="P65" s="164">
        <f t="shared" ref="P65" si="5">O65*N65</f>
        <v>1250</v>
      </c>
      <c r="Q65" s="164"/>
      <c r="T65" s="164">
        <f>SUM(T62:T64)</f>
        <v>49500</v>
      </c>
    </row>
    <row r="66" spans="1:20" x14ac:dyDescent="0.2">
      <c r="A66" s="29"/>
      <c r="B66" s="151"/>
      <c r="C66" s="119"/>
      <c r="D66" s="383" t="s">
        <v>1886</v>
      </c>
      <c r="E66" s="108"/>
      <c r="F66" s="150"/>
      <c r="G66" s="372" t="s">
        <v>8</v>
      </c>
      <c r="J66" s="108"/>
      <c r="K66" s="150"/>
      <c r="L66" s="544" t="s">
        <v>8</v>
      </c>
      <c r="N66" s="108"/>
      <c r="O66" s="150"/>
      <c r="P66" s="544" t="s">
        <v>8</v>
      </c>
      <c r="R66" s="546"/>
      <c r="T66" s="211"/>
    </row>
    <row r="67" spans="1:20" x14ac:dyDescent="0.2">
      <c r="A67" s="29">
        <v>5</v>
      </c>
      <c r="B67" s="101"/>
      <c r="C67" s="371" t="s">
        <v>149</v>
      </c>
      <c r="D67" s="383" t="s">
        <v>325</v>
      </c>
      <c r="E67" s="155">
        <v>55</v>
      </c>
      <c r="F67" s="128">
        <v>350</v>
      </c>
      <c r="G67" s="35">
        <f t="shared" ref="G67:G73" si="6">F67*E67</f>
        <v>19250</v>
      </c>
      <c r="J67" s="155">
        <v>85</v>
      </c>
      <c r="K67" s="128">
        <v>350</v>
      </c>
      <c r="L67" s="164">
        <f t="shared" si="3"/>
        <v>29750</v>
      </c>
      <c r="N67" s="155">
        <v>55</v>
      </c>
      <c r="O67" s="128">
        <v>350</v>
      </c>
      <c r="P67" s="164">
        <f t="shared" ref="P67:P68" si="7">O67*N67</f>
        <v>19250</v>
      </c>
      <c r="T67" s="164"/>
    </row>
    <row r="68" spans="1:20" x14ac:dyDescent="0.2">
      <c r="A68" s="29">
        <v>6</v>
      </c>
      <c r="B68" s="106"/>
      <c r="C68" s="371" t="s">
        <v>149</v>
      </c>
      <c r="D68" s="376" t="s">
        <v>1897</v>
      </c>
      <c r="E68" s="104">
        <v>55</v>
      </c>
      <c r="F68" s="128">
        <v>200</v>
      </c>
      <c r="G68" s="35">
        <f t="shared" si="6"/>
        <v>11000</v>
      </c>
      <c r="J68" s="104">
        <v>85</v>
      </c>
      <c r="K68" s="128">
        <v>200</v>
      </c>
      <c r="L68" s="164">
        <f t="shared" si="3"/>
        <v>17000</v>
      </c>
      <c r="N68" s="104">
        <v>55</v>
      </c>
      <c r="O68" s="128">
        <v>200</v>
      </c>
      <c r="P68" s="164">
        <f t="shared" si="7"/>
        <v>11000</v>
      </c>
    </row>
    <row r="69" spans="1:20" x14ac:dyDescent="0.2">
      <c r="A69" s="29"/>
      <c r="B69" s="105"/>
      <c r="C69" s="41"/>
      <c r="D69" s="449" t="s">
        <v>1898</v>
      </c>
      <c r="E69" s="102"/>
      <c r="F69" s="128"/>
      <c r="G69" s="372" t="s">
        <v>8</v>
      </c>
      <c r="J69" s="102"/>
      <c r="K69" s="128"/>
      <c r="L69" s="544" t="s">
        <v>8</v>
      </c>
      <c r="N69" s="102"/>
      <c r="O69" s="128"/>
      <c r="P69" s="544" t="s">
        <v>8</v>
      </c>
    </row>
    <row r="70" spans="1:20" x14ac:dyDescent="0.2">
      <c r="A70" s="29">
        <v>7</v>
      </c>
      <c r="B70" s="107"/>
      <c r="C70" s="385" t="s">
        <v>149</v>
      </c>
      <c r="D70" s="376" t="s">
        <v>1899</v>
      </c>
      <c r="E70" s="108">
        <v>5</v>
      </c>
      <c r="F70" s="150">
        <v>250</v>
      </c>
      <c r="G70" s="35">
        <f t="shared" si="6"/>
        <v>1250</v>
      </c>
      <c r="J70" s="108">
        <v>5</v>
      </c>
      <c r="K70" s="150">
        <v>250</v>
      </c>
      <c r="L70" s="164">
        <f t="shared" si="3"/>
        <v>1250</v>
      </c>
      <c r="N70" s="108">
        <v>5</v>
      </c>
      <c r="O70" s="150">
        <v>250</v>
      </c>
      <c r="P70" s="164">
        <f t="shared" ref="P70" si="8">O70*N70</f>
        <v>1250</v>
      </c>
    </row>
    <row r="71" spans="1:20" x14ac:dyDescent="0.2">
      <c r="A71" s="29"/>
      <c r="B71" s="107"/>
      <c r="C71" s="119"/>
      <c r="D71" s="383" t="s">
        <v>1900</v>
      </c>
      <c r="E71" s="108"/>
      <c r="F71" s="150"/>
      <c r="G71" s="372" t="s">
        <v>8</v>
      </c>
      <c r="J71" s="108"/>
      <c r="K71" s="150"/>
      <c r="L71" s="544" t="s">
        <v>8</v>
      </c>
      <c r="N71" s="108"/>
      <c r="O71" s="150"/>
      <c r="P71" s="544" t="s">
        <v>8</v>
      </c>
    </row>
    <row r="72" spans="1:20" x14ac:dyDescent="0.2">
      <c r="A72" s="29">
        <v>8</v>
      </c>
      <c r="B72" s="101"/>
      <c r="C72" s="371" t="s">
        <v>149</v>
      </c>
      <c r="D72" s="383" t="s">
        <v>325</v>
      </c>
      <c r="E72" s="155">
        <v>55</v>
      </c>
      <c r="F72" s="128">
        <v>350</v>
      </c>
      <c r="G72" s="35">
        <f t="shared" si="6"/>
        <v>19250</v>
      </c>
      <c r="J72" s="155">
        <v>85</v>
      </c>
      <c r="K72" s="128">
        <v>350</v>
      </c>
      <c r="L72" s="164">
        <f t="shared" si="3"/>
        <v>29750</v>
      </c>
      <c r="N72" s="155">
        <v>55</v>
      </c>
      <c r="O72" s="128">
        <v>350</v>
      </c>
      <c r="P72" s="164">
        <f t="shared" ref="P72:P73" si="9">O72*N72</f>
        <v>19250</v>
      </c>
    </row>
    <row r="73" spans="1:20" x14ac:dyDescent="0.2">
      <c r="A73" s="29">
        <v>9</v>
      </c>
      <c r="B73" s="101"/>
      <c r="C73" s="371" t="s">
        <v>149</v>
      </c>
      <c r="D73" s="376" t="s">
        <v>1894</v>
      </c>
      <c r="E73" s="104">
        <v>55</v>
      </c>
      <c r="F73" s="128">
        <v>200</v>
      </c>
      <c r="G73" s="35">
        <f t="shared" si="6"/>
        <v>11000</v>
      </c>
      <c r="J73" s="104">
        <v>85</v>
      </c>
      <c r="K73" s="128">
        <v>200</v>
      </c>
      <c r="L73" s="164">
        <f t="shared" si="3"/>
        <v>17000</v>
      </c>
      <c r="N73" s="104">
        <v>55</v>
      </c>
      <c r="O73" s="128">
        <v>200</v>
      </c>
      <c r="P73" s="164">
        <f t="shared" si="9"/>
        <v>11000</v>
      </c>
    </row>
    <row r="74" spans="1:20" x14ac:dyDescent="0.2">
      <c r="A74" s="29"/>
      <c r="B74" s="106"/>
      <c r="C74" s="41"/>
      <c r="D74" s="67"/>
      <c r="E74" s="104"/>
      <c r="F74" s="154"/>
      <c r="G74" s="372" t="s">
        <v>8</v>
      </c>
    </row>
    <row r="75" spans="1:20" x14ac:dyDescent="0.2">
      <c r="A75" s="29"/>
      <c r="B75" s="105"/>
      <c r="C75" s="41"/>
      <c r="D75" s="130"/>
      <c r="E75" s="104"/>
      <c r="F75" s="154"/>
      <c r="G75" s="35"/>
    </row>
    <row r="76" spans="1:20" x14ac:dyDescent="0.2">
      <c r="A76" s="29"/>
      <c r="B76" s="105"/>
      <c r="C76" s="41"/>
      <c r="D76" s="67"/>
      <c r="E76" s="104"/>
      <c r="F76" s="154"/>
      <c r="G76" s="35"/>
      <c r="L76" s="164">
        <f>SUM(L60:L75)</f>
        <v>144000</v>
      </c>
      <c r="P76" s="164">
        <f>SUM(P60:P75)</f>
        <v>94500</v>
      </c>
    </row>
    <row r="77" spans="1:20" x14ac:dyDescent="0.2">
      <c r="A77" s="29"/>
      <c r="B77" s="101"/>
      <c r="C77" s="41"/>
      <c r="D77" s="67"/>
      <c r="E77" s="104"/>
      <c r="F77" s="154"/>
      <c r="G77" s="35"/>
      <c r="S77" s="164"/>
    </row>
    <row r="78" spans="1:20" x14ac:dyDescent="0.2">
      <c r="A78" s="29"/>
      <c r="B78" s="101"/>
      <c r="C78" s="41"/>
      <c r="D78" s="136"/>
      <c r="E78" s="104"/>
      <c r="F78" s="154"/>
      <c r="G78" s="35"/>
    </row>
    <row r="79" spans="1:20" x14ac:dyDescent="0.2">
      <c r="A79" s="29"/>
      <c r="B79" s="101"/>
      <c r="C79" s="41"/>
      <c r="D79" s="136"/>
      <c r="E79" s="104"/>
      <c r="F79" s="154"/>
      <c r="G79" s="35"/>
    </row>
    <row r="80" spans="1:20" x14ac:dyDescent="0.2">
      <c r="A80" s="29"/>
      <c r="B80" s="101"/>
      <c r="C80" s="41"/>
      <c r="D80" s="62"/>
      <c r="E80" s="104"/>
      <c r="F80" s="154"/>
      <c r="G80" s="35"/>
    </row>
    <row r="81" spans="1:20" x14ac:dyDescent="0.2">
      <c r="A81" s="29"/>
      <c r="B81" s="101"/>
      <c r="C81" s="41"/>
      <c r="D81" s="67"/>
      <c r="E81" s="104"/>
      <c r="F81" s="154"/>
      <c r="G81" s="35"/>
      <c r="P81" s="430" t="s">
        <v>8</v>
      </c>
      <c r="R81" s="164"/>
      <c r="T81" s="164"/>
    </row>
    <row r="82" spans="1:20" x14ac:dyDescent="0.2">
      <c r="A82" s="29"/>
      <c r="B82" s="101"/>
      <c r="C82" s="41"/>
      <c r="D82" s="159"/>
      <c r="E82" s="104"/>
      <c r="F82" s="154"/>
      <c r="G82" s="35"/>
      <c r="M82" s="164"/>
      <c r="N82" s="164"/>
      <c r="O82" s="164"/>
      <c r="P82" s="164">
        <f>L76-P76</f>
        <v>49500</v>
      </c>
    </row>
    <row r="83" spans="1:20" x14ac:dyDescent="0.2">
      <c r="A83" s="29"/>
      <c r="B83" s="101"/>
      <c r="C83" s="41"/>
      <c r="D83" s="159"/>
      <c r="E83" s="104"/>
      <c r="F83" s="154"/>
      <c r="G83" s="35"/>
    </row>
    <row r="84" spans="1:20" x14ac:dyDescent="0.2">
      <c r="A84" s="29"/>
      <c r="B84" s="101"/>
      <c r="C84" s="41"/>
      <c r="D84" s="159"/>
      <c r="E84" s="104"/>
      <c r="F84" s="154"/>
      <c r="G84" s="35"/>
      <c r="P84" s="164">
        <f>SUM(P76:P83)</f>
        <v>144000</v>
      </c>
    </row>
    <row r="85" spans="1:20" x14ac:dyDescent="0.2">
      <c r="A85" s="29"/>
      <c r="B85" s="101"/>
      <c r="C85" s="41"/>
      <c r="D85" s="159"/>
      <c r="E85" s="104"/>
      <c r="F85" s="154"/>
      <c r="G85" s="35"/>
    </row>
    <row r="86" spans="1:20" x14ac:dyDescent="0.2">
      <c r="A86" s="29"/>
      <c r="B86" s="101"/>
      <c r="C86" s="41"/>
      <c r="D86" s="160"/>
      <c r="E86" s="108"/>
      <c r="F86" s="128"/>
      <c r="G86" s="35"/>
    </row>
    <row r="87" spans="1:20" x14ac:dyDescent="0.2">
      <c r="A87" s="29"/>
      <c r="B87" s="101"/>
      <c r="C87" s="41"/>
      <c r="D87" s="136"/>
      <c r="E87" s="153"/>
      <c r="F87" s="128"/>
      <c r="G87" s="35"/>
      <c r="T87" s="164"/>
    </row>
    <row r="88" spans="1:20" x14ac:dyDescent="0.2">
      <c r="A88" s="29"/>
      <c r="B88" s="101"/>
      <c r="C88" s="41"/>
      <c r="D88" s="136"/>
      <c r="E88" s="102"/>
      <c r="F88" s="128"/>
      <c r="G88" s="35"/>
    </row>
    <row r="89" spans="1:20" x14ac:dyDescent="0.2">
      <c r="A89" s="29"/>
      <c r="B89" s="101"/>
      <c r="C89" s="31"/>
      <c r="D89" s="67"/>
      <c r="E89" s="131"/>
      <c r="F89" s="117"/>
      <c r="G89" s="35"/>
    </row>
    <row r="90" spans="1:20" x14ac:dyDescent="0.2">
      <c r="A90" s="29"/>
      <c r="B90" s="101"/>
      <c r="C90" s="41"/>
      <c r="D90" s="118"/>
      <c r="E90" s="108"/>
      <c r="F90" s="149"/>
      <c r="G90" s="35"/>
    </row>
    <row r="91" spans="1:20" x14ac:dyDescent="0.2">
      <c r="A91" s="29"/>
      <c r="B91" s="101"/>
      <c r="C91" s="41"/>
      <c r="D91" s="144"/>
      <c r="E91" s="108"/>
      <c r="F91" s="149"/>
      <c r="G91" s="35"/>
    </row>
    <row r="92" spans="1:20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SUM(G60:G91)</f>
        <v>94500</v>
      </c>
    </row>
    <row r="93" spans="1:20" x14ac:dyDescent="0.2">
      <c r="A93" s="875" t="s">
        <v>1914</v>
      </c>
      <c r="B93" s="899"/>
      <c r="C93" s="899"/>
      <c r="D93" s="899"/>
      <c r="E93" s="899"/>
      <c r="F93" s="899"/>
      <c r="G93" s="900"/>
    </row>
    <row r="94" spans="1:20" ht="13.5" thickBot="1" x14ac:dyDescent="0.25">
      <c r="A94" s="52"/>
      <c r="B94" s="103"/>
      <c r="C94" s="374" t="s">
        <v>1915</v>
      </c>
      <c r="D94" s="54"/>
      <c r="E94" s="103"/>
      <c r="F94" s="55"/>
      <c r="G94" s="56"/>
    </row>
    <row r="95" spans="1:20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20" x14ac:dyDescent="0.2">
      <c r="A96" s="910" t="s">
        <v>17</v>
      </c>
      <c r="B96" s="911"/>
      <c r="C96" s="911"/>
      <c r="D96" s="39"/>
      <c r="E96" s="912"/>
      <c r="F96" s="913"/>
      <c r="G96" s="914"/>
    </row>
    <row r="97" spans="1:15" x14ac:dyDescent="0.2">
      <c r="A97" s="910" t="s">
        <v>38</v>
      </c>
      <c r="B97" s="911"/>
      <c r="C97" s="911"/>
      <c r="D97" s="58" t="s">
        <v>1891</v>
      </c>
      <c r="E97" s="868" t="s">
        <v>142</v>
      </c>
      <c r="F97" s="868"/>
      <c r="G97" s="869"/>
    </row>
    <row r="98" spans="1:15" ht="13.5" thickBot="1" x14ac:dyDescent="0.25">
      <c r="A98" s="901" t="s">
        <v>39</v>
      </c>
      <c r="B98" s="902"/>
      <c r="C98" s="902"/>
      <c r="D98" s="125" t="s">
        <v>1024</v>
      </c>
      <c r="E98" s="904" t="s">
        <v>0</v>
      </c>
      <c r="F98" s="904"/>
      <c r="G98" s="905"/>
    </row>
    <row r="99" spans="1:15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15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15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15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15" x14ac:dyDescent="0.2">
      <c r="A103" s="12" t="s">
        <v>1</v>
      </c>
      <c r="B103" s="13"/>
      <c r="C103" s="14" t="s">
        <v>45</v>
      </c>
      <c r="D103" s="13"/>
      <c r="E103" s="362" t="s">
        <v>1916</v>
      </c>
      <c r="F103" s="98"/>
      <c r="G103" s="363" t="s">
        <v>1883</v>
      </c>
    </row>
    <row r="104" spans="1:15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15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15" x14ac:dyDescent="0.2">
      <c r="A106" s="6"/>
      <c r="B106" s="99"/>
      <c r="C106" s="8"/>
      <c r="D106" s="8"/>
      <c r="E106" s="920"/>
      <c r="F106" s="921"/>
      <c r="G106" s="25"/>
    </row>
    <row r="107" spans="1:15" ht="26.25" thickBot="1" x14ac:dyDescent="0.25">
      <c r="A107" s="207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15" ht="13.5" thickTop="1" x14ac:dyDescent="0.2">
      <c r="A108" s="29"/>
      <c r="B108" s="101"/>
      <c r="C108" s="41"/>
      <c r="D108" s="449" t="s">
        <v>1901</v>
      </c>
      <c r="E108" s="158"/>
      <c r="F108" s="128"/>
      <c r="G108" s="35"/>
      <c r="K108" s="41"/>
      <c r="L108" s="449" t="s">
        <v>1901</v>
      </c>
      <c r="M108" s="158"/>
      <c r="N108" s="128"/>
    </row>
    <row r="109" spans="1:15" x14ac:dyDescent="0.2">
      <c r="A109" s="29">
        <v>1</v>
      </c>
      <c r="B109" s="101"/>
      <c r="C109" s="371" t="s">
        <v>149</v>
      </c>
      <c r="D109" s="370" t="s">
        <v>325</v>
      </c>
      <c r="E109" s="108">
        <v>5</v>
      </c>
      <c r="F109" s="128">
        <v>350</v>
      </c>
      <c r="G109" s="35">
        <f t="shared" ref="G109:G110" si="10">F109*E109</f>
        <v>1750</v>
      </c>
      <c r="K109" s="371" t="s">
        <v>149</v>
      </c>
      <c r="L109" s="370" t="s">
        <v>325</v>
      </c>
      <c r="M109" s="108">
        <v>5</v>
      </c>
      <c r="N109" s="128">
        <v>347</v>
      </c>
      <c r="O109" s="164">
        <f>N109*M109</f>
        <v>1735</v>
      </c>
    </row>
    <row r="110" spans="1:15" x14ac:dyDescent="0.2">
      <c r="A110" s="29">
        <v>2</v>
      </c>
      <c r="B110" s="105"/>
      <c r="C110" s="371" t="s">
        <v>149</v>
      </c>
      <c r="D110" s="376" t="s">
        <v>1894</v>
      </c>
      <c r="E110" s="102">
        <v>5</v>
      </c>
      <c r="F110" s="128">
        <v>200</v>
      </c>
      <c r="G110" s="35">
        <f t="shared" si="10"/>
        <v>1000</v>
      </c>
      <c r="K110" s="371" t="s">
        <v>149</v>
      </c>
      <c r="L110" s="376" t="s">
        <v>1894</v>
      </c>
      <c r="M110" s="102">
        <v>5</v>
      </c>
      <c r="N110" s="128">
        <v>197</v>
      </c>
      <c r="O110" s="164">
        <f t="shared" ref="O110:O119" si="11">N110*M110</f>
        <v>985</v>
      </c>
    </row>
    <row r="111" spans="1:15" x14ac:dyDescent="0.2">
      <c r="A111" s="29"/>
      <c r="B111" s="105"/>
      <c r="C111" s="41"/>
      <c r="D111" s="449" t="s">
        <v>1902</v>
      </c>
      <c r="E111" s="102"/>
      <c r="F111" s="128"/>
      <c r="G111" s="35"/>
      <c r="K111" s="41"/>
      <c r="L111" s="449" t="s">
        <v>1902</v>
      </c>
      <c r="M111" s="102"/>
      <c r="N111" s="128"/>
      <c r="O111" s="544" t="s">
        <v>8</v>
      </c>
    </row>
    <row r="112" spans="1:15" x14ac:dyDescent="0.2">
      <c r="A112" s="29">
        <v>3</v>
      </c>
      <c r="B112" s="151"/>
      <c r="C112" s="371" t="s">
        <v>149</v>
      </c>
      <c r="D112" s="370" t="s">
        <v>325</v>
      </c>
      <c r="E112" s="108">
        <v>5</v>
      </c>
      <c r="F112" s="128">
        <v>350</v>
      </c>
      <c r="G112" s="35">
        <f>F112*E112</f>
        <v>1750</v>
      </c>
      <c r="K112" s="371" t="s">
        <v>149</v>
      </c>
      <c r="L112" s="370" t="s">
        <v>325</v>
      </c>
      <c r="M112" s="108">
        <v>5</v>
      </c>
      <c r="N112" s="128">
        <v>347</v>
      </c>
      <c r="O112" s="164">
        <f t="shared" si="11"/>
        <v>1735</v>
      </c>
    </row>
    <row r="113" spans="1:17" x14ac:dyDescent="0.2">
      <c r="A113" s="29">
        <v>4</v>
      </c>
      <c r="B113" s="151"/>
      <c r="C113" s="371" t="s">
        <v>149</v>
      </c>
      <c r="D113" s="376" t="s">
        <v>1897</v>
      </c>
      <c r="E113" s="102">
        <v>5</v>
      </c>
      <c r="F113" s="128">
        <v>200</v>
      </c>
      <c r="G113" s="35">
        <f t="shared" ref="G113" si="12">F113*E113</f>
        <v>1000</v>
      </c>
      <c r="K113" s="371" t="s">
        <v>149</v>
      </c>
      <c r="L113" s="376" t="s">
        <v>1897</v>
      </c>
      <c r="M113" s="102">
        <v>5</v>
      </c>
      <c r="N113" s="128">
        <v>197</v>
      </c>
      <c r="O113" s="164">
        <f t="shared" si="11"/>
        <v>985</v>
      </c>
    </row>
    <row r="114" spans="1:17" x14ac:dyDescent="0.2">
      <c r="A114" s="29"/>
      <c r="B114" s="105"/>
      <c r="C114" s="41"/>
      <c r="D114" s="449" t="s">
        <v>1903</v>
      </c>
      <c r="E114" s="102"/>
      <c r="F114" s="128"/>
      <c r="G114" s="372" t="s">
        <v>8</v>
      </c>
      <c r="K114" s="41"/>
      <c r="L114" s="449" t="s">
        <v>1903</v>
      </c>
      <c r="M114" s="102"/>
      <c r="N114" s="128"/>
      <c r="O114" s="544" t="s">
        <v>8</v>
      </c>
    </row>
    <row r="115" spans="1:17" x14ac:dyDescent="0.2">
      <c r="A115" s="29">
        <v>5</v>
      </c>
      <c r="B115" s="107"/>
      <c r="C115" s="371" t="s">
        <v>149</v>
      </c>
      <c r="D115" s="370" t="s">
        <v>325</v>
      </c>
      <c r="E115" s="108">
        <v>5</v>
      </c>
      <c r="F115" s="128">
        <v>350</v>
      </c>
      <c r="G115" s="35">
        <f t="shared" ref="G115:G119" si="13">F115*E115</f>
        <v>1750</v>
      </c>
      <c r="K115" s="371" t="s">
        <v>149</v>
      </c>
      <c r="L115" s="370" t="s">
        <v>325</v>
      </c>
      <c r="M115" s="108">
        <v>5</v>
      </c>
      <c r="N115" s="128">
        <v>347</v>
      </c>
      <c r="O115" s="164">
        <f t="shared" si="11"/>
        <v>1735</v>
      </c>
      <c r="Q115" s="430" t="s">
        <v>979</v>
      </c>
    </row>
    <row r="116" spans="1:17" x14ac:dyDescent="0.2">
      <c r="A116" s="29">
        <v>6</v>
      </c>
      <c r="B116" s="107"/>
      <c r="C116" s="371" t="s">
        <v>149</v>
      </c>
      <c r="D116" s="376" t="s">
        <v>1894</v>
      </c>
      <c r="E116" s="102">
        <v>5</v>
      </c>
      <c r="F116" s="128">
        <v>200</v>
      </c>
      <c r="G116" s="35">
        <f t="shared" si="13"/>
        <v>1000</v>
      </c>
      <c r="K116" s="371" t="s">
        <v>149</v>
      </c>
      <c r="L116" s="376" t="s">
        <v>1894</v>
      </c>
      <c r="M116" s="102">
        <v>5</v>
      </c>
      <c r="N116" s="128">
        <v>197</v>
      </c>
      <c r="O116" s="164">
        <f t="shared" si="11"/>
        <v>985</v>
      </c>
    </row>
    <row r="117" spans="1:17" x14ac:dyDescent="0.2">
      <c r="A117" s="29"/>
      <c r="B117" s="101"/>
      <c r="C117" s="41"/>
      <c r="D117" s="449" t="s">
        <v>1904</v>
      </c>
      <c r="E117" s="102"/>
      <c r="F117" s="128"/>
      <c r="G117" s="372" t="s">
        <v>8</v>
      </c>
      <c r="K117" s="41"/>
      <c r="L117" s="449" t="s">
        <v>1904</v>
      </c>
      <c r="M117" s="102"/>
      <c r="N117" s="128"/>
      <c r="O117" s="544" t="s">
        <v>8</v>
      </c>
    </row>
    <row r="118" spans="1:17" x14ac:dyDescent="0.2">
      <c r="A118" s="29">
        <v>7</v>
      </c>
      <c r="B118" s="101"/>
      <c r="C118" s="371" t="s">
        <v>149</v>
      </c>
      <c r="D118" s="370" t="s">
        <v>325</v>
      </c>
      <c r="E118" s="108">
        <v>5</v>
      </c>
      <c r="F118" s="128">
        <v>350</v>
      </c>
      <c r="G118" s="35">
        <f t="shared" si="13"/>
        <v>1750</v>
      </c>
      <c r="I118" s="545">
        <f>G109+G112+G115+G118</f>
        <v>7000</v>
      </c>
      <c r="K118" s="371" t="s">
        <v>149</v>
      </c>
      <c r="L118" s="370" t="s">
        <v>325</v>
      </c>
      <c r="M118" s="108">
        <v>5</v>
      </c>
      <c r="N118" s="128">
        <v>347</v>
      </c>
      <c r="O118" s="164">
        <f t="shared" si="11"/>
        <v>1735</v>
      </c>
    </row>
    <row r="119" spans="1:17" x14ac:dyDescent="0.2">
      <c r="A119" s="29">
        <v>8</v>
      </c>
      <c r="B119" s="106"/>
      <c r="C119" s="371" t="s">
        <v>149</v>
      </c>
      <c r="D119" s="376" t="s">
        <v>1897</v>
      </c>
      <c r="E119" s="102">
        <v>5</v>
      </c>
      <c r="F119" s="128">
        <v>200</v>
      </c>
      <c r="G119" s="35">
        <f t="shared" si="13"/>
        <v>1000</v>
      </c>
      <c r="I119" s="545">
        <f>G110+G113+G116+G119</f>
        <v>4000</v>
      </c>
      <c r="K119" s="371" t="s">
        <v>149</v>
      </c>
      <c r="L119" s="376" t="s">
        <v>1897</v>
      </c>
      <c r="M119" s="102">
        <v>5</v>
      </c>
      <c r="N119" s="128">
        <v>197</v>
      </c>
      <c r="O119" s="164">
        <f t="shared" si="11"/>
        <v>985</v>
      </c>
    </row>
    <row r="120" spans="1:17" x14ac:dyDescent="0.2">
      <c r="A120" s="29"/>
      <c r="B120" s="106"/>
      <c r="C120" s="41"/>
      <c r="D120" s="67"/>
      <c r="E120" s="104"/>
      <c r="F120" s="154"/>
      <c r="G120" s="372"/>
      <c r="I120" s="201">
        <f>SUM(I118:I119)</f>
        <v>11000</v>
      </c>
      <c r="J120" s="430" t="s">
        <v>1905</v>
      </c>
      <c r="K120" s="41"/>
      <c r="L120" s="67"/>
      <c r="M120" s="104"/>
      <c r="N120" s="154"/>
    </row>
    <row r="121" spans="1:17" x14ac:dyDescent="0.2">
      <c r="A121" s="29"/>
      <c r="B121" s="106"/>
      <c r="C121" s="41"/>
      <c r="D121" s="67"/>
      <c r="E121" s="104"/>
      <c r="F121" s="154"/>
      <c r="G121" s="372"/>
      <c r="N121" s="438" t="s">
        <v>8</v>
      </c>
    </row>
    <row r="122" spans="1:17" x14ac:dyDescent="0.2">
      <c r="A122" s="29"/>
      <c r="B122" s="106"/>
      <c r="C122" s="41"/>
      <c r="D122" s="67"/>
      <c r="E122" s="104"/>
      <c r="F122" s="154"/>
      <c r="G122" s="372"/>
      <c r="O122" s="164">
        <f>SUM(O109:O121)</f>
        <v>10880</v>
      </c>
    </row>
    <row r="123" spans="1:17" x14ac:dyDescent="0.2">
      <c r="A123" s="29"/>
      <c r="B123" s="106"/>
      <c r="C123" s="41"/>
      <c r="D123" s="67"/>
      <c r="E123" s="104"/>
      <c r="F123" s="154"/>
      <c r="G123" s="372"/>
    </row>
    <row r="124" spans="1:17" x14ac:dyDescent="0.2">
      <c r="A124" s="29"/>
      <c r="B124" s="105"/>
      <c r="C124" s="41"/>
      <c r="D124" s="130"/>
      <c r="E124" s="104"/>
      <c r="F124" s="154"/>
      <c r="G124" s="35"/>
    </row>
    <row r="125" spans="1:17" x14ac:dyDescent="0.2">
      <c r="A125" s="29"/>
      <c r="B125" s="105"/>
      <c r="C125" s="41"/>
      <c r="D125" s="67"/>
      <c r="E125" s="104"/>
      <c r="F125" s="154"/>
      <c r="G125" s="35"/>
    </row>
    <row r="126" spans="1:17" x14ac:dyDescent="0.2">
      <c r="A126" s="29"/>
      <c r="B126" s="101"/>
      <c r="C126" s="41"/>
      <c r="D126" s="67"/>
      <c r="E126" s="104"/>
      <c r="F126" s="154"/>
      <c r="G126" s="35"/>
    </row>
    <row r="127" spans="1:17" x14ac:dyDescent="0.2">
      <c r="A127" s="29"/>
      <c r="B127" s="101"/>
      <c r="C127" s="41"/>
      <c r="D127" s="136"/>
      <c r="E127" s="104"/>
      <c r="F127" s="154"/>
      <c r="G127" s="35"/>
    </row>
    <row r="128" spans="1:1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159"/>
      <c r="E131" s="104"/>
      <c r="F131" s="154"/>
      <c r="G131" s="35"/>
    </row>
    <row r="132" spans="1:7" x14ac:dyDescent="0.2">
      <c r="A132" s="29"/>
      <c r="B132" s="101"/>
      <c r="C132" s="41"/>
      <c r="D132" s="159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SUM(G109:G140)</f>
        <v>11000</v>
      </c>
    </row>
    <row r="142" spans="1:7" ht="13.5" thickTop="1" x14ac:dyDescent="0.2">
      <c r="A142" s="875" t="s">
        <v>1917</v>
      </c>
      <c r="B142" s="899"/>
      <c r="C142" s="899"/>
      <c r="D142" s="899"/>
      <c r="E142" s="899"/>
      <c r="F142" s="899"/>
      <c r="G142" s="900"/>
    </row>
    <row r="143" spans="1:7" ht="13.5" thickBot="1" x14ac:dyDescent="0.25">
      <c r="A143" s="52"/>
      <c r="B143" s="103"/>
      <c r="C143" s="374" t="s">
        <v>1890</v>
      </c>
      <c r="D143" s="54"/>
      <c r="E143" s="103"/>
      <c r="F143" s="55"/>
      <c r="G143" s="56"/>
    </row>
    <row r="144" spans="1:7" ht="13.5" thickTop="1" x14ac:dyDescent="0.2">
      <c r="A144" s="906"/>
      <c r="B144" s="907"/>
      <c r="C144" s="907"/>
      <c r="D144" s="57" t="s">
        <v>11</v>
      </c>
      <c r="E144" s="908" t="s">
        <v>12</v>
      </c>
      <c r="F144" s="908"/>
      <c r="G144" s="909"/>
    </row>
    <row r="145" spans="1:7" x14ac:dyDescent="0.2">
      <c r="A145" s="910" t="s">
        <v>17</v>
      </c>
      <c r="B145" s="911"/>
      <c r="C145" s="911"/>
      <c r="D145" s="39"/>
      <c r="E145" s="912"/>
      <c r="F145" s="913"/>
      <c r="G145" s="914"/>
    </row>
    <row r="146" spans="1:7" x14ac:dyDescent="0.2">
      <c r="A146" s="910" t="s">
        <v>38</v>
      </c>
      <c r="B146" s="911"/>
      <c r="C146" s="911"/>
      <c r="D146" s="58" t="s">
        <v>1891</v>
      </c>
      <c r="E146" s="868" t="s">
        <v>142</v>
      </c>
      <c r="F146" s="868"/>
      <c r="G146" s="869"/>
    </row>
    <row r="147" spans="1:7" ht="13.5" thickBot="1" x14ac:dyDescent="0.25">
      <c r="A147" s="901" t="s">
        <v>39</v>
      </c>
      <c r="B147" s="902"/>
      <c r="C147" s="902"/>
      <c r="D147" s="125" t="s">
        <v>1024</v>
      </c>
      <c r="E147" s="904" t="s">
        <v>0</v>
      </c>
      <c r="F147" s="904"/>
      <c r="G147" s="905"/>
    </row>
    <row r="148" spans="1:7" ht="16.5" x14ac:dyDescent="0.25">
      <c r="A148" s="885" t="s">
        <v>29</v>
      </c>
      <c r="B148" s="886"/>
      <c r="C148" s="886"/>
      <c r="D148" s="886"/>
      <c r="E148" s="886"/>
      <c r="F148" s="886"/>
      <c r="G148" s="887"/>
    </row>
    <row r="149" spans="1:7" x14ac:dyDescent="0.2">
      <c r="A149" s="888" t="s">
        <v>48</v>
      </c>
      <c r="B149" s="889"/>
      <c r="C149" s="889"/>
      <c r="D149" s="889"/>
      <c r="E149" s="889"/>
      <c r="F149" s="889"/>
      <c r="G149" s="890"/>
    </row>
    <row r="150" spans="1:7" x14ac:dyDescent="0.2">
      <c r="A150" s="915" t="s">
        <v>49</v>
      </c>
      <c r="B150" s="916"/>
      <c r="C150" s="916"/>
      <c r="D150" s="916"/>
      <c r="E150" s="916"/>
      <c r="F150" s="916"/>
      <c r="G150" s="917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45</v>
      </c>
      <c r="D152" s="13"/>
      <c r="E152" s="362" t="s">
        <v>1918</v>
      </c>
      <c r="F152" s="98"/>
      <c r="G152" s="363" t="s">
        <v>1883</v>
      </c>
    </row>
    <row r="153" spans="1:7" x14ac:dyDescent="0.2">
      <c r="A153" s="17" t="s">
        <v>8</v>
      </c>
      <c r="B153" s="100"/>
      <c r="C153" s="19"/>
      <c r="D153" s="4"/>
      <c r="E153" s="918"/>
      <c r="F153" s="919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920"/>
      <c r="F155" s="921"/>
      <c r="G155" s="25"/>
    </row>
    <row r="156" spans="1:7" ht="26.25" thickBot="1" x14ac:dyDescent="0.25">
      <c r="A156" s="207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/>
      <c r="B157" s="101"/>
      <c r="C157" s="41"/>
      <c r="D157" s="449" t="s">
        <v>1906</v>
      </c>
      <c r="E157" s="158"/>
      <c r="F157" s="128"/>
      <c r="G157" s="35"/>
    </row>
    <row r="158" spans="1:7" x14ac:dyDescent="0.2">
      <c r="A158" s="29">
        <v>1</v>
      </c>
      <c r="B158" s="101"/>
      <c r="C158" s="371" t="s">
        <v>242</v>
      </c>
      <c r="D158" s="376" t="s">
        <v>1885</v>
      </c>
      <c r="E158" s="102">
        <v>310</v>
      </c>
      <c r="F158" s="128">
        <v>250</v>
      </c>
      <c r="G158" s="35">
        <f>F158*E158</f>
        <v>77500</v>
      </c>
    </row>
    <row r="159" spans="1:7" x14ac:dyDescent="0.2">
      <c r="A159" s="29"/>
      <c r="B159" s="101"/>
      <c r="C159" s="371"/>
      <c r="D159" s="376" t="s">
        <v>1886</v>
      </c>
      <c r="E159" s="102"/>
      <c r="F159" s="128"/>
      <c r="G159" s="35"/>
    </row>
    <row r="160" spans="1:7" x14ac:dyDescent="0.2">
      <c r="A160" s="29">
        <v>2</v>
      </c>
      <c r="B160" s="101"/>
      <c r="C160" s="371" t="s">
        <v>242</v>
      </c>
      <c r="D160" s="370" t="s">
        <v>325</v>
      </c>
      <c r="E160" s="108">
        <v>20</v>
      </c>
      <c r="F160" s="128">
        <v>350</v>
      </c>
      <c r="G160" s="35">
        <f t="shared" ref="G160" si="14">F160*E160</f>
        <v>7000</v>
      </c>
    </row>
    <row r="161" spans="1:10" x14ac:dyDescent="0.2">
      <c r="A161" s="29"/>
      <c r="B161" s="105"/>
      <c r="C161" s="41"/>
      <c r="D161" s="449" t="s">
        <v>1907</v>
      </c>
      <c r="E161" s="102"/>
      <c r="F161" s="128"/>
      <c r="G161" s="35"/>
    </row>
    <row r="162" spans="1:10" x14ac:dyDescent="0.2">
      <c r="A162" s="29">
        <v>3</v>
      </c>
      <c r="B162" s="105"/>
      <c r="C162" s="371" t="s">
        <v>242</v>
      </c>
      <c r="D162" s="376" t="s">
        <v>1908</v>
      </c>
      <c r="E162" s="102">
        <v>310</v>
      </c>
      <c r="F162" s="128">
        <v>250</v>
      </c>
      <c r="G162" s="35">
        <f>F162*E162</f>
        <v>77500</v>
      </c>
    </row>
    <row r="163" spans="1:10" x14ac:dyDescent="0.2">
      <c r="A163" s="29"/>
      <c r="B163" s="151"/>
      <c r="C163" s="371"/>
      <c r="D163" s="370" t="s">
        <v>1886</v>
      </c>
      <c r="E163" s="108"/>
      <c r="F163" s="128"/>
      <c r="G163" s="35"/>
    </row>
    <row r="164" spans="1:10" x14ac:dyDescent="0.2">
      <c r="A164" s="29"/>
      <c r="B164" s="151"/>
      <c r="C164" s="371"/>
      <c r="D164" s="376"/>
      <c r="E164" s="102"/>
      <c r="F164" s="128"/>
      <c r="G164" s="35"/>
    </row>
    <row r="165" spans="1:10" x14ac:dyDescent="0.2">
      <c r="A165" s="29"/>
      <c r="B165" s="105"/>
      <c r="C165" s="41"/>
      <c r="D165" s="449"/>
      <c r="E165" s="102"/>
      <c r="F165" s="128"/>
      <c r="G165" s="372"/>
    </row>
    <row r="166" spans="1:10" x14ac:dyDescent="0.2">
      <c r="A166" s="29"/>
      <c r="B166" s="107"/>
      <c r="C166" s="371"/>
      <c r="D166" s="370"/>
      <c r="E166" s="108"/>
      <c r="F166" s="128"/>
      <c r="G166" s="35"/>
    </row>
    <row r="167" spans="1:10" x14ac:dyDescent="0.2">
      <c r="A167" s="29"/>
      <c r="B167" s="107"/>
      <c r="C167" s="371"/>
      <c r="D167" s="376"/>
      <c r="E167" s="102"/>
      <c r="F167" s="128"/>
      <c r="G167" s="35"/>
    </row>
    <row r="168" spans="1:10" x14ac:dyDescent="0.2">
      <c r="A168" s="29"/>
      <c r="B168" s="101"/>
      <c r="C168" s="41"/>
      <c r="D168" s="449"/>
      <c r="E168" s="102"/>
      <c r="F168" s="128"/>
      <c r="G168" s="372"/>
      <c r="J168" s="2">
        <f>27*350</f>
        <v>9450</v>
      </c>
    </row>
    <row r="169" spans="1:10" x14ac:dyDescent="0.2">
      <c r="A169" s="29"/>
      <c r="B169" s="101"/>
      <c r="C169" s="371"/>
      <c r="D169" s="370"/>
      <c r="E169" s="108"/>
      <c r="F169" s="128"/>
      <c r="G169" s="35"/>
      <c r="J169" s="2">
        <f>10000/27</f>
        <v>370.37037037037038</v>
      </c>
    </row>
    <row r="170" spans="1:10" x14ac:dyDescent="0.2">
      <c r="A170" s="29"/>
      <c r="B170" s="106"/>
      <c r="C170" s="371"/>
      <c r="D170" s="376"/>
      <c r="E170" s="102"/>
      <c r="F170" s="128"/>
      <c r="G170" s="35"/>
    </row>
    <row r="171" spans="1:10" x14ac:dyDescent="0.2">
      <c r="A171" s="29"/>
      <c r="B171" s="106"/>
      <c r="C171" s="41"/>
      <c r="D171" s="67"/>
      <c r="E171" s="104"/>
      <c r="F171" s="154"/>
      <c r="G171" s="372"/>
    </row>
    <row r="172" spans="1:10" x14ac:dyDescent="0.2">
      <c r="A172" s="29"/>
      <c r="B172" s="106"/>
      <c r="C172" s="41"/>
      <c r="D172" s="67"/>
      <c r="E172" s="104"/>
      <c r="F172" s="154"/>
      <c r="G172" s="372"/>
    </row>
    <row r="173" spans="1:10" x14ac:dyDescent="0.2">
      <c r="A173" s="29"/>
      <c r="B173" s="106"/>
      <c r="C173" s="41"/>
      <c r="D173" s="67"/>
      <c r="E173" s="104"/>
      <c r="F173" s="154"/>
      <c r="G173" s="372"/>
    </row>
    <row r="174" spans="1:10" x14ac:dyDescent="0.2">
      <c r="A174" s="29"/>
      <c r="B174" s="106"/>
      <c r="C174" s="41"/>
      <c r="D174" s="67"/>
      <c r="E174" s="104"/>
      <c r="F174" s="154"/>
      <c r="G174" s="372"/>
    </row>
    <row r="175" spans="1:10" x14ac:dyDescent="0.2">
      <c r="A175" s="29"/>
      <c r="B175" s="105"/>
      <c r="C175" s="41"/>
      <c r="D175" s="130"/>
      <c r="E175" s="104"/>
      <c r="F175" s="154"/>
      <c r="G175" s="35"/>
    </row>
    <row r="176" spans="1:10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376" t="s">
        <v>152</v>
      </c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59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/>
      <c r="E187" s="102"/>
      <c r="F187" s="128"/>
      <c r="G187" s="35"/>
    </row>
    <row r="188" spans="1:7" x14ac:dyDescent="0.2">
      <c r="A188" s="29"/>
      <c r="B188" s="101"/>
      <c r="C188" s="31"/>
      <c r="D188" s="67"/>
      <c r="E188" s="131"/>
      <c r="F188" s="117"/>
      <c r="G188" s="35"/>
    </row>
    <row r="189" spans="1:7" x14ac:dyDescent="0.2">
      <c r="A189" s="29"/>
      <c r="B189" s="101"/>
      <c r="C189" s="41"/>
      <c r="D189" s="118"/>
      <c r="E189" s="108"/>
      <c r="F189" s="149"/>
      <c r="G189" s="35"/>
    </row>
    <row r="190" spans="1:7" x14ac:dyDescent="0.2">
      <c r="A190" s="29"/>
      <c r="B190" s="101"/>
      <c r="C190" s="41"/>
      <c r="D190" s="144"/>
      <c r="E190" s="108"/>
      <c r="F190" s="149"/>
      <c r="G190" s="35"/>
    </row>
    <row r="191" spans="1:7" ht="13.5" thickBot="1" x14ac:dyDescent="0.25">
      <c r="A191" s="45"/>
      <c r="B191" s="132"/>
      <c r="C191" s="115"/>
      <c r="D191" s="115"/>
      <c r="E191" s="132"/>
      <c r="F191" s="49" t="s">
        <v>15</v>
      </c>
      <c r="G191" s="50">
        <f>SUM(G158:G190)</f>
        <v>162000</v>
      </c>
    </row>
    <row r="192" spans="1:7" ht="13.5" thickTop="1" x14ac:dyDescent="0.2">
      <c r="A192" s="875" t="s">
        <v>1909</v>
      </c>
      <c r="B192" s="899"/>
      <c r="C192" s="899"/>
      <c r="D192" s="899"/>
      <c r="E192" s="899"/>
      <c r="F192" s="899"/>
      <c r="G192" s="900"/>
    </row>
    <row r="193" spans="1:7" ht="13.5" thickBot="1" x14ac:dyDescent="0.25">
      <c r="A193" s="378" t="s">
        <v>8</v>
      </c>
      <c r="B193" s="103"/>
      <c r="C193" s="374" t="s">
        <v>1910</v>
      </c>
      <c r="D193" s="54"/>
      <c r="E193" s="103"/>
      <c r="F193" s="55"/>
      <c r="G193" s="56"/>
    </row>
    <row r="194" spans="1:7" ht="13.5" thickTop="1" x14ac:dyDescent="0.2">
      <c r="A194" s="906"/>
      <c r="B194" s="907"/>
      <c r="C194" s="907"/>
      <c r="D194" s="57" t="s">
        <v>11</v>
      </c>
      <c r="E194" s="908" t="s">
        <v>12</v>
      </c>
      <c r="F194" s="908"/>
      <c r="G194" s="909"/>
    </row>
    <row r="195" spans="1:7" x14ac:dyDescent="0.2">
      <c r="A195" s="910" t="s">
        <v>17</v>
      </c>
      <c r="B195" s="911"/>
      <c r="C195" s="911"/>
      <c r="D195" s="39"/>
      <c r="E195" s="912"/>
      <c r="F195" s="913"/>
      <c r="G195" s="914"/>
    </row>
    <row r="196" spans="1:7" x14ac:dyDescent="0.2">
      <c r="A196" s="910" t="s">
        <v>38</v>
      </c>
      <c r="B196" s="911"/>
      <c r="C196" s="911"/>
      <c r="D196" s="58" t="s">
        <v>1891</v>
      </c>
      <c r="E196" s="868" t="s">
        <v>142</v>
      </c>
      <c r="F196" s="868"/>
      <c r="G196" s="869"/>
    </row>
    <row r="197" spans="1:7" ht="13.5" thickBot="1" x14ac:dyDescent="0.25">
      <c r="A197" s="901" t="s">
        <v>39</v>
      </c>
      <c r="B197" s="902"/>
      <c r="C197" s="902"/>
      <c r="D197" s="125" t="s">
        <v>1024</v>
      </c>
      <c r="E197" s="904" t="s">
        <v>0</v>
      </c>
      <c r="F197" s="904"/>
      <c r="G197" s="905"/>
    </row>
    <row r="198" spans="1:7" ht="16.5" x14ac:dyDescent="0.25">
      <c r="A198" s="885" t="s">
        <v>29</v>
      </c>
      <c r="B198" s="886"/>
      <c r="C198" s="886"/>
      <c r="D198" s="886"/>
      <c r="E198" s="886"/>
      <c r="F198" s="886"/>
      <c r="G198" s="887"/>
    </row>
    <row r="199" spans="1:7" x14ac:dyDescent="0.2">
      <c r="A199" s="888" t="s">
        <v>48</v>
      </c>
      <c r="B199" s="889"/>
      <c r="C199" s="889"/>
      <c r="D199" s="889"/>
      <c r="E199" s="889"/>
      <c r="F199" s="889"/>
      <c r="G199" s="890"/>
    </row>
    <row r="200" spans="1:7" x14ac:dyDescent="0.2">
      <c r="A200" s="915" t="s">
        <v>49</v>
      </c>
      <c r="B200" s="916"/>
      <c r="C200" s="916"/>
      <c r="D200" s="916"/>
      <c r="E200" s="916"/>
      <c r="F200" s="916"/>
      <c r="G200" s="917"/>
    </row>
    <row r="201" spans="1:7" x14ac:dyDescent="0.2">
      <c r="A201" s="6"/>
      <c r="B201" s="99"/>
      <c r="C201" s="8"/>
      <c r="D201" s="9"/>
      <c r="E201" s="99"/>
      <c r="F201" s="10"/>
      <c r="G201" s="11" t="s">
        <v>20</v>
      </c>
    </row>
    <row r="202" spans="1:7" x14ac:dyDescent="0.2">
      <c r="A202" s="12" t="s">
        <v>1</v>
      </c>
      <c r="B202" s="13"/>
      <c r="C202" s="14" t="s">
        <v>45</v>
      </c>
      <c r="D202" s="13"/>
      <c r="E202" s="362" t="s">
        <v>2290</v>
      </c>
      <c r="F202" s="98"/>
      <c r="G202" s="363" t="s">
        <v>2284</v>
      </c>
    </row>
    <row r="203" spans="1:7" x14ac:dyDescent="0.2">
      <c r="A203" s="17" t="s">
        <v>8</v>
      </c>
      <c r="B203" s="100"/>
      <c r="C203" s="19"/>
      <c r="D203" s="4"/>
      <c r="E203" s="918"/>
      <c r="F203" s="919"/>
      <c r="G203" s="20"/>
    </row>
    <row r="204" spans="1:7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7" x14ac:dyDescent="0.2">
      <c r="A205" s="6"/>
      <c r="B205" s="99"/>
      <c r="C205" s="8"/>
      <c r="D205" s="8"/>
      <c r="E205" s="920"/>
      <c r="F205" s="921"/>
      <c r="G205" s="25"/>
    </row>
    <row r="206" spans="1:7" ht="26.25" thickBot="1" x14ac:dyDescent="0.25">
      <c r="A206" s="207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7" ht="13.5" thickTop="1" x14ac:dyDescent="0.2">
      <c r="A207" s="29">
        <v>1</v>
      </c>
      <c r="B207" s="101"/>
      <c r="C207" s="371" t="s">
        <v>149</v>
      </c>
      <c r="D207" s="376" t="s">
        <v>2278</v>
      </c>
      <c r="E207" s="102">
        <v>150</v>
      </c>
      <c r="F207" s="128">
        <v>200</v>
      </c>
      <c r="G207" s="35">
        <f>F207*E207</f>
        <v>30000</v>
      </c>
    </row>
    <row r="208" spans="1:7" x14ac:dyDescent="0.2">
      <c r="A208" s="29"/>
      <c r="B208" s="101"/>
      <c r="C208" s="371"/>
      <c r="D208" s="376"/>
      <c r="E208" s="102"/>
      <c r="F208" s="128"/>
      <c r="G208" s="35"/>
    </row>
    <row r="209" spans="1:7" x14ac:dyDescent="0.2">
      <c r="A209" s="29"/>
      <c r="B209" s="101"/>
      <c r="C209" s="371"/>
      <c r="D209" s="370"/>
      <c r="E209" s="108"/>
      <c r="F209" s="128"/>
      <c r="G209" s="35"/>
    </row>
    <row r="210" spans="1:7" x14ac:dyDescent="0.2">
      <c r="A210" s="29"/>
      <c r="B210" s="105"/>
      <c r="C210" s="41"/>
      <c r="D210" s="449"/>
      <c r="E210" s="102"/>
      <c r="F210" s="128"/>
      <c r="G210" s="35"/>
    </row>
    <row r="211" spans="1:7" x14ac:dyDescent="0.2">
      <c r="A211" s="29"/>
      <c r="B211" s="105"/>
      <c r="C211" s="371"/>
      <c r="D211" s="376"/>
      <c r="E211" s="102"/>
      <c r="F211" s="128"/>
      <c r="G211" s="35"/>
    </row>
    <row r="212" spans="1:7" x14ac:dyDescent="0.2">
      <c r="A212" s="29"/>
      <c r="B212" s="151"/>
      <c r="C212" s="371"/>
      <c r="D212" s="370"/>
      <c r="E212" s="108"/>
      <c r="F212" s="128"/>
      <c r="G212" s="35"/>
    </row>
    <row r="213" spans="1:7" x14ac:dyDescent="0.2">
      <c r="A213" s="29"/>
      <c r="B213" s="151"/>
      <c r="C213" s="371"/>
      <c r="D213" s="370"/>
      <c r="E213" s="108"/>
      <c r="F213" s="128"/>
      <c r="G213" s="35"/>
    </row>
    <row r="214" spans="1:7" x14ac:dyDescent="0.2">
      <c r="A214" s="29"/>
      <c r="B214" s="151"/>
      <c r="C214" s="371"/>
      <c r="D214" s="376"/>
      <c r="E214" s="102"/>
      <c r="F214" s="128"/>
      <c r="G214" s="35"/>
    </row>
    <row r="215" spans="1:7" x14ac:dyDescent="0.2">
      <c r="A215" s="29"/>
      <c r="B215" s="105"/>
      <c r="C215" s="41"/>
      <c r="D215" s="449"/>
      <c r="E215" s="102"/>
      <c r="F215" s="128"/>
      <c r="G215" s="372"/>
    </row>
    <row r="216" spans="1:7" x14ac:dyDescent="0.2">
      <c r="A216" s="29"/>
      <c r="B216" s="107"/>
      <c r="C216" s="371"/>
      <c r="D216" s="370" t="s">
        <v>152</v>
      </c>
      <c r="E216" s="108"/>
      <c r="F216" s="128"/>
      <c r="G216" s="35"/>
    </row>
    <row r="217" spans="1:7" x14ac:dyDescent="0.2">
      <c r="A217" s="29"/>
      <c r="B217" s="107"/>
      <c r="C217" s="371"/>
      <c r="D217" s="376"/>
      <c r="E217" s="102"/>
      <c r="F217" s="128"/>
      <c r="G217" s="35"/>
    </row>
    <row r="218" spans="1:7" x14ac:dyDescent="0.2">
      <c r="A218" s="29"/>
      <c r="B218" s="101"/>
      <c r="C218" s="41"/>
      <c r="D218" s="449"/>
      <c r="E218" s="102"/>
      <c r="F218" s="128"/>
      <c r="G218" s="372"/>
    </row>
    <row r="219" spans="1:7" x14ac:dyDescent="0.2">
      <c r="A219" s="29"/>
      <c r="B219" s="101"/>
      <c r="C219" s="371"/>
      <c r="D219" s="370"/>
      <c r="E219" s="108"/>
      <c r="F219" s="128"/>
      <c r="G219" s="35"/>
    </row>
    <row r="220" spans="1:7" x14ac:dyDescent="0.2">
      <c r="A220" s="29"/>
      <c r="B220" s="106"/>
      <c r="C220" s="371"/>
      <c r="D220" s="376"/>
      <c r="E220" s="102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72"/>
    </row>
    <row r="222" spans="1:7" x14ac:dyDescent="0.2">
      <c r="A222" s="29"/>
      <c r="B222" s="106"/>
      <c r="C222" s="41"/>
      <c r="D222" s="67"/>
      <c r="E222" s="104"/>
      <c r="F222" s="154"/>
      <c r="G222" s="372"/>
    </row>
    <row r="223" spans="1:7" x14ac:dyDescent="0.2">
      <c r="A223" s="29"/>
      <c r="B223" s="106"/>
      <c r="C223" s="41"/>
      <c r="D223" s="67"/>
      <c r="E223" s="104"/>
      <c r="F223" s="154"/>
      <c r="G223" s="372"/>
    </row>
    <row r="224" spans="1:7" x14ac:dyDescent="0.2">
      <c r="A224" s="29"/>
      <c r="B224" s="106"/>
      <c r="C224" s="41"/>
      <c r="D224" s="67"/>
      <c r="E224" s="104"/>
      <c r="F224" s="154"/>
      <c r="G224" s="372"/>
    </row>
    <row r="225" spans="1:16" x14ac:dyDescent="0.2">
      <c r="A225" s="29"/>
      <c r="B225" s="105"/>
      <c r="C225" s="41"/>
      <c r="D225" s="130"/>
      <c r="E225" s="104"/>
      <c r="F225" s="154"/>
      <c r="G225" s="35"/>
    </row>
    <row r="226" spans="1:16" x14ac:dyDescent="0.2">
      <c r="A226" s="29"/>
      <c r="B226" s="105"/>
      <c r="C226" s="41"/>
      <c r="D226" s="67"/>
      <c r="E226" s="104"/>
      <c r="F226" s="154"/>
      <c r="G226" s="35"/>
    </row>
    <row r="227" spans="1:16" x14ac:dyDescent="0.2">
      <c r="A227" s="29"/>
      <c r="B227" s="101"/>
      <c r="C227" s="41"/>
      <c r="D227" s="67"/>
      <c r="E227" s="104"/>
      <c r="F227" s="154"/>
      <c r="G227" s="35"/>
    </row>
    <row r="228" spans="1:16" x14ac:dyDescent="0.2">
      <c r="A228" s="29"/>
      <c r="B228" s="101"/>
      <c r="C228" s="41"/>
      <c r="D228" s="376" t="s">
        <v>152</v>
      </c>
      <c r="E228" s="104"/>
      <c r="F228" s="154"/>
      <c r="G228" s="35"/>
    </row>
    <row r="229" spans="1:16" x14ac:dyDescent="0.2">
      <c r="A229" s="29"/>
      <c r="B229" s="101"/>
      <c r="C229" s="41"/>
      <c r="D229" s="136"/>
      <c r="E229" s="104"/>
      <c r="F229" s="154"/>
      <c r="G229" s="35"/>
      <c r="P229" s="430" t="s">
        <v>2291</v>
      </c>
    </row>
    <row r="230" spans="1:16" x14ac:dyDescent="0.2">
      <c r="A230" s="29"/>
      <c r="B230" s="101"/>
      <c r="C230" s="41"/>
      <c r="D230" s="62"/>
      <c r="E230" s="104"/>
      <c r="F230" s="154"/>
      <c r="G230" s="35"/>
    </row>
    <row r="231" spans="1:16" x14ac:dyDescent="0.2">
      <c r="A231" s="29"/>
      <c r="B231" s="101"/>
      <c r="C231" s="41"/>
      <c r="D231" s="67"/>
      <c r="E231" s="104"/>
      <c r="F231" s="154"/>
      <c r="G231" s="35"/>
    </row>
    <row r="232" spans="1:16" x14ac:dyDescent="0.2">
      <c r="A232" s="29"/>
      <c r="B232" s="101"/>
      <c r="C232" s="41"/>
      <c r="D232" s="159"/>
      <c r="E232" s="104"/>
      <c r="F232" s="154"/>
      <c r="G232" s="35"/>
    </row>
    <row r="233" spans="1:16" x14ac:dyDescent="0.2">
      <c r="A233" s="29"/>
      <c r="B233" s="101"/>
      <c r="C233" s="41"/>
      <c r="D233" s="159"/>
      <c r="E233" s="104"/>
      <c r="F233" s="154"/>
      <c r="G233" s="35"/>
    </row>
    <row r="234" spans="1:16" x14ac:dyDescent="0.2">
      <c r="A234" s="29"/>
      <c r="B234" s="101"/>
      <c r="C234" s="41"/>
      <c r="D234" s="159"/>
      <c r="E234" s="104"/>
      <c r="F234" s="154"/>
      <c r="G234" s="35"/>
    </row>
    <row r="235" spans="1:16" x14ac:dyDescent="0.2">
      <c r="A235" s="29"/>
      <c r="B235" s="101"/>
      <c r="C235" s="41"/>
      <c r="D235" s="160"/>
      <c r="E235" s="108"/>
      <c r="F235" s="128"/>
      <c r="G235" s="35"/>
    </row>
    <row r="236" spans="1:16" x14ac:dyDescent="0.2">
      <c r="A236" s="29"/>
      <c r="B236" s="101"/>
      <c r="C236" s="41"/>
      <c r="D236" s="136"/>
      <c r="E236" s="153"/>
      <c r="F236" s="128"/>
      <c r="G236" s="35"/>
    </row>
    <row r="237" spans="1:16" x14ac:dyDescent="0.2">
      <c r="A237" s="29"/>
      <c r="B237" s="101"/>
      <c r="C237" s="41"/>
      <c r="D237" s="136"/>
      <c r="E237" s="102"/>
      <c r="F237" s="128"/>
      <c r="G237" s="35"/>
    </row>
    <row r="238" spans="1:16" x14ac:dyDescent="0.2">
      <c r="A238" s="29"/>
      <c r="B238" s="101"/>
      <c r="C238" s="31"/>
      <c r="D238" s="67"/>
      <c r="E238" s="131"/>
      <c r="F238" s="117"/>
      <c r="G238" s="35"/>
    </row>
    <row r="239" spans="1:16" x14ac:dyDescent="0.2">
      <c r="A239" s="29"/>
      <c r="B239" s="101"/>
      <c r="C239" s="41"/>
      <c r="D239" s="118"/>
      <c r="E239" s="108"/>
      <c r="F239" s="149"/>
      <c r="G239" s="35"/>
    </row>
    <row r="240" spans="1:16" x14ac:dyDescent="0.2">
      <c r="A240" s="29"/>
      <c r="B240" s="101"/>
      <c r="C240" s="41"/>
      <c r="D240" s="144"/>
      <c r="E240" s="108"/>
      <c r="F240" s="149"/>
      <c r="G240" s="35"/>
    </row>
    <row r="241" spans="1:7" ht="13.5" thickBot="1" x14ac:dyDescent="0.25">
      <c r="A241" s="45"/>
      <c r="B241" s="132"/>
      <c r="C241" s="115"/>
      <c r="D241" s="115"/>
      <c r="E241" s="132"/>
      <c r="F241" s="49" t="s">
        <v>15</v>
      </c>
      <c r="G241" s="50">
        <f>SUM(G207:G240)</f>
        <v>30000</v>
      </c>
    </row>
    <row r="242" spans="1:7" ht="13.5" thickTop="1" x14ac:dyDescent="0.2">
      <c r="A242" s="875" t="s">
        <v>2279</v>
      </c>
      <c r="B242" s="899"/>
      <c r="C242" s="899"/>
      <c r="D242" s="899"/>
      <c r="E242" s="899"/>
      <c r="F242" s="899"/>
      <c r="G242" s="900"/>
    </row>
    <row r="243" spans="1:7" ht="13.5" thickBot="1" x14ac:dyDescent="0.25">
      <c r="A243" s="378" t="s">
        <v>8</v>
      </c>
      <c r="B243" s="103"/>
      <c r="C243" s="374" t="s">
        <v>2413</v>
      </c>
      <c r="D243" s="54"/>
      <c r="E243" s="103"/>
      <c r="F243" s="55"/>
      <c r="G243" s="56"/>
    </row>
    <row r="244" spans="1:7" ht="13.5" thickTop="1" x14ac:dyDescent="0.2">
      <c r="A244" s="906"/>
      <c r="B244" s="907"/>
      <c r="C244" s="907"/>
      <c r="D244" s="57" t="s">
        <v>11</v>
      </c>
      <c r="E244" s="908" t="s">
        <v>12</v>
      </c>
      <c r="F244" s="908"/>
      <c r="G244" s="909"/>
    </row>
    <row r="245" spans="1:7" x14ac:dyDescent="0.2">
      <c r="A245" s="910" t="s">
        <v>17</v>
      </c>
      <c r="B245" s="911"/>
      <c r="C245" s="911"/>
      <c r="D245" s="39"/>
      <c r="E245" s="912"/>
      <c r="F245" s="913"/>
      <c r="G245" s="914"/>
    </row>
    <row r="246" spans="1:7" x14ac:dyDescent="0.2">
      <c r="A246" s="910" t="s">
        <v>38</v>
      </c>
      <c r="B246" s="911"/>
      <c r="C246" s="911"/>
      <c r="D246" s="58" t="s">
        <v>1891</v>
      </c>
      <c r="E246" s="868" t="s">
        <v>142</v>
      </c>
      <c r="F246" s="868"/>
      <c r="G246" s="869"/>
    </row>
    <row r="247" spans="1:7" ht="13.5" thickBot="1" x14ac:dyDescent="0.25">
      <c r="A247" s="901" t="s">
        <v>39</v>
      </c>
      <c r="B247" s="902"/>
      <c r="C247" s="902"/>
      <c r="D247" s="125" t="s">
        <v>1024</v>
      </c>
      <c r="E247" s="904" t="s">
        <v>0</v>
      </c>
      <c r="F247" s="904"/>
      <c r="G247" s="905"/>
    </row>
    <row r="248" spans="1:7" ht="16.5" x14ac:dyDescent="0.25">
      <c r="A248" s="885" t="s">
        <v>29</v>
      </c>
      <c r="B248" s="886"/>
      <c r="C248" s="886"/>
      <c r="D248" s="886"/>
      <c r="E248" s="886"/>
      <c r="F248" s="886"/>
      <c r="G248" s="887"/>
    </row>
    <row r="249" spans="1:7" x14ac:dyDescent="0.2">
      <c r="A249" s="888" t="s">
        <v>48</v>
      </c>
      <c r="B249" s="889"/>
      <c r="C249" s="889"/>
      <c r="D249" s="889"/>
      <c r="E249" s="889"/>
      <c r="F249" s="889"/>
      <c r="G249" s="890"/>
    </row>
    <row r="250" spans="1:7" x14ac:dyDescent="0.2">
      <c r="A250" s="915" t="s">
        <v>49</v>
      </c>
      <c r="B250" s="916"/>
      <c r="C250" s="916"/>
      <c r="D250" s="916"/>
      <c r="E250" s="916"/>
      <c r="F250" s="916"/>
      <c r="G250" s="917"/>
    </row>
    <row r="251" spans="1:7" x14ac:dyDescent="0.2">
      <c r="A251" s="6"/>
      <c r="B251" s="99"/>
      <c r="C251" s="8"/>
      <c r="D251" s="9"/>
      <c r="E251" s="99"/>
      <c r="F251" s="10"/>
      <c r="G251" s="11" t="s">
        <v>20</v>
      </c>
    </row>
    <row r="252" spans="1:7" x14ac:dyDescent="0.2">
      <c r="A252" s="12" t="s">
        <v>1</v>
      </c>
      <c r="B252" s="13"/>
      <c r="C252" s="14" t="s">
        <v>45</v>
      </c>
      <c r="D252" s="13"/>
      <c r="E252" s="362" t="s">
        <v>2288</v>
      </c>
      <c r="F252" s="98"/>
      <c r="G252" s="363" t="s">
        <v>1446</v>
      </c>
    </row>
    <row r="253" spans="1:7" x14ac:dyDescent="0.2">
      <c r="A253" s="17" t="s">
        <v>8</v>
      </c>
      <c r="B253" s="100"/>
      <c r="C253" s="19"/>
      <c r="D253" s="4"/>
      <c r="E253" s="918"/>
      <c r="F253" s="919"/>
      <c r="G253" s="20"/>
    </row>
    <row r="254" spans="1:7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7" x14ac:dyDescent="0.2">
      <c r="A255" s="6"/>
      <c r="B255" s="99"/>
      <c r="C255" s="8"/>
      <c r="D255" s="8"/>
      <c r="E255" s="920"/>
      <c r="F255" s="921"/>
      <c r="G255" s="25"/>
    </row>
    <row r="256" spans="1:7" ht="26.25" thickBot="1" x14ac:dyDescent="0.25">
      <c r="A256" s="207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</row>
    <row r="257" spans="1:7" ht="13.5" thickTop="1" x14ac:dyDescent="0.2">
      <c r="A257" s="29">
        <v>1</v>
      </c>
      <c r="B257" s="101"/>
      <c r="C257" s="371" t="s">
        <v>149</v>
      </c>
      <c r="D257" s="376" t="s">
        <v>2078</v>
      </c>
      <c r="E257" s="102">
        <v>200</v>
      </c>
      <c r="F257" s="128">
        <v>200</v>
      </c>
      <c r="G257" s="35">
        <f>F257*E257</f>
        <v>40000</v>
      </c>
    </row>
    <row r="258" spans="1:7" x14ac:dyDescent="0.2">
      <c r="A258" s="29"/>
      <c r="B258" s="101"/>
      <c r="C258" s="371"/>
      <c r="D258" s="376"/>
      <c r="E258" s="102"/>
      <c r="F258" s="128"/>
      <c r="G258" s="35"/>
    </row>
    <row r="259" spans="1:7" x14ac:dyDescent="0.2">
      <c r="A259" s="29"/>
      <c r="B259" s="101"/>
      <c r="C259" s="371"/>
      <c r="D259" s="370"/>
      <c r="E259" s="108"/>
      <c r="F259" s="128"/>
      <c r="G259" s="35"/>
    </row>
    <row r="260" spans="1:7" x14ac:dyDescent="0.2">
      <c r="A260" s="29"/>
      <c r="B260" s="105"/>
      <c r="C260" s="41"/>
      <c r="D260" s="449"/>
      <c r="E260" s="102"/>
      <c r="F260" s="128"/>
      <c r="G260" s="35"/>
    </row>
    <row r="261" spans="1:7" x14ac:dyDescent="0.2">
      <c r="A261" s="29"/>
      <c r="B261" s="105"/>
      <c r="C261" s="371"/>
      <c r="D261" s="376"/>
      <c r="E261" s="102"/>
      <c r="F261" s="128"/>
      <c r="G261" s="35"/>
    </row>
    <row r="262" spans="1:7" x14ac:dyDescent="0.2">
      <c r="A262" s="29"/>
      <c r="B262" s="151"/>
      <c r="C262" s="371"/>
      <c r="D262" s="370"/>
      <c r="E262" s="108"/>
      <c r="F262" s="128"/>
      <c r="G262" s="35"/>
    </row>
    <row r="263" spans="1:7" x14ac:dyDescent="0.2">
      <c r="A263" s="29"/>
      <c r="B263" s="151"/>
      <c r="C263" s="371"/>
      <c r="D263" s="370"/>
      <c r="E263" s="108"/>
      <c r="F263" s="128"/>
      <c r="G263" s="35"/>
    </row>
    <row r="264" spans="1:7" x14ac:dyDescent="0.2">
      <c r="A264" s="29"/>
      <c r="B264" s="151"/>
      <c r="C264" s="371"/>
      <c r="D264" s="376"/>
      <c r="E264" s="102"/>
      <c r="F264" s="128"/>
      <c r="G264" s="35"/>
    </row>
    <row r="265" spans="1:7" x14ac:dyDescent="0.2">
      <c r="A265" s="29"/>
      <c r="B265" s="105"/>
      <c r="C265" s="41"/>
      <c r="D265" s="449"/>
      <c r="E265" s="102"/>
      <c r="F265" s="128"/>
      <c r="G265" s="372"/>
    </row>
    <row r="266" spans="1:7" x14ac:dyDescent="0.2">
      <c r="A266" s="29"/>
      <c r="B266" s="107"/>
      <c r="C266" s="371"/>
      <c r="D266" s="370"/>
      <c r="E266" s="108"/>
      <c r="F266" s="128"/>
      <c r="G266" s="35"/>
    </row>
    <row r="267" spans="1:7" x14ac:dyDescent="0.2">
      <c r="A267" s="29"/>
      <c r="B267" s="107"/>
      <c r="C267" s="371"/>
      <c r="D267" s="376"/>
      <c r="E267" s="102"/>
      <c r="F267" s="128"/>
      <c r="G267" s="35"/>
    </row>
    <row r="268" spans="1:7" x14ac:dyDescent="0.2">
      <c r="A268" s="29"/>
      <c r="B268" s="101"/>
      <c r="C268" s="41"/>
      <c r="D268" s="449"/>
      <c r="E268" s="102"/>
      <c r="F268" s="128"/>
      <c r="G268" s="372"/>
    </row>
    <row r="269" spans="1:7" x14ac:dyDescent="0.2">
      <c r="A269" s="29"/>
      <c r="B269" s="101"/>
      <c r="C269" s="371"/>
      <c r="D269" s="370"/>
      <c r="E269" s="108"/>
      <c r="F269" s="128"/>
      <c r="G269" s="35"/>
    </row>
    <row r="270" spans="1:7" x14ac:dyDescent="0.2">
      <c r="A270" s="29"/>
      <c r="B270" s="106"/>
      <c r="C270" s="371"/>
      <c r="D270" s="376"/>
      <c r="E270" s="102"/>
      <c r="F270" s="128"/>
      <c r="G270" s="35"/>
    </row>
    <row r="271" spans="1:7" x14ac:dyDescent="0.2">
      <c r="A271" s="29"/>
      <c r="B271" s="106"/>
      <c r="C271" s="41"/>
      <c r="D271" s="67"/>
      <c r="E271" s="104"/>
      <c r="F271" s="154"/>
      <c r="G271" s="372"/>
    </row>
    <row r="272" spans="1:7" x14ac:dyDescent="0.2">
      <c r="A272" s="29"/>
      <c r="B272" s="106"/>
      <c r="C272" s="41"/>
      <c r="D272" s="67"/>
      <c r="E272" s="104"/>
      <c r="F272" s="154"/>
      <c r="G272" s="372"/>
    </row>
    <row r="273" spans="1:7" x14ac:dyDescent="0.2">
      <c r="A273" s="29"/>
      <c r="B273" s="106"/>
      <c r="C273" s="41"/>
      <c r="D273" s="67"/>
      <c r="E273" s="104"/>
      <c r="F273" s="154"/>
      <c r="G273" s="372"/>
    </row>
    <row r="274" spans="1:7" x14ac:dyDescent="0.2">
      <c r="A274" s="29"/>
      <c r="B274" s="106"/>
      <c r="C274" s="41"/>
      <c r="D274" s="67"/>
      <c r="E274" s="104"/>
      <c r="F274" s="154"/>
      <c r="G274" s="372"/>
    </row>
    <row r="275" spans="1:7" x14ac:dyDescent="0.2">
      <c r="A275" s="29"/>
      <c r="B275" s="105"/>
      <c r="C275" s="41"/>
      <c r="D275" s="130"/>
      <c r="E275" s="104"/>
      <c r="F275" s="154"/>
      <c r="G275" s="35"/>
    </row>
    <row r="276" spans="1:7" x14ac:dyDescent="0.2">
      <c r="A276" s="29"/>
      <c r="B276" s="105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376" t="s">
        <v>152</v>
      </c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62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159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/>
      <c r="E287" s="102"/>
      <c r="F287" s="128"/>
      <c r="G287" s="35"/>
    </row>
    <row r="288" spans="1:7" x14ac:dyDescent="0.2">
      <c r="A288" s="29"/>
      <c r="B288" s="101"/>
      <c r="C288" s="31"/>
      <c r="D288" s="67"/>
      <c r="E288" s="131"/>
      <c r="F288" s="117"/>
      <c r="G288" s="35"/>
    </row>
    <row r="289" spans="1:7" x14ac:dyDescent="0.2">
      <c r="A289" s="29"/>
      <c r="B289" s="101"/>
      <c r="C289" s="41"/>
      <c r="D289" s="118"/>
      <c r="E289" s="108"/>
      <c r="F289" s="149"/>
      <c r="G289" s="35"/>
    </row>
    <row r="290" spans="1:7" x14ac:dyDescent="0.2">
      <c r="A290" s="29"/>
      <c r="B290" s="101"/>
      <c r="C290" s="41"/>
      <c r="D290" s="144"/>
      <c r="E290" s="108"/>
      <c r="F290" s="149"/>
      <c r="G290" s="35"/>
    </row>
    <row r="291" spans="1:7" ht="13.5" thickBot="1" x14ac:dyDescent="0.25">
      <c r="A291" s="45"/>
      <c r="B291" s="132"/>
      <c r="C291" s="115"/>
      <c r="D291" s="115"/>
      <c r="E291" s="132"/>
      <c r="F291" s="49" t="s">
        <v>15</v>
      </c>
      <c r="G291" s="50">
        <f>SUM(G257:G290)</f>
        <v>40000</v>
      </c>
    </row>
    <row r="292" spans="1:7" ht="13.5" thickTop="1" x14ac:dyDescent="0.2">
      <c r="A292" s="875" t="s">
        <v>2280</v>
      </c>
      <c r="B292" s="899"/>
      <c r="C292" s="899"/>
      <c r="D292" s="899"/>
      <c r="E292" s="899"/>
      <c r="F292" s="899"/>
      <c r="G292" s="900"/>
    </row>
    <row r="293" spans="1:7" ht="13.5" thickBot="1" x14ac:dyDescent="0.25">
      <c r="A293" s="378" t="s">
        <v>8</v>
      </c>
      <c r="B293" s="103"/>
      <c r="C293" s="374" t="s">
        <v>2281</v>
      </c>
      <c r="D293" s="54"/>
      <c r="E293" s="103"/>
      <c r="F293" s="55"/>
      <c r="G293" s="56"/>
    </row>
    <row r="294" spans="1:7" ht="13.5" thickTop="1" x14ac:dyDescent="0.2">
      <c r="A294" s="906"/>
      <c r="B294" s="907"/>
      <c r="C294" s="907"/>
      <c r="D294" s="57" t="s">
        <v>11</v>
      </c>
      <c r="E294" s="908" t="s">
        <v>12</v>
      </c>
      <c r="F294" s="908"/>
      <c r="G294" s="909"/>
    </row>
    <row r="295" spans="1:7" x14ac:dyDescent="0.2">
      <c r="A295" s="910" t="s">
        <v>17</v>
      </c>
      <c r="B295" s="911"/>
      <c r="C295" s="911"/>
      <c r="D295" s="39"/>
      <c r="E295" s="912"/>
      <c r="F295" s="913"/>
      <c r="G295" s="914"/>
    </row>
    <row r="296" spans="1:7" x14ac:dyDescent="0.2">
      <c r="A296" s="910" t="s">
        <v>38</v>
      </c>
      <c r="B296" s="911"/>
      <c r="C296" s="911"/>
      <c r="D296" s="58" t="s">
        <v>1891</v>
      </c>
      <c r="E296" s="868" t="s">
        <v>142</v>
      </c>
      <c r="F296" s="868"/>
      <c r="G296" s="869"/>
    </row>
    <row r="297" spans="1:7" ht="13.5" thickBot="1" x14ac:dyDescent="0.25">
      <c r="A297" s="901" t="s">
        <v>39</v>
      </c>
      <c r="B297" s="902"/>
      <c r="C297" s="902"/>
      <c r="D297" s="125" t="s">
        <v>1024</v>
      </c>
      <c r="E297" s="904" t="s">
        <v>0</v>
      </c>
      <c r="F297" s="904"/>
      <c r="G297" s="905"/>
    </row>
    <row r="298" spans="1:7" ht="16.5" x14ac:dyDescent="0.25">
      <c r="A298" s="885" t="s">
        <v>29</v>
      </c>
      <c r="B298" s="886"/>
      <c r="C298" s="886"/>
      <c r="D298" s="886"/>
      <c r="E298" s="886"/>
      <c r="F298" s="886"/>
      <c r="G298" s="887"/>
    </row>
    <row r="299" spans="1:7" x14ac:dyDescent="0.2">
      <c r="A299" s="888" t="s">
        <v>48</v>
      </c>
      <c r="B299" s="889"/>
      <c r="C299" s="889"/>
      <c r="D299" s="889"/>
      <c r="E299" s="889"/>
      <c r="F299" s="889"/>
      <c r="G299" s="890"/>
    </row>
    <row r="300" spans="1:7" x14ac:dyDescent="0.2">
      <c r="A300" s="915" t="s">
        <v>49</v>
      </c>
      <c r="B300" s="916"/>
      <c r="C300" s="916"/>
      <c r="D300" s="916"/>
      <c r="E300" s="916"/>
      <c r="F300" s="916"/>
      <c r="G300" s="917"/>
    </row>
    <row r="301" spans="1:7" x14ac:dyDescent="0.2">
      <c r="A301" s="6"/>
      <c r="B301" s="99"/>
      <c r="C301" s="8"/>
      <c r="D301" s="9"/>
      <c r="E301" s="99"/>
      <c r="F301" s="10"/>
      <c r="G301" s="11" t="s">
        <v>20</v>
      </c>
    </row>
    <row r="302" spans="1:7" x14ac:dyDescent="0.2">
      <c r="A302" s="12" t="s">
        <v>1</v>
      </c>
      <c r="B302" s="13"/>
      <c r="C302" s="14" t="s">
        <v>45</v>
      </c>
      <c r="D302" s="13"/>
      <c r="E302" s="362" t="s">
        <v>2289</v>
      </c>
      <c r="F302" s="98"/>
      <c r="G302" s="363" t="s">
        <v>1458</v>
      </c>
    </row>
    <row r="303" spans="1:7" x14ac:dyDescent="0.2">
      <c r="A303" s="17" t="s">
        <v>8</v>
      </c>
      <c r="B303" s="100"/>
      <c r="C303" s="19"/>
      <c r="D303" s="4"/>
      <c r="E303" s="918"/>
      <c r="F303" s="919"/>
      <c r="G303" s="20"/>
    </row>
    <row r="304" spans="1:7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7" x14ac:dyDescent="0.2">
      <c r="A305" s="6"/>
      <c r="B305" s="99"/>
      <c r="C305" s="8"/>
      <c r="D305" s="8"/>
      <c r="E305" s="920"/>
      <c r="F305" s="921"/>
      <c r="G305" s="25"/>
    </row>
    <row r="306" spans="1:7" ht="26.25" thickBot="1" x14ac:dyDescent="0.25">
      <c r="A306" s="207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29">
        <v>1</v>
      </c>
      <c r="B307" s="101"/>
      <c r="C307" s="371" t="s">
        <v>149</v>
      </c>
      <c r="D307" s="376" t="s">
        <v>324</v>
      </c>
      <c r="E307" s="102">
        <v>422</v>
      </c>
      <c r="F307" s="128">
        <v>200</v>
      </c>
      <c r="G307" s="35">
        <f>F307*E307</f>
        <v>84400</v>
      </c>
    </row>
    <row r="308" spans="1:7" x14ac:dyDescent="0.2">
      <c r="A308" s="29">
        <v>2</v>
      </c>
      <c r="B308" s="101"/>
      <c r="C308" s="371" t="s">
        <v>149</v>
      </c>
      <c r="D308" s="376" t="s">
        <v>2078</v>
      </c>
      <c r="E308" s="102">
        <v>528</v>
      </c>
      <c r="F308" s="128">
        <v>200</v>
      </c>
      <c r="G308" s="35">
        <f>F308*E308</f>
        <v>105600</v>
      </c>
    </row>
    <row r="309" spans="1:7" x14ac:dyDescent="0.2">
      <c r="A309" s="29"/>
      <c r="B309" s="101"/>
      <c r="C309" s="371"/>
      <c r="D309" s="370"/>
      <c r="E309" s="108"/>
      <c r="F309" s="128"/>
      <c r="G309" s="35"/>
    </row>
    <row r="310" spans="1:7" x14ac:dyDescent="0.2">
      <c r="A310" s="29"/>
      <c r="B310" s="105"/>
      <c r="C310" s="41"/>
      <c r="D310" s="449"/>
      <c r="E310" s="102"/>
      <c r="F310" s="128"/>
      <c r="G310" s="35"/>
    </row>
    <row r="311" spans="1:7" x14ac:dyDescent="0.2">
      <c r="A311" s="29"/>
      <c r="B311" s="105"/>
      <c r="C311" s="371"/>
      <c r="D311" s="376"/>
      <c r="E311" s="102"/>
      <c r="F311" s="128"/>
      <c r="G311" s="35"/>
    </row>
    <row r="312" spans="1:7" x14ac:dyDescent="0.2">
      <c r="A312" s="29"/>
      <c r="B312" s="151"/>
      <c r="C312" s="371"/>
      <c r="D312" s="370"/>
      <c r="E312" s="108"/>
      <c r="F312" s="128"/>
      <c r="G312" s="35"/>
    </row>
    <row r="313" spans="1:7" x14ac:dyDescent="0.2">
      <c r="A313" s="29"/>
      <c r="B313" s="151"/>
      <c r="C313" s="371"/>
      <c r="D313" s="370"/>
      <c r="E313" s="108"/>
      <c r="F313" s="128"/>
      <c r="G313" s="35"/>
    </row>
    <row r="314" spans="1:7" x14ac:dyDescent="0.2">
      <c r="A314" s="29"/>
      <c r="B314" s="151"/>
      <c r="C314" s="371"/>
      <c r="D314" s="376"/>
      <c r="E314" s="102"/>
      <c r="F314" s="128"/>
      <c r="G314" s="35"/>
    </row>
    <row r="315" spans="1:7" x14ac:dyDescent="0.2">
      <c r="A315" s="29"/>
      <c r="B315" s="105"/>
      <c r="C315" s="41"/>
      <c r="D315" s="449"/>
      <c r="E315" s="102"/>
      <c r="F315" s="128"/>
      <c r="G315" s="372"/>
    </row>
    <row r="316" spans="1:7" x14ac:dyDescent="0.2">
      <c r="A316" s="29"/>
      <c r="B316" s="107"/>
      <c r="C316" s="371"/>
      <c r="D316" s="370"/>
      <c r="E316" s="108"/>
      <c r="F316" s="128"/>
      <c r="G316" s="35"/>
    </row>
    <row r="317" spans="1:7" x14ac:dyDescent="0.2">
      <c r="A317" s="29"/>
      <c r="B317" s="107"/>
      <c r="C317" s="371"/>
      <c r="D317" s="376"/>
      <c r="E317" s="102"/>
      <c r="F317" s="128"/>
      <c r="G317" s="35"/>
    </row>
    <row r="318" spans="1:7" x14ac:dyDescent="0.2">
      <c r="A318" s="29"/>
      <c r="B318" s="101"/>
      <c r="C318" s="41"/>
      <c r="D318" s="449"/>
      <c r="E318" s="102"/>
      <c r="F318" s="128"/>
      <c r="G318" s="372"/>
    </row>
    <row r="319" spans="1:7" x14ac:dyDescent="0.2">
      <c r="A319" s="29"/>
      <c r="B319" s="101"/>
      <c r="C319" s="371"/>
      <c r="D319" s="370"/>
      <c r="E319" s="108"/>
      <c r="F319" s="128"/>
      <c r="G319" s="35"/>
    </row>
    <row r="320" spans="1:7" x14ac:dyDescent="0.2">
      <c r="A320" s="29"/>
      <c r="B320" s="106"/>
      <c r="C320" s="371"/>
      <c r="D320" s="376"/>
      <c r="E320" s="102"/>
      <c r="F320" s="128"/>
      <c r="G320" s="35"/>
    </row>
    <row r="321" spans="1:7" x14ac:dyDescent="0.2">
      <c r="A321" s="29"/>
      <c r="B321" s="106"/>
      <c r="C321" s="41"/>
      <c r="D321" s="67"/>
      <c r="E321" s="104"/>
      <c r="F321" s="154"/>
      <c r="G321" s="372"/>
    </row>
    <row r="322" spans="1:7" x14ac:dyDescent="0.2">
      <c r="A322" s="29"/>
      <c r="B322" s="106"/>
      <c r="C322" s="41"/>
      <c r="D322" s="67"/>
      <c r="E322" s="104"/>
      <c r="F322" s="154"/>
      <c r="G322" s="372"/>
    </row>
    <row r="323" spans="1:7" x14ac:dyDescent="0.2">
      <c r="A323" s="29"/>
      <c r="B323" s="106"/>
      <c r="C323" s="41"/>
      <c r="D323" s="67"/>
      <c r="E323" s="104"/>
      <c r="F323" s="154"/>
      <c r="G323" s="372"/>
    </row>
    <row r="324" spans="1:7" x14ac:dyDescent="0.2">
      <c r="A324" s="29"/>
      <c r="B324" s="106"/>
      <c r="C324" s="41"/>
      <c r="D324" s="67"/>
      <c r="E324" s="104"/>
      <c r="F324" s="154"/>
      <c r="G324" s="372"/>
    </row>
    <row r="325" spans="1:7" x14ac:dyDescent="0.2">
      <c r="A325" s="29"/>
      <c r="B325" s="105"/>
      <c r="C325" s="41"/>
      <c r="D325" s="130"/>
      <c r="E325" s="104"/>
      <c r="F325" s="154"/>
      <c r="G325" s="35"/>
    </row>
    <row r="326" spans="1:7" x14ac:dyDescent="0.2">
      <c r="A326" s="29"/>
      <c r="B326" s="105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376" t="s">
        <v>152</v>
      </c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420" t="s">
        <v>8</v>
      </c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159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59"/>
      <c r="E334" s="104"/>
      <c r="F334" s="154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36"/>
      <c r="E336" s="153"/>
      <c r="F336" s="128"/>
      <c r="G336" s="35"/>
    </row>
    <row r="337" spans="1:7" x14ac:dyDescent="0.2">
      <c r="A337" s="29"/>
      <c r="B337" s="101"/>
      <c r="C337" s="41"/>
      <c r="D337" s="136"/>
      <c r="E337" s="102"/>
      <c r="F337" s="128"/>
      <c r="G337" s="35"/>
    </row>
    <row r="338" spans="1:7" x14ac:dyDescent="0.2">
      <c r="A338" s="29"/>
      <c r="B338" s="101"/>
      <c r="C338" s="31"/>
      <c r="D338" s="67"/>
      <c r="E338" s="131"/>
      <c r="F338" s="117"/>
      <c r="G338" s="35"/>
    </row>
    <row r="339" spans="1:7" x14ac:dyDescent="0.2">
      <c r="A339" s="29"/>
      <c r="B339" s="101"/>
      <c r="C339" s="41"/>
      <c r="D339" s="118"/>
      <c r="E339" s="108"/>
      <c r="F339" s="149"/>
      <c r="G339" s="35"/>
    </row>
    <row r="340" spans="1:7" x14ac:dyDescent="0.2">
      <c r="A340" s="29"/>
      <c r="B340" s="101"/>
      <c r="C340" s="41"/>
      <c r="D340" s="144"/>
      <c r="E340" s="108"/>
      <c r="F340" s="149"/>
      <c r="G340" s="35"/>
    </row>
    <row r="341" spans="1:7" ht="13.5" thickBot="1" x14ac:dyDescent="0.25">
      <c r="A341" s="45"/>
      <c r="B341" s="132"/>
      <c r="C341" s="115"/>
      <c r="D341" s="115"/>
      <c r="E341" s="132"/>
      <c r="F341" s="49" t="s">
        <v>15</v>
      </c>
      <c r="G341" s="50">
        <f>SUM(G307:G340)</f>
        <v>190000</v>
      </c>
    </row>
    <row r="342" spans="1:7" ht="13.5" thickTop="1" x14ac:dyDescent="0.2">
      <c r="A342" s="875" t="s">
        <v>2282</v>
      </c>
      <c r="B342" s="899"/>
      <c r="C342" s="899"/>
      <c r="D342" s="899"/>
      <c r="E342" s="899"/>
      <c r="F342" s="899"/>
      <c r="G342" s="900"/>
    </row>
    <row r="343" spans="1:7" ht="13.5" thickBot="1" x14ac:dyDescent="0.25">
      <c r="A343" s="378" t="s">
        <v>8</v>
      </c>
      <c r="B343" s="103"/>
      <c r="C343" s="374" t="s">
        <v>2283</v>
      </c>
      <c r="D343" s="54"/>
      <c r="E343" s="103"/>
      <c r="F343" s="55"/>
      <c r="G343" s="56"/>
    </row>
    <row r="344" spans="1:7" ht="13.5" thickTop="1" x14ac:dyDescent="0.2">
      <c r="A344" s="906"/>
      <c r="B344" s="907"/>
      <c r="C344" s="907"/>
      <c r="D344" s="57" t="s">
        <v>11</v>
      </c>
      <c r="E344" s="908" t="s">
        <v>12</v>
      </c>
      <c r="F344" s="908"/>
      <c r="G344" s="909"/>
    </row>
    <row r="345" spans="1:7" x14ac:dyDescent="0.2">
      <c r="A345" s="910" t="s">
        <v>17</v>
      </c>
      <c r="B345" s="911"/>
      <c r="C345" s="911"/>
      <c r="D345" s="39"/>
      <c r="E345" s="912"/>
      <c r="F345" s="913"/>
      <c r="G345" s="914"/>
    </row>
    <row r="346" spans="1:7" x14ac:dyDescent="0.2">
      <c r="A346" s="910" t="s">
        <v>38</v>
      </c>
      <c r="B346" s="911"/>
      <c r="C346" s="911"/>
      <c r="D346" s="58" t="s">
        <v>1891</v>
      </c>
      <c r="E346" s="868" t="s">
        <v>142</v>
      </c>
      <c r="F346" s="868"/>
      <c r="G346" s="869"/>
    </row>
    <row r="347" spans="1:7" ht="13.5" thickBot="1" x14ac:dyDescent="0.25">
      <c r="A347" s="901" t="s">
        <v>39</v>
      </c>
      <c r="B347" s="902"/>
      <c r="C347" s="902"/>
      <c r="D347" s="125" t="s">
        <v>1024</v>
      </c>
      <c r="E347" s="904" t="s">
        <v>0</v>
      </c>
      <c r="F347" s="904"/>
      <c r="G347" s="905"/>
    </row>
    <row r="348" spans="1:7" ht="16.5" x14ac:dyDescent="0.25">
      <c r="A348" s="885" t="s">
        <v>29</v>
      </c>
      <c r="B348" s="886"/>
      <c r="C348" s="886"/>
      <c r="D348" s="886"/>
      <c r="E348" s="886"/>
      <c r="F348" s="886"/>
      <c r="G348" s="887"/>
    </row>
    <row r="349" spans="1:7" x14ac:dyDescent="0.2">
      <c r="A349" s="888" t="s">
        <v>48</v>
      </c>
      <c r="B349" s="889"/>
      <c r="C349" s="889"/>
      <c r="D349" s="889"/>
      <c r="E349" s="889"/>
      <c r="F349" s="889"/>
      <c r="G349" s="890"/>
    </row>
    <row r="350" spans="1:7" x14ac:dyDescent="0.2">
      <c r="A350" s="915" t="s">
        <v>49</v>
      </c>
      <c r="B350" s="916"/>
      <c r="C350" s="916"/>
      <c r="D350" s="916"/>
      <c r="E350" s="916"/>
      <c r="F350" s="916"/>
      <c r="G350" s="917"/>
    </row>
    <row r="351" spans="1:7" x14ac:dyDescent="0.2">
      <c r="A351" s="6"/>
      <c r="B351" s="99"/>
      <c r="C351" s="8"/>
      <c r="D351" s="9"/>
      <c r="E351" s="99"/>
      <c r="F351" s="10"/>
      <c r="G351" s="11" t="s">
        <v>20</v>
      </c>
    </row>
    <row r="352" spans="1:7" x14ac:dyDescent="0.2">
      <c r="A352" s="12" t="s">
        <v>1</v>
      </c>
      <c r="B352" s="13"/>
      <c r="C352" s="14" t="s">
        <v>45</v>
      </c>
      <c r="D352" s="13"/>
      <c r="E352" s="362" t="s">
        <v>2636</v>
      </c>
      <c r="F352" s="98"/>
      <c r="G352" s="363" t="s">
        <v>2626</v>
      </c>
    </row>
    <row r="353" spans="1:7" x14ac:dyDescent="0.2">
      <c r="A353" s="17" t="s">
        <v>8</v>
      </c>
      <c r="B353" s="100"/>
      <c r="C353" s="19"/>
      <c r="D353" s="4"/>
      <c r="E353" s="918"/>
      <c r="F353" s="919"/>
      <c r="G353" s="20"/>
    </row>
    <row r="354" spans="1:7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7" x14ac:dyDescent="0.2">
      <c r="A355" s="6"/>
      <c r="B355" s="99"/>
      <c r="C355" s="8"/>
      <c r="D355" s="8"/>
      <c r="E355" s="920"/>
      <c r="F355" s="921"/>
      <c r="G355" s="25"/>
    </row>
    <row r="356" spans="1:7" ht="26.25" thickBot="1" x14ac:dyDescent="0.25">
      <c r="A356" s="207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29">
        <v>1</v>
      </c>
      <c r="B357" s="101"/>
      <c r="C357" s="371" t="s">
        <v>242</v>
      </c>
      <c r="D357" s="376" t="s">
        <v>2637</v>
      </c>
      <c r="E357" s="102">
        <v>12</v>
      </c>
      <c r="F357" s="128">
        <v>200</v>
      </c>
      <c r="G357" s="35">
        <f>F357*E357</f>
        <v>2400</v>
      </c>
    </row>
    <row r="358" spans="1:7" x14ac:dyDescent="0.2">
      <c r="A358" s="29"/>
      <c r="B358" s="101"/>
      <c r="C358" s="371"/>
      <c r="D358" s="376"/>
      <c r="E358" s="102"/>
      <c r="F358" s="128"/>
      <c r="G358" s="35"/>
    </row>
    <row r="359" spans="1:7" x14ac:dyDescent="0.2">
      <c r="A359" s="29"/>
      <c r="B359" s="101"/>
      <c r="C359" s="371"/>
      <c r="D359" s="370"/>
      <c r="E359" s="108"/>
      <c r="F359" s="128"/>
      <c r="G359" s="35"/>
    </row>
    <row r="360" spans="1:7" x14ac:dyDescent="0.2">
      <c r="A360" s="29"/>
      <c r="B360" s="105"/>
      <c r="C360" s="41"/>
      <c r="D360" s="449"/>
      <c r="E360" s="102"/>
      <c r="F360" s="128"/>
      <c r="G360" s="35"/>
    </row>
    <row r="361" spans="1:7" x14ac:dyDescent="0.2">
      <c r="A361" s="29"/>
      <c r="B361" s="105"/>
      <c r="C361" s="371"/>
      <c r="D361" s="376"/>
      <c r="E361" s="102"/>
      <c r="F361" s="128"/>
      <c r="G361" s="35"/>
    </row>
    <row r="362" spans="1:7" x14ac:dyDescent="0.2">
      <c r="A362" s="29"/>
      <c r="B362" s="151"/>
      <c r="C362" s="371"/>
      <c r="D362" s="370"/>
      <c r="E362" s="108"/>
      <c r="F362" s="128"/>
      <c r="G362" s="35"/>
    </row>
    <row r="363" spans="1:7" x14ac:dyDescent="0.2">
      <c r="A363" s="29"/>
      <c r="B363" s="151"/>
      <c r="C363" s="371"/>
      <c r="D363" s="370"/>
      <c r="E363" s="108"/>
      <c r="F363" s="128"/>
      <c r="G363" s="35"/>
    </row>
    <row r="364" spans="1:7" x14ac:dyDescent="0.2">
      <c r="A364" s="29"/>
      <c r="B364" s="151"/>
      <c r="C364" s="371"/>
      <c r="D364" s="376"/>
      <c r="E364" s="102"/>
      <c r="F364" s="128"/>
      <c r="G364" s="35"/>
    </row>
    <row r="365" spans="1:7" x14ac:dyDescent="0.2">
      <c r="A365" s="29"/>
      <c r="B365" s="105"/>
      <c r="C365" s="41"/>
      <c r="D365" s="449"/>
      <c r="E365" s="102"/>
      <c r="F365" s="128"/>
      <c r="G365" s="372"/>
    </row>
    <row r="366" spans="1:7" x14ac:dyDescent="0.2">
      <c r="A366" s="29"/>
      <c r="B366" s="107"/>
      <c r="C366" s="371"/>
      <c r="D366" s="370"/>
      <c r="E366" s="108"/>
      <c r="F366" s="128"/>
      <c r="G366" s="35"/>
    </row>
    <row r="367" spans="1:7" x14ac:dyDescent="0.2">
      <c r="A367" s="29"/>
      <c r="B367" s="107"/>
      <c r="C367" s="371"/>
      <c r="D367" s="376"/>
      <c r="E367" s="102"/>
      <c r="F367" s="128"/>
      <c r="G367" s="35"/>
    </row>
    <row r="368" spans="1:7" x14ac:dyDescent="0.2">
      <c r="A368" s="29"/>
      <c r="B368" s="101"/>
      <c r="C368" s="41"/>
      <c r="D368" s="449"/>
      <c r="E368" s="102"/>
      <c r="F368" s="128"/>
      <c r="G368" s="372"/>
    </row>
    <row r="369" spans="1:7" x14ac:dyDescent="0.2">
      <c r="A369" s="29"/>
      <c r="B369" s="101"/>
      <c r="C369" s="371"/>
      <c r="D369" s="370"/>
      <c r="E369" s="108"/>
      <c r="F369" s="128"/>
      <c r="G369" s="35"/>
    </row>
    <row r="370" spans="1:7" x14ac:dyDescent="0.2">
      <c r="A370" s="29"/>
      <c r="B370" s="106"/>
      <c r="C370" s="371"/>
      <c r="D370" s="376"/>
      <c r="E370" s="102"/>
      <c r="F370" s="128"/>
      <c r="G370" s="35"/>
    </row>
    <row r="371" spans="1:7" x14ac:dyDescent="0.2">
      <c r="A371" s="29"/>
      <c r="B371" s="106"/>
      <c r="C371" s="41"/>
      <c r="D371" s="67"/>
      <c r="E371" s="104"/>
      <c r="F371" s="154"/>
      <c r="G371" s="372"/>
    </row>
    <row r="372" spans="1:7" x14ac:dyDescent="0.2">
      <c r="A372" s="29"/>
      <c r="B372" s="106"/>
      <c r="C372" s="41"/>
      <c r="D372" s="67"/>
      <c r="E372" s="104"/>
      <c r="F372" s="154"/>
      <c r="G372" s="372"/>
    </row>
    <row r="373" spans="1:7" x14ac:dyDescent="0.2">
      <c r="A373" s="29"/>
      <c r="B373" s="106"/>
      <c r="C373" s="41"/>
      <c r="D373" s="67"/>
      <c r="E373" s="104"/>
      <c r="F373" s="154"/>
      <c r="G373" s="372"/>
    </row>
    <row r="374" spans="1:7" x14ac:dyDescent="0.2">
      <c r="A374" s="29"/>
      <c r="B374" s="106"/>
      <c r="C374" s="41"/>
      <c r="D374" s="67"/>
      <c r="E374" s="104"/>
      <c r="F374" s="154"/>
      <c r="G374" s="372"/>
    </row>
    <row r="375" spans="1:7" x14ac:dyDescent="0.2">
      <c r="A375" s="29"/>
      <c r="B375" s="105"/>
      <c r="C375" s="41"/>
      <c r="D375" s="130"/>
      <c r="E375" s="104"/>
      <c r="F375" s="154"/>
      <c r="G375" s="35"/>
    </row>
    <row r="376" spans="1:7" x14ac:dyDescent="0.2">
      <c r="A376" s="29"/>
      <c r="B376" s="105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376" t="s">
        <v>152</v>
      </c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420" t="s">
        <v>8</v>
      </c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159"/>
      <c r="E382" s="104"/>
      <c r="F382" s="154"/>
      <c r="G382" s="35"/>
    </row>
    <row r="383" spans="1:7" x14ac:dyDescent="0.2">
      <c r="A383" s="29"/>
      <c r="B383" s="101"/>
      <c r="C383" s="41"/>
      <c r="D383" s="159"/>
      <c r="E383" s="104"/>
      <c r="F383" s="154"/>
      <c r="G383" s="35"/>
    </row>
    <row r="384" spans="1:7" x14ac:dyDescent="0.2">
      <c r="A384" s="29"/>
      <c r="B384" s="101"/>
      <c r="C384" s="41"/>
      <c r="D384" s="159"/>
      <c r="E384" s="104"/>
      <c r="F384" s="154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/>
      <c r="E387" s="102"/>
      <c r="F387" s="128"/>
      <c r="G387" s="35"/>
    </row>
    <row r="388" spans="1:7" x14ac:dyDescent="0.2">
      <c r="A388" s="29"/>
      <c r="B388" s="101"/>
      <c r="C388" s="31"/>
      <c r="D388" s="67"/>
      <c r="E388" s="131"/>
      <c r="F388" s="117"/>
      <c r="G388" s="35"/>
    </row>
    <row r="389" spans="1:7" x14ac:dyDescent="0.2">
      <c r="A389" s="29"/>
      <c r="B389" s="101"/>
      <c r="C389" s="41"/>
      <c r="D389" s="118"/>
      <c r="E389" s="108"/>
      <c r="F389" s="149"/>
      <c r="G389" s="35"/>
    </row>
    <row r="390" spans="1:7" x14ac:dyDescent="0.2">
      <c r="A390" s="29"/>
      <c r="B390" s="101"/>
      <c r="C390" s="41"/>
      <c r="D390" s="144"/>
      <c r="E390" s="108"/>
      <c r="F390" s="149"/>
      <c r="G390" s="35"/>
    </row>
    <row r="391" spans="1:7" ht="13.5" thickBot="1" x14ac:dyDescent="0.25">
      <c r="A391" s="45"/>
      <c r="B391" s="132"/>
      <c r="C391" s="115"/>
      <c r="D391" s="115"/>
      <c r="E391" s="132"/>
      <c r="F391" s="49" t="s">
        <v>15</v>
      </c>
      <c r="G391" s="50">
        <f>SUM(G357:G390)</f>
        <v>2400</v>
      </c>
    </row>
    <row r="392" spans="1:7" ht="13.5" thickTop="1" x14ac:dyDescent="0.2">
      <c r="A392" s="875" t="s">
        <v>2638</v>
      </c>
      <c r="B392" s="899"/>
      <c r="C392" s="899"/>
      <c r="D392" s="899"/>
      <c r="E392" s="899"/>
      <c r="F392" s="899"/>
      <c r="G392" s="900"/>
    </row>
    <row r="393" spans="1:7" ht="13.5" thickBot="1" x14ac:dyDescent="0.25">
      <c r="A393" s="378" t="s">
        <v>8</v>
      </c>
      <c r="B393" s="103"/>
      <c r="C393" s="374" t="s">
        <v>2639</v>
      </c>
      <c r="D393" s="54"/>
      <c r="E393" s="103"/>
      <c r="F393" s="55"/>
      <c r="G393" s="56"/>
    </row>
    <row r="394" spans="1:7" ht="13.5" thickTop="1" x14ac:dyDescent="0.2">
      <c r="A394" s="906"/>
      <c r="B394" s="907"/>
      <c r="C394" s="907"/>
      <c r="D394" s="57" t="s">
        <v>11</v>
      </c>
      <c r="E394" s="908" t="s">
        <v>12</v>
      </c>
      <c r="F394" s="908"/>
      <c r="G394" s="909"/>
    </row>
    <row r="395" spans="1:7" x14ac:dyDescent="0.2">
      <c r="A395" s="910" t="s">
        <v>17</v>
      </c>
      <c r="B395" s="911"/>
      <c r="C395" s="911"/>
      <c r="D395" s="39"/>
      <c r="E395" s="912"/>
      <c r="F395" s="913"/>
      <c r="G395" s="914"/>
    </row>
    <row r="396" spans="1:7" x14ac:dyDescent="0.2">
      <c r="A396" s="910" t="s">
        <v>38</v>
      </c>
      <c r="B396" s="911"/>
      <c r="C396" s="911"/>
      <c r="D396" s="58" t="s">
        <v>1891</v>
      </c>
      <c r="E396" s="868" t="s">
        <v>142</v>
      </c>
      <c r="F396" s="868"/>
      <c r="G396" s="869"/>
    </row>
    <row r="397" spans="1:7" ht="13.5" thickBot="1" x14ac:dyDescent="0.25">
      <c r="A397" s="901" t="s">
        <v>39</v>
      </c>
      <c r="B397" s="902"/>
      <c r="C397" s="902"/>
      <c r="D397" s="125" t="s">
        <v>1024</v>
      </c>
      <c r="E397" s="904" t="s">
        <v>0</v>
      </c>
      <c r="F397" s="904"/>
      <c r="G397" s="905"/>
    </row>
  </sheetData>
  <mergeCells count="112">
    <mergeCell ref="A346:C346"/>
    <mergeCell ref="E346:G346"/>
    <mergeCell ref="A347:C347"/>
    <mergeCell ref="E347:G347"/>
    <mergeCell ref="A298:G298"/>
    <mergeCell ref="A299:G299"/>
    <mergeCell ref="A300:G300"/>
    <mergeCell ref="E303:F303"/>
    <mergeCell ref="E305:F305"/>
    <mergeCell ref="A342:G342"/>
    <mergeCell ref="A344:C344"/>
    <mergeCell ref="E344:G344"/>
    <mergeCell ref="A345:C345"/>
    <mergeCell ref="E345:G345"/>
    <mergeCell ref="A292:G292"/>
    <mergeCell ref="A294:C294"/>
    <mergeCell ref="E294:G294"/>
    <mergeCell ref="A295:C295"/>
    <mergeCell ref="E295:G295"/>
    <mergeCell ref="A296:C296"/>
    <mergeCell ref="E296:G296"/>
    <mergeCell ref="A297:C297"/>
    <mergeCell ref="E297:G297"/>
    <mergeCell ref="A1:G1"/>
    <mergeCell ref="A2:G2"/>
    <mergeCell ref="A3:G3"/>
    <mergeCell ref="E6:F6"/>
    <mergeCell ref="E8:F8"/>
    <mergeCell ref="A198:G198"/>
    <mergeCell ref="A199:G199"/>
    <mergeCell ref="A200:G200"/>
    <mergeCell ref="E203:F203"/>
    <mergeCell ref="A50:G50"/>
    <mergeCell ref="A51:G51"/>
    <mergeCell ref="A52:G52"/>
    <mergeCell ref="E55:F55"/>
    <mergeCell ref="E57:F57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9:G99"/>
    <mergeCell ref="A100:G100"/>
    <mergeCell ref="A101:G101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5:C145"/>
    <mergeCell ref="E145:G145"/>
    <mergeCell ref="A146:C146"/>
    <mergeCell ref="E146:G146"/>
    <mergeCell ref="A147:C147"/>
    <mergeCell ref="E147:G147"/>
    <mergeCell ref="E104:F104"/>
    <mergeCell ref="E106:F106"/>
    <mergeCell ref="A142:G142"/>
    <mergeCell ref="A144:C144"/>
    <mergeCell ref="E144:G144"/>
    <mergeCell ref="A192:G192"/>
    <mergeCell ref="A194:C194"/>
    <mergeCell ref="E194:G194"/>
    <mergeCell ref="A195:C195"/>
    <mergeCell ref="E195:G195"/>
    <mergeCell ref="A148:G148"/>
    <mergeCell ref="A149:G149"/>
    <mergeCell ref="A150:G150"/>
    <mergeCell ref="E153:F153"/>
    <mergeCell ref="E155:F155"/>
    <mergeCell ref="A348:G348"/>
    <mergeCell ref="A349:G349"/>
    <mergeCell ref="A350:G350"/>
    <mergeCell ref="E353:F353"/>
    <mergeCell ref="E355:F355"/>
    <mergeCell ref="A196:C196"/>
    <mergeCell ref="E196:G196"/>
    <mergeCell ref="A197:C197"/>
    <mergeCell ref="E197:G197"/>
    <mergeCell ref="E205:F205"/>
    <mergeCell ref="A242:G242"/>
    <mergeCell ref="A244:C244"/>
    <mergeCell ref="E244:G244"/>
    <mergeCell ref="A245:C245"/>
    <mergeCell ref="E245:G245"/>
    <mergeCell ref="A246:C246"/>
    <mergeCell ref="E246:G246"/>
    <mergeCell ref="A247:C247"/>
    <mergeCell ref="E247:G247"/>
    <mergeCell ref="A248:G248"/>
    <mergeCell ref="A249:G249"/>
    <mergeCell ref="A250:G250"/>
    <mergeCell ref="E253:F253"/>
    <mergeCell ref="E255:F255"/>
    <mergeCell ref="A396:C396"/>
    <mergeCell ref="E396:G396"/>
    <mergeCell ref="A397:C397"/>
    <mergeCell ref="E397:G397"/>
    <mergeCell ref="A392:G392"/>
    <mergeCell ref="A394:C394"/>
    <mergeCell ref="E394:G394"/>
    <mergeCell ref="A395:C395"/>
    <mergeCell ref="E395:G3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8A3CC4"/>
  </sheetPr>
  <dimension ref="A1:H46"/>
  <sheetViews>
    <sheetView topLeftCell="A2" zoomScale="115" zoomScaleNormal="115" workbookViewId="0">
      <selection activeCell="D37" sqref="D3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25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139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73"/>
      <c r="E45" s="868" t="s">
        <v>142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59"/>
      <c r="E46" s="904" t="s">
        <v>0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8A3CC4"/>
  </sheetPr>
  <dimension ref="A1:H46"/>
  <sheetViews>
    <sheetView topLeftCell="A20" zoomScale="115" zoomScaleNormal="115" workbookViewId="0">
      <selection activeCell="D32" sqref="D32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43</v>
      </c>
      <c r="D5" s="13"/>
      <c r="E5" s="15" t="s">
        <v>68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/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1003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126" t="s">
        <v>914</v>
      </c>
      <c r="E45" s="868" t="s">
        <v>142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125" t="s">
        <v>915</v>
      </c>
      <c r="E46" s="904" t="s">
        <v>0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8A3CC4"/>
  </sheetPr>
  <dimension ref="A1:H60"/>
  <sheetViews>
    <sheetView topLeftCell="A21" zoomScale="115" zoomScaleNormal="115" workbookViewId="0">
      <selection sqref="A1:G5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</v>
      </c>
      <c r="D5" s="13"/>
      <c r="E5" s="362" t="s">
        <v>2369</v>
      </c>
      <c r="F5" s="98"/>
      <c r="G5" s="363" t="s">
        <v>2350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2351</v>
      </c>
      <c r="E10" s="108">
        <v>20</v>
      </c>
      <c r="F10" s="128">
        <v>200</v>
      </c>
      <c r="G10" s="35">
        <f>F10*E10</f>
        <v>4000</v>
      </c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 t="s">
        <v>150</v>
      </c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4000</v>
      </c>
    </row>
    <row r="45" spans="1:7" ht="13.5" thickTop="1" x14ac:dyDescent="0.2">
      <c r="A45" s="875" t="s">
        <v>2352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8" x14ac:dyDescent="0.2">
      <c r="A49" s="910" t="s">
        <v>38</v>
      </c>
      <c r="B49" s="911"/>
      <c r="C49" s="911"/>
      <c r="D49" s="58" t="s">
        <v>899</v>
      </c>
      <c r="E49" s="868" t="s">
        <v>69</v>
      </c>
      <c r="F49" s="868"/>
      <c r="G49" s="869"/>
    </row>
    <row r="50" spans="1:8" ht="13.5" thickBot="1" x14ac:dyDescent="0.25">
      <c r="A50" s="901" t="s">
        <v>39</v>
      </c>
      <c r="B50" s="902"/>
      <c r="C50" s="902"/>
      <c r="D50" s="59" t="s">
        <v>900</v>
      </c>
      <c r="E50" s="903" t="s">
        <v>33</v>
      </c>
      <c r="F50" s="904"/>
      <c r="G50" s="905"/>
    </row>
    <row r="51" spans="1:8" x14ac:dyDescent="0.2">
      <c r="A51" s="430" t="s">
        <v>150</v>
      </c>
    </row>
    <row r="60" spans="1:8" x14ac:dyDescent="0.2">
      <c r="H60" s="1" t="s">
        <v>150</v>
      </c>
    </row>
  </sheetData>
  <mergeCells count="14">
    <mergeCell ref="A1:G1"/>
    <mergeCell ref="A2:G2"/>
    <mergeCell ref="A3:G3"/>
    <mergeCell ref="E6:F6"/>
    <mergeCell ref="E8:F8"/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8A3CC4"/>
  </sheetPr>
  <dimension ref="A1:AJ2447"/>
  <sheetViews>
    <sheetView topLeftCell="A2368" zoomScale="110" zoomScaleNormal="110" workbookViewId="0">
      <selection activeCell="D2365" sqref="D2365"/>
    </sheetView>
  </sheetViews>
  <sheetFormatPr defaultRowHeight="12.75" x14ac:dyDescent="0.2"/>
  <cols>
    <col min="1" max="1" width="6.42578125" style="2" customWidth="1"/>
    <col min="2" max="2" width="6.85546875" style="3" customWidth="1"/>
    <col min="3" max="3" width="9.5703125" style="4" customWidth="1"/>
    <col min="4" max="4" width="36.85546875" style="2" customWidth="1"/>
    <col min="5" max="5" width="9.28515625" style="3" customWidth="1"/>
    <col min="6" max="6" width="12.140625" style="5" customWidth="1"/>
    <col min="7" max="11" width="14.5703125" style="2" customWidth="1"/>
    <col min="12" max="12" width="14.85546875" style="2" customWidth="1"/>
    <col min="13" max="13" width="17.7109375" style="2" customWidth="1"/>
    <col min="14" max="14" width="16.7109375" style="2" customWidth="1"/>
    <col min="15" max="20" width="14.85546875" style="2" customWidth="1"/>
    <col min="21" max="21" width="25" style="2" customWidth="1"/>
    <col min="22" max="23" width="14.85546875" style="2" customWidth="1"/>
    <col min="24" max="24" width="11.28515625" style="1" bestFit="1" customWidth="1"/>
    <col min="25" max="25" width="11.28515625" style="1" customWidth="1"/>
    <col min="26" max="26" width="12.42578125" style="2" customWidth="1"/>
    <col min="27" max="27" width="12.85546875" style="2" bestFit="1" customWidth="1"/>
    <col min="28" max="28" width="9" style="2" customWidth="1"/>
    <col min="29" max="29" width="14.7109375" style="2" customWidth="1"/>
    <col min="30" max="30" width="27" style="2" customWidth="1"/>
    <col min="31" max="31" width="9.28515625" style="2" bestFit="1" customWidth="1"/>
    <col min="32" max="32" width="14.140625" style="2" customWidth="1"/>
    <col min="33" max="33" width="14.5703125" style="2" customWidth="1"/>
    <col min="34" max="34" width="10.28515625" style="2" bestFit="1" customWidth="1"/>
    <col min="35" max="36" width="9.140625" style="2"/>
    <col min="37" max="38" width="9.28515625" style="2" bestFit="1" customWidth="1"/>
    <col min="39" max="39" width="11.28515625" style="2" customWidth="1"/>
    <col min="40" max="16384" width="9.140625" style="2"/>
  </cols>
  <sheetData>
    <row r="1" spans="1:33" ht="16.5" x14ac:dyDescent="0.25">
      <c r="A1" s="885" t="s">
        <v>29</v>
      </c>
      <c r="B1" s="886"/>
      <c r="C1" s="886"/>
      <c r="D1" s="886"/>
      <c r="E1" s="886"/>
      <c r="F1" s="886"/>
      <c r="G1" s="88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AA1" s="885"/>
      <c r="AB1" s="886"/>
      <c r="AC1" s="886"/>
      <c r="AD1" s="886"/>
      <c r="AE1" s="886"/>
      <c r="AF1" s="886"/>
      <c r="AG1" s="887"/>
    </row>
    <row r="2" spans="1:33" x14ac:dyDescent="0.2">
      <c r="A2" s="888" t="s">
        <v>48</v>
      </c>
      <c r="B2" s="889"/>
      <c r="C2" s="889"/>
      <c r="D2" s="889"/>
      <c r="E2" s="889"/>
      <c r="F2" s="889"/>
      <c r="G2" s="890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AA2" s="888"/>
      <c r="AB2" s="889"/>
      <c r="AC2" s="889"/>
      <c r="AD2" s="889"/>
      <c r="AE2" s="889"/>
      <c r="AF2" s="889"/>
      <c r="AG2" s="890"/>
    </row>
    <row r="3" spans="1:33" x14ac:dyDescent="0.2">
      <c r="A3" s="915" t="s">
        <v>49</v>
      </c>
      <c r="B3" s="916"/>
      <c r="C3" s="916"/>
      <c r="D3" s="916"/>
      <c r="E3" s="916"/>
      <c r="F3" s="916"/>
      <c r="G3" s="91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AA3" s="915"/>
      <c r="AB3" s="916"/>
      <c r="AC3" s="916"/>
      <c r="AD3" s="916"/>
      <c r="AE3" s="916"/>
      <c r="AF3" s="916"/>
      <c r="AG3" s="917"/>
    </row>
    <row r="4" spans="1:33" x14ac:dyDescent="0.2">
      <c r="A4" s="6"/>
      <c r="B4" s="178"/>
      <c r="C4" s="8"/>
      <c r="D4" s="9"/>
      <c r="E4" s="99"/>
      <c r="F4" s="10"/>
      <c r="G4" s="11" t="s">
        <v>8</v>
      </c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AA4" s="6"/>
      <c r="AB4" s="178"/>
      <c r="AC4" s="8"/>
      <c r="AD4" s="9"/>
      <c r="AE4" s="99"/>
      <c r="AF4" s="10"/>
      <c r="AG4" s="11"/>
    </row>
    <row r="5" spans="1:33" x14ac:dyDescent="0.2">
      <c r="A5" s="12" t="s">
        <v>1</v>
      </c>
      <c r="B5" s="13"/>
      <c r="C5" s="14" t="s">
        <v>5</v>
      </c>
      <c r="D5" s="13"/>
      <c r="E5" s="362" t="s">
        <v>1029</v>
      </c>
      <c r="F5" s="60"/>
      <c r="G5" s="363" t="s">
        <v>1030</v>
      </c>
      <c r="AA5" s="12"/>
      <c r="AB5" s="13"/>
      <c r="AC5" s="14"/>
      <c r="AD5" s="13"/>
      <c r="AE5" s="15"/>
      <c r="AF5" s="60"/>
      <c r="AG5" s="16"/>
    </row>
    <row r="6" spans="1:33" x14ac:dyDescent="0.2">
      <c r="A6" s="17" t="s">
        <v>8</v>
      </c>
      <c r="B6" s="179"/>
      <c r="C6" s="19"/>
      <c r="D6" s="4"/>
      <c r="E6" s="918"/>
      <c r="F6" s="919"/>
      <c r="G6" s="20"/>
      <c r="AA6" s="17"/>
      <c r="AB6" s="179"/>
      <c r="AC6" s="19"/>
      <c r="AD6" s="4"/>
      <c r="AE6" s="918"/>
      <c r="AF6" s="919"/>
      <c r="AG6" s="20"/>
    </row>
    <row r="7" spans="1:33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  <c r="AA7" s="21"/>
      <c r="AB7" s="22"/>
      <c r="AC7" s="22"/>
      <c r="AD7" s="22"/>
      <c r="AE7" s="23"/>
      <c r="AF7" s="24"/>
      <c r="AG7" s="20"/>
    </row>
    <row r="8" spans="1:33" x14ac:dyDescent="0.2">
      <c r="A8" s="6"/>
      <c r="B8" s="178"/>
      <c r="C8" s="8"/>
      <c r="D8" s="8"/>
      <c r="E8" s="920"/>
      <c r="F8" s="921"/>
      <c r="G8" s="25"/>
      <c r="AA8" s="6"/>
      <c r="AB8" s="178"/>
      <c r="AC8" s="8"/>
      <c r="AD8" s="8"/>
      <c r="AE8" s="920"/>
      <c r="AF8" s="921"/>
      <c r="AG8" s="25"/>
    </row>
    <row r="9" spans="1:33" ht="26.25" thickBot="1" x14ac:dyDescent="0.25">
      <c r="A9" s="26" t="s">
        <v>47</v>
      </c>
      <c r="B9" s="180" t="s">
        <v>23</v>
      </c>
      <c r="C9" s="28" t="s">
        <v>34</v>
      </c>
      <c r="D9" s="110" t="s">
        <v>53</v>
      </c>
      <c r="E9" s="181" t="s">
        <v>54</v>
      </c>
      <c r="F9" s="111" t="s">
        <v>55</v>
      </c>
      <c r="G9" s="112" t="s">
        <v>35</v>
      </c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AA9" s="26"/>
      <c r="AB9" s="180"/>
      <c r="AC9" s="28"/>
      <c r="AD9" s="110"/>
      <c r="AE9" s="181"/>
      <c r="AF9" s="111"/>
      <c r="AG9" s="112"/>
    </row>
    <row r="10" spans="1:33" ht="13.5" thickTop="1" x14ac:dyDescent="0.2">
      <c r="A10" s="29">
        <v>1</v>
      </c>
      <c r="B10" s="75"/>
      <c r="C10" s="365" t="s">
        <v>242</v>
      </c>
      <c r="D10" s="366" t="s">
        <v>980</v>
      </c>
      <c r="E10" s="77">
        <v>80</v>
      </c>
      <c r="F10" s="185">
        <v>750</v>
      </c>
      <c r="G10" s="35">
        <f>F10*E10</f>
        <v>60000</v>
      </c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AA10" s="29"/>
      <c r="AB10" s="182"/>
      <c r="AC10" s="213"/>
      <c r="AD10" s="214"/>
      <c r="AE10" s="215"/>
      <c r="AF10" s="216"/>
      <c r="AG10" s="217"/>
    </row>
    <row r="11" spans="1:33" x14ac:dyDescent="0.2">
      <c r="A11" s="364" t="s">
        <v>8</v>
      </c>
      <c r="B11" s="75"/>
      <c r="C11" s="183"/>
      <c r="D11" s="366" t="s">
        <v>349</v>
      </c>
      <c r="E11" s="77"/>
      <c r="F11" s="185"/>
      <c r="G11" s="35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AA11" s="29"/>
      <c r="AB11" s="75"/>
      <c r="AC11" s="183"/>
      <c r="AD11" s="184"/>
      <c r="AE11" s="77"/>
      <c r="AF11" s="185"/>
      <c r="AG11" s="35"/>
    </row>
    <row r="12" spans="1:33" x14ac:dyDescent="0.2">
      <c r="A12" s="29"/>
      <c r="B12" s="75"/>
      <c r="C12" s="183"/>
      <c r="D12" s="184"/>
      <c r="E12" s="77"/>
      <c r="F12" s="185"/>
      <c r="G12" s="35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AA12" s="29"/>
      <c r="AB12" s="75"/>
      <c r="AC12" s="183"/>
      <c r="AD12" s="184"/>
      <c r="AE12" s="77"/>
      <c r="AF12" s="185"/>
      <c r="AG12" s="35"/>
    </row>
    <row r="13" spans="1:33" x14ac:dyDescent="0.2">
      <c r="A13" s="29"/>
      <c r="B13" s="75"/>
      <c r="C13" s="183"/>
      <c r="D13" s="184"/>
      <c r="E13" s="77"/>
      <c r="F13" s="185"/>
      <c r="G13" s="35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AA13" s="29"/>
      <c r="AB13" s="75"/>
      <c r="AC13" s="183"/>
      <c r="AD13" s="184"/>
      <c r="AE13" s="77"/>
      <c r="AF13" s="185"/>
      <c r="AG13" s="35"/>
    </row>
    <row r="14" spans="1:33" x14ac:dyDescent="0.2">
      <c r="A14" s="29"/>
      <c r="B14" s="75"/>
      <c r="C14" s="183"/>
      <c r="D14" s="184"/>
      <c r="E14" s="77"/>
      <c r="F14" s="185"/>
      <c r="G14" s="35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AA14" s="29"/>
      <c r="AB14" s="75"/>
      <c r="AC14" s="213"/>
      <c r="AD14" s="218"/>
      <c r="AE14" s="219"/>
      <c r="AF14" s="220"/>
      <c r="AG14" s="217"/>
    </row>
    <row r="15" spans="1:33" x14ac:dyDescent="0.2">
      <c r="A15" s="29"/>
      <c r="B15" s="75"/>
      <c r="C15" s="183"/>
      <c r="D15" s="184"/>
      <c r="E15" s="77"/>
      <c r="F15" s="185"/>
      <c r="G15" s="35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AA15" s="29"/>
      <c r="AB15" s="75"/>
      <c r="AC15" s="213"/>
      <c r="AD15" s="218"/>
      <c r="AE15" s="219"/>
      <c r="AF15" s="220"/>
      <c r="AG15" s="217"/>
    </row>
    <row r="16" spans="1:33" x14ac:dyDescent="0.2">
      <c r="A16" s="29"/>
      <c r="B16" s="75"/>
      <c r="C16" s="41"/>
      <c r="D16" s="184"/>
      <c r="E16" s="77"/>
      <c r="F16" s="185"/>
      <c r="G16" s="35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AA16" s="29"/>
      <c r="AB16" s="75"/>
      <c r="AC16" s="183"/>
      <c r="AD16" s="184"/>
      <c r="AE16" s="77"/>
      <c r="AF16" s="185"/>
      <c r="AG16" s="35"/>
    </row>
    <row r="17" spans="1:36" x14ac:dyDescent="0.2">
      <c r="A17" s="29"/>
      <c r="B17" s="75"/>
      <c r="C17" s="41"/>
      <c r="D17" s="184"/>
      <c r="E17" s="77"/>
      <c r="F17" s="185"/>
      <c r="G17" s="35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AA17" s="29"/>
      <c r="AB17" s="75"/>
      <c r="AC17" s="183"/>
      <c r="AD17" s="184"/>
      <c r="AE17" s="77"/>
      <c r="AF17" s="185"/>
      <c r="AG17" s="35"/>
    </row>
    <row r="18" spans="1:36" x14ac:dyDescent="0.2">
      <c r="A18" s="29"/>
      <c r="B18" s="186"/>
      <c r="C18" s="41"/>
      <c r="D18" s="184"/>
      <c r="E18" s="77"/>
      <c r="F18" s="185"/>
      <c r="G18" s="35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AA18" s="29"/>
      <c r="AB18" s="75"/>
      <c r="AC18" s="183"/>
      <c r="AD18" s="184"/>
      <c r="AE18" s="77"/>
      <c r="AF18" s="185"/>
      <c r="AG18" s="35"/>
    </row>
    <row r="19" spans="1:36" x14ac:dyDescent="0.2">
      <c r="A19" s="29"/>
      <c r="B19" s="74"/>
      <c r="C19" s="31"/>
      <c r="D19" s="184"/>
      <c r="E19" s="77"/>
      <c r="F19" s="185"/>
      <c r="G19" s="35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AA19" s="29"/>
      <c r="AB19" s="186"/>
      <c r="AC19" s="41"/>
      <c r="AD19" s="184"/>
      <c r="AE19" s="77"/>
      <c r="AF19" s="185"/>
      <c r="AG19" s="35"/>
    </row>
    <row r="20" spans="1:36" x14ac:dyDescent="0.2">
      <c r="A20" s="29"/>
      <c r="B20" s="74"/>
      <c r="C20" s="41"/>
      <c r="D20" s="187"/>
      <c r="E20" s="84"/>
      <c r="F20" s="163"/>
      <c r="G20" s="35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AA20" s="29"/>
      <c r="AB20" s="74"/>
      <c r="AC20" s="41"/>
      <c r="AD20" s="184"/>
      <c r="AE20" s="77"/>
      <c r="AF20" s="185"/>
      <c r="AG20" s="35"/>
    </row>
    <row r="21" spans="1:36" x14ac:dyDescent="0.2">
      <c r="A21" s="29"/>
      <c r="B21" s="74"/>
      <c r="C21" s="41"/>
      <c r="D21" s="187"/>
      <c r="E21" s="84"/>
      <c r="F21" s="163"/>
      <c r="G21" s="35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AA21" s="29"/>
      <c r="AB21" s="74"/>
      <c r="AC21" s="41"/>
      <c r="AD21" s="184"/>
      <c r="AE21" s="77"/>
      <c r="AF21" s="185"/>
      <c r="AG21" s="35"/>
    </row>
    <row r="22" spans="1:36" x14ac:dyDescent="0.2">
      <c r="A22" s="29"/>
      <c r="B22" s="75"/>
      <c r="C22" s="41"/>
      <c r="D22" s="187"/>
      <c r="E22" s="84"/>
      <c r="F22" s="172"/>
      <c r="G22" s="35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AA22" s="29"/>
      <c r="AB22" s="74"/>
      <c r="AC22" s="221"/>
      <c r="AD22" s="218"/>
      <c r="AE22" s="219"/>
      <c r="AF22" s="220"/>
      <c r="AG22" s="217"/>
    </row>
    <row r="23" spans="1:36" x14ac:dyDescent="0.2">
      <c r="A23" s="29"/>
      <c r="B23" s="75"/>
      <c r="C23" s="41"/>
      <c r="D23" s="187"/>
      <c r="E23" s="84"/>
      <c r="F23" s="173"/>
      <c r="G23" s="35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AA23" s="29"/>
      <c r="AB23" s="75"/>
      <c r="AC23" s="222"/>
      <c r="AD23" s="218"/>
      <c r="AE23" s="219"/>
      <c r="AF23" s="220"/>
      <c r="AG23" s="223"/>
    </row>
    <row r="24" spans="1:36" x14ac:dyDescent="0.2">
      <c r="A24" s="29"/>
      <c r="B24" s="75"/>
      <c r="C24" s="183"/>
      <c r="D24" s="187"/>
      <c r="E24" s="77"/>
      <c r="F24" s="185"/>
      <c r="G24" s="35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AA24" s="29"/>
      <c r="AB24" s="75"/>
      <c r="AC24" s="222"/>
      <c r="AD24" s="224"/>
      <c r="AE24" s="219"/>
      <c r="AF24" s="220"/>
      <c r="AG24" s="217"/>
    </row>
    <row r="25" spans="1:36" x14ac:dyDescent="0.2">
      <c r="A25" s="29"/>
      <c r="B25" s="75"/>
      <c r="C25" s="183"/>
      <c r="D25" s="187"/>
      <c r="E25" s="77"/>
      <c r="F25" s="185"/>
      <c r="G25" s="35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AA25" s="29"/>
      <c r="AB25" s="75"/>
      <c r="AC25" s="222"/>
      <c r="AD25" s="218"/>
      <c r="AE25" s="219"/>
      <c r="AF25" s="220"/>
      <c r="AG25" s="217"/>
      <c r="AJ25" s="164">
        <f>AG10+AG14+AG15+AG22+AG23+AG24+AG25+AG26+AG28+AG29+AG30+AG31+AG33+AG34+AG35+AG36</f>
        <v>0</v>
      </c>
    </row>
    <row r="26" spans="1:36" x14ac:dyDescent="0.2">
      <c r="A26" s="29"/>
      <c r="B26" s="75"/>
      <c r="C26" s="183"/>
      <c r="D26" s="184"/>
      <c r="E26" s="77"/>
      <c r="F26" s="185"/>
      <c r="G26" s="35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AA26" s="29"/>
      <c r="AB26" s="75"/>
      <c r="AC26" s="222"/>
      <c r="AD26" s="218"/>
      <c r="AE26" s="225"/>
      <c r="AF26" s="226"/>
      <c r="AG26" s="217"/>
    </row>
    <row r="27" spans="1:36" x14ac:dyDescent="0.2">
      <c r="A27" s="29"/>
      <c r="B27" s="75"/>
      <c r="C27" s="183"/>
      <c r="D27" s="184"/>
      <c r="E27" s="77"/>
      <c r="F27" s="185"/>
      <c r="G27" s="35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AA27" s="29"/>
      <c r="AB27" s="75"/>
      <c r="AC27" s="31"/>
      <c r="AD27" s="184"/>
      <c r="AE27" s="77"/>
      <c r="AF27" s="185"/>
      <c r="AG27" s="35"/>
    </row>
    <row r="28" spans="1:36" x14ac:dyDescent="0.2">
      <c r="A28" s="29"/>
      <c r="B28" s="75"/>
      <c r="C28" s="183"/>
      <c r="D28" s="184"/>
      <c r="E28" s="77"/>
      <c r="F28" s="185"/>
      <c r="G28" s="35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AA28" s="29"/>
      <c r="AB28" s="75"/>
      <c r="AC28" s="222"/>
      <c r="AD28" s="227"/>
      <c r="AE28" s="219"/>
      <c r="AF28" s="220"/>
      <c r="AG28" s="217"/>
    </row>
    <row r="29" spans="1:36" x14ac:dyDescent="0.2">
      <c r="A29" s="29"/>
      <c r="B29" s="75"/>
      <c r="C29" s="41"/>
      <c r="D29" s="184"/>
      <c r="E29" s="84"/>
      <c r="F29" s="163"/>
      <c r="G29" s="35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AA29" s="29"/>
      <c r="AB29" s="75"/>
      <c r="AC29" s="222"/>
      <c r="AD29" s="218"/>
      <c r="AE29" s="225"/>
      <c r="AF29" s="226"/>
      <c r="AG29" s="217"/>
    </row>
    <row r="30" spans="1:36" x14ac:dyDescent="0.2">
      <c r="A30" s="29"/>
      <c r="B30" s="75"/>
      <c r="C30" s="41"/>
      <c r="D30" s="184"/>
      <c r="E30" s="84"/>
      <c r="F30" s="163"/>
      <c r="G30" s="35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AA30" s="29"/>
      <c r="AB30" s="75"/>
      <c r="AC30" s="222"/>
      <c r="AD30" s="218"/>
      <c r="AE30" s="225"/>
      <c r="AF30" s="226"/>
      <c r="AG30" s="217"/>
    </row>
    <row r="31" spans="1:36" x14ac:dyDescent="0.2">
      <c r="A31" s="29"/>
      <c r="B31" s="75"/>
      <c r="C31" s="41"/>
      <c r="D31" s="187"/>
      <c r="E31" s="84"/>
      <c r="F31" s="163"/>
      <c r="G31" s="35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AA31" s="29"/>
      <c r="AB31" s="75"/>
      <c r="AC31" s="222"/>
      <c r="AD31" s="218"/>
      <c r="AE31" s="225"/>
      <c r="AF31" s="226"/>
      <c r="AG31" s="217"/>
    </row>
    <row r="32" spans="1:36" x14ac:dyDescent="0.2">
      <c r="A32" s="29"/>
      <c r="B32" s="75"/>
      <c r="C32" s="41"/>
      <c r="D32" s="187"/>
      <c r="E32" s="84"/>
      <c r="F32" s="163"/>
      <c r="G32" s="35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AA32" s="29"/>
      <c r="AB32" s="75"/>
      <c r="AC32" s="222"/>
      <c r="AD32" s="369"/>
      <c r="AE32" s="225"/>
      <c r="AF32" s="226"/>
      <c r="AG32" s="217"/>
    </row>
    <row r="33" spans="1:36" x14ac:dyDescent="0.2">
      <c r="A33" s="29"/>
      <c r="B33" s="75"/>
      <c r="C33" s="41"/>
      <c r="D33" s="187"/>
      <c r="E33" s="84"/>
      <c r="F33" s="163"/>
      <c r="G33" s="35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AA33" s="29"/>
      <c r="AB33" s="75"/>
      <c r="AC33" s="222"/>
      <c r="AD33" s="228"/>
      <c r="AE33" s="225"/>
      <c r="AF33" s="226"/>
      <c r="AG33" s="217"/>
    </row>
    <row r="34" spans="1:36" x14ac:dyDescent="0.2">
      <c r="A34" s="29"/>
      <c r="B34" s="75"/>
      <c r="C34" s="41"/>
      <c r="D34" s="187"/>
      <c r="E34" s="84"/>
      <c r="F34" s="163"/>
      <c r="G34" s="35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AA34" s="29"/>
      <c r="AB34" s="75"/>
      <c r="AC34" s="222"/>
      <c r="AD34" s="228"/>
      <c r="AE34" s="225"/>
      <c r="AF34" s="226"/>
      <c r="AG34" s="217"/>
    </row>
    <row r="35" spans="1:36" x14ac:dyDescent="0.2">
      <c r="A35" s="29"/>
      <c r="B35" s="75"/>
      <c r="C35" s="41"/>
      <c r="D35" s="187"/>
      <c r="E35" s="84"/>
      <c r="F35" s="163"/>
      <c r="G35" s="35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AA35" s="29"/>
      <c r="AB35" s="75"/>
      <c r="AC35" s="222"/>
      <c r="AD35" s="228"/>
      <c r="AE35" s="225"/>
      <c r="AF35" s="226"/>
      <c r="AG35" s="217"/>
    </row>
    <row r="36" spans="1:36" x14ac:dyDescent="0.2">
      <c r="A36" s="29"/>
      <c r="B36" s="75"/>
      <c r="C36" s="41"/>
      <c r="D36" s="187"/>
      <c r="E36" s="84"/>
      <c r="F36" s="163"/>
      <c r="G36" s="35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AA36" s="29"/>
      <c r="AB36" s="75"/>
      <c r="AC36" s="222"/>
      <c r="AD36" s="228"/>
      <c r="AE36" s="225"/>
      <c r="AF36" s="226"/>
      <c r="AG36" s="217"/>
    </row>
    <row r="37" spans="1:36" x14ac:dyDescent="0.2">
      <c r="A37" s="29"/>
      <c r="B37" s="75"/>
      <c r="C37" s="41"/>
      <c r="D37" s="187"/>
      <c r="E37" s="84"/>
      <c r="F37" s="163"/>
      <c r="G37" s="35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AA37" s="29"/>
      <c r="AB37" s="75"/>
      <c r="AC37" s="222"/>
      <c r="AD37" s="228"/>
      <c r="AE37" s="225"/>
      <c r="AF37" s="226"/>
      <c r="AG37" s="217"/>
    </row>
    <row r="38" spans="1:36" x14ac:dyDescent="0.2">
      <c r="A38" s="29"/>
      <c r="B38" s="75"/>
      <c r="C38" s="41"/>
      <c r="D38" s="187"/>
      <c r="E38" s="84"/>
      <c r="F38" s="163"/>
      <c r="G38" s="35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AA38" s="29"/>
      <c r="AB38" s="75"/>
      <c r="AC38" s="41"/>
      <c r="AD38" s="187"/>
      <c r="AE38" s="84"/>
      <c r="AF38" s="163"/>
      <c r="AG38" s="35"/>
    </row>
    <row r="39" spans="1:36" x14ac:dyDescent="0.2">
      <c r="A39" s="29"/>
      <c r="B39" s="75"/>
      <c r="C39" s="41"/>
      <c r="D39" s="187"/>
      <c r="E39" s="84"/>
      <c r="F39" s="163"/>
      <c r="G39" s="35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AA39" s="29"/>
      <c r="AB39" s="75"/>
      <c r="AC39" s="41"/>
      <c r="AD39" s="187"/>
      <c r="AE39" s="84"/>
      <c r="AF39" s="163"/>
      <c r="AG39" s="35"/>
      <c r="AJ39" s="164">
        <f>G43+AJ25</f>
        <v>60000</v>
      </c>
    </row>
    <row r="40" spans="1:36" x14ac:dyDescent="0.2">
      <c r="A40" s="29"/>
      <c r="B40" s="75"/>
      <c r="C40" s="41"/>
      <c r="D40" s="187"/>
      <c r="E40" s="84"/>
      <c r="F40" s="172"/>
      <c r="G40" s="35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AA40" s="29"/>
      <c r="AB40" s="75"/>
      <c r="AC40" s="41"/>
      <c r="AD40" s="187"/>
      <c r="AE40" s="84"/>
      <c r="AF40" s="172"/>
      <c r="AG40" s="35"/>
    </row>
    <row r="41" spans="1:36" x14ac:dyDescent="0.2">
      <c r="A41" s="29"/>
      <c r="B41" s="75"/>
      <c r="C41" s="41"/>
      <c r="D41" s="187"/>
      <c r="E41" s="84"/>
      <c r="F41" s="173"/>
      <c r="G41" s="35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AA41" s="29"/>
      <c r="AB41" s="75"/>
      <c r="AC41" s="41"/>
      <c r="AD41" s="187"/>
      <c r="AE41" s="84"/>
      <c r="AF41" s="173"/>
      <c r="AG41" s="35"/>
    </row>
    <row r="42" spans="1:36" x14ac:dyDescent="0.2">
      <c r="A42" s="29" t="s">
        <v>8</v>
      </c>
      <c r="B42" s="75"/>
      <c r="C42" s="41"/>
      <c r="D42" s="187"/>
      <c r="E42" s="84"/>
      <c r="F42" s="173"/>
      <c r="G42" s="35" t="s">
        <v>8</v>
      </c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AA42" s="29"/>
      <c r="AB42" s="75"/>
      <c r="AC42" s="41"/>
      <c r="AD42" s="187"/>
      <c r="AE42" s="84"/>
      <c r="AF42" s="173"/>
      <c r="AG42" s="35"/>
    </row>
    <row r="43" spans="1:36" ht="13.5" thickBot="1" x14ac:dyDescent="0.25">
      <c r="A43" s="45"/>
      <c r="B43" s="188"/>
      <c r="C43" s="47" t="s">
        <v>8</v>
      </c>
      <c r="D43" s="66" t="s">
        <v>8</v>
      </c>
      <c r="E43" s="188"/>
      <c r="F43" s="49" t="s">
        <v>15</v>
      </c>
      <c r="G43" s="50">
        <f>SUM(G10:G42)</f>
        <v>60000</v>
      </c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AA43" s="45"/>
      <c r="AB43" s="188"/>
      <c r="AC43" s="47"/>
      <c r="AD43" s="66"/>
      <c r="AE43" s="188"/>
      <c r="AF43" s="49"/>
      <c r="AG43" s="50"/>
    </row>
    <row r="44" spans="1:36" ht="13.5" thickTop="1" x14ac:dyDescent="0.2">
      <c r="A44" s="367" t="s">
        <v>1722</v>
      </c>
      <c r="B44" s="190"/>
      <c r="C44" s="191"/>
      <c r="D44" s="192"/>
      <c r="E44" s="190"/>
      <c r="F44" s="193"/>
      <c r="G44" s="194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AA44" s="189"/>
      <c r="AB44" s="190"/>
      <c r="AC44" s="191"/>
      <c r="AD44" s="192"/>
      <c r="AE44" s="190"/>
      <c r="AF44" s="193"/>
      <c r="AG44" s="194"/>
    </row>
    <row r="45" spans="1:36" ht="13.5" thickBot="1" x14ac:dyDescent="0.25">
      <c r="A45" s="195" t="s">
        <v>159</v>
      </c>
      <c r="B45" s="196"/>
      <c r="C45" s="368" t="s">
        <v>1723</v>
      </c>
      <c r="D45" s="196"/>
      <c r="E45" s="197"/>
      <c r="F45" s="198"/>
      <c r="G45" s="199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AA45" s="195"/>
      <c r="AB45" s="196"/>
      <c r="AC45" s="196"/>
      <c r="AD45" s="196"/>
      <c r="AE45" s="197"/>
      <c r="AF45" s="198"/>
      <c r="AG45" s="199"/>
    </row>
    <row r="46" spans="1:36" ht="13.5" thickTop="1" x14ac:dyDescent="0.2">
      <c r="A46" s="906" t="s">
        <v>8</v>
      </c>
      <c r="B46" s="907"/>
      <c r="C46" s="907"/>
      <c r="D46" s="57" t="s">
        <v>11</v>
      </c>
      <c r="E46" s="908" t="s">
        <v>12</v>
      </c>
      <c r="F46" s="908"/>
      <c r="G46" s="90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AA46" s="906"/>
      <c r="AB46" s="907"/>
      <c r="AC46" s="907"/>
      <c r="AD46" s="57"/>
      <c r="AE46" s="908"/>
      <c r="AF46" s="908"/>
      <c r="AG46" s="909"/>
    </row>
    <row r="47" spans="1:36" x14ac:dyDescent="0.2">
      <c r="A47" s="966" t="s">
        <v>17</v>
      </c>
      <c r="B47" s="967"/>
      <c r="C47" s="968"/>
      <c r="D47" s="39"/>
      <c r="E47" s="912"/>
      <c r="F47" s="913"/>
      <c r="G47" s="914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AA47" s="966"/>
      <c r="AB47" s="967"/>
      <c r="AC47" s="968"/>
      <c r="AD47" s="39"/>
      <c r="AE47" s="912"/>
      <c r="AF47" s="913"/>
      <c r="AG47" s="914"/>
    </row>
    <row r="48" spans="1:36" x14ac:dyDescent="0.2">
      <c r="A48" s="966" t="s">
        <v>38</v>
      </c>
      <c r="B48" s="967"/>
      <c r="C48" s="968"/>
      <c r="D48" s="58" t="s">
        <v>308</v>
      </c>
      <c r="E48" s="969" t="s">
        <v>142</v>
      </c>
      <c r="F48" s="868"/>
      <c r="G48" s="86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A48" s="966"/>
      <c r="AB48" s="967"/>
      <c r="AC48" s="968"/>
      <c r="AD48" s="58"/>
      <c r="AE48" s="969"/>
      <c r="AF48" s="868"/>
      <c r="AG48" s="869"/>
    </row>
    <row r="49" spans="1:33" ht="13.5" thickBot="1" x14ac:dyDescent="0.25">
      <c r="A49" s="970" t="s">
        <v>39</v>
      </c>
      <c r="B49" s="971"/>
      <c r="C49" s="972"/>
      <c r="D49" s="375" t="s">
        <v>1038</v>
      </c>
      <c r="E49" s="904" t="s">
        <v>0</v>
      </c>
      <c r="F49" s="904"/>
      <c r="G49" s="90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AA49" s="970"/>
      <c r="AB49" s="971"/>
      <c r="AC49" s="972"/>
      <c r="AD49" s="59"/>
      <c r="AE49" s="904"/>
      <c r="AF49" s="904"/>
      <c r="AG49" s="905"/>
    </row>
    <row r="50" spans="1:33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33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33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33" x14ac:dyDescent="0.2">
      <c r="A53" s="6"/>
      <c r="B53" s="178"/>
      <c r="C53" s="8"/>
      <c r="D53" s="9"/>
      <c r="E53" s="99"/>
      <c r="F53" s="10"/>
      <c r="G53" s="11" t="s">
        <v>8</v>
      </c>
    </row>
    <row r="54" spans="1:33" x14ac:dyDescent="0.2">
      <c r="A54" s="12" t="s">
        <v>1</v>
      </c>
      <c r="B54" s="13"/>
      <c r="C54" s="14" t="s">
        <v>5</v>
      </c>
      <c r="D54" s="13"/>
      <c r="E54" s="362" t="s">
        <v>1031</v>
      </c>
      <c r="F54" s="60"/>
      <c r="G54" s="363" t="s">
        <v>1030</v>
      </c>
    </row>
    <row r="55" spans="1:33" x14ac:dyDescent="0.2">
      <c r="A55" s="17" t="s">
        <v>8</v>
      </c>
      <c r="B55" s="179"/>
      <c r="C55" s="19"/>
      <c r="D55" s="4"/>
      <c r="E55" s="918"/>
      <c r="F55" s="919"/>
      <c r="G55" s="20"/>
    </row>
    <row r="56" spans="1:33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33" x14ac:dyDescent="0.2">
      <c r="A57" s="6"/>
      <c r="B57" s="178"/>
      <c r="C57" s="8"/>
      <c r="D57" s="8"/>
      <c r="E57" s="920"/>
      <c r="F57" s="921"/>
      <c r="G57" s="25"/>
    </row>
    <row r="58" spans="1:33" ht="26.25" thickBot="1" x14ac:dyDescent="0.25">
      <c r="A58" s="26" t="s">
        <v>47</v>
      </c>
      <c r="B58" s="180" t="s">
        <v>23</v>
      </c>
      <c r="C58" s="28" t="s">
        <v>34</v>
      </c>
      <c r="D58" s="110" t="s">
        <v>53</v>
      </c>
      <c r="E58" s="181" t="s">
        <v>54</v>
      </c>
      <c r="F58" s="111" t="s">
        <v>55</v>
      </c>
      <c r="G58" s="112" t="s">
        <v>35</v>
      </c>
    </row>
    <row r="59" spans="1:33" ht="13.5" thickTop="1" x14ac:dyDescent="0.2">
      <c r="A59" s="29">
        <v>1</v>
      </c>
      <c r="B59" s="75"/>
      <c r="C59" s="365" t="s">
        <v>242</v>
      </c>
      <c r="D59" s="366" t="s">
        <v>980</v>
      </c>
      <c r="E59" s="77">
        <v>100</v>
      </c>
      <c r="F59" s="185">
        <v>600</v>
      </c>
      <c r="G59" s="35">
        <f>F59*E59</f>
        <v>60000</v>
      </c>
    </row>
    <row r="60" spans="1:33" x14ac:dyDescent="0.2">
      <c r="A60" s="364" t="s">
        <v>8</v>
      </c>
      <c r="B60" s="75"/>
      <c r="C60" s="183"/>
      <c r="D60" s="366" t="s">
        <v>349</v>
      </c>
      <c r="E60" s="77"/>
      <c r="F60" s="185"/>
      <c r="G60" s="35"/>
    </row>
    <row r="61" spans="1:33" x14ac:dyDescent="0.2">
      <c r="A61" s="29">
        <v>2</v>
      </c>
      <c r="B61" s="75"/>
      <c r="C61" s="365" t="s">
        <v>242</v>
      </c>
      <c r="D61" s="366" t="s">
        <v>1026</v>
      </c>
      <c r="E61" s="77">
        <v>100</v>
      </c>
      <c r="F61" s="185">
        <v>250</v>
      </c>
      <c r="G61" s="35">
        <f>F61*E61</f>
        <v>25000</v>
      </c>
    </row>
    <row r="62" spans="1:33" x14ac:dyDescent="0.2">
      <c r="A62" s="29"/>
      <c r="B62" s="75"/>
      <c r="C62" s="183"/>
      <c r="D62" s="366" t="s">
        <v>1027</v>
      </c>
      <c r="E62" s="77"/>
      <c r="F62" s="185"/>
      <c r="G62" s="35"/>
    </row>
    <row r="63" spans="1:33" x14ac:dyDescent="0.2">
      <c r="A63" s="29"/>
      <c r="B63" s="75"/>
      <c r="C63" s="183"/>
      <c r="D63" s="184"/>
      <c r="E63" s="77"/>
      <c r="F63" s="185"/>
      <c r="G63" s="35"/>
    </row>
    <row r="64" spans="1:33" x14ac:dyDescent="0.2">
      <c r="A64" s="29"/>
      <c r="B64" s="75"/>
      <c r="C64" s="183"/>
      <c r="D64" s="184"/>
      <c r="E64" s="77"/>
      <c r="F64" s="185"/>
      <c r="G64" s="35"/>
    </row>
    <row r="65" spans="1:7" x14ac:dyDescent="0.2">
      <c r="A65" s="29"/>
      <c r="B65" s="75"/>
      <c r="C65" s="41"/>
      <c r="D65" s="184"/>
      <c r="E65" s="77"/>
      <c r="F65" s="185"/>
      <c r="G65" s="35"/>
    </row>
    <row r="66" spans="1:7" x14ac:dyDescent="0.2">
      <c r="A66" s="29"/>
      <c r="B66" s="75"/>
      <c r="C66" s="41"/>
      <c r="D66" s="184"/>
      <c r="E66" s="77"/>
      <c r="F66" s="185"/>
      <c r="G66" s="35"/>
    </row>
    <row r="67" spans="1:7" x14ac:dyDescent="0.2">
      <c r="A67" s="29"/>
      <c r="B67" s="186"/>
      <c r="C67" s="41"/>
      <c r="D67" s="184"/>
      <c r="E67" s="77"/>
      <c r="F67" s="185"/>
      <c r="G67" s="35"/>
    </row>
    <row r="68" spans="1:7" x14ac:dyDescent="0.2">
      <c r="A68" s="29"/>
      <c r="B68" s="74"/>
      <c r="C68" s="31"/>
      <c r="D68" s="184"/>
      <c r="E68" s="77"/>
      <c r="F68" s="185"/>
      <c r="G68" s="35"/>
    </row>
    <row r="69" spans="1:7" x14ac:dyDescent="0.2">
      <c r="A69" s="29"/>
      <c r="B69" s="74"/>
      <c r="C69" s="41"/>
      <c r="D69" s="187"/>
      <c r="E69" s="84"/>
      <c r="F69" s="163"/>
      <c r="G69" s="35"/>
    </row>
    <row r="70" spans="1:7" x14ac:dyDescent="0.2">
      <c r="A70" s="29"/>
      <c r="B70" s="74"/>
      <c r="C70" s="41"/>
      <c r="D70" s="187"/>
      <c r="E70" s="84"/>
      <c r="F70" s="163"/>
      <c r="G70" s="35"/>
    </row>
    <row r="71" spans="1:7" x14ac:dyDescent="0.2">
      <c r="A71" s="29"/>
      <c r="B71" s="75"/>
      <c r="C71" s="41"/>
      <c r="D71" s="187"/>
      <c r="E71" s="84"/>
      <c r="F71" s="172"/>
      <c r="G71" s="35"/>
    </row>
    <row r="72" spans="1:7" x14ac:dyDescent="0.2">
      <c r="A72" s="29"/>
      <c r="B72" s="75"/>
      <c r="C72" s="41"/>
      <c r="D72" s="187"/>
      <c r="E72" s="84"/>
      <c r="F72" s="173"/>
      <c r="G72" s="35"/>
    </row>
    <row r="73" spans="1:7" x14ac:dyDescent="0.2">
      <c r="A73" s="29"/>
      <c r="B73" s="75"/>
      <c r="C73" s="183"/>
      <c r="D73" s="187"/>
      <c r="E73" s="77"/>
      <c r="F73" s="185"/>
      <c r="G73" s="35"/>
    </row>
    <row r="74" spans="1:7" x14ac:dyDescent="0.2">
      <c r="A74" s="29"/>
      <c r="B74" s="75"/>
      <c r="C74" s="183"/>
      <c r="D74" s="187"/>
      <c r="E74" s="77"/>
      <c r="F74" s="185"/>
      <c r="G74" s="35"/>
    </row>
    <row r="75" spans="1:7" x14ac:dyDescent="0.2">
      <c r="A75" s="29"/>
      <c r="B75" s="75"/>
      <c r="C75" s="183"/>
      <c r="D75" s="184"/>
      <c r="E75" s="77"/>
      <c r="F75" s="185"/>
      <c r="G75" s="35"/>
    </row>
    <row r="76" spans="1:7" x14ac:dyDescent="0.2">
      <c r="A76" s="29"/>
      <c r="B76" s="75"/>
      <c r="C76" s="183"/>
      <c r="D76" s="184"/>
      <c r="E76" s="77"/>
      <c r="F76" s="185"/>
      <c r="G76" s="35"/>
    </row>
    <row r="77" spans="1:7" x14ac:dyDescent="0.2">
      <c r="A77" s="29"/>
      <c r="B77" s="75"/>
      <c r="C77" s="183"/>
      <c r="D77" s="184"/>
      <c r="E77" s="77"/>
      <c r="F77" s="185"/>
      <c r="G77" s="35"/>
    </row>
    <row r="78" spans="1:7" x14ac:dyDescent="0.2">
      <c r="A78" s="29"/>
      <c r="B78" s="75"/>
      <c r="C78" s="41"/>
      <c r="D78" s="184"/>
      <c r="E78" s="84"/>
      <c r="F78" s="163"/>
      <c r="G78" s="35"/>
    </row>
    <row r="79" spans="1:7" x14ac:dyDescent="0.2">
      <c r="A79" s="29"/>
      <c r="B79" s="75"/>
      <c r="C79" s="41"/>
      <c r="D79" s="184"/>
      <c r="E79" s="84"/>
      <c r="F79" s="163"/>
      <c r="G79" s="35"/>
    </row>
    <row r="80" spans="1:7" x14ac:dyDescent="0.2">
      <c r="A80" s="29"/>
      <c r="B80" s="75"/>
      <c r="C80" s="41"/>
      <c r="D80" s="187"/>
      <c r="E80" s="84"/>
      <c r="F80" s="163"/>
      <c r="G80" s="35"/>
    </row>
    <row r="81" spans="1:7" x14ac:dyDescent="0.2">
      <c r="A81" s="29"/>
      <c r="B81" s="75"/>
      <c r="C81" s="41"/>
      <c r="D81" s="187"/>
      <c r="E81" s="84"/>
      <c r="F81" s="163"/>
      <c r="G81" s="35"/>
    </row>
    <row r="82" spans="1:7" x14ac:dyDescent="0.2">
      <c r="A82" s="29"/>
      <c r="B82" s="75"/>
      <c r="C82" s="41"/>
      <c r="D82" s="187"/>
      <c r="E82" s="84"/>
      <c r="F82" s="163"/>
      <c r="G82" s="35"/>
    </row>
    <row r="83" spans="1:7" x14ac:dyDescent="0.2">
      <c r="A83" s="29"/>
      <c r="B83" s="75"/>
      <c r="C83" s="41"/>
      <c r="D83" s="187"/>
      <c r="E83" s="84"/>
      <c r="F83" s="163"/>
      <c r="G83" s="35"/>
    </row>
    <row r="84" spans="1:7" x14ac:dyDescent="0.2">
      <c r="A84" s="29"/>
      <c r="B84" s="75"/>
      <c r="C84" s="41"/>
      <c r="D84" s="187"/>
      <c r="E84" s="84"/>
      <c r="F84" s="163"/>
      <c r="G84" s="35"/>
    </row>
    <row r="85" spans="1:7" x14ac:dyDescent="0.2">
      <c r="A85" s="29"/>
      <c r="B85" s="75"/>
      <c r="C85" s="41"/>
      <c r="D85" s="187"/>
      <c r="E85" s="84"/>
      <c r="F85" s="163"/>
      <c r="G85" s="35"/>
    </row>
    <row r="86" spans="1:7" x14ac:dyDescent="0.2">
      <c r="A86" s="29"/>
      <c r="B86" s="75"/>
      <c r="C86" s="41"/>
      <c r="D86" s="187"/>
      <c r="E86" s="84"/>
      <c r="F86" s="163"/>
      <c r="G86" s="35"/>
    </row>
    <row r="87" spans="1:7" x14ac:dyDescent="0.2">
      <c r="A87" s="29"/>
      <c r="B87" s="75"/>
      <c r="C87" s="41"/>
      <c r="D87" s="187"/>
      <c r="E87" s="84"/>
      <c r="F87" s="163"/>
      <c r="G87" s="35"/>
    </row>
    <row r="88" spans="1:7" x14ac:dyDescent="0.2">
      <c r="A88" s="29"/>
      <c r="B88" s="75"/>
      <c r="C88" s="41"/>
      <c r="D88" s="187"/>
      <c r="E88" s="84"/>
      <c r="F88" s="163"/>
      <c r="G88" s="35"/>
    </row>
    <row r="89" spans="1:7" x14ac:dyDescent="0.2">
      <c r="A89" s="29"/>
      <c r="B89" s="75"/>
      <c r="C89" s="41"/>
      <c r="D89" s="187"/>
      <c r="E89" s="84"/>
      <c r="F89" s="172"/>
      <c r="G89" s="35"/>
    </row>
    <row r="90" spans="1:7" x14ac:dyDescent="0.2">
      <c r="A90" s="29"/>
      <c r="B90" s="75"/>
      <c r="C90" s="41"/>
      <c r="D90" s="187"/>
      <c r="E90" s="84"/>
      <c r="F90" s="173"/>
      <c r="G90" s="35"/>
    </row>
    <row r="91" spans="1:7" x14ac:dyDescent="0.2">
      <c r="A91" s="29" t="s">
        <v>8</v>
      </c>
      <c r="B91" s="75"/>
      <c r="C91" s="41"/>
      <c r="D91" s="187"/>
      <c r="E91" s="84"/>
      <c r="F91" s="173"/>
      <c r="G91" s="35" t="s">
        <v>8</v>
      </c>
    </row>
    <row r="92" spans="1:7" ht="13.5" thickBot="1" x14ac:dyDescent="0.25">
      <c r="A92" s="45"/>
      <c r="B92" s="188"/>
      <c r="C92" s="47" t="s">
        <v>8</v>
      </c>
      <c r="D92" s="66" t="s">
        <v>8</v>
      </c>
      <c r="E92" s="188"/>
      <c r="F92" s="49" t="s">
        <v>15</v>
      </c>
      <c r="G92" s="50">
        <f>SUM(G59:G91)</f>
        <v>85000</v>
      </c>
    </row>
    <row r="93" spans="1:7" ht="13.5" thickTop="1" x14ac:dyDescent="0.2">
      <c r="A93" s="367" t="s">
        <v>1720</v>
      </c>
      <c r="B93" s="190"/>
      <c r="C93" s="191"/>
      <c r="D93" s="192"/>
      <c r="E93" s="190"/>
      <c r="F93" s="193"/>
      <c r="G93" s="194"/>
    </row>
    <row r="94" spans="1:7" ht="13.5" thickBot="1" x14ac:dyDescent="0.25">
      <c r="A94" s="195" t="s">
        <v>159</v>
      </c>
      <c r="B94" s="196"/>
      <c r="C94" s="368" t="s">
        <v>1721</v>
      </c>
      <c r="D94" s="196"/>
      <c r="E94" s="197"/>
      <c r="F94" s="198"/>
      <c r="G94" s="199"/>
    </row>
    <row r="95" spans="1:7" ht="13.5" thickTop="1" x14ac:dyDescent="0.2">
      <c r="A95" s="906" t="s">
        <v>8</v>
      </c>
      <c r="B95" s="907"/>
      <c r="C95" s="907"/>
      <c r="D95" s="57" t="s">
        <v>11</v>
      </c>
      <c r="E95" s="908" t="s">
        <v>12</v>
      </c>
      <c r="F95" s="908"/>
      <c r="G95" s="909"/>
    </row>
    <row r="96" spans="1:7" x14ac:dyDescent="0.2">
      <c r="A96" s="966" t="s">
        <v>17</v>
      </c>
      <c r="B96" s="967"/>
      <c r="C96" s="968"/>
      <c r="D96" s="39"/>
      <c r="E96" s="912"/>
      <c r="F96" s="913"/>
      <c r="G96" s="914"/>
    </row>
    <row r="97" spans="1:17" x14ac:dyDescent="0.2">
      <c r="A97" s="966" t="s">
        <v>38</v>
      </c>
      <c r="B97" s="967"/>
      <c r="C97" s="968"/>
      <c r="D97" s="58" t="s">
        <v>308</v>
      </c>
      <c r="E97" s="969" t="s">
        <v>142</v>
      </c>
      <c r="F97" s="868"/>
      <c r="G97" s="869"/>
    </row>
    <row r="98" spans="1:17" ht="13.5" thickBot="1" x14ac:dyDescent="0.25">
      <c r="A98" s="970" t="s">
        <v>39</v>
      </c>
      <c r="B98" s="971"/>
      <c r="C98" s="972"/>
      <c r="D98" s="375" t="s">
        <v>1038</v>
      </c>
      <c r="E98" s="904" t="s">
        <v>0</v>
      </c>
      <c r="F98" s="904"/>
      <c r="G98" s="905"/>
    </row>
    <row r="99" spans="1:1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1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1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17" x14ac:dyDescent="0.2">
      <c r="A102" s="6"/>
      <c r="B102" s="178"/>
      <c r="C102" s="8"/>
      <c r="D102" s="9"/>
      <c r="E102" s="99"/>
      <c r="F102" s="10"/>
      <c r="G102" s="11" t="s">
        <v>8</v>
      </c>
    </row>
    <row r="103" spans="1:17" x14ac:dyDescent="0.2">
      <c r="A103" s="12" t="s">
        <v>1</v>
      </c>
      <c r="B103" s="13"/>
      <c r="C103" s="14" t="s">
        <v>5</v>
      </c>
      <c r="D103" s="13"/>
      <c r="E103" s="362" t="s">
        <v>1033</v>
      </c>
      <c r="F103" s="60"/>
      <c r="G103" s="363" t="s">
        <v>1032</v>
      </c>
    </row>
    <row r="104" spans="1:17" x14ac:dyDescent="0.2">
      <c r="A104" s="17" t="s">
        <v>8</v>
      </c>
      <c r="B104" s="179"/>
      <c r="C104" s="19"/>
      <c r="D104" s="4"/>
      <c r="E104" s="918"/>
      <c r="F104" s="919"/>
      <c r="G104" s="20"/>
    </row>
    <row r="105" spans="1:1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17" x14ac:dyDescent="0.2">
      <c r="A106" s="6"/>
      <c r="B106" s="178"/>
      <c r="C106" s="8"/>
      <c r="D106" s="8"/>
      <c r="E106" s="920"/>
      <c r="F106" s="921"/>
      <c r="G106" s="25"/>
    </row>
    <row r="107" spans="1:17" ht="26.25" thickBot="1" x14ac:dyDescent="0.25">
      <c r="A107" s="26" t="s">
        <v>47</v>
      </c>
      <c r="B107" s="180" t="s">
        <v>23</v>
      </c>
      <c r="C107" s="28" t="s">
        <v>34</v>
      </c>
      <c r="D107" s="110" t="s">
        <v>53</v>
      </c>
      <c r="E107" s="181" t="s">
        <v>54</v>
      </c>
      <c r="F107" s="111" t="s">
        <v>55</v>
      </c>
      <c r="G107" s="112" t="s">
        <v>35</v>
      </c>
    </row>
    <row r="108" spans="1:17" ht="13.5" thickTop="1" x14ac:dyDescent="0.2">
      <c r="A108" s="29">
        <v>1</v>
      </c>
      <c r="B108" s="75"/>
      <c r="C108" s="365" t="s">
        <v>149</v>
      </c>
      <c r="D108" s="366" t="s">
        <v>1028</v>
      </c>
      <c r="E108" s="77">
        <v>100</v>
      </c>
      <c r="F108" s="185">
        <v>250</v>
      </c>
      <c r="G108" s="35">
        <f>F108*E108</f>
        <v>25000</v>
      </c>
    </row>
    <row r="109" spans="1:17" x14ac:dyDescent="0.2">
      <c r="A109" s="364" t="s">
        <v>8</v>
      </c>
      <c r="B109" s="75"/>
      <c r="C109" s="183"/>
      <c r="D109" s="366" t="s">
        <v>886</v>
      </c>
      <c r="E109" s="77"/>
      <c r="F109" s="185"/>
      <c r="G109" s="35"/>
    </row>
    <row r="110" spans="1:17" x14ac:dyDescent="0.2">
      <c r="A110" s="29"/>
      <c r="B110" s="75"/>
      <c r="C110" s="365"/>
      <c r="D110" s="366"/>
      <c r="E110" s="77"/>
      <c r="F110" s="185"/>
      <c r="G110" s="35"/>
      <c r="K110" s="29">
        <v>2</v>
      </c>
      <c r="L110" s="75"/>
      <c r="M110" s="365" t="s">
        <v>242</v>
      </c>
      <c r="N110" s="366" t="s">
        <v>980</v>
      </c>
      <c r="O110" s="77">
        <v>100</v>
      </c>
      <c r="P110" s="185">
        <v>750</v>
      </c>
      <c r="Q110" s="35">
        <f>P110*O110</f>
        <v>75000</v>
      </c>
    </row>
    <row r="111" spans="1:17" x14ac:dyDescent="0.2">
      <c r="A111" s="29"/>
      <c r="B111" s="75"/>
      <c r="C111" s="183"/>
      <c r="D111" s="366"/>
      <c r="E111" s="77"/>
      <c r="F111" s="185"/>
      <c r="G111" s="35"/>
      <c r="K111" s="29"/>
      <c r="L111" s="75"/>
      <c r="M111" s="183"/>
      <c r="N111" s="366" t="s">
        <v>349</v>
      </c>
      <c r="O111" s="77"/>
      <c r="P111" s="185"/>
      <c r="Q111" s="35"/>
    </row>
    <row r="112" spans="1:17" x14ac:dyDescent="0.2">
      <c r="A112" s="29"/>
      <c r="B112" s="75"/>
      <c r="C112" s="183"/>
      <c r="D112" s="184"/>
      <c r="E112" s="77"/>
      <c r="F112" s="185"/>
      <c r="G112" s="35"/>
    </row>
    <row r="113" spans="1:7" x14ac:dyDescent="0.2">
      <c r="A113" s="29"/>
      <c r="B113" s="75"/>
      <c r="C113" s="183"/>
      <c r="D113" s="184"/>
      <c r="E113" s="77"/>
      <c r="F113" s="185"/>
      <c r="G113" s="35"/>
    </row>
    <row r="114" spans="1:7" x14ac:dyDescent="0.2">
      <c r="A114" s="29"/>
      <c r="B114" s="75"/>
      <c r="C114" s="41"/>
      <c r="D114" s="184"/>
      <c r="E114" s="77"/>
      <c r="F114" s="185"/>
      <c r="G114" s="35"/>
    </row>
    <row r="115" spans="1:7" x14ac:dyDescent="0.2">
      <c r="A115" s="29"/>
      <c r="B115" s="75"/>
      <c r="C115" s="41"/>
      <c r="D115" s="184"/>
      <c r="E115" s="77"/>
      <c r="F115" s="185"/>
      <c r="G115" s="35"/>
    </row>
    <row r="116" spans="1:7" x14ac:dyDescent="0.2">
      <c r="A116" s="29"/>
      <c r="B116" s="186"/>
      <c r="C116" s="41"/>
      <c r="D116" s="184"/>
      <c r="E116" s="77"/>
      <c r="F116" s="185"/>
      <c r="G116" s="35"/>
    </row>
    <row r="117" spans="1:7" x14ac:dyDescent="0.2">
      <c r="A117" s="29"/>
      <c r="B117" s="74"/>
      <c r="C117" s="31"/>
      <c r="D117" s="184"/>
      <c r="E117" s="77"/>
      <c r="F117" s="185"/>
      <c r="G117" s="35"/>
    </row>
    <row r="118" spans="1:7" x14ac:dyDescent="0.2">
      <c r="A118" s="29"/>
      <c r="B118" s="74"/>
      <c r="C118" s="41"/>
      <c r="D118" s="187"/>
      <c r="E118" s="84"/>
      <c r="F118" s="163"/>
      <c r="G118" s="35"/>
    </row>
    <row r="119" spans="1:7" x14ac:dyDescent="0.2">
      <c r="A119" s="29"/>
      <c r="B119" s="74"/>
      <c r="C119" s="41"/>
      <c r="D119" s="187"/>
      <c r="E119" s="84"/>
      <c r="F119" s="163"/>
      <c r="G119" s="35"/>
    </row>
    <row r="120" spans="1:7" x14ac:dyDescent="0.2">
      <c r="A120" s="29"/>
      <c r="B120" s="75"/>
      <c r="C120" s="41"/>
      <c r="D120" s="187"/>
      <c r="E120" s="84"/>
      <c r="F120" s="172"/>
      <c r="G120" s="35"/>
    </row>
    <row r="121" spans="1:7" x14ac:dyDescent="0.2">
      <c r="A121" s="29"/>
      <c r="B121" s="75"/>
      <c r="C121" s="41"/>
      <c r="D121" s="187"/>
      <c r="E121" s="84"/>
      <c r="F121" s="173"/>
      <c r="G121" s="35"/>
    </row>
    <row r="122" spans="1:7" x14ac:dyDescent="0.2">
      <c r="A122" s="29"/>
      <c r="B122" s="75"/>
      <c r="C122" s="183"/>
      <c r="D122" s="187"/>
      <c r="E122" s="77"/>
      <c r="F122" s="185"/>
      <c r="G122" s="35"/>
    </row>
    <row r="123" spans="1:7" x14ac:dyDescent="0.2">
      <c r="A123" s="29"/>
      <c r="B123" s="75"/>
      <c r="C123" s="183"/>
      <c r="D123" s="187"/>
      <c r="E123" s="77"/>
      <c r="F123" s="185"/>
      <c r="G123" s="35"/>
    </row>
    <row r="124" spans="1:7" x14ac:dyDescent="0.2">
      <c r="A124" s="29"/>
      <c r="B124" s="75"/>
      <c r="C124" s="183"/>
      <c r="D124" s="184"/>
      <c r="E124" s="77"/>
      <c r="F124" s="185"/>
      <c r="G124" s="35"/>
    </row>
    <row r="125" spans="1:7" x14ac:dyDescent="0.2">
      <c r="A125" s="29"/>
      <c r="B125" s="75"/>
      <c r="C125" s="183"/>
      <c r="D125" s="184"/>
      <c r="E125" s="77"/>
      <c r="F125" s="185"/>
      <c r="G125" s="35"/>
    </row>
    <row r="126" spans="1:7" x14ac:dyDescent="0.2">
      <c r="A126" s="29"/>
      <c r="B126" s="75"/>
      <c r="C126" s="183"/>
      <c r="D126" s="184"/>
      <c r="E126" s="77"/>
      <c r="F126" s="185"/>
      <c r="G126" s="35"/>
    </row>
    <row r="127" spans="1:7" x14ac:dyDescent="0.2">
      <c r="A127" s="29"/>
      <c r="B127" s="75"/>
      <c r="C127" s="41"/>
      <c r="D127" s="184"/>
      <c r="E127" s="84"/>
      <c r="F127" s="163"/>
      <c r="G127" s="35"/>
    </row>
    <row r="128" spans="1:7" x14ac:dyDescent="0.2">
      <c r="A128" s="29"/>
      <c r="B128" s="75"/>
      <c r="C128" s="41"/>
      <c r="D128" s="184"/>
      <c r="E128" s="84"/>
      <c r="F128" s="163"/>
      <c r="G128" s="35"/>
    </row>
    <row r="129" spans="1:7" x14ac:dyDescent="0.2">
      <c r="A129" s="29"/>
      <c r="B129" s="75"/>
      <c r="C129" s="41"/>
      <c r="D129" s="187"/>
      <c r="E129" s="84"/>
      <c r="F129" s="163"/>
      <c r="G129" s="35"/>
    </row>
    <row r="130" spans="1:7" x14ac:dyDescent="0.2">
      <c r="A130" s="29"/>
      <c r="B130" s="75"/>
      <c r="C130" s="41"/>
      <c r="D130" s="187"/>
      <c r="E130" s="84"/>
      <c r="F130" s="163"/>
      <c r="G130" s="35"/>
    </row>
    <row r="131" spans="1:7" x14ac:dyDescent="0.2">
      <c r="A131" s="29"/>
      <c r="B131" s="75"/>
      <c r="C131" s="41"/>
      <c r="D131" s="187"/>
      <c r="E131" s="84"/>
      <c r="F131" s="163"/>
      <c r="G131" s="35"/>
    </row>
    <row r="132" spans="1:7" x14ac:dyDescent="0.2">
      <c r="A132" s="29"/>
      <c r="B132" s="75"/>
      <c r="C132" s="41"/>
      <c r="D132" s="187"/>
      <c r="E132" s="84"/>
      <c r="F132" s="163"/>
      <c r="G132" s="35"/>
    </row>
    <row r="133" spans="1:7" x14ac:dyDescent="0.2">
      <c r="A133" s="29"/>
      <c r="B133" s="75"/>
      <c r="C133" s="41"/>
      <c r="D133" s="187"/>
      <c r="E133" s="84"/>
      <c r="F133" s="163"/>
      <c r="G133" s="35"/>
    </row>
    <row r="134" spans="1:7" x14ac:dyDescent="0.2">
      <c r="A134" s="29"/>
      <c r="B134" s="75"/>
      <c r="C134" s="41"/>
      <c r="D134" s="187"/>
      <c r="E134" s="84"/>
      <c r="F134" s="163"/>
      <c r="G134" s="35"/>
    </row>
    <row r="135" spans="1:7" x14ac:dyDescent="0.2">
      <c r="A135" s="29"/>
      <c r="B135" s="75"/>
      <c r="C135" s="41"/>
      <c r="D135" s="187"/>
      <c r="E135" s="84"/>
      <c r="F135" s="163"/>
      <c r="G135" s="35"/>
    </row>
    <row r="136" spans="1:7" x14ac:dyDescent="0.2">
      <c r="A136" s="29"/>
      <c r="B136" s="75"/>
      <c r="C136" s="41"/>
      <c r="D136" s="187"/>
      <c r="E136" s="84"/>
      <c r="F136" s="163"/>
      <c r="G136" s="35"/>
    </row>
    <row r="137" spans="1:7" x14ac:dyDescent="0.2">
      <c r="A137" s="29"/>
      <c r="B137" s="75"/>
      <c r="C137" s="41"/>
      <c r="D137" s="187"/>
      <c r="E137" s="84"/>
      <c r="F137" s="163"/>
      <c r="G137" s="35"/>
    </row>
    <row r="138" spans="1:7" x14ac:dyDescent="0.2">
      <c r="A138" s="29"/>
      <c r="B138" s="75"/>
      <c r="C138" s="41"/>
      <c r="D138" s="187"/>
      <c r="E138" s="84"/>
      <c r="F138" s="172"/>
      <c r="G138" s="35"/>
    </row>
    <row r="139" spans="1:7" x14ac:dyDescent="0.2">
      <c r="A139" s="29"/>
      <c r="B139" s="75"/>
      <c r="C139" s="41"/>
      <c r="D139" s="187"/>
      <c r="E139" s="84"/>
      <c r="F139" s="173"/>
      <c r="G139" s="35"/>
    </row>
    <row r="140" spans="1:7" x14ac:dyDescent="0.2">
      <c r="A140" s="29" t="s">
        <v>8</v>
      </c>
      <c r="B140" s="75"/>
      <c r="C140" s="41"/>
      <c r="D140" s="187"/>
      <c r="E140" s="84"/>
      <c r="F140" s="173"/>
      <c r="G140" s="35" t="s">
        <v>8</v>
      </c>
    </row>
    <row r="141" spans="1:7" ht="13.5" thickBot="1" x14ac:dyDescent="0.25">
      <c r="A141" s="45"/>
      <c r="B141" s="188"/>
      <c r="C141" s="47" t="s">
        <v>8</v>
      </c>
      <c r="D141" s="66" t="s">
        <v>8</v>
      </c>
      <c r="E141" s="188"/>
      <c r="F141" s="49" t="s">
        <v>15</v>
      </c>
      <c r="G141" s="50">
        <f>SUM(G108:G140)</f>
        <v>25000</v>
      </c>
    </row>
    <row r="142" spans="1:7" ht="13.5" thickTop="1" x14ac:dyDescent="0.2">
      <c r="A142" s="367" t="s">
        <v>1725</v>
      </c>
      <c r="B142" s="190"/>
      <c r="C142" s="191"/>
      <c r="D142" s="192"/>
      <c r="E142" s="190"/>
      <c r="F142" s="193"/>
      <c r="G142" s="194"/>
    </row>
    <row r="143" spans="1:7" ht="13.5" thickBot="1" x14ac:dyDescent="0.25">
      <c r="A143" s="195" t="s">
        <v>159</v>
      </c>
      <c r="B143" s="196"/>
      <c r="C143" s="368" t="s">
        <v>1726</v>
      </c>
      <c r="D143" s="196"/>
      <c r="E143" s="197"/>
      <c r="F143" s="198"/>
      <c r="G143" s="199"/>
    </row>
    <row r="144" spans="1:7" ht="13.5" thickTop="1" x14ac:dyDescent="0.2">
      <c r="A144" s="906" t="s">
        <v>8</v>
      </c>
      <c r="B144" s="907"/>
      <c r="C144" s="907"/>
      <c r="D144" s="57" t="s">
        <v>11</v>
      </c>
      <c r="E144" s="908" t="s">
        <v>12</v>
      </c>
      <c r="F144" s="908"/>
      <c r="G144" s="909"/>
    </row>
    <row r="145" spans="1:7" x14ac:dyDescent="0.2">
      <c r="A145" s="966" t="s">
        <v>17</v>
      </c>
      <c r="B145" s="967"/>
      <c r="C145" s="968"/>
      <c r="D145" s="39"/>
      <c r="E145" s="912"/>
      <c r="F145" s="913"/>
      <c r="G145" s="914"/>
    </row>
    <row r="146" spans="1:7" x14ac:dyDescent="0.2">
      <c r="A146" s="966" t="s">
        <v>38</v>
      </c>
      <c r="B146" s="967"/>
      <c r="C146" s="968"/>
      <c r="D146" s="58" t="s">
        <v>308</v>
      </c>
      <c r="E146" s="969" t="s">
        <v>142</v>
      </c>
      <c r="F146" s="868"/>
      <c r="G146" s="869"/>
    </row>
    <row r="147" spans="1:7" ht="13.5" thickBot="1" x14ac:dyDescent="0.25">
      <c r="A147" s="970" t="s">
        <v>39</v>
      </c>
      <c r="B147" s="971"/>
      <c r="C147" s="972"/>
      <c r="D147" s="375" t="s">
        <v>1038</v>
      </c>
      <c r="E147" s="904" t="s">
        <v>0</v>
      </c>
      <c r="F147" s="904"/>
      <c r="G147" s="905"/>
    </row>
    <row r="148" spans="1:7" ht="16.5" x14ac:dyDescent="0.25">
      <c r="A148" s="885" t="s">
        <v>29</v>
      </c>
      <c r="B148" s="886"/>
      <c r="C148" s="886"/>
      <c r="D148" s="886"/>
      <c r="E148" s="886"/>
      <c r="F148" s="886"/>
      <c r="G148" s="887"/>
    </row>
    <row r="149" spans="1:7" x14ac:dyDescent="0.2">
      <c r="A149" s="888" t="s">
        <v>48</v>
      </c>
      <c r="B149" s="889"/>
      <c r="C149" s="889"/>
      <c r="D149" s="889"/>
      <c r="E149" s="889"/>
      <c r="F149" s="889"/>
      <c r="G149" s="890"/>
    </row>
    <row r="150" spans="1:7" x14ac:dyDescent="0.2">
      <c r="A150" s="915" t="s">
        <v>49</v>
      </c>
      <c r="B150" s="916"/>
      <c r="C150" s="916"/>
      <c r="D150" s="916"/>
      <c r="E150" s="916"/>
      <c r="F150" s="916"/>
      <c r="G150" s="917"/>
    </row>
    <row r="151" spans="1:7" x14ac:dyDescent="0.2">
      <c r="A151" s="6"/>
      <c r="B151" s="178"/>
      <c r="C151" s="8"/>
      <c r="D151" s="9"/>
      <c r="E151" s="99"/>
      <c r="F151" s="10"/>
      <c r="G151" s="11" t="s">
        <v>8</v>
      </c>
    </row>
    <row r="152" spans="1:7" x14ac:dyDescent="0.2">
      <c r="A152" s="12" t="s">
        <v>1</v>
      </c>
      <c r="B152" s="13"/>
      <c r="C152" s="14" t="s">
        <v>5</v>
      </c>
      <c r="D152" s="13"/>
      <c r="E152" s="362" t="s">
        <v>1856</v>
      </c>
      <c r="F152" s="60"/>
      <c r="G152" s="363" t="s">
        <v>1857</v>
      </c>
    </row>
    <row r="153" spans="1:7" x14ac:dyDescent="0.2">
      <c r="A153" s="17" t="s">
        <v>8</v>
      </c>
      <c r="B153" s="179"/>
      <c r="C153" s="19"/>
      <c r="D153" s="4"/>
      <c r="E153" s="918"/>
      <c r="F153" s="919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178"/>
      <c r="C155" s="8"/>
      <c r="D155" s="8"/>
      <c r="E155" s="920"/>
      <c r="F155" s="921"/>
      <c r="G155" s="25"/>
    </row>
    <row r="156" spans="1:7" ht="26.25" thickBot="1" x14ac:dyDescent="0.25">
      <c r="A156" s="26" t="s">
        <v>47</v>
      </c>
      <c r="B156" s="180" t="s">
        <v>23</v>
      </c>
      <c r="C156" s="28" t="s">
        <v>34</v>
      </c>
      <c r="D156" s="110" t="s">
        <v>53</v>
      </c>
      <c r="E156" s="181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75"/>
      <c r="C157" s="365" t="s">
        <v>242</v>
      </c>
      <c r="D157" s="366" t="s">
        <v>980</v>
      </c>
      <c r="E157" s="77">
        <v>60</v>
      </c>
      <c r="F157" s="185">
        <v>600</v>
      </c>
      <c r="G157" s="35">
        <f>F157*E157</f>
        <v>36000</v>
      </c>
    </row>
    <row r="158" spans="1:7" x14ac:dyDescent="0.2">
      <c r="A158" s="364"/>
      <c r="B158" s="75"/>
      <c r="C158" s="183"/>
      <c r="D158" s="366" t="s">
        <v>349</v>
      </c>
      <c r="E158" s="77"/>
      <c r="F158" s="185"/>
      <c r="G158" s="35"/>
    </row>
    <row r="159" spans="1:7" x14ac:dyDescent="0.2">
      <c r="A159" s="29"/>
      <c r="B159" s="75"/>
      <c r="C159" s="365"/>
      <c r="D159" s="366"/>
      <c r="E159" s="77"/>
      <c r="F159" s="185"/>
      <c r="G159" s="35"/>
    </row>
    <row r="160" spans="1:7" x14ac:dyDescent="0.2">
      <c r="A160" s="29"/>
      <c r="B160" s="75"/>
      <c r="C160" s="183"/>
      <c r="D160" s="366"/>
      <c r="E160" s="77"/>
      <c r="F160" s="185"/>
      <c r="G160" s="35"/>
    </row>
    <row r="161" spans="1:7" x14ac:dyDescent="0.2">
      <c r="A161" s="29"/>
      <c r="B161" s="75"/>
      <c r="C161" s="183"/>
      <c r="D161" s="184"/>
      <c r="E161" s="77"/>
      <c r="F161" s="185"/>
      <c r="G161" s="35"/>
    </row>
    <row r="162" spans="1:7" x14ac:dyDescent="0.2">
      <c r="A162" s="29"/>
      <c r="B162" s="75"/>
      <c r="C162" s="183"/>
      <c r="D162" s="184"/>
      <c r="E162" s="77"/>
      <c r="F162" s="185"/>
      <c r="G162" s="35"/>
    </row>
    <row r="163" spans="1:7" x14ac:dyDescent="0.2">
      <c r="A163" s="29"/>
      <c r="B163" s="75"/>
      <c r="C163" s="41"/>
      <c r="D163" s="184"/>
      <c r="E163" s="77"/>
      <c r="F163" s="185"/>
      <c r="G163" s="35"/>
    </row>
    <row r="164" spans="1:7" x14ac:dyDescent="0.2">
      <c r="A164" s="29"/>
      <c r="B164" s="75"/>
      <c r="C164" s="41"/>
      <c r="D164" s="184"/>
      <c r="E164" s="77"/>
      <c r="F164" s="185"/>
      <c r="G164" s="35"/>
    </row>
    <row r="165" spans="1:7" x14ac:dyDescent="0.2">
      <c r="A165" s="29"/>
      <c r="B165" s="186"/>
      <c r="C165" s="41"/>
      <c r="D165" s="184"/>
      <c r="E165" s="77"/>
      <c r="F165" s="185"/>
      <c r="G165" s="35"/>
    </row>
    <row r="166" spans="1:7" x14ac:dyDescent="0.2">
      <c r="A166" s="29"/>
      <c r="B166" s="74"/>
      <c r="C166" s="31"/>
      <c r="D166" s="184"/>
      <c r="E166" s="77"/>
      <c r="F166" s="185"/>
      <c r="G166" s="35"/>
    </row>
    <row r="167" spans="1:7" x14ac:dyDescent="0.2">
      <c r="A167" s="29"/>
      <c r="B167" s="74"/>
      <c r="C167" s="41"/>
      <c r="D167" s="187"/>
      <c r="E167" s="84"/>
      <c r="F167" s="163"/>
      <c r="G167" s="35"/>
    </row>
    <row r="168" spans="1:7" x14ac:dyDescent="0.2">
      <c r="A168" s="29"/>
      <c r="B168" s="74"/>
      <c r="C168" s="41"/>
      <c r="D168" s="187"/>
      <c r="E168" s="84"/>
      <c r="F168" s="163"/>
      <c r="G168" s="35"/>
    </row>
    <row r="169" spans="1:7" x14ac:dyDescent="0.2">
      <c r="A169" s="29"/>
      <c r="B169" s="75"/>
      <c r="C169" s="41"/>
      <c r="D169" s="187"/>
      <c r="E169" s="539" t="s">
        <v>152</v>
      </c>
      <c r="F169" s="172"/>
      <c r="G169" s="35"/>
    </row>
    <row r="170" spans="1:7" x14ac:dyDescent="0.2">
      <c r="A170" s="29"/>
      <c r="B170" s="75"/>
      <c r="C170" s="41"/>
      <c r="D170" s="187"/>
      <c r="E170" s="84"/>
      <c r="F170" s="173"/>
      <c r="G170" s="35"/>
    </row>
    <row r="171" spans="1:7" x14ac:dyDescent="0.2">
      <c r="A171" s="29"/>
      <c r="B171" s="75"/>
      <c r="C171" s="183"/>
      <c r="D171" s="187"/>
      <c r="E171" s="77"/>
      <c r="F171" s="185"/>
      <c r="G171" s="35"/>
    </row>
    <row r="172" spans="1:7" x14ac:dyDescent="0.2">
      <c r="A172" s="29"/>
      <c r="B172" s="75"/>
      <c r="C172" s="183"/>
      <c r="D172" s="187"/>
      <c r="E172" s="77"/>
      <c r="F172" s="185"/>
      <c r="G172" s="35"/>
    </row>
    <row r="173" spans="1:7" x14ac:dyDescent="0.2">
      <c r="A173" s="29"/>
      <c r="B173" s="75"/>
      <c r="C173" s="183"/>
      <c r="D173" s="184"/>
      <c r="E173" s="77"/>
      <c r="F173" s="185"/>
      <c r="G173" s="35"/>
    </row>
    <row r="174" spans="1:7" x14ac:dyDescent="0.2">
      <c r="A174" s="29"/>
      <c r="B174" s="75"/>
      <c r="C174" s="183"/>
      <c r="D174" s="184"/>
      <c r="E174" s="77"/>
      <c r="F174" s="185"/>
      <c r="G174" s="35"/>
    </row>
    <row r="175" spans="1:7" x14ac:dyDescent="0.2">
      <c r="A175" s="29"/>
      <c r="B175" s="75"/>
      <c r="C175" s="183"/>
      <c r="D175" s="366" t="s">
        <v>150</v>
      </c>
      <c r="E175" s="77"/>
      <c r="F175" s="185"/>
      <c r="G175" s="35"/>
    </row>
    <row r="176" spans="1:7" x14ac:dyDescent="0.2">
      <c r="A176" s="29"/>
      <c r="B176" s="75"/>
      <c r="C176" s="41"/>
      <c r="D176" s="184"/>
      <c r="E176" s="84"/>
      <c r="F176" s="163"/>
      <c r="G176" s="35"/>
    </row>
    <row r="177" spans="1:7" x14ac:dyDescent="0.2">
      <c r="A177" s="29"/>
      <c r="B177" s="75"/>
      <c r="C177" s="41"/>
      <c r="D177" s="184"/>
      <c r="E177" s="84"/>
      <c r="F177" s="163"/>
      <c r="G177" s="35"/>
    </row>
    <row r="178" spans="1:7" x14ac:dyDescent="0.2">
      <c r="A178" s="29"/>
      <c r="B178" s="75"/>
      <c r="C178" s="41"/>
      <c r="D178" s="187"/>
      <c r="E178" s="84"/>
      <c r="F178" s="163"/>
      <c r="G178" s="35"/>
    </row>
    <row r="179" spans="1:7" x14ac:dyDescent="0.2">
      <c r="A179" s="29"/>
      <c r="B179" s="75"/>
      <c r="C179" s="41"/>
      <c r="D179" s="187"/>
      <c r="E179" s="84"/>
      <c r="F179" s="163"/>
      <c r="G179" s="35"/>
    </row>
    <row r="180" spans="1:7" x14ac:dyDescent="0.2">
      <c r="A180" s="29"/>
      <c r="B180" s="75"/>
      <c r="C180" s="41"/>
      <c r="D180" s="187"/>
      <c r="E180" s="84"/>
      <c r="F180" s="163"/>
      <c r="G180" s="35"/>
    </row>
    <row r="181" spans="1:7" x14ac:dyDescent="0.2">
      <c r="A181" s="29"/>
      <c r="B181" s="75"/>
      <c r="C181" s="41"/>
      <c r="D181" s="187"/>
      <c r="E181" s="84"/>
      <c r="F181" s="163"/>
      <c r="G181" s="35"/>
    </row>
    <row r="182" spans="1:7" x14ac:dyDescent="0.2">
      <c r="A182" s="29"/>
      <c r="B182" s="75"/>
      <c r="C182" s="41"/>
      <c r="D182" s="187"/>
      <c r="E182" s="84"/>
      <c r="F182" s="163"/>
      <c r="G182" s="35"/>
    </row>
    <row r="183" spans="1:7" x14ac:dyDescent="0.2">
      <c r="A183" s="29"/>
      <c r="B183" s="75"/>
      <c r="C183" s="41"/>
      <c r="D183" s="187"/>
      <c r="E183" s="84"/>
      <c r="F183" s="163"/>
      <c r="G183" s="35"/>
    </row>
    <row r="184" spans="1:7" x14ac:dyDescent="0.2">
      <c r="A184" s="29"/>
      <c r="B184" s="75"/>
      <c r="C184" s="41"/>
      <c r="D184" s="187"/>
      <c r="E184" s="84"/>
      <c r="F184" s="163"/>
      <c r="G184" s="35"/>
    </row>
    <row r="185" spans="1:7" x14ac:dyDescent="0.2">
      <c r="A185" s="29"/>
      <c r="B185" s="75"/>
      <c r="C185" s="41"/>
      <c r="D185" s="187"/>
      <c r="E185" s="84"/>
      <c r="F185" s="163"/>
      <c r="G185" s="35"/>
    </row>
    <row r="186" spans="1:7" x14ac:dyDescent="0.2">
      <c r="A186" s="29"/>
      <c r="B186" s="75"/>
      <c r="C186" s="41"/>
      <c r="D186" s="187"/>
      <c r="E186" s="84"/>
      <c r="F186" s="163"/>
      <c r="G186" s="35"/>
    </row>
    <row r="187" spans="1:7" x14ac:dyDescent="0.2">
      <c r="A187" s="29"/>
      <c r="B187" s="75"/>
      <c r="C187" s="41"/>
      <c r="D187" s="187"/>
      <c r="E187" s="84"/>
      <c r="F187" s="163"/>
      <c r="G187" s="35"/>
    </row>
    <row r="188" spans="1:7" x14ac:dyDescent="0.2">
      <c r="A188" s="29"/>
      <c r="B188" s="75"/>
      <c r="C188" s="41"/>
      <c r="D188" s="187"/>
      <c r="E188" s="84"/>
      <c r="F188" s="172"/>
      <c r="G188" s="35"/>
    </row>
    <row r="189" spans="1:7" x14ac:dyDescent="0.2">
      <c r="A189" s="29"/>
      <c r="B189" s="75"/>
      <c r="C189" s="41"/>
      <c r="D189" s="187"/>
      <c r="E189" s="84"/>
      <c r="F189" s="173"/>
      <c r="G189" s="35"/>
    </row>
    <row r="190" spans="1:7" x14ac:dyDescent="0.2">
      <c r="A190" s="29" t="s">
        <v>8</v>
      </c>
      <c r="B190" s="75"/>
      <c r="C190" s="41"/>
      <c r="D190" s="187"/>
      <c r="E190" s="84"/>
      <c r="F190" s="173"/>
      <c r="G190" s="35" t="s">
        <v>8</v>
      </c>
    </row>
    <row r="191" spans="1:7" ht="13.5" thickBot="1" x14ac:dyDescent="0.25">
      <c r="A191" s="45"/>
      <c r="B191" s="188"/>
      <c r="C191" s="47" t="s">
        <v>8</v>
      </c>
      <c r="D191" s="66" t="s">
        <v>8</v>
      </c>
      <c r="E191" s="188"/>
      <c r="F191" s="49" t="s">
        <v>15</v>
      </c>
      <c r="G191" s="50">
        <f>SUM(G157:G190)</f>
        <v>36000</v>
      </c>
    </row>
    <row r="192" spans="1:7" ht="13.5" thickTop="1" x14ac:dyDescent="0.2">
      <c r="A192" s="367" t="s">
        <v>1727</v>
      </c>
      <c r="B192" s="190"/>
      <c r="C192" s="191"/>
      <c r="D192" s="192"/>
      <c r="E192" s="190"/>
      <c r="F192" s="193"/>
      <c r="G192" s="194"/>
    </row>
    <row r="193" spans="1:7" ht="13.5" thickBot="1" x14ac:dyDescent="0.25">
      <c r="A193" s="195" t="s">
        <v>159</v>
      </c>
      <c r="B193" s="196"/>
      <c r="C193" s="368" t="s">
        <v>8</v>
      </c>
      <c r="D193" s="196"/>
      <c r="E193" s="197"/>
      <c r="F193" s="198"/>
      <c r="G193" s="199"/>
    </row>
    <row r="194" spans="1:7" ht="13.5" thickTop="1" x14ac:dyDescent="0.2">
      <c r="A194" s="906" t="s">
        <v>8</v>
      </c>
      <c r="B194" s="907"/>
      <c r="C194" s="907"/>
      <c r="D194" s="57" t="s">
        <v>11</v>
      </c>
      <c r="E194" s="908" t="s">
        <v>12</v>
      </c>
      <c r="F194" s="908"/>
      <c r="G194" s="909"/>
    </row>
    <row r="195" spans="1:7" x14ac:dyDescent="0.2">
      <c r="A195" s="966" t="s">
        <v>17</v>
      </c>
      <c r="B195" s="967"/>
      <c r="C195" s="968"/>
      <c r="D195" s="39"/>
      <c r="E195" s="912"/>
      <c r="F195" s="913"/>
      <c r="G195" s="914"/>
    </row>
    <row r="196" spans="1:7" x14ac:dyDescent="0.2">
      <c r="A196" s="966" t="s">
        <v>38</v>
      </c>
      <c r="B196" s="967"/>
      <c r="C196" s="968"/>
      <c r="D196" s="58" t="s">
        <v>308</v>
      </c>
      <c r="E196" s="969" t="s">
        <v>142</v>
      </c>
      <c r="F196" s="868"/>
      <c r="G196" s="869"/>
    </row>
    <row r="197" spans="1:7" ht="13.5" thickBot="1" x14ac:dyDescent="0.25">
      <c r="A197" s="970" t="s">
        <v>39</v>
      </c>
      <c r="B197" s="971"/>
      <c r="C197" s="972"/>
      <c r="D197" s="375" t="s">
        <v>1038</v>
      </c>
      <c r="E197" s="904" t="s">
        <v>0</v>
      </c>
      <c r="F197" s="904"/>
      <c r="G197" s="905"/>
    </row>
    <row r="198" spans="1:7" ht="16.5" x14ac:dyDescent="0.25">
      <c r="A198" s="885" t="s">
        <v>29</v>
      </c>
      <c r="B198" s="886"/>
      <c r="C198" s="886"/>
      <c r="D198" s="886"/>
      <c r="E198" s="886"/>
      <c r="F198" s="886"/>
      <c r="G198" s="887"/>
    </row>
    <row r="199" spans="1:7" x14ac:dyDescent="0.2">
      <c r="A199" s="888" t="s">
        <v>48</v>
      </c>
      <c r="B199" s="889"/>
      <c r="C199" s="889"/>
      <c r="D199" s="889"/>
      <c r="E199" s="889"/>
      <c r="F199" s="889"/>
      <c r="G199" s="890"/>
    </row>
    <row r="200" spans="1:7" x14ac:dyDescent="0.2">
      <c r="A200" s="915" t="s">
        <v>49</v>
      </c>
      <c r="B200" s="916"/>
      <c r="C200" s="916"/>
      <c r="D200" s="916"/>
      <c r="E200" s="916"/>
      <c r="F200" s="916"/>
      <c r="G200" s="917"/>
    </row>
    <row r="201" spans="1:7" x14ac:dyDescent="0.2">
      <c r="A201" s="6"/>
      <c r="B201" s="178"/>
      <c r="C201" s="8"/>
      <c r="D201" s="9"/>
      <c r="E201" s="99"/>
      <c r="F201" s="10"/>
      <c r="G201" s="11" t="s">
        <v>8</v>
      </c>
    </row>
    <row r="202" spans="1:7" x14ac:dyDescent="0.2">
      <c r="A202" s="12" t="s">
        <v>1</v>
      </c>
      <c r="B202" s="13"/>
      <c r="C202" s="14" t="s">
        <v>5</v>
      </c>
      <c r="D202" s="13"/>
      <c r="E202" s="362" t="s">
        <v>1048</v>
      </c>
      <c r="F202" s="60"/>
      <c r="G202" s="363" t="s">
        <v>1047</v>
      </c>
    </row>
    <row r="203" spans="1:7" x14ac:dyDescent="0.2">
      <c r="A203" s="17" t="s">
        <v>8</v>
      </c>
      <c r="B203" s="179"/>
      <c r="C203" s="19"/>
      <c r="D203" s="4"/>
      <c r="E203" s="918"/>
      <c r="F203" s="919"/>
      <c r="G203" s="20"/>
    </row>
    <row r="204" spans="1:7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7" x14ac:dyDescent="0.2">
      <c r="A205" s="6"/>
      <c r="B205" s="178"/>
      <c r="C205" s="8"/>
      <c r="D205" s="8"/>
      <c r="E205" s="920"/>
      <c r="F205" s="921"/>
      <c r="G205" s="25"/>
    </row>
    <row r="206" spans="1:7" ht="26.25" thickBot="1" x14ac:dyDescent="0.25">
      <c r="A206" s="26" t="s">
        <v>47</v>
      </c>
      <c r="B206" s="180" t="s">
        <v>23</v>
      </c>
      <c r="C206" s="28" t="s">
        <v>34</v>
      </c>
      <c r="D206" s="110" t="s">
        <v>53</v>
      </c>
      <c r="E206" s="181" t="s">
        <v>54</v>
      </c>
      <c r="F206" s="111" t="s">
        <v>55</v>
      </c>
      <c r="G206" s="112" t="s">
        <v>35</v>
      </c>
    </row>
    <row r="207" spans="1:7" ht="13.5" thickTop="1" x14ac:dyDescent="0.2">
      <c r="A207" s="29">
        <v>1</v>
      </c>
      <c r="B207" s="75"/>
      <c r="C207" s="365" t="s">
        <v>242</v>
      </c>
      <c r="D207" s="366" t="s">
        <v>1733</v>
      </c>
      <c r="E207" s="77">
        <v>100</v>
      </c>
      <c r="F207" s="185">
        <v>250</v>
      </c>
      <c r="G207" s="35">
        <f>F207*E207</f>
        <v>25000</v>
      </c>
    </row>
    <row r="208" spans="1:7" x14ac:dyDescent="0.2">
      <c r="A208" s="364"/>
      <c r="B208" s="75"/>
      <c r="C208" s="183"/>
      <c r="D208" s="366" t="s">
        <v>1732</v>
      </c>
      <c r="E208" s="77"/>
      <c r="F208" s="185"/>
      <c r="G208" s="35"/>
    </row>
    <row r="209" spans="1:7" x14ac:dyDescent="0.2">
      <c r="A209" s="29"/>
      <c r="B209" s="75"/>
      <c r="C209" s="365"/>
      <c r="D209" s="366"/>
      <c r="E209" s="77"/>
      <c r="F209" s="185"/>
      <c r="G209" s="35"/>
    </row>
    <row r="210" spans="1:7" x14ac:dyDescent="0.2">
      <c r="A210" s="29"/>
      <c r="B210" s="75"/>
      <c r="C210" s="183"/>
      <c r="D210" s="366"/>
      <c r="E210" s="77"/>
      <c r="F210" s="185"/>
      <c r="G210" s="35"/>
    </row>
    <row r="211" spans="1:7" x14ac:dyDescent="0.2">
      <c r="A211" s="29"/>
      <c r="B211" s="75"/>
      <c r="C211" s="183"/>
      <c r="D211" s="184"/>
      <c r="E211" s="77"/>
      <c r="F211" s="185"/>
      <c r="G211" s="35"/>
    </row>
    <row r="212" spans="1:7" x14ac:dyDescent="0.2">
      <c r="A212" s="29"/>
      <c r="B212" s="75"/>
      <c r="C212" s="183"/>
      <c r="D212" s="184"/>
      <c r="E212" s="77"/>
      <c r="F212" s="185"/>
      <c r="G212" s="35"/>
    </row>
    <row r="213" spans="1:7" x14ac:dyDescent="0.2">
      <c r="A213" s="29"/>
      <c r="B213" s="75"/>
      <c r="C213" s="41"/>
      <c r="D213" s="184"/>
      <c r="E213" s="77"/>
      <c r="F213" s="185"/>
      <c r="G213" s="35"/>
    </row>
    <row r="214" spans="1:7" x14ac:dyDescent="0.2">
      <c r="A214" s="29"/>
      <c r="B214" s="75"/>
      <c r="C214" s="41"/>
      <c r="D214" s="184"/>
      <c r="E214" s="77"/>
      <c r="F214" s="185"/>
      <c r="G214" s="35"/>
    </row>
    <row r="215" spans="1:7" x14ac:dyDescent="0.2">
      <c r="A215" s="29"/>
      <c r="B215" s="186"/>
      <c r="C215" s="41"/>
      <c r="D215" s="184"/>
      <c r="E215" s="77"/>
      <c r="F215" s="185"/>
      <c r="G215" s="35"/>
    </row>
    <row r="216" spans="1:7" x14ac:dyDescent="0.2">
      <c r="A216" s="29"/>
      <c r="B216" s="74"/>
      <c r="C216" s="31"/>
      <c r="D216" s="184"/>
      <c r="E216" s="77"/>
      <c r="F216" s="185"/>
      <c r="G216" s="35"/>
    </row>
    <row r="217" spans="1:7" x14ac:dyDescent="0.2">
      <c r="A217" s="29"/>
      <c r="B217" s="74"/>
      <c r="C217" s="41"/>
      <c r="D217" s="187"/>
      <c r="E217" s="84"/>
      <c r="F217" s="163"/>
      <c r="G217" s="35"/>
    </row>
    <row r="218" spans="1:7" x14ac:dyDescent="0.2">
      <c r="A218" s="29"/>
      <c r="B218" s="74"/>
      <c r="C218" s="41"/>
      <c r="D218" s="187"/>
      <c r="E218" s="84"/>
      <c r="F218" s="163"/>
      <c r="G218" s="35"/>
    </row>
    <row r="219" spans="1:7" x14ac:dyDescent="0.2">
      <c r="A219" s="29"/>
      <c r="B219" s="75"/>
      <c r="C219" s="41"/>
      <c r="D219" s="187"/>
      <c r="E219" s="84"/>
      <c r="F219" s="172"/>
      <c r="G219" s="35"/>
    </row>
    <row r="220" spans="1:7" x14ac:dyDescent="0.2">
      <c r="A220" s="29"/>
      <c r="B220" s="75"/>
      <c r="C220" s="41"/>
      <c r="D220" s="187"/>
      <c r="E220" s="84"/>
      <c r="F220" s="173"/>
      <c r="G220" s="35"/>
    </row>
    <row r="221" spans="1:7" x14ac:dyDescent="0.2">
      <c r="A221" s="29"/>
      <c r="B221" s="75"/>
      <c r="C221" s="183"/>
      <c r="D221" s="187"/>
      <c r="E221" s="77"/>
      <c r="F221" s="185"/>
      <c r="G221" s="35"/>
    </row>
    <row r="222" spans="1:7" x14ac:dyDescent="0.2">
      <c r="A222" s="29"/>
      <c r="B222" s="75"/>
      <c r="C222" s="183"/>
      <c r="D222" s="187"/>
      <c r="E222" s="77"/>
      <c r="F222" s="185"/>
      <c r="G222" s="35"/>
    </row>
    <row r="223" spans="1:7" x14ac:dyDescent="0.2">
      <c r="A223" s="29"/>
      <c r="B223" s="75"/>
      <c r="C223" s="183"/>
      <c r="D223" s="184"/>
      <c r="E223" s="77"/>
      <c r="F223" s="185"/>
      <c r="G223" s="35"/>
    </row>
    <row r="224" spans="1:7" x14ac:dyDescent="0.2">
      <c r="A224" s="29"/>
      <c r="B224" s="75"/>
      <c r="C224" s="183"/>
      <c r="D224" s="184"/>
      <c r="E224" s="77"/>
      <c r="F224" s="185"/>
      <c r="G224" s="35"/>
    </row>
    <row r="225" spans="1:12" x14ac:dyDescent="0.2">
      <c r="A225" s="29"/>
      <c r="B225" s="75"/>
      <c r="C225" s="183"/>
      <c r="D225" s="184"/>
      <c r="E225" s="77"/>
      <c r="F225" s="185"/>
      <c r="G225" s="35"/>
    </row>
    <row r="226" spans="1:12" x14ac:dyDescent="0.2">
      <c r="A226" s="29"/>
      <c r="B226" s="75"/>
      <c r="C226" s="41"/>
      <c r="D226" s="184"/>
      <c r="E226" s="84"/>
      <c r="F226" s="163"/>
      <c r="G226" s="35"/>
    </row>
    <row r="227" spans="1:12" x14ac:dyDescent="0.2">
      <c r="A227" s="29"/>
      <c r="B227" s="75"/>
      <c r="C227" s="41"/>
      <c r="D227" s="184"/>
      <c r="E227" s="84"/>
      <c r="F227" s="163"/>
      <c r="G227" s="35"/>
    </row>
    <row r="228" spans="1:12" x14ac:dyDescent="0.2">
      <c r="A228" s="29"/>
      <c r="B228" s="75"/>
      <c r="C228" s="41"/>
      <c r="D228" s="187"/>
      <c r="E228" s="84"/>
      <c r="F228" s="163"/>
      <c r="G228" s="35"/>
      <c r="L228" s="430" t="s">
        <v>8</v>
      </c>
    </row>
    <row r="229" spans="1:12" x14ac:dyDescent="0.2">
      <c r="A229" s="29"/>
      <c r="B229" s="75"/>
      <c r="C229" s="41"/>
      <c r="D229" s="187"/>
      <c r="E229" s="84"/>
      <c r="F229" s="163"/>
      <c r="G229" s="35"/>
    </row>
    <row r="230" spans="1:12" x14ac:dyDescent="0.2">
      <c r="A230" s="29"/>
      <c r="B230" s="75"/>
      <c r="C230" s="41"/>
      <c r="D230" s="187"/>
      <c r="E230" s="84"/>
      <c r="F230" s="163"/>
      <c r="G230" s="35"/>
    </row>
    <row r="231" spans="1:12" x14ac:dyDescent="0.2">
      <c r="A231" s="29"/>
      <c r="B231" s="75"/>
      <c r="C231" s="41"/>
      <c r="D231" s="187"/>
      <c r="E231" s="84"/>
      <c r="F231" s="163"/>
      <c r="G231" s="35"/>
    </row>
    <row r="232" spans="1:12" x14ac:dyDescent="0.2">
      <c r="A232" s="29"/>
      <c r="B232" s="75"/>
      <c r="C232" s="41"/>
      <c r="D232" s="187"/>
      <c r="E232" s="84"/>
      <c r="F232" s="163"/>
      <c r="G232" s="35"/>
    </row>
    <row r="233" spans="1:12" x14ac:dyDescent="0.2">
      <c r="A233" s="29"/>
      <c r="B233" s="75"/>
      <c r="C233" s="41"/>
      <c r="D233" s="187"/>
      <c r="E233" s="84"/>
      <c r="F233" s="163"/>
      <c r="G233" s="35"/>
    </row>
    <row r="234" spans="1:12" x14ac:dyDescent="0.2">
      <c r="A234" s="29"/>
      <c r="B234" s="75"/>
      <c r="C234" s="41"/>
      <c r="D234" s="187"/>
      <c r="E234" s="84"/>
      <c r="F234" s="163"/>
      <c r="G234" s="35"/>
    </row>
    <row r="235" spans="1:12" x14ac:dyDescent="0.2">
      <c r="A235" s="29"/>
      <c r="B235" s="75"/>
      <c r="C235" s="41"/>
      <c r="D235" s="187"/>
      <c r="E235" s="84"/>
      <c r="F235" s="163"/>
      <c r="G235" s="35"/>
    </row>
    <row r="236" spans="1:12" x14ac:dyDescent="0.2">
      <c r="A236" s="29"/>
      <c r="B236" s="75"/>
      <c r="C236" s="41"/>
      <c r="D236" s="187"/>
      <c r="E236" s="84"/>
      <c r="F236" s="163"/>
      <c r="G236" s="35"/>
    </row>
    <row r="237" spans="1:12" x14ac:dyDescent="0.2">
      <c r="A237" s="29"/>
      <c r="B237" s="75"/>
      <c r="C237" s="41"/>
      <c r="D237" s="187"/>
      <c r="E237" s="84"/>
      <c r="F237" s="163"/>
      <c r="G237" s="35"/>
    </row>
    <row r="238" spans="1:12" x14ac:dyDescent="0.2">
      <c r="A238" s="29"/>
      <c r="B238" s="75"/>
      <c r="C238" s="41"/>
      <c r="D238" s="187"/>
      <c r="E238" s="84"/>
      <c r="F238" s="172"/>
      <c r="G238" s="35"/>
    </row>
    <row r="239" spans="1:12" x14ac:dyDescent="0.2">
      <c r="A239" s="29"/>
      <c r="B239" s="75"/>
      <c r="C239" s="41"/>
      <c r="D239" s="187"/>
      <c r="E239" s="84"/>
      <c r="F239" s="173"/>
      <c r="G239" s="35"/>
    </row>
    <row r="240" spans="1:12" x14ac:dyDescent="0.2">
      <c r="A240" s="29" t="s">
        <v>8</v>
      </c>
      <c r="B240" s="75"/>
      <c r="C240" s="41"/>
      <c r="D240" s="187"/>
      <c r="E240" s="84"/>
      <c r="F240" s="173"/>
      <c r="G240" s="35" t="s">
        <v>8</v>
      </c>
    </row>
    <row r="241" spans="1:7" ht="13.5" thickBot="1" x14ac:dyDescent="0.25">
      <c r="A241" s="45"/>
      <c r="B241" s="188"/>
      <c r="C241" s="47" t="s">
        <v>8</v>
      </c>
      <c r="D241" s="66" t="s">
        <v>8</v>
      </c>
      <c r="E241" s="188"/>
      <c r="F241" s="49" t="s">
        <v>15</v>
      </c>
      <c r="G241" s="50">
        <f>SUM(G207:G240)</f>
        <v>25000</v>
      </c>
    </row>
    <row r="242" spans="1:7" ht="13.5" thickTop="1" x14ac:dyDescent="0.2">
      <c r="A242" s="367" t="s">
        <v>1724</v>
      </c>
      <c r="B242" s="190"/>
      <c r="C242" s="191"/>
      <c r="D242" s="192"/>
      <c r="E242" s="190"/>
      <c r="F242" s="193"/>
      <c r="G242" s="194"/>
    </row>
    <row r="243" spans="1:7" ht="13.5" thickBot="1" x14ac:dyDescent="0.25">
      <c r="A243" s="195" t="s">
        <v>159</v>
      </c>
      <c r="B243" s="196"/>
      <c r="C243" s="368" t="s">
        <v>8</v>
      </c>
      <c r="D243" s="196"/>
      <c r="E243" s="197"/>
      <c r="F243" s="198"/>
      <c r="G243" s="199"/>
    </row>
    <row r="244" spans="1:7" ht="13.5" thickTop="1" x14ac:dyDescent="0.2">
      <c r="A244" s="906" t="s">
        <v>8</v>
      </c>
      <c r="B244" s="907"/>
      <c r="C244" s="907"/>
      <c r="D244" s="57" t="s">
        <v>11</v>
      </c>
      <c r="E244" s="908" t="s">
        <v>12</v>
      </c>
      <c r="F244" s="908"/>
      <c r="G244" s="909"/>
    </row>
    <row r="245" spans="1:7" x14ac:dyDescent="0.2">
      <c r="A245" s="966" t="s">
        <v>17</v>
      </c>
      <c r="B245" s="967"/>
      <c r="C245" s="968"/>
      <c r="D245" s="39"/>
      <c r="E245" s="912"/>
      <c r="F245" s="913"/>
      <c r="G245" s="914"/>
    </row>
    <row r="246" spans="1:7" x14ac:dyDescent="0.2">
      <c r="A246" s="966" t="s">
        <v>38</v>
      </c>
      <c r="B246" s="967"/>
      <c r="C246" s="968"/>
      <c r="D246" s="58" t="s">
        <v>308</v>
      </c>
      <c r="E246" s="969" t="s">
        <v>142</v>
      </c>
      <c r="F246" s="868"/>
      <c r="G246" s="869"/>
    </row>
    <row r="247" spans="1:7" ht="13.5" thickBot="1" x14ac:dyDescent="0.25">
      <c r="A247" s="970" t="s">
        <v>39</v>
      </c>
      <c r="B247" s="971"/>
      <c r="C247" s="972"/>
      <c r="D247" s="375" t="s">
        <v>1038</v>
      </c>
      <c r="E247" s="904" t="s">
        <v>0</v>
      </c>
      <c r="F247" s="904"/>
      <c r="G247" s="905"/>
    </row>
    <row r="248" spans="1:7" ht="16.5" x14ac:dyDescent="0.25">
      <c r="A248" s="885" t="s">
        <v>29</v>
      </c>
      <c r="B248" s="886"/>
      <c r="C248" s="886"/>
      <c r="D248" s="886"/>
      <c r="E248" s="886"/>
      <c r="F248" s="886"/>
      <c r="G248" s="887"/>
    </row>
    <row r="249" spans="1:7" x14ac:dyDescent="0.2">
      <c r="A249" s="888" t="s">
        <v>48</v>
      </c>
      <c r="B249" s="889"/>
      <c r="C249" s="889"/>
      <c r="D249" s="889"/>
      <c r="E249" s="889"/>
      <c r="F249" s="889"/>
      <c r="G249" s="890"/>
    </row>
    <row r="250" spans="1:7" x14ac:dyDescent="0.2">
      <c r="A250" s="915" t="s">
        <v>49</v>
      </c>
      <c r="B250" s="916"/>
      <c r="C250" s="916"/>
      <c r="D250" s="916"/>
      <c r="E250" s="916"/>
      <c r="F250" s="916"/>
      <c r="G250" s="917"/>
    </row>
    <row r="251" spans="1:7" x14ac:dyDescent="0.2">
      <c r="A251" s="6"/>
      <c r="B251" s="178"/>
      <c r="C251" s="8"/>
      <c r="D251" s="9"/>
      <c r="E251" s="99"/>
      <c r="F251" s="10"/>
      <c r="G251" s="11" t="s">
        <v>8</v>
      </c>
    </row>
    <row r="252" spans="1:7" x14ac:dyDescent="0.2">
      <c r="A252" s="12" t="s">
        <v>1</v>
      </c>
      <c r="B252" s="13"/>
      <c r="C252" s="14" t="s">
        <v>5</v>
      </c>
      <c r="D252" s="13"/>
      <c r="E252" s="362" t="s">
        <v>1245</v>
      </c>
      <c r="F252" s="60"/>
      <c r="G252" s="363" t="s">
        <v>1194</v>
      </c>
    </row>
    <row r="253" spans="1:7" x14ac:dyDescent="0.2">
      <c r="A253" s="17" t="s">
        <v>8</v>
      </c>
      <c r="B253" s="179"/>
      <c r="C253" s="19"/>
      <c r="D253" s="4"/>
      <c r="E253" s="918"/>
      <c r="F253" s="919"/>
      <c r="G253" s="20"/>
    </row>
    <row r="254" spans="1:7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7" x14ac:dyDescent="0.2">
      <c r="A255" s="6"/>
      <c r="B255" s="178"/>
      <c r="C255" s="8"/>
      <c r="D255" s="8"/>
      <c r="E255" s="920"/>
      <c r="F255" s="921"/>
      <c r="G255" s="25"/>
    </row>
    <row r="256" spans="1:7" ht="26.25" thickBot="1" x14ac:dyDescent="0.25">
      <c r="A256" s="26" t="s">
        <v>47</v>
      </c>
      <c r="B256" s="180" t="s">
        <v>23</v>
      </c>
      <c r="C256" s="28" t="s">
        <v>34</v>
      </c>
      <c r="D256" s="110" t="s">
        <v>53</v>
      </c>
      <c r="E256" s="181" t="s">
        <v>54</v>
      </c>
      <c r="F256" s="111" t="s">
        <v>55</v>
      </c>
      <c r="G256" s="112" t="s">
        <v>35</v>
      </c>
    </row>
    <row r="257" spans="1:7" ht="13.5" thickTop="1" x14ac:dyDescent="0.2">
      <c r="A257" s="29">
        <v>1</v>
      </c>
      <c r="B257" s="75"/>
      <c r="C257" s="365" t="s">
        <v>242</v>
      </c>
      <c r="D257" s="366" t="s">
        <v>1736</v>
      </c>
      <c r="E257" s="77">
        <v>150</v>
      </c>
      <c r="F257" s="185">
        <v>1100</v>
      </c>
      <c r="G257" s="35">
        <f>F257*E257</f>
        <v>165000</v>
      </c>
    </row>
    <row r="258" spans="1:7" x14ac:dyDescent="0.2">
      <c r="A258" s="364"/>
      <c r="B258" s="75"/>
      <c r="C258" s="183"/>
      <c r="D258" s="366" t="s">
        <v>1737</v>
      </c>
      <c r="E258" s="77"/>
      <c r="F258" s="185"/>
      <c r="G258" s="35"/>
    </row>
    <row r="259" spans="1:7" x14ac:dyDescent="0.2">
      <c r="A259" s="29"/>
      <c r="B259" s="75"/>
      <c r="C259" s="365"/>
      <c r="D259" s="366"/>
      <c r="E259" s="77"/>
      <c r="F259" s="185"/>
      <c r="G259" s="35"/>
    </row>
    <row r="260" spans="1:7" x14ac:dyDescent="0.2">
      <c r="A260" s="29"/>
      <c r="B260" s="75"/>
      <c r="C260" s="183"/>
      <c r="D260" s="366"/>
      <c r="E260" s="77"/>
      <c r="F260" s="185"/>
      <c r="G260" s="35"/>
    </row>
    <row r="261" spans="1:7" x14ac:dyDescent="0.2">
      <c r="A261" s="29"/>
      <c r="B261" s="75"/>
      <c r="C261" s="183"/>
      <c r="D261" s="184"/>
      <c r="E261" s="77"/>
      <c r="F261" s="185"/>
      <c r="G261" s="35"/>
    </row>
    <row r="262" spans="1:7" x14ac:dyDescent="0.2">
      <c r="A262" s="29"/>
      <c r="B262" s="75"/>
      <c r="C262" s="183"/>
      <c r="D262" s="184"/>
      <c r="E262" s="77"/>
      <c r="F262" s="185"/>
      <c r="G262" s="35"/>
    </row>
    <row r="263" spans="1:7" x14ac:dyDescent="0.2">
      <c r="A263" s="29"/>
      <c r="B263" s="75"/>
      <c r="C263" s="41"/>
      <c r="D263" s="184"/>
      <c r="E263" s="77"/>
      <c r="F263" s="185"/>
      <c r="G263" s="35"/>
    </row>
    <row r="264" spans="1:7" x14ac:dyDescent="0.2">
      <c r="A264" s="29"/>
      <c r="B264" s="75"/>
      <c r="C264" s="41"/>
      <c r="D264" s="184"/>
      <c r="E264" s="77"/>
      <c r="F264" s="185"/>
      <c r="G264" s="35"/>
    </row>
    <row r="265" spans="1:7" x14ac:dyDescent="0.2">
      <c r="A265" s="29"/>
      <c r="B265" s="186"/>
      <c r="C265" s="41"/>
      <c r="D265" s="184"/>
      <c r="E265" s="77"/>
      <c r="F265" s="185"/>
      <c r="G265" s="35"/>
    </row>
    <row r="266" spans="1:7" x14ac:dyDescent="0.2">
      <c r="A266" s="29"/>
      <c r="B266" s="74"/>
      <c r="C266" s="31"/>
      <c r="D266" s="184"/>
      <c r="E266" s="77"/>
      <c r="F266" s="185"/>
      <c r="G266" s="35"/>
    </row>
    <row r="267" spans="1:7" x14ac:dyDescent="0.2">
      <c r="A267" s="29"/>
      <c r="B267" s="74"/>
      <c r="C267" s="41"/>
      <c r="D267" s="187"/>
      <c r="E267" s="84"/>
      <c r="F267" s="163"/>
      <c r="G267" s="35"/>
    </row>
    <row r="268" spans="1:7" x14ac:dyDescent="0.2">
      <c r="A268" s="29"/>
      <c r="B268" s="74"/>
      <c r="C268" s="41"/>
      <c r="D268" s="187"/>
      <c r="E268" s="84"/>
      <c r="F268" s="163"/>
      <c r="G268" s="35"/>
    </row>
    <row r="269" spans="1:7" x14ac:dyDescent="0.2">
      <c r="A269" s="29"/>
      <c r="B269" s="75"/>
      <c r="C269" s="41"/>
      <c r="D269" s="187"/>
      <c r="E269" s="84"/>
      <c r="F269" s="172"/>
      <c r="G269" s="35"/>
    </row>
    <row r="270" spans="1:7" x14ac:dyDescent="0.2">
      <c r="A270" s="29"/>
      <c r="B270" s="75"/>
      <c r="C270" s="41"/>
      <c r="D270" s="187"/>
      <c r="E270" s="84"/>
      <c r="F270" s="173"/>
      <c r="G270" s="35"/>
    </row>
    <row r="271" spans="1:7" x14ac:dyDescent="0.2">
      <c r="A271" s="29"/>
      <c r="B271" s="75"/>
      <c r="C271" s="183"/>
      <c r="D271" s="187"/>
      <c r="E271" s="77"/>
      <c r="F271" s="185"/>
      <c r="G271" s="35"/>
    </row>
    <row r="272" spans="1:7" x14ac:dyDescent="0.2">
      <c r="A272" s="29"/>
      <c r="B272" s="75"/>
      <c r="C272" s="183"/>
      <c r="D272" s="187"/>
      <c r="E272" s="77"/>
      <c r="F272" s="185"/>
      <c r="G272" s="35"/>
    </row>
    <row r="273" spans="1:12" x14ac:dyDescent="0.2">
      <c r="A273" s="29"/>
      <c r="B273" s="75"/>
      <c r="C273" s="183"/>
      <c r="D273" s="184"/>
      <c r="E273" s="77"/>
      <c r="F273" s="185"/>
      <c r="G273" s="35"/>
    </row>
    <row r="274" spans="1:12" x14ac:dyDescent="0.2">
      <c r="A274" s="29"/>
      <c r="B274" s="75"/>
      <c r="C274" s="183"/>
      <c r="D274" s="184"/>
      <c r="E274" s="77"/>
      <c r="F274" s="185"/>
      <c r="G274" s="35"/>
    </row>
    <row r="275" spans="1:12" x14ac:dyDescent="0.2">
      <c r="A275" s="29"/>
      <c r="B275" s="75"/>
      <c r="C275" s="183"/>
      <c r="D275" s="184"/>
      <c r="E275" s="77"/>
      <c r="F275" s="185"/>
      <c r="G275" s="35"/>
    </row>
    <row r="276" spans="1:12" x14ac:dyDescent="0.2">
      <c r="A276" s="29"/>
      <c r="B276" s="75"/>
      <c r="C276" s="41"/>
      <c r="D276" s="184"/>
      <c r="E276" s="84"/>
      <c r="F276" s="163"/>
      <c r="G276" s="35"/>
    </row>
    <row r="277" spans="1:12" x14ac:dyDescent="0.2">
      <c r="A277" s="29"/>
      <c r="B277" s="75"/>
      <c r="C277" s="41"/>
      <c r="D277" s="184"/>
      <c r="E277" s="84"/>
      <c r="F277" s="163"/>
      <c r="G277" s="35"/>
    </row>
    <row r="278" spans="1:12" x14ac:dyDescent="0.2">
      <c r="A278" s="29"/>
      <c r="B278" s="75"/>
      <c r="C278" s="41"/>
      <c r="D278" s="187"/>
      <c r="E278" s="84"/>
      <c r="F278" s="163"/>
      <c r="G278" s="35"/>
    </row>
    <row r="279" spans="1:12" x14ac:dyDescent="0.2">
      <c r="A279" s="29"/>
      <c r="B279" s="75"/>
      <c r="C279" s="41"/>
      <c r="D279" s="187"/>
      <c r="E279" s="84"/>
      <c r="F279" s="163"/>
      <c r="G279" s="35"/>
    </row>
    <row r="280" spans="1:12" x14ac:dyDescent="0.2">
      <c r="A280" s="29"/>
      <c r="B280" s="75"/>
      <c r="C280" s="41"/>
      <c r="D280" s="187"/>
      <c r="E280" s="84"/>
      <c r="F280" s="163"/>
      <c r="G280" s="35"/>
    </row>
    <row r="281" spans="1:12" x14ac:dyDescent="0.2">
      <c r="A281" s="29"/>
      <c r="B281" s="75"/>
      <c r="C281" s="41"/>
      <c r="D281" s="454" t="s">
        <v>896</v>
      </c>
      <c r="E281" s="84"/>
      <c r="F281" s="163"/>
      <c r="G281" s="35"/>
    </row>
    <row r="282" spans="1:12" x14ac:dyDescent="0.2">
      <c r="A282" s="29"/>
      <c r="B282" s="75"/>
      <c r="C282" s="41"/>
      <c r="D282" s="187"/>
      <c r="E282" s="84"/>
      <c r="F282" s="163"/>
      <c r="G282" s="35"/>
    </row>
    <row r="283" spans="1:12" x14ac:dyDescent="0.2">
      <c r="A283" s="29"/>
      <c r="B283" s="75"/>
      <c r="C283" s="41"/>
      <c r="D283" s="187"/>
      <c r="E283" s="84"/>
      <c r="F283" s="163"/>
      <c r="G283" s="35"/>
      <c r="L283" s="2">
        <f>40*200</f>
        <v>8000</v>
      </c>
    </row>
    <row r="284" spans="1:12" x14ac:dyDescent="0.2">
      <c r="A284" s="29"/>
      <c r="B284" s="75"/>
      <c r="C284" s="41"/>
      <c r="D284" s="187"/>
      <c r="E284" s="84"/>
      <c r="F284" s="163"/>
      <c r="G284" s="35"/>
    </row>
    <row r="285" spans="1:12" x14ac:dyDescent="0.2">
      <c r="A285" s="29"/>
      <c r="B285" s="75"/>
      <c r="C285" s="41"/>
      <c r="D285" s="187"/>
      <c r="E285" s="84"/>
      <c r="F285" s="163"/>
      <c r="G285" s="35"/>
    </row>
    <row r="286" spans="1:12" x14ac:dyDescent="0.2">
      <c r="A286" s="29"/>
      <c r="B286" s="75"/>
      <c r="C286" s="41"/>
      <c r="D286" s="187"/>
      <c r="E286" s="84"/>
      <c r="F286" s="163"/>
      <c r="G286" s="35"/>
    </row>
    <row r="287" spans="1:12" x14ac:dyDescent="0.2">
      <c r="A287" s="29"/>
      <c r="B287" s="75"/>
      <c r="C287" s="41"/>
      <c r="D287" s="187"/>
      <c r="E287" s="84"/>
      <c r="F287" s="172"/>
      <c r="G287" s="35"/>
    </row>
    <row r="288" spans="1:12" x14ac:dyDescent="0.2">
      <c r="A288" s="29"/>
      <c r="B288" s="75"/>
      <c r="C288" s="41"/>
      <c r="D288" s="187"/>
      <c r="E288" s="84"/>
      <c r="F288" s="173"/>
      <c r="G288" s="35"/>
    </row>
    <row r="289" spans="1:7" x14ac:dyDescent="0.2">
      <c r="A289" s="29" t="s">
        <v>8</v>
      </c>
      <c r="B289" s="75"/>
      <c r="C289" s="41"/>
      <c r="D289" s="187"/>
      <c r="E289" s="84"/>
      <c r="F289" s="173"/>
      <c r="G289" s="35" t="s">
        <v>8</v>
      </c>
    </row>
    <row r="290" spans="1:7" ht="13.5" thickBot="1" x14ac:dyDescent="0.25">
      <c r="A290" s="45"/>
      <c r="B290" s="188"/>
      <c r="C290" s="47" t="s">
        <v>8</v>
      </c>
      <c r="D290" s="66" t="s">
        <v>8</v>
      </c>
      <c r="E290" s="188"/>
      <c r="F290" s="49" t="s">
        <v>15</v>
      </c>
      <c r="G290" s="50">
        <f>SUM(G257:G289)</f>
        <v>165000</v>
      </c>
    </row>
    <row r="291" spans="1:7" ht="13.5" thickTop="1" x14ac:dyDescent="0.2">
      <c r="A291" s="367" t="s">
        <v>1728</v>
      </c>
      <c r="B291" s="190"/>
      <c r="C291" s="191"/>
      <c r="D291" s="192"/>
      <c r="E291" s="190"/>
      <c r="F291" s="193"/>
      <c r="G291" s="194"/>
    </row>
    <row r="292" spans="1:7" x14ac:dyDescent="0.2">
      <c r="A292" s="979" t="s">
        <v>1729</v>
      </c>
      <c r="B292" s="980"/>
      <c r="C292" s="980"/>
      <c r="D292" s="980"/>
      <c r="E292" s="980"/>
      <c r="F292" s="980"/>
      <c r="G292" s="981"/>
    </row>
    <row r="293" spans="1:7" ht="13.5" thickBot="1" x14ac:dyDescent="0.25">
      <c r="A293" s="982" t="s">
        <v>1730</v>
      </c>
      <c r="B293" s="983"/>
      <c r="C293" s="983"/>
      <c r="D293" s="983"/>
      <c r="E293" s="983"/>
      <c r="F293" s="983"/>
      <c r="G293" s="984"/>
    </row>
    <row r="294" spans="1:7" ht="13.5" thickTop="1" x14ac:dyDescent="0.2">
      <c r="A294" s="906" t="s">
        <v>8</v>
      </c>
      <c r="B294" s="907"/>
      <c r="C294" s="907"/>
      <c r="D294" s="57" t="s">
        <v>11</v>
      </c>
      <c r="E294" s="908" t="s">
        <v>12</v>
      </c>
      <c r="F294" s="908"/>
      <c r="G294" s="909"/>
    </row>
    <row r="295" spans="1:7" x14ac:dyDescent="0.2">
      <c r="A295" s="966" t="s">
        <v>17</v>
      </c>
      <c r="B295" s="967"/>
      <c r="C295" s="968"/>
      <c r="D295" s="39"/>
      <c r="E295" s="912"/>
      <c r="F295" s="913"/>
      <c r="G295" s="914"/>
    </row>
    <row r="296" spans="1:7" x14ac:dyDescent="0.2">
      <c r="A296" s="966" t="s">
        <v>38</v>
      </c>
      <c r="B296" s="967"/>
      <c r="C296" s="968"/>
      <c r="D296" s="58" t="s">
        <v>308</v>
      </c>
      <c r="E296" s="969" t="s">
        <v>142</v>
      </c>
      <c r="F296" s="868"/>
      <c r="G296" s="869"/>
    </row>
    <row r="297" spans="1:7" ht="13.5" thickBot="1" x14ac:dyDescent="0.25">
      <c r="A297" s="970" t="s">
        <v>39</v>
      </c>
      <c r="B297" s="971"/>
      <c r="C297" s="972"/>
      <c r="D297" s="375" t="s">
        <v>1038</v>
      </c>
      <c r="E297" s="904" t="s">
        <v>0</v>
      </c>
      <c r="F297" s="904"/>
      <c r="G297" s="905"/>
    </row>
    <row r="298" spans="1:7" ht="16.5" x14ac:dyDescent="0.25">
      <c r="A298" s="885" t="s">
        <v>29</v>
      </c>
      <c r="B298" s="886"/>
      <c r="C298" s="886"/>
      <c r="D298" s="886"/>
      <c r="E298" s="886"/>
      <c r="F298" s="886"/>
      <c r="G298" s="887"/>
    </row>
    <row r="299" spans="1:7" x14ac:dyDescent="0.2">
      <c r="A299" s="888" t="s">
        <v>48</v>
      </c>
      <c r="B299" s="889"/>
      <c r="C299" s="889"/>
      <c r="D299" s="889"/>
      <c r="E299" s="889"/>
      <c r="F299" s="889"/>
      <c r="G299" s="890"/>
    </row>
    <row r="300" spans="1:7" x14ac:dyDescent="0.2">
      <c r="A300" s="915" t="s">
        <v>49</v>
      </c>
      <c r="B300" s="916"/>
      <c r="C300" s="916"/>
      <c r="D300" s="916"/>
      <c r="E300" s="916"/>
      <c r="F300" s="916"/>
      <c r="G300" s="917"/>
    </row>
    <row r="301" spans="1:7" x14ac:dyDescent="0.2">
      <c r="A301" s="6"/>
      <c r="B301" s="178"/>
      <c r="C301" s="8"/>
      <c r="D301" s="9"/>
      <c r="E301" s="99"/>
      <c r="F301" s="10"/>
      <c r="G301" s="11" t="s">
        <v>8</v>
      </c>
    </row>
    <row r="302" spans="1:7" x14ac:dyDescent="0.2">
      <c r="A302" s="12" t="s">
        <v>1</v>
      </c>
      <c r="B302" s="13"/>
      <c r="C302" s="14" t="s">
        <v>5</v>
      </c>
      <c r="D302" s="13"/>
      <c r="E302" s="362" t="s">
        <v>1246</v>
      </c>
      <c r="F302" s="60"/>
      <c r="G302" s="363" t="s">
        <v>1194</v>
      </c>
    </row>
    <row r="303" spans="1:7" x14ac:dyDescent="0.2">
      <c r="A303" s="17" t="s">
        <v>8</v>
      </c>
      <c r="B303" s="179"/>
      <c r="C303" s="19"/>
      <c r="D303" s="4"/>
      <c r="E303" s="918"/>
      <c r="F303" s="919"/>
      <c r="G303" s="20"/>
    </row>
    <row r="304" spans="1:7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7" x14ac:dyDescent="0.2">
      <c r="A305" s="6"/>
      <c r="B305" s="178"/>
      <c r="C305" s="8"/>
      <c r="D305" s="8"/>
      <c r="E305" s="920"/>
      <c r="F305" s="921"/>
      <c r="G305" s="25"/>
    </row>
    <row r="306" spans="1:7" ht="26.25" thickBot="1" x14ac:dyDescent="0.25">
      <c r="A306" s="26" t="s">
        <v>47</v>
      </c>
      <c r="B306" s="180" t="s">
        <v>23</v>
      </c>
      <c r="C306" s="28" t="s">
        <v>34</v>
      </c>
      <c r="D306" s="110" t="s">
        <v>53</v>
      </c>
      <c r="E306" s="181" t="s">
        <v>54</v>
      </c>
      <c r="F306" s="111" t="s">
        <v>55</v>
      </c>
      <c r="G306" s="112" t="s">
        <v>35</v>
      </c>
    </row>
    <row r="307" spans="1:7" ht="13.5" thickTop="1" x14ac:dyDescent="0.2">
      <c r="A307" s="29">
        <v>1</v>
      </c>
      <c r="B307" s="75"/>
      <c r="C307" s="365" t="s">
        <v>242</v>
      </c>
      <c r="D307" s="366" t="s">
        <v>980</v>
      </c>
      <c r="E307" s="77">
        <v>100</v>
      </c>
      <c r="F307" s="185">
        <v>750</v>
      </c>
      <c r="G307" s="35">
        <f>F307*E307</f>
        <v>75000</v>
      </c>
    </row>
    <row r="308" spans="1:7" x14ac:dyDescent="0.2">
      <c r="A308" s="364"/>
      <c r="B308" s="75"/>
      <c r="C308" s="183"/>
      <c r="D308" s="366" t="s">
        <v>1046</v>
      </c>
      <c r="E308" s="77"/>
      <c r="F308" s="185"/>
      <c r="G308" s="35"/>
    </row>
    <row r="309" spans="1:7" x14ac:dyDescent="0.2">
      <c r="A309" s="29"/>
      <c r="B309" s="75"/>
      <c r="C309" s="365"/>
      <c r="D309" s="366"/>
      <c r="E309" s="77"/>
      <c r="F309" s="185"/>
      <c r="G309" s="35"/>
    </row>
    <row r="310" spans="1:7" x14ac:dyDescent="0.2">
      <c r="A310" s="29"/>
      <c r="B310" s="75"/>
      <c r="C310" s="183"/>
      <c r="D310" s="366"/>
      <c r="E310" s="77"/>
      <c r="F310" s="185"/>
      <c r="G310" s="35"/>
    </row>
    <row r="311" spans="1:7" x14ac:dyDescent="0.2">
      <c r="A311" s="29"/>
      <c r="B311" s="75"/>
      <c r="C311" s="183"/>
      <c r="D311" s="184"/>
      <c r="E311" s="77"/>
      <c r="F311" s="185"/>
      <c r="G311" s="35"/>
    </row>
    <row r="312" spans="1:7" x14ac:dyDescent="0.2">
      <c r="A312" s="29"/>
      <c r="B312" s="75"/>
      <c r="C312" s="183"/>
      <c r="D312" s="184"/>
      <c r="E312" s="77"/>
      <c r="F312" s="185"/>
      <c r="G312" s="35"/>
    </row>
    <row r="313" spans="1:7" x14ac:dyDescent="0.2">
      <c r="A313" s="29"/>
      <c r="B313" s="75"/>
      <c r="C313" s="41"/>
      <c r="D313" s="184"/>
      <c r="E313" s="77"/>
      <c r="F313" s="185"/>
      <c r="G313" s="35"/>
    </row>
    <row r="314" spans="1:7" x14ac:dyDescent="0.2">
      <c r="A314" s="29"/>
      <c r="B314" s="75"/>
      <c r="C314" s="41"/>
      <c r="D314" s="184"/>
      <c r="E314" s="77"/>
      <c r="F314" s="185"/>
      <c r="G314" s="35"/>
    </row>
    <row r="315" spans="1:7" x14ac:dyDescent="0.2">
      <c r="A315" s="29"/>
      <c r="B315" s="186"/>
      <c r="C315" s="41"/>
      <c r="D315" s="184"/>
      <c r="E315" s="77"/>
      <c r="F315" s="185"/>
      <c r="G315" s="35"/>
    </row>
    <row r="316" spans="1:7" x14ac:dyDescent="0.2">
      <c r="A316" s="29"/>
      <c r="B316" s="74"/>
      <c r="C316" s="31"/>
      <c r="D316" s="184"/>
      <c r="E316" s="77"/>
      <c r="F316" s="185"/>
      <c r="G316" s="35"/>
    </row>
    <row r="317" spans="1:7" x14ac:dyDescent="0.2">
      <c r="A317" s="29"/>
      <c r="B317" s="74"/>
      <c r="C317" s="41"/>
      <c r="D317" s="187"/>
      <c r="E317" s="84"/>
      <c r="F317" s="163"/>
      <c r="G317" s="35"/>
    </row>
    <row r="318" spans="1:7" x14ac:dyDescent="0.2">
      <c r="A318" s="29"/>
      <c r="B318" s="74"/>
      <c r="C318" s="41"/>
      <c r="D318" s="187"/>
      <c r="E318" s="84"/>
      <c r="F318" s="163"/>
      <c r="G318" s="35"/>
    </row>
    <row r="319" spans="1:7" x14ac:dyDescent="0.2">
      <c r="A319" s="29"/>
      <c r="B319" s="75"/>
      <c r="C319" s="41"/>
      <c r="D319" s="187"/>
      <c r="E319" s="84"/>
      <c r="F319" s="172"/>
      <c r="G319" s="35"/>
    </row>
    <row r="320" spans="1:7" x14ac:dyDescent="0.2">
      <c r="A320" s="29"/>
      <c r="B320" s="75"/>
      <c r="C320" s="41"/>
      <c r="D320" s="187"/>
      <c r="E320" s="84"/>
      <c r="F320" s="173"/>
      <c r="G320" s="35"/>
    </row>
    <row r="321" spans="1:7" x14ac:dyDescent="0.2">
      <c r="A321" s="29"/>
      <c r="B321" s="75"/>
      <c r="C321" s="183"/>
      <c r="D321" s="187"/>
      <c r="E321" s="77"/>
      <c r="F321" s="185"/>
      <c r="G321" s="35"/>
    </row>
    <row r="322" spans="1:7" x14ac:dyDescent="0.2">
      <c r="A322" s="29"/>
      <c r="B322" s="75"/>
      <c r="C322" s="183"/>
      <c r="D322" s="187"/>
      <c r="E322" s="77"/>
      <c r="F322" s="185"/>
      <c r="G322" s="35"/>
    </row>
    <row r="323" spans="1:7" x14ac:dyDescent="0.2">
      <c r="A323" s="29"/>
      <c r="B323" s="75"/>
      <c r="C323" s="183"/>
      <c r="D323" s="184"/>
      <c r="E323" s="77"/>
      <c r="F323" s="185"/>
      <c r="G323" s="35"/>
    </row>
    <row r="324" spans="1:7" x14ac:dyDescent="0.2">
      <c r="A324" s="29"/>
      <c r="B324" s="75"/>
      <c r="C324" s="183"/>
      <c r="D324" s="184"/>
      <c r="E324" s="77"/>
      <c r="F324" s="185"/>
      <c r="G324" s="35"/>
    </row>
    <row r="325" spans="1:7" x14ac:dyDescent="0.2">
      <c r="A325" s="29"/>
      <c r="B325" s="75"/>
      <c r="C325" s="183"/>
      <c r="D325" s="184"/>
      <c r="E325" s="77"/>
      <c r="F325" s="185"/>
      <c r="G325" s="35"/>
    </row>
    <row r="326" spans="1:7" x14ac:dyDescent="0.2">
      <c r="A326" s="29"/>
      <c r="B326" s="75"/>
      <c r="C326" s="41"/>
      <c r="D326" s="184"/>
      <c r="E326" s="84"/>
      <c r="F326" s="163"/>
      <c r="G326" s="35"/>
    </row>
    <row r="327" spans="1:7" x14ac:dyDescent="0.2">
      <c r="A327" s="29"/>
      <c r="B327" s="75"/>
      <c r="C327" s="41"/>
      <c r="D327" s="184"/>
      <c r="E327" s="84"/>
      <c r="F327" s="163"/>
      <c r="G327" s="35"/>
    </row>
    <row r="328" spans="1:7" x14ac:dyDescent="0.2">
      <c r="A328" s="29"/>
      <c r="B328" s="75"/>
      <c r="C328" s="41"/>
      <c r="D328" s="187"/>
      <c r="E328" s="84"/>
      <c r="F328" s="163"/>
      <c r="G328" s="35"/>
    </row>
    <row r="329" spans="1:7" x14ac:dyDescent="0.2">
      <c r="A329" s="29"/>
      <c r="B329" s="75"/>
      <c r="C329" s="41"/>
      <c r="D329" s="187"/>
      <c r="E329" s="84"/>
      <c r="F329" s="163"/>
      <c r="G329" s="35"/>
    </row>
    <row r="330" spans="1:7" x14ac:dyDescent="0.2">
      <c r="A330" s="29"/>
      <c r="B330" s="75"/>
      <c r="C330" s="41"/>
      <c r="D330" s="187"/>
      <c r="E330" s="84"/>
      <c r="F330" s="163"/>
      <c r="G330" s="35"/>
    </row>
    <row r="331" spans="1:7" x14ac:dyDescent="0.2">
      <c r="A331" s="29"/>
      <c r="B331" s="75"/>
      <c r="C331" s="41"/>
      <c r="D331" s="187"/>
      <c r="E331" s="84"/>
      <c r="F331" s="163"/>
      <c r="G331" s="35"/>
    </row>
    <row r="332" spans="1:7" x14ac:dyDescent="0.2">
      <c r="A332" s="29"/>
      <c r="B332" s="75"/>
      <c r="C332" s="41"/>
      <c r="D332" s="187"/>
      <c r="E332" s="84"/>
      <c r="F332" s="163"/>
      <c r="G332" s="35"/>
    </row>
    <row r="333" spans="1:7" x14ac:dyDescent="0.2">
      <c r="A333" s="29"/>
      <c r="B333" s="75"/>
      <c r="C333" s="41"/>
      <c r="D333" s="187"/>
      <c r="E333" s="84"/>
      <c r="F333" s="163"/>
      <c r="G333" s="35"/>
    </row>
    <row r="334" spans="1:7" x14ac:dyDescent="0.2">
      <c r="A334" s="29"/>
      <c r="B334" s="75"/>
      <c r="C334" s="41"/>
      <c r="D334" s="187"/>
      <c r="E334" s="84"/>
      <c r="F334" s="163"/>
      <c r="G334" s="35"/>
    </row>
    <row r="335" spans="1:7" x14ac:dyDescent="0.2">
      <c r="A335" s="29"/>
      <c r="B335" s="75"/>
      <c r="C335" s="41"/>
      <c r="D335" s="187"/>
      <c r="E335" s="84"/>
      <c r="F335" s="163"/>
      <c r="G335" s="35"/>
    </row>
    <row r="336" spans="1:7" x14ac:dyDescent="0.2">
      <c r="A336" s="29"/>
      <c r="B336" s="75"/>
      <c r="C336" s="41"/>
      <c r="D336" s="187"/>
      <c r="E336" s="84"/>
      <c r="F336" s="163"/>
      <c r="G336" s="35"/>
    </row>
    <row r="337" spans="1:7" x14ac:dyDescent="0.2">
      <c r="A337" s="29"/>
      <c r="B337" s="75"/>
      <c r="C337" s="41"/>
      <c r="D337" s="187"/>
      <c r="E337" s="84"/>
      <c r="F337" s="163"/>
      <c r="G337" s="35"/>
    </row>
    <row r="338" spans="1:7" x14ac:dyDescent="0.2">
      <c r="A338" s="29"/>
      <c r="B338" s="75"/>
      <c r="C338" s="41"/>
      <c r="D338" s="187"/>
      <c r="E338" s="84"/>
      <c r="F338" s="172"/>
      <c r="G338" s="35"/>
    </row>
    <row r="339" spans="1:7" x14ac:dyDescent="0.2">
      <c r="A339" s="29"/>
      <c r="B339" s="75"/>
      <c r="C339" s="41"/>
      <c r="D339" s="187"/>
      <c r="E339" s="84"/>
      <c r="F339" s="173"/>
      <c r="G339" s="35"/>
    </row>
    <row r="340" spans="1:7" x14ac:dyDescent="0.2">
      <c r="A340" s="29" t="s">
        <v>8</v>
      </c>
      <c r="B340" s="75"/>
      <c r="C340" s="41"/>
      <c r="D340" s="187"/>
      <c r="E340" s="84"/>
      <c r="F340" s="173"/>
      <c r="G340" s="35" t="s">
        <v>8</v>
      </c>
    </row>
    <row r="341" spans="1:7" ht="13.5" thickBot="1" x14ac:dyDescent="0.25">
      <c r="A341" s="45"/>
      <c r="B341" s="188"/>
      <c r="C341" s="47" t="s">
        <v>8</v>
      </c>
      <c r="D341" s="66" t="s">
        <v>8</v>
      </c>
      <c r="E341" s="188"/>
      <c r="F341" s="49" t="s">
        <v>15</v>
      </c>
      <c r="G341" s="50">
        <f>SUM(G307:G340)</f>
        <v>75000</v>
      </c>
    </row>
    <row r="342" spans="1:7" ht="13.5" thickTop="1" x14ac:dyDescent="0.2">
      <c r="A342" s="367" t="s">
        <v>1243</v>
      </c>
      <c r="B342" s="190"/>
      <c r="C342" s="191"/>
      <c r="D342" s="192"/>
      <c r="E342" s="190"/>
      <c r="F342" s="193"/>
      <c r="G342" s="194"/>
    </row>
    <row r="343" spans="1:7" ht="13.5" thickBot="1" x14ac:dyDescent="0.25">
      <c r="A343" s="195" t="s">
        <v>159</v>
      </c>
      <c r="B343" s="196"/>
      <c r="C343" s="368" t="s">
        <v>1244</v>
      </c>
      <c r="D343" s="196"/>
      <c r="E343" s="197"/>
      <c r="F343" s="198"/>
      <c r="G343" s="199"/>
    </row>
    <row r="344" spans="1:7" ht="13.5" thickTop="1" x14ac:dyDescent="0.2">
      <c r="A344" s="906" t="s">
        <v>8</v>
      </c>
      <c r="B344" s="907"/>
      <c r="C344" s="907"/>
      <c r="D344" s="57" t="s">
        <v>11</v>
      </c>
      <c r="E344" s="908" t="s">
        <v>12</v>
      </c>
      <c r="F344" s="908"/>
      <c r="G344" s="909"/>
    </row>
    <row r="345" spans="1:7" x14ac:dyDescent="0.2">
      <c r="A345" s="966" t="s">
        <v>17</v>
      </c>
      <c r="B345" s="967"/>
      <c r="C345" s="968"/>
      <c r="D345" s="39"/>
      <c r="E345" s="912"/>
      <c r="F345" s="913"/>
      <c r="G345" s="914"/>
    </row>
    <row r="346" spans="1:7" x14ac:dyDescent="0.2">
      <c r="A346" s="966" t="s">
        <v>38</v>
      </c>
      <c r="B346" s="967"/>
      <c r="C346" s="968"/>
      <c r="D346" s="58" t="s">
        <v>308</v>
      </c>
      <c r="E346" s="969" t="s">
        <v>142</v>
      </c>
      <c r="F346" s="868"/>
      <c r="G346" s="869"/>
    </row>
    <row r="347" spans="1:7" ht="13.5" thickBot="1" x14ac:dyDescent="0.25">
      <c r="A347" s="970" t="s">
        <v>39</v>
      </c>
      <c r="B347" s="971"/>
      <c r="C347" s="972"/>
      <c r="D347" s="375" t="s">
        <v>1038</v>
      </c>
      <c r="E347" s="904" t="s">
        <v>0</v>
      </c>
      <c r="F347" s="904"/>
      <c r="G347" s="905"/>
    </row>
    <row r="348" spans="1:7" ht="16.5" x14ac:dyDescent="0.25">
      <c r="A348" s="885" t="s">
        <v>29</v>
      </c>
      <c r="B348" s="886"/>
      <c r="C348" s="886"/>
      <c r="D348" s="886"/>
      <c r="E348" s="886"/>
      <c r="F348" s="886"/>
      <c r="G348" s="887"/>
    </row>
    <row r="349" spans="1:7" x14ac:dyDescent="0.2">
      <c r="A349" s="888" t="s">
        <v>48</v>
      </c>
      <c r="B349" s="889"/>
      <c r="C349" s="889"/>
      <c r="D349" s="889"/>
      <c r="E349" s="889"/>
      <c r="F349" s="889"/>
      <c r="G349" s="890"/>
    </row>
    <row r="350" spans="1:7" x14ac:dyDescent="0.2">
      <c r="A350" s="915" t="s">
        <v>49</v>
      </c>
      <c r="B350" s="916"/>
      <c r="C350" s="916"/>
      <c r="D350" s="916"/>
      <c r="E350" s="916"/>
      <c r="F350" s="916"/>
      <c r="G350" s="917"/>
    </row>
    <row r="351" spans="1:7" x14ac:dyDescent="0.2">
      <c r="A351" s="6"/>
      <c r="B351" s="178"/>
      <c r="C351" s="8"/>
      <c r="D351" s="9"/>
      <c r="E351" s="99"/>
      <c r="F351" s="10"/>
      <c r="G351" s="392" t="s">
        <v>334</v>
      </c>
    </row>
    <row r="352" spans="1:7" x14ac:dyDescent="0.2">
      <c r="A352" s="12" t="s">
        <v>1</v>
      </c>
      <c r="B352" s="13"/>
      <c r="C352" s="14" t="s">
        <v>5</v>
      </c>
      <c r="D352" s="13"/>
      <c r="E352" s="362" t="s">
        <v>1514</v>
      </c>
      <c r="F352" s="60"/>
      <c r="G352" s="363" t="s">
        <v>1458</v>
      </c>
    </row>
    <row r="353" spans="1:13" x14ac:dyDescent="0.2">
      <c r="A353" s="17" t="s">
        <v>8</v>
      </c>
      <c r="B353" s="179"/>
      <c r="C353" s="19"/>
      <c r="D353" s="4"/>
      <c r="E353" s="918"/>
      <c r="F353" s="919"/>
      <c r="G353" s="20"/>
    </row>
    <row r="354" spans="1:13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13" x14ac:dyDescent="0.2">
      <c r="A355" s="6"/>
      <c r="B355" s="178"/>
      <c r="C355" s="8"/>
      <c r="D355" s="8"/>
      <c r="E355" s="920"/>
      <c r="F355" s="921"/>
      <c r="G355" s="25"/>
    </row>
    <row r="356" spans="1:13" ht="26.25" thickBot="1" x14ac:dyDescent="0.25">
      <c r="A356" s="26" t="s">
        <v>47</v>
      </c>
      <c r="B356" s="180" t="s">
        <v>23</v>
      </c>
      <c r="C356" s="28" t="s">
        <v>34</v>
      </c>
      <c r="D356" s="110" t="s">
        <v>53</v>
      </c>
      <c r="E356" s="181" t="s">
        <v>54</v>
      </c>
      <c r="F356" s="111" t="s">
        <v>55</v>
      </c>
      <c r="G356" s="112" t="s">
        <v>35</v>
      </c>
    </row>
    <row r="357" spans="1:13" ht="13.5" thickTop="1" x14ac:dyDescent="0.2">
      <c r="A357" s="29">
        <v>1</v>
      </c>
      <c r="B357" s="75"/>
      <c r="C357" s="365" t="s">
        <v>185</v>
      </c>
      <c r="D357" s="366" t="s">
        <v>1459</v>
      </c>
      <c r="E357" s="77">
        <v>1</v>
      </c>
      <c r="F357" s="185">
        <v>304.5</v>
      </c>
      <c r="G357" s="35">
        <f>F357*E357</f>
        <v>304.5</v>
      </c>
      <c r="H357" s="430" t="s">
        <v>1498</v>
      </c>
      <c r="I357" s="430"/>
      <c r="J357" s="430"/>
      <c r="K357" s="430"/>
    </row>
    <row r="358" spans="1:13" x14ac:dyDescent="0.2">
      <c r="A358" s="364">
        <f>A357+1</f>
        <v>2</v>
      </c>
      <c r="B358" s="75"/>
      <c r="C358" s="365" t="s">
        <v>185</v>
      </c>
      <c r="D358" s="366" t="s">
        <v>1460</v>
      </c>
      <c r="E358" s="77">
        <v>1</v>
      </c>
      <c r="F358" s="185">
        <v>249.5</v>
      </c>
      <c r="G358" s="35">
        <f t="shared" ref="G358:G389" si="0">F358*E358</f>
        <v>249.5</v>
      </c>
    </row>
    <row r="359" spans="1:13" x14ac:dyDescent="0.2">
      <c r="A359" s="364">
        <f t="shared" ref="A359:A389" si="1">A358+1</f>
        <v>3</v>
      </c>
      <c r="B359" s="75"/>
      <c r="C359" s="365" t="s">
        <v>149</v>
      </c>
      <c r="D359" s="366" t="s">
        <v>1461</v>
      </c>
      <c r="E359" s="77">
        <v>1</v>
      </c>
      <c r="F359" s="456">
        <v>112.5</v>
      </c>
      <c r="G359" s="35">
        <f t="shared" si="0"/>
        <v>112.5</v>
      </c>
      <c r="H359" s="430" t="s">
        <v>1499</v>
      </c>
      <c r="I359" s="430"/>
      <c r="J359" s="430"/>
      <c r="K359" s="430"/>
    </row>
    <row r="360" spans="1:13" x14ac:dyDescent="0.2">
      <c r="A360" s="364">
        <f t="shared" si="1"/>
        <v>4</v>
      </c>
      <c r="B360" s="75"/>
      <c r="C360" s="365" t="s">
        <v>149</v>
      </c>
      <c r="D360" s="366" t="s">
        <v>1462</v>
      </c>
      <c r="E360" s="77">
        <v>2</v>
      </c>
      <c r="F360" s="185">
        <v>59.95</v>
      </c>
      <c r="G360" s="35">
        <f t="shared" si="0"/>
        <v>119.9</v>
      </c>
      <c r="H360" s="430" t="s">
        <v>1495</v>
      </c>
      <c r="I360" s="430"/>
      <c r="J360" s="430"/>
      <c r="K360" s="430"/>
    </row>
    <row r="361" spans="1:13" x14ac:dyDescent="0.2">
      <c r="A361" s="364">
        <f t="shared" si="1"/>
        <v>5</v>
      </c>
      <c r="B361" s="75"/>
      <c r="C361" s="365" t="s">
        <v>149</v>
      </c>
      <c r="D361" s="366" t="s">
        <v>1515</v>
      </c>
      <c r="E361" s="77">
        <v>1</v>
      </c>
      <c r="F361" s="185">
        <v>121.2</v>
      </c>
      <c r="G361" s="35">
        <f t="shared" si="0"/>
        <v>121.2</v>
      </c>
    </row>
    <row r="362" spans="1:13" x14ac:dyDescent="0.2">
      <c r="A362" s="364">
        <f t="shared" si="1"/>
        <v>6</v>
      </c>
      <c r="B362" s="75"/>
      <c r="C362" s="365" t="s">
        <v>177</v>
      </c>
      <c r="D362" s="366" t="s">
        <v>1463</v>
      </c>
      <c r="E362" s="77">
        <v>1</v>
      </c>
      <c r="F362" s="185">
        <v>67.5</v>
      </c>
      <c r="G362" s="35">
        <f t="shared" si="0"/>
        <v>67.5</v>
      </c>
      <c r="H362" s="430" t="s">
        <v>1498</v>
      </c>
      <c r="I362" s="430"/>
      <c r="J362" s="430"/>
      <c r="K362" s="430"/>
    </row>
    <row r="363" spans="1:13" x14ac:dyDescent="0.2">
      <c r="A363" s="364">
        <f t="shared" si="1"/>
        <v>7</v>
      </c>
      <c r="B363" s="75"/>
      <c r="C363" s="371" t="s">
        <v>185</v>
      </c>
      <c r="D363" s="366" t="s">
        <v>1464</v>
      </c>
      <c r="E363" s="77">
        <v>1</v>
      </c>
      <c r="F363" s="185">
        <v>184</v>
      </c>
      <c r="G363" s="35">
        <f t="shared" si="0"/>
        <v>184</v>
      </c>
      <c r="H363" s="430" t="s">
        <v>1500</v>
      </c>
      <c r="I363" s="430"/>
      <c r="J363" s="430"/>
      <c r="K363" s="430"/>
    </row>
    <row r="364" spans="1:13" x14ac:dyDescent="0.2">
      <c r="A364" s="364">
        <f t="shared" si="1"/>
        <v>8</v>
      </c>
      <c r="B364" s="75"/>
      <c r="C364" s="371" t="s">
        <v>149</v>
      </c>
      <c r="D364" s="366" t="s">
        <v>1465</v>
      </c>
      <c r="E364" s="77">
        <v>3</v>
      </c>
      <c r="F364" s="185">
        <v>136.05000000000001</v>
      </c>
      <c r="G364" s="35">
        <f t="shared" si="0"/>
        <v>408.15000000000003</v>
      </c>
      <c r="H364" s="430" t="s">
        <v>1494</v>
      </c>
      <c r="I364" s="430"/>
      <c r="J364" s="430"/>
      <c r="K364" s="430"/>
      <c r="M364" s="430"/>
    </row>
    <row r="365" spans="1:13" x14ac:dyDescent="0.2">
      <c r="A365" s="364">
        <f t="shared" si="1"/>
        <v>9</v>
      </c>
      <c r="B365" s="186"/>
      <c r="C365" s="371" t="s">
        <v>149</v>
      </c>
      <c r="D365" s="458" t="s">
        <v>1510</v>
      </c>
      <c r="E365" s="77">
        <v>3</v>
      </c>
      <c r="F365" s="185">
        <v>63.2</v>
      </c>
      <c r="G365" s="35">
        <f t="shared" si="0"/>
        <v>189.60000000000002</v>
      </c>
      <c r="H365" s="430" t="s">
        <v>1496</v>
      </c>
      <c r="I365" s="430"/>
      <c r="J365" s="430"/>
      <c r="K365" s="430"/>
      <c r="M365" s="430"/>
    </row>
    <row r="366" spans="1:13" x14ac:dyDescent="0.2">
      <c r="A366" s="364">
        <f t="shared" si="1"/>
        <v>10</v>
      </c>
      <c r="B366" s="74"/>
      <c r="C366" s="371" t="s">
        <v>149</v>
      </c>
      <c r="D366" s="366" t="s">
        <v>1466</v>
      </c>
      <c r="E366" s="77">
        <v>3</v>
      </c>
      <c r="F366" s="185">
        <v>58.8</v>
      </c>
      <c r="G366" s="35">
        <f t="shared" si="0"/>
        <v>176.39999999999998</v>
      </c>
      <c r="H366" s="430" t="s">
        <v>1497</v>
      </c>
      <c r="I366" s="430"/>
      <c r="J366" s="430"/>
      <c r="K366" s="430"/>
    </row>
    <row r="367" spans="1:13" x14ac:dyDescent="0.2">
      <c r="A367" s="364">
        <f t="shared" si="1"/>
        <v>11</v>
      </c>
      <c r="B367" s="74"/>
      <c r="C367" s="371" t="s">
        <v>149</v>
      </c>
      <c r="D367" s="454" t="s">
        <v>1467</v>
      </c>
      <c r="E367" s="84">
        <v>4</v>
      </c>
      <c r="F367" s="163">
        <v>73</v>
      </c>
      <c r="G367" s="35">
        <f t="shared" si="0"/>
        <v>292</v>
      </c>
      <c r="H367" s="430" t="s">
        <v>1501</v>
      </c>
      <c r="I367" s="430"/>
      <c r="J367" s="430"/>
      <c r="K367" s="430"/>
    </row>
    <row r="368" spans="1:13" x14ac:dyDescent="0.2">
      <c r="A368" s="364">
        <f t="shared" si="1"/>
        <v>12</v>
      </c>
      <c r="B368" s="74"/>
      <c r="C368" s="371" t="s">
        <v>149</v>
      </c>
      <c r="D368" s="454" t="s">
        <v>1468</v>
      </c>
      <c r="E368" s="84">
        <v>3</v>
      </c>
      <c r="F368" s="163">
        <v>124.5</v>
      </c>
      <c r="G368" s="35">
        <f t="shared" si="0"/>
        <v>373.5</v>
      </c>
      <c r="H368" s="430" t="s">
        <v>1502</v>
      </c>
      <c r="I368" s="430"/>
      <c r="J368" s="430"/>
      <c r="K368" s="430"/>
      <c r="M368" s="430"/>
    </row>
    <row r="369" spans="1:17" x14ac:dyDescent="0.2">
      <c r="A369" s="364">
        <f t="shared" si="1"/>
        <v>13</v>
      </c>
      <c r="B369" s="75"/>
      <c r="C369" s="371" t="s">
        <v>149</v>
      </c>
      <c r="D369" s="454" t="s">
        <v>1469</v>
      </c>
      <c r="E369" s="84">
        <v>2</v>
      </c>
      <c r="F369" s="172">
        <v>124.5</v>
      </c>
      <c r="G369" s="35">
        <f t="shared" si="0"/>
        <v>249</v>
      </c>
      <c r="H369" s="430" t="s">
        <v>1502</v>
      </c>
      <c r="I369" s="430"/>
      <c r="J369" s="430"/>
      <c r="K369" s="430"/>
      <c r="M369" s="430"/>
    </row>
    <row r="370" spans="1:17" x14ac:dyDescent="0.2">
      <c r="A370" s="364">
        <f t="shared" si="1"/>
        <v>14</v>
      </c>
      <c r="B370" s="75"/>
      <c r="C370" s="371" t="s">
        <v>149</v>
      </c>
      <c r="D370" s="454" t="s">
        <v>1470</v>
      </c>
      <c r="E370" s="84">
        <v>4</v>
      </c>
      <c r="F370" s="173">
        <v>34.35</v>
      </c>
      <c r="G370" s="35">
        <f t="shared" si="0"/>
        <v>137.4</v>
      </c>
    </row>
    <row r="371" spans="1:17" x14ac:dyDescent="0.2">
      <c r="A371" s="364">
        <f t="shared" si="1"/>
        <v>15</v>
      </c>
      <c r="B371" s="75"/>
      <c r="C371" s="371" t="s">
        <v>149</v>
      </c>
      <c r="D371" s="454" t="s">
        <v>1471</v>
      </c>
      <c r="E371" s="77">
        <v>1</v>
      </c>
      <c r="F371" s="185">
        <v>35.25</v>
      </c>
      <c r="G371" s="35">
        <f t="shared" si="0"/>
        <v>35.25</v>
      </c>
      <c r="H371" s="430" t="s">
        <v>152</v>
      </c>
      <c r="I371" s="430"/>
      <c r="J371" s="430"/>
      <c r="K371" s="430"/>
    </row>
    <row r="372" spans="1:17" x14ac:dyDescent="0.2">
      <c r="A372" s="364">
        <f t="shared" si="1"/>
        <v>16</v>
      </c>
      <c r="B372" s="75"/>
      <c r="C372" s="371" t="s">
        <v>149</v>
      </c>
      <c r="D372" s="454" t="s">
        <v>1472</v>
      </c>
      <c r="E372" s="77">
        <v>1</v>
      </c>
      <c r="F372" s="185">
        <v>37.25</v>
      </c>
      <c r="G372" s="35">
        <f t="shared" si="0"/>
        <v>37.25</v>
      </c>
      <c r="H372" s="430" t="s">
        <v>8</v>
      </c>
      <c r="I372" s="430"/>
      <c r="J372" s="430"/>
      <c r="K372" s="430"/>
    </row>
    <row r="373" spans="1:17" x14ac:dyDescent="0.2">
      <c r="A373" s="364">
        <f t="shared" si="1"/>
        <v>17</v>
      </c>
      <c r="B373" s="75"/>
      <c r="C373" s="371" t="s">
        <v>149</v>
      </c>
      <c r="D373" s="366" t="s">
        <v>1473</v>
      </c>
      <c r="E373" s="77">
        <v>1</v>
      </c>
      <c r="F373" s="185">
        <v>96.8</v>
      </c>
      <c r="G373" s="35">
        <f t="shared" si="0"/>
        <v>96.8</v>
      </c>
      <c r="H373" s="430" t="s">
        <v>1504</v>
      </c>
      <c r="I373" s="430"/>
      <c r="J373" s="430"/>
      <c r="K373" s="430"/>
    </row>
    <row r="374" spans="1:17" x14ac:dyDescent="0.2">
      <c r="A374" s="364">
        <f t="shared" si="1"/>
        <v>18</v>
      </c>
      <c r="B374" s="75"/>
      <c r="C374" s="371" t="s">
        <v>149</v>
      </c>
      <c r="D374" s="366" t="s">
        <v>1475</v>
      </c>
      <c r="E374" s="77">
        <v>2</v>
      </c>
      <c r="F374" s="185">
        <v>42.95</v>
      </c>
      <c r="G374" s="35">
        <f t="shared" si="0"/>
        <v>85.9</v>
      </c>
      <c r="H374" s="430" t="s">
        <v>1491</v>
      </c>
      <c r="I374" s="430"/>
      <c r="J374" s="430"/>
      <c r="K374" s="430"/>
      <c r="M374" s="430"/>
    </row>
    <row r="375" spans="1:17" x14ac:dyDescent="0.2">
      <c r="A375" s="364">
        <f t="shared" si="1"/>
        <v>19</v>
      </c>
      <c r="B375" s="75"/>
      <c r="C375" s="371" t="s">
        <v>149</v>
      </c>
      <c r="D375" s="366" t="s">
        <v>1474</v>
      </c>
      <c r="E375" s="77">
        <v>1</v>
      </c>
      <c r="F375" s="185">
        <v>42.95</v>
      </c>
      <c r="G375" s="35">
        <f t="shared" si="0"/>
        <v>42.95</v>
      </c>
      <c r="H375" s="430" t="s">
        <v>1491</v>
      </c>
      <c r="I375" s="430"/>
      <c r="J375" s="430"/>
      <c r="K375" s="430"/>
    </row>
    <row r="376" spans="1:17" x14ac:dyDescent="0.2">
      <c r="A376" s="364">
        <f t="shared" si="1"/>
        <v>20</v>
      </c>
      <c r="B376" s="75"/>
      <c r="C376" s="371" t="s">
        <v>149</v>
      </c>
      <c r="D376" s="366" t="s">
        <v>1476</v>
      </c>
      <c r="E376" s="84">
        <v>2</v>
      </c>
      <c r="F376" s="163">
        <v>42.75</v>
      </c>
      <c r="G376" s="35">
        <f t="shared" si="0"/>
        <v>85.5</v>
      </c>
      <c r="H376" s="430" t="s">
        <v>1503</v>
      </c>
      <c r="I376" s="430"/>
      <c r="J376" s="430"/>
      <c r="K376" s="430"/>
    </row>
    <row r="377" spans="1:17" x14ac:dyDescent="0.2">
      <c r="A377" s="364">
        <f t="shared" si="1"/>
        <v>21</v>
      </c>
      <c r="B377" s="75"/>
      <c r="C377" s="371" t="s">
        <v>149</v>
      </c>
      <c r="D377" s="366" t="s">
        <v>1477</v>
      </c>
      <c r="E377" s="84">
        <v>2</v>
      </c>
      <c r="F377" s="163">
        <v>42.75</v>
      </c>
      <c r="G377" s="35">
        <f t="shared" si="0"/>
        <v>85.5</v>
      </c>
      <c r="H377" s="430" t="s">
        <v>1503</v>
      </c>
      <c r="I377" s="430"/>
      <c r="J377" s="430"/>
      <c r="K377" s="430"/>
    </row>
    <row r="378" spans="1:17" x14ac:dyDescent="0.2">
      <c r="A378" s="364">
        <f t="shared" si="1"/>
        <v>22</v>
      </c>
      <c r="B378" s="75"/>
      <c r="C378" s="371" t="s">
        <v>149</v>
      </c>
      <c r="D378" s="454" t="s">
        <v>1478</v>
      </c>
      <c r="E378" s="84">
        <v>1</v>
      </c>
      <c r="F378" s="163">
        <v>41.5</v>
      </c>
      <c r="G378" s="35">
        <f t="shared" si="0"/>
        <v>41.5</v>
      </c>
      <c r="H378" s="430" t="s">
        <v>1503</v>
      </c>
      <c r="I378" s="430"/>
      <c r="J378" s="430"/>
      <c r="K378" s="430"/>
      <c r="Q378" s="211"/>
    </row>
    <row r="379" spans="1:17" x14ac:dyDescent="0.2">
      <c r="A379" s="364">
        <f t="shared" si="1"/>
        <v>23</v>
      </c>
      <c r="B379" s="75"/>
      <c r="C379" s="371" t="s">
        <v>149</v>
      </c>
      <c r="D379" s="454" t="s">
        <v>1479</v>
      </c>
      <c r="E379" s="84">
        <v>2</v>
      </c>
      <c r="F379" s="163">
        <v>41.9</v>
      </c>
      <c r="G379" s="35">
        <f t="shared" si="0"/>
        <v>83.8</v>
      </c>
      <c r="H379" s="430" t="s">
        <v>1505</v>
      </c>
      <c r="I379" s="430"/>
      <c r="J379" s="430"/>
      <c r="K379" s="430"/>
      <c r="L379" s="212">
        <f>SUM(G357:G379)</f>
        <v>3579.6000000000004</v>
      </c>
      <c r="Q379" s="211"/>
    </row>
    <row r="380" spans="1:17" x14ac:dyDescent="0.2">
      <c r="A380" s="364">
        <f t="shared" si="1"/>
        <v>24</v>
      </c>
      <c r="B380" s="75"/>
      <c r="C380" s="371" t="s">
        <v>149</v>
      </c>
      <c r="D380" s="454" t="s">
        <v>1480</v>
      </c>
      <c r="E380" s="84">
        <v>2</v>
      </c>
      <c r="F380" s="163">
        <v>248</v>
      </c>
      <c r="G380" s="35">
        <f t="shared" si="0"/>
        <v>496</v>
      </c>
      <c r="H380" s="430" t="s">
        <v>1507</v>
      </c>
      <c r="I380" s="430"/>
      <c r="J380" s="430"/>
      <c r="K380" s="430"/>
    </row>
    <row r="381" spans="1:17" x14ac:dyDescent="0.2">
      <c r="A381" s="364">
        <f t="shared" si="1"/>
        <v>25</v>
      </c>
      <c r="B381" s="75"/>
      <c r="C381" s="371" t="s">
        <v>149</v>
      </c>
      <c r="D381" s="454" t="s">
        <v>1468</v>
      </c>
      <c r="E381" s="84">
        <v>4</v>
      </c>
      <c r="F381" s="163">
        <v>124.5</v>
      </c>
      <c r="G381" s="35">
        <f t="shared" si="0"/>
        <v>498</v>
      </c>
      <c r="H381" s="430"/>
      <c r="I381" s="430"/>
      <c r="J381" s="430"/>
      <c r="K381" s="430"/>
      <c r="Q381" s="212"/>
    </row>
    <row r="382" spans="1:17" x14ac:dyDescent="0.2">
      <c r="A382" s="364">
        <f t="shared" si="1"/>
        <v>26</v>
      </c>
      <c r="B382" s="75"/>
      <c r="C382" s="371" t="s">
        <v>149</v>
      </c>
      <c r="D382" s="454" t="s">
        <v>1481</v>
      </c>
      <c r="E382" s="84">
        <v>2</v>
      </c>
      <c r="F382" s="163">
        <v>334</v>
      </c>
      <c r="G382" s="35">
        <f t="shared" si="0"/>
        <v>668</v>
      </c>
      <c r="H382" s="430" t="s">
        <v>1507</v>
      </c>
      <c r="I382" s="430"/>
      <c r="J382" s="430"/>
      <c r="K382" s="430"/>
      <c r="M382" s="211"/>
    </row>
    <row r="383" spans="1:17" x14ac:dyDescent="0.2">
      <c r="A383" s="364">
        <f t="shared" si="1"/>
        <v>27</v>
      </c>
      <c r="B383" s="75"/>
      <c r="C383" s="371" t="s">
        <v>149</v>
      </c>
      <c r="D383" s="454" t="s">
        <v>1469</v>
      </c>
      <c r="E383" s="84">
        <v>4</v>
      </c>
      <c r="F383" s="172">
        <v>124.5</v>
      </c>
      <c r="G383" s="35">
        <f t="shared" si="0"/>
        <v>498</v>
      </c>
      <c r="H383" s="430"/>
      <c r="I383" s="430"/>
      <c r="J383" s="430"/>
      <c r="K383" s="430"/>
      <c r="M383" s="454" t="s">
        <v>1481</v>
      </c>
      <c r="N383" s="84">
        <v>2</v>
      </c>
      <c r="O383" s="163">
        <v>334</v>
      </c>
    </row>
    <row r="384" spans="1:17" x14ac:dyDescent="0.2">
      <c r="A384" s="364">
        <f t="shared" si="1"/>
        <v>28</v>
      </c>
      <c r="B384" s="75"/>
      <c r="C384" s="371" t="s">
        <v>149</v>
      </c>
      <c r="D384" s="454" t="s">
        <v>1482</v>
      </c>
      <c r="E384" s="84">
        <v>1</v>
      </c>
      <c r="F384" s="163">
        <v>108.25</v>
      </c>
      <c r="G384" s="35">
        <f t="shared" si="0"/>
        <v>108.25</v>
      </c>
      <c r="H384" s="430" t="s">
        <v>1506</v>
      </c>
      <c r="I384" s="430"/>
      <c r="J384" s="430"/>
      <c r="K384" s="430"/>
      <c r="M384" s="454" t="s">
        <v>1482</v>
      </c>
      <c r="N384" s="84">
        <v>1</v>
      </c>
      <c r="O384" s="163">
        <v>108.25</v>
      </c>
    </row>
    <row r="385" spans="1:15" x14ac:dyDescent="0.2">
      <c r="A385" s="364">
        <f t="shared" si="1"/>
        <v>29</v>
      </c>
      <c r="B385" s="75"/>
      <c r="C385" s="371" t="s">
        <v>149</v>
      </c>
      <c r="D385" s="454" t="s">
        <v>1483</v>
      </c>
      <c r="E385" s="84">
        <v>1</v>
      </c>
      <c r="F385" s="163">
        <v>209.5</v>
      </c>
      <c r="G385" s="35">
        <f t="shared" si="0"/>
        <v>209.5</v>
      </c>
      <c r="H385" s="430" t="s">
        <v>1502</v>
      </c>
      <c r="I385" s="430"/>
      <c r="J385" s="430"/>
      <c r="K385" s="430"/>
      <c r="M385" s="454" t="s">
        <v>1483</v>
      </c>
      <c r="N385" s="84">
        <v>1</v>
      </c>
      <c r="O385" s="163">
        <v>209.5</v>
      </c>
    </row>
    <row r="386" spans="1:15" x14ac:dyDescent="0.2">
      <c r="A386" s="364">
        <f t="shared" si="1"/>
        <v>30</v>
      </c>
      <c r="B386" s="75"/>
      <c r="C386" s="371" t="s">
        <v>149</v>
      </c>
      <c r="D386" s="454" t="s">
        <v>1484</v>
      </c>
      <c r="E386" s="84">
        <v>7</v>
      </c>
      <c r="F386" s="163">
        <v>59.3</v>
      </c>
      <c r="G386" s="35">
        <f t="shared" si="0"/>
        <v>415.09999999999997</v>
      </c>
      <c r="H386" s="430" t="s">
        <v>1495</v>
      </c>
      <c r="I386" s="430"/>
      <c r="J386" s="430"/>
      <c r="K386" s="430"/>
      <c r="M386" s="454" t="s">
        <v>1484</v>
      </c>
      <c r="N386" s="84">
        <v>1</v>
      </c>
      <c r="O386" s="163">
        <v>59.3</v>
      </c>
    </row>
    <row r="387" spans="1:15" x14ac:dyDescent="0.2">
      <c r="A387" s="364">
        <f t="shared" si="1"/>
        <v>31</v>
      </c>
      <c r="B387" s="75"/>
      <c r="C387" s="371" t="s">
        <v>149</v>
      </c>
      <c r="D387" s="454" t="s">
        <v>1485</v>
      </c>
      <c r="E387" s="84">
        <v>7</v>
      </c>
      <c r="F387" s="163">
        <v>136.05000000000001</v>
      </c>
      <c r="G387" s="35">
        <f t="shared" si="0"/>
        <v>952.35000000000014</v>
      </c>
      <c r="H387" s="430" t="s">
        <v>1494</v>
      </c>
      <c r="I387" s="430"/>
      <c r="J387" s="430"/>
      <c r="K387" s="430"/>
      <c r="M387" s="454" t="s">
        <v>1485</v>
      </c>
      <c r="N387" s="84">
        <v>7</v>
      </c>
      <c r="O387" s="163">
        <v>136.05000000000001</v>
      </c>
    </row>
    <row r="388" spans="1:15" x14ac:dyDescent="0.2">
      <c r="A388" s="364">
        <f t="shared" si="1"/>
        <v>32</v>
      </c>
      <c r="B388" s="75"/>
      <c r="C388" s="371" t="s">
        <v>149</v>
      </c>
      <c r="D388" s="366" t="s">
        <v>1466</v>
      </c>
      <c r="E388" s="77">
        <v>7</v>
      </c>
      <c r="F388" s="185">
        <v>58.8</v>
      </c>
      <c r="G388" s="35">
        <f t="shared" si="0"/>
        <v>411.59999999999997</v>
      </c>
      <c r="M388" s="454" t="s">
        <v>1466</v>
      </c>
      <c r="N388" s="84">
        <v>7</v>
      </c>
      <c r="O388" s="163">
        <v>58.8</v>
      </c>
    </row>
    <row r="389" spans="1:15" x14ac:dyDescent="0.2">
      <c r="A389" s="364">
        <f t="shared" si="1"/>
        <v>33</v>
      </c>
      <c r="B389" s="75"/>
      <c r="C389" s="371" t="s">
        <v>149</v>
      </c>
      <c r="D389" s="454" t="s">
        <v>1509</v>
      </c>
      <c r="E389" s="84">
        <v>7</v>
      </c>
      <c r="F389" s="163">
        <v>63.2</v>
      </c>
      <c r="G389" s="35">
        <f t="shared" si="0"/>
        <v>442.40000000000003</v>
      </c>
      <c r="H389" s="430" t="s">
        <v>1492</v>
      </c>
      <c r="I389" s="430"/>
      <c r="J389" s="430"/>
      <c r="K389" s="430"/>
      <c r="M389" s="454" t="s">
        <v>1486</v>
      </c>
      <c r="N389" s="84">
        <v>3</v>
      </c>
      <c r="O389" s="163">
        <v>41.9</v>
      </c>
    </row>
    <row r="390" spans="1:15" x14ac:dyDescent="0.2">
      <c r="A390" s="364" t="s">
        <v>8</v>
      </c>
      <c r="B390" s="75"/>
      <c r="C390" s="41"/>
      <c r="D390" s="218" t="s">
        <v>8</v>
      </c>
      <c r="E390" s="457" t="s">
        <v>8</v>
      </c>
      <c r="F390" s="456" t="s">
        <v>8</v>
      </c>
      <c r="G390" s="372" t="s">
        <v>8</v>
      </c>
      <c r="H390" s="430" t="s">
        <v>1492</v>
      </c>
      <c r="I390" s="430"/>
      <c r="J390" s="430"/>
      <c r="K390" s="438">
        <f>SUM(G380:G390)</f>
        <v>4699.2</v>
      </c>
      <c r="M390" s="454" t="s">
        <v>1487</v>
      </c>
      <c r="N390" s="84">
        <v>3</v>
      </c>
      <c r="O390" s="172">
        <v>41.9</v>
      </c>
    </row>
    <row r="391" spans="1:15" ht="13.5" thickBot="1" x14ac:dyDescent="0.25">
      <c r="A391" s="45"/>
      <c r="B391" s="188"/>
      <c r="C391" s="47" t="s">
        <v>8</v>
      </c>
      <c r="D391" s="66"/>
      <c r="E391" s="188"/>
      <c r="F391" s="49" t="s">
        <v>158</v>
      </c>
      <c r="G391" s="50">
        <f>SUM(G357:G390)</f>
        <v>8278.8000000000011</v>
      </c>
      <c r="H391" s="430"/>
      <c r="I391" s="430"/>
      <c r="J391" s="430"/>
      <c r="K391" s="430"/>
      <c r="M391" s="454" t="s">
        <v>1488</v>
      </c>
      <c r="N391" s="84">
        <v>3</v>
      </c>
      <c r="O391" s="173">
        <v>41.9</v>
      </c>
    </row>
    <row r="392" spans="1:15" ht="13.5" thickTop="1" x14ac:dyDescent="0.2">
      <c r="A392" s="963" t="s">
        <v>1511</v>
      </c>
      <c r="B392" s="964"/>
      <c r="C392" s="964"/>
      <c r="D392" s="964"/>
      <c r="E392" s="964"/>
      <c r="F392" s="964"/>
      <c r="G392" s="965"/>
      <c r="H392" s="430"/>
      <c r="I392" s="430"/>
      <c r="J392" s="430"/>
      <c r="K392" s="430"/>
      <c r="M392" s="454" t="s">
        <v>1489</v>
      </c>
      <c r="N392" s="84">
        <v>4</v>
      </c>
      <c r="O392" s="173">
        <v>36.5</v>
      </c>
    </row>
    <row r="393" spans="1:15" ht="13.5" thickBot="1" x14ac:dyDescent="0.25">
      <c r="A393" s="378"/>
      <c r="B393" s="374"/>
      <c r="C393" s="374"/>
      <c r="D393" s="379"/>
      <c r="E393" s="374"/>
      <c r="F393" s="380"/>
      <c r="G393" s="381"/>
      <c r="M393" s="366" t="s">
        <v>1467</v>
      </c>
      <c r="N393" s="77">
        <v>2</v>
      </c>
      <c r="O393" s="185">
        <v>80</v>
      </c>
    </row>
    <row r="394" spans="1:15" ht="13.5" thickTop="1" x14ac:dyDescent="0.2">
      <c r="A394" s="906" t="s">
        <v>8</v>
      </c>
      <c r="B394" s="907"/>
      <c r="C394" s="907"/>
      <c r="D394" s="57" t="s">
        <v>11</v>
      </c>
      <c r="E394" s="908" t="s">
        <v>12</v>
      </c>
      <c r="F394" s="908"/>
      <c r="G394" s="909"/>
      <c r="M394" s="366" t="s">
        <v>1490</v>
      </c>
      <c r="N394" s="77">
        <v>1</v>
      </c>
      <c r="O394" s="185">
        <v>320</v>
      </c>
    </row>
    <row r="395" spans="1:15" x14ac:dyDescent="0.2">
      <c r="A395" s="966" t="s">
        <v>17</v>
      </c>
      <c r="B395" s="967"/>
      <c r="C395" s="968"/>
      <c r="D395" s="39"/>
      <c r="E395" s="912"/>
      <c r="F395" s="913"/>
      <c r="G395" s="914"/>
    </row>
    <row r="396" spans="1:15" x14ac:dyDescent="0.2">
      <c r="A396" s="966" t="s">
        <v>38</v>
      </c>
      <c r="B396" s="967"/>
      <c r="C396" s="968"/>
      <c r="D396" s="58" t="s">
        <v>308</v>
      </c>
      <c r="E396" s="969" t="s">
        <v>142</v>
      </c>
      <c r="F396" s="868"/>
      <c r="G396" s="869"/>
    </row>
    <row r="397" spans="1:15" ht="13.5" thickBot="1" x14ac:dyDescent="0.25">
      <c r="A397" s="970" t="s">
        <v>39</v>
      </c>
      <c r="B397" s="971"/>
      <c r="C397" s="972"/>
      <c r="D397" s="375" t="s">
        <v>1038</v>
      </c>
      <c r="E397" s="904" t="s">
        <v>0</v>
      </c>
      <c r="F397" s="904"/>
      <c r="G397" s="905"/>
    </row>
    <row r="398" spans="1:15" ht="16.5" x14ac:dyDescent="0.25">
      <c r="A398" s="885" t="s">
        <v>29</v>
      </c>
      <c r="B398" s="886"/>
      <c r="C398" s="886"/>
      <c r="D398" s="886"/>
      <c r="E398" s="886"/>
      <c r="F398" s="886"/>
      <c r="G398" s="887"/>
    </row>
    <row r="399" spans="1:15" x14ac:dyDescent="0.2">
      <c r="A399" s="888" t="s">
        <v>48</v>
      </c>
      <c r="B399" s="889"/>
      <c r="C399" s="889"/>
      <c r="D399" s="889"/>
      <c r="E399" s="889"/>
      <c r="F399" s="889"/>
      <c r="G399" s="890"/>
    </row>
    <row r="400" spans="1:15" x14ac:dyDescent="0.2">
      <c r="A400" s="915" t="s">
        <v>49</v>
      </c>
      <c r="B400" s="916"/>
      <c r="C400" s="916"/>
      <c r="D400" s="916"/>
      <c r="E400" s="916"/>
      <c r="F400" s="916"/>
      <c r="G400" s="917"/>
    </row>
    <row r="401" spans="1:12" x14ac:dyDescent="0.2">
      <c r="A401" s="6"/>
      <c r="B401" s="178"/>
      <c r="C401" s="8"/>
      <c r="D401" s="9"/>
      <c r="E401" s="99"/>
      <c r="F401" s="10"/>
      <c r="G401" s="392" t="s">
        <v>335</v>
      </c>
    </row>
    <row r="402" spans="1:12" x14ac:dyDescent="0.2">
      <c r="A402" s="12" t="s">
        <v>1</v>
      </c>
      <c r="B402" s="13"/>
      <c r="C402" s="14" t="s">
        <v>5</v>
      </c>
      <c r="D402" s="13"/>
      <c r="E402" s="362" t="s">
        <v>1514</v>
      </c>
      <c r="F402" s="60"/>
      <c r="G402" s="363" t="s">
        <v>1458</v>
      </c>
    </row>
    <row r="403" spans="1:12" x14ac:dyDescent="0.2">
      <c r="A403" s="17" t="s">
        <v>8</v>
      </c>
      <c r="B403" s="179"/>
      <c r="C403" s="19"/>
      <c r="D403" s="4"/>
      <c r="E403" s="918"/>
      <c r="F403" s="919"/>
      <c r="G403" s="20"/>
    </row>
    <row r="404" spans="1:12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12" x14ac:dyDescent="0.2">
      <c r="A405" s="6"/>
      <c r="B405" s="178"/>
      <c r="C405" s="8"/>
      <c r="D405" s="8"/>
      <c r="E405" s="920"/>
      <c r="F405" s="921"/>
      <c r="G405" s="25"/>
    </row>
    <row r="406" spans="1:12" ht="26.25" thickBot="1" x14ac:dyDescent="0.25">
      <c r="A406" s="26" t="s">
        <v>47</v>
      </c>
      <c r="B406" s="180" t="s">
        <v>23</v>
      </c>
      <c r="C406" s="28" t="s">
        <v>34</v>
      </c>
      <c r="D406" s="110" t="s">
        <v>53</v>
      </c>
      <c r="E406" s="181" t="s">
        <v>54</v>
      </c>
      <c r="F406" s="111" t="s">
        <v>55</v>
      </c>
      <c r="G406" s="112" t="s">
        <v>35</v>
      </c>
    </row>
    <row r="407" spans="1:12" ht="13.5" thickTop="1" x14ac:dyDescent="0.2">
      <c r="A407" s="29"/>
      <c r="B407" s="75"/>
      <c r="C407" s="365"/>
      <c r="D407" s="455" t="s">
        <v>160</v>
      </c>
      <c r="E407" s="77"/>
      <c r="F407" s="185"/>
      <c r="G407" s="200">
        <f>G391</f>
        <v>8278.8000000000011</v>
      </c>
    </row>
    <row r="408" spans="1:12" x14ac:dyDescent="0.2">
      <c r="A408" s="364">
        <v>34</v>
      </c>
      <c r="B408" s="75"/>
      <c r="C408" s="371" t="s">
        <v>149</v>
      </c>
      <c r="D408" s="454" t="s">
        <v>1486</v>
      </c>
      <c r="E408" s="84">
        <v>3</v>
      </c>
      <c r="F408" s="163">
        <v>41.9</v>
      </c>
      <c r="G408" s="35">
        <f t="shared" ref="G408:G414" si="2">F408*E408</f>
        <v>125.69999999999999</v>
      </c>
      <c r="H408" s="430" t="s">
        <v>1492</v>
      </c>
      <c r="I408" s="430"/>
      <c r="J408" s="430"/>
      <c r="K408" s="430"/>
    </row>
    <row r="409" spans="1:12" x14ac:dyDescent="0.2">
      <c r="A409" s="364">
        <f>A408+1</f>
        <v>35</v>
      </c>
      <c r="B409" s="75"/>
      <c r="C409" s="371" t="s">
        <v>149</v>
      </c>
      <c r="D409" s="454" t="s">
        <v>1487</v>
      </c>
      <c r="E409" s="84">
        <v>3</v>
      </c>
      <c r="F409" s="172">
        <v>41.9</v>
      </c>
      <c r="G409" s="35">
        <f t="shared" si="2"/>
        <v>125.69999999999999</v>
      </c>
      <c r="H409" s="430" t="s">
        <v>1493</v>
      </c>
      <c r="I409" s="430"/>
      <c r="J409" s="430"/>
      <c r="K409" s="430"/>
    </row>
    <row r="410" spans="1:12" x14ac:dyDescent="0.2">
      <c r="A410" s="364">
        <f t="shared" ref="A410:A414" si="3">A409+1</f>
        <v>36</v>
      </c>
      <c r="B410" s="75"/>
      <c r="C410" s="371" t="s">
        <v>149</v>
      </c>
      <c r="D410" s="454" t="s">
        <v>1488</v>
      </c>
      <c r="E410" s="84">
        <v>3</v>
      </c>
      <c r="F410" s="173">
        <v>41.9</v>
      </c>
      <c r="G410" s="35">
        <f t="shared" si="2"/>
        <v>125.69999999999999</v>
      </c>
    </row>
    <row r="411" spans="1:12" x14ac:dyDescent="0.2">
      <c r="A411" s="364">
        <f t="shared" si="3"/>
        <v>37</v>
      </c>
      <c r="B411" s="75"/>
      <c r="C411" s="371" t="s">
        <v>149</v>
      </c>
      <c r="D411" s="366" t="s">
        <v>1475</v>
      </c>
      <c r="E411" s="77">
        <v>4</v>
      </c>
      <c r="F411" s="185">
        <v>42.95</v>
      </c>
      <c r="G411" s="35">
        <f t="shared" si="2"/>
        <v>171.8</v>
      </c>
    </row>
    <row r="412" spans="1:12" x14ac:dyDescent="0.2">
      <c r="A412" s="364">
        <f t="shared" si="3"/>
        <v>38</v>
      </c>
      <c r="B412" s="75"/>
      <c r="C412" s="371" t="s">
        <v>149</v>
      </c>
      <c r="D412" s="454" t="s">
        <v>1489</v>
      </c>
      <c r="E412" s="84">
        <v>4</v>
      </c>
      <c r="F412" s="173">
        <v>36.5</v>
      </c>
      <c r="G412" s="35">
        <f t="shared" si="2"/>
        <v>146</v>
      </c>
    </row>
    <row r="413" spans="1:12" x14ac:dyDescent="0.2">
      <c r="A413" s="364">
        <f t="shared" si="3"/>
        <v>39</v>
      </c>
      <c r="B413" s="75"/>
      <c r="C413" s="371" t="s">
        <v>149</v>
      </c>
      <c r="D413" s="366" t="s">
        <v>1467</v>
      </c>
      <c r="E413" s="77">
        <v>2</v>
      </c>
      <c r="F413" s="185">
        <v>80</v>
      </c>
      <c r="G413" s="35">
        <f t="shared" si="2"/>
        <v>160</v>
      </c>
    </row>
    <row r="414" spans="1:12" x14ac:dyDescent="0.2">
      <c r="A414" s="364">
        <f t="shared" si="3"/>
        <v>40</v>
      </c>
      <c r="B414" s="186"/>
      <c r="C414" s="371" t="s">
        <v>149</v>
      </c>
      <c r="D414" s="366" t="s">
        <v>1508</v>
      </c>
      <c r="E414" s="77">
        <v>1</v>
      </c>
      <c r="F414" s="185">
        <v>320</v>
      </c>
      <c r="G414" s="35">
        <f t="shared" si="2"/>
        <v>320</v>
      </c>
      <c r="K414" s="212">
        <f>SUM(G408:G414)</f>
        <v>1174.9000000000001</v>
      </c>
      <c r="L414" s="164">
        <f>K390+K414</f>
        <v>5874.1</v>
      </c>
    </row>
    <row r="415" spans="1:12" x14ac:dyDescent="0.2">
      <c r="A415" s="364"/>
      <c r="B415" s="74"/>
      <c r="C415" s="31"/>
      <c r="D415" s="366"/>
      <c r="E415" s="77"/>
      <c r="F415" s="185"/>
      <c r="G415" s="35"/>
    </row>
    <row r="416" spans="1:12" x14ac:dyDescent="0.2">
      <c r="A416" s="364"/>
      <c r="B416" s="74"/>
      <c r="C416" s="41"/>
      <c r="D416" s="454"/>
      <c r="E416" s="84"/>
      <c r="F416" s="163"/>
      <c r="G416" s="35"/>
    </row>
    <row r="417" spans="1:7" x14ac:dyDescent="0.2">
      <c r="A417" s="364"/>
      <c r="B417" s="74"/>
      <c r="C417" s="41"/>
      <c r="D417" s="454"/>
      <c r="E417" s="84"/>
      <c r="F417" s="163"/>
      <c r="G417" s="35"/>
    </row>
    <row r="418" spans="1:7" x14ac:dyDescent="0.2">
      <c r="A418" s="364"/>
      <c r="B418" s="74"/>
      <c r="C418" s="41"/>
      <c r="D418" s="454"/>
      <c r="E418" s="84"/>
      <c r="F418" s="163"/>
      <c r="G418" s="35"/>
    </row>
    <row r="419" spans="1:7" x14ac:dyDescent="0.2">
      <c r="A419" s="364"/>
      <c r="B419" s="75"/>
      <c r="C419" s="41"/>
      <c r="D419" s="454"/>
      <c r="E419" s="84"/>
      <c r="F419" s="172"/>
      <c r="G419" s="35"/>
    </row>
    <row r="420" spans="1:7" x14ac:dyDescent="0.2">
      <c r="A420" s="364"/>
      <c r="B420" s="75"/>
      <c r="C420" s="41"/>
      <c r="D420" s="454"/>
      <c r="E420" s="84"/>
      <c r="F420" s="173"/>
      <c r="G420" s="35"/>
    </row>
    <row r="421" spans="1:7" x14ac:dyDescent="0.2">
      <c r="A421" s="364"/>
      <c r="B421" s="75"/>
      <c r="C421" s="183"/>
      <c r="D421" s="454"/>
      <c r="E421" s="77"/>
      <c r="F421" s="185"/>
      <c r="G421" s="35"/>
    </row>
    <row r="422" spans="1:7" x14ac:dyDescent="0.2">
      <c r="A422" s="364"/>
      <c r="B422" s="75"/>
      <c r="C422" s="183"/>
      <c r="D422" s="454"/>
      <c r="E422" s="77"/>
      <c r="F422" s="185"/>
      <c r="G422" s="35"/>
    </row>
    <row r="423" spans="1:7" x14ac:dyDescent="0.2">
      <c r="A423" s="364"/>
      <c r="B423" s="75"/>
      <c r="C423" s="183"/>
      <c r="D423" s="366"/>
      <c r="E423" s="77"/>
      <c r="F423" s="185"/>
      <c r="G423" s="35"/>
    </row>
    <row r="424" spans="1:7" x14ac:dyDescent="0.2">
      <c r="A424" s="364"/>
      <c r="B424" s="75"/>
      <c r="C424" s="183"/>
      <c r="D424" s="366"/>
      <c r="E424" s="77"/>
      <c r="F424" s="185"/>
      <c r="G424" s="35"/>
    </row>
    <row r="425" spans="1:7" x14ac:dyDescent="0.2">
      <c r="A425" s="364"/>
      <c r="B425" s="75"/>
      <c r="C425" s="183"/>
      <c r="D425" s="366"/>
      <c r="E425" s="77"/>
      <c r="F425" s="185"/>
      <c r="G425" s="35"/>
    </row>
    <row r="426" spans="1:7" x14ac:dyDescent="0.2">
      <c r="A426" s="364"/>
      <c r="B426" s="75"/>
      <c r="C426" s="41"/>
      <c r="D426" s="366"/>
      <c r="E426" s="84"/>
      <c r="F426" s="163"/>
      <c r="G426" s="35"/>
    </row>
    <row r="427" spans="1:7" x14ac:dyDescent="0.2">
      <c r="A427" s="364"/>
      <c r="B427" s="75"/>
      <c r="C427" s="41"/>
      <c r="D427" s="366"/>
      <c r="E427" s="84"/>
      <c r="F427" s="163"/>
      <c r="G427" s="35"/>
    </row>
    <row r="428" spans="1:7" x14ac:dyDescent="0.2">
      <c r="A428" s="364"/>
      <c r="B428" s="75"/>
      <c r="C428" s="41"/>
      <c r="D428" s="454"/>
      <c r="E428" s="84"/>
      <c r="F428" s="163"/>
      <c r="G428" s="35"/>
    </row>
    <row r="429" spans="1:7" x14ac:dyDescent="0.2">
      <c r="A429" s="364"/>
      <c r="B429" s="75"/>
      <c r="C429" s="41"/>
      <c r="D429" s="454"/>
      <c r="E429" s="84"/>
      <c r="F429" s="163"/>
      <c r="G429" s="35"/>
    </row>
    <row r="430" spans="1:7" x14ac:dyDescent="0.2">
      <c r="A430" s="29"/>
      <c r="B430" s="75"/>
      <c r="C430" s="41"/>
      <c r="D430" s="454"/>
      <c r="E430" s="84"/>
      <c r="F430" s="163"/>
      <c r="G430" s="35"/>
    </row>
    <row r="431" spans="1:7" x14ac:dyDescent="0.2">
      <c r="A431" s="29"/>
      <c r="B431" s="75"/>
      <c r="C431" s="41"/>
      <c r="D431" s="454"/>
      <c r="E431" s="84"/>
      <c r="F431" s="163"/>
      <c r="G431" s="35"/>
    </row>
    <row r="432" spans="1:7" x14ac:dyDescent="0.2">
      <c r="A432" s="29"/>
      <c r="B432" s="75"/>
      <c r="C432" s="41"/>
      <c r="D432" s="454"/>
      <c r="E432" s="84"/>
      <c r="F432" s="163"/>
      <c r="G432" s="35"/>
    </row>
    <row r="433" spans="1:7" x14ac:dyDescent="0.2">
      <c r="A433" s="29"/>
      <c r="B433" s="75"/>
      <c r="C433" s="41"/>
      <c r="D433" s="454"/>
      <c r="E433" s="84"/>
      <c r="F433" s="163"/>
      <c r="G433" s="35"/>
    </row>
    <row r="434" spans="1:7" x14ac:dyDescent="0.2">
      <c r="A434" s="29"/>
      <c r="B434" s="75"/>
      <c r="C434" s="41"/>
      <c r="D434" s="454"/>
      <c r="E434" s="84"/>
      <c r="F434" s="163"/>
      <c r="G434" s="35"/>
    </row>
    <row r="435" spans="1:7" x14ac:dyDescent="0.2">
      <c r="A435" s="29"/>
      <c r="B435" s="75"/>
      <c r="C435" s="41"/>
      <c r="D435" s="454"/>
      <c r="E435" s="84"/>
      <c r="F435" s="163"/>
      <c r="G435" s="35"/>
    </row>
    <row r="436" spans="1:7" x14ac:dyDescent="0.2">
      <c r="A436" s="29"/>
      <c r="B436" s="75"/>
      <c r="C436" s="41"/>
      <c r="D436" s="454"/>
      <c r="E436" s="84"/>
      <c r="F436" s="163"/>
      <c r="G436" s="35"/>
    </row>
    <row r="437" spans="1:7" x14ac:dyDescent="0.2">
      <c r="A437" s="29"/>
      <c r="B437" s="75"/>
      <c r="C437" s="41"/>
      <c r="D437" s="454"/>
      <c r="E437" s="84"/>
      <c r="F437" s="163"/>
      <c r="G437" s="35"/>
    </row>
    <row r="438" spans="1:7" x14ac:dyDescent="0.2">
      <c r="A438" s="29"/>
      <c r="B438" s="75"/>
      <c r="C438" s="41"/>
      <c r="D438" s="454"/>
      <c r="E438" s="84"/>
      <c r="F438" s="172"/>
      <c r="G438" s="35"/>
    </row>
    <row r="439" spans="1:7" x14ac:dyDescent="0.2">
      <c r="A439" s="29"/>
      <c r="B439" s="75"/>
      <c r="C439" s="41"/>
      <c r="D439" s="454"/>
      <c r="E439" s="84"/>
      <c r="F439" s="173"/>
      <c r="G439" s="35"/>
    </row>
    <row r="440" spans="1:7" x14ac:dyDescent="0.2">
      <c r="A440" s="29"/>
      <c r="B440" s="75"/>
      <c r="C440" s="41"/>
      <c r="D440" s="454"/>
      <c r="E440" s="84"/>
      <c r="F440" s="173"/>
      <c r="G440" s="35" t="s">
        <v>8</v>
      </c>
    </row>
    <row r="441" spans="1:7" ht="13.5" thickBot="1" x14ac:dyDescent="0.25">
      <c r="A441" s="45"/>
      <c r="B441" s="188"/>
      <c r="C441" s="47" t="s">
        <v>8</v>
      </c>
      <c r="D441" s="66"/>
      <c r="E441" s="188"/>
      <c r="F441" s="49" t="s">
        <v>15</v>
      </c>
      <c r="G441" s="50">
        <f>SUM(G407:G440)</f>
        <v>9453.7000000000025</v>
      </c>
    </row>
    <row r="442" spans="1:7" ht="13.5" thickTop="1" x14ac:dyDescent="0.2">
      <c r="A442" s="963" t="s">
        <v>1511</v>
      </c>
      <c r="B442" s="964"/>
      <c r="C442" s="964"/>
      <c r="D442" s="964"/>
      <c r="E442" s="964"/>
      <c r="F442" s="964"/>
      <c r="G442" s="965"/>
    </row>
    <row r="443" spans="1:7" ht="13.5" thickBot="1" x14ac:dyDescent="0.25">
      <c r="A443" s="378"/>
      <c r="B443" s="374"/>
      <c r="C443" s="374"/>
      <c r="D443" s="379"/>
      <c r="E443" s="374"/>
      <c r="F443" s="380"/>
      <c r="G443" s="381"/>
    </row>
    <row r="444" spans="1:7" ht="13.5" thickTop="1" x14ac:dyDescent="0.2">
      <c r="A444" s="906" t="s">
        <v>8</v>
      </c>
      <c r="B444" s="907"/>
      <c r="C444" s="907"/>
      <c r="D444" s="57" t="s">
        <v>11</v>
      </c>
      <c r="E444" s="908" t="s">
        <v>12</v>
      </c>
      <c r="F444" s="908"/>
      <c r="G444" s="909"/>
    </row>
    <row r="445" spans="1:7" x14ac:dyDescent="0.2">
      <c r="A445" s="966" t="s">
        <v>17</v>
      </c>
      <c r="B445" s="967"/>
      <c r="C445" s="968"/>
      <c r="D445" s="39"/>
      <c r="E445" s="912"/>
      <c r="F445" s="913"/>
      <c r="G445" s="914"/>
    </row>
    <row r="446" spans="1:7" x14ac:dyDescent="0.2">
      <c r="A446" s="966" t="s">
        <v>38</v>
      </c>
      <c r="B446" s="967"/>
      <c r="C446" s="968"/>
      <c r="D446" s="58" t="s">
        <v>308</v>
      </c>
      <c r="E446" s="969" t="s">
        <v>142</v>
      </c>
      <c r="F446" s="868"/>
      <c r="G446" s="869"/>
    </row>
    <row r="447" spans="1:7" ht="13.5" thickBot="1" x14ac:dyDescent="0.25">
      <c r="A447" s="970" t="s">
        <v>39</v>
      </c>
      <c r="B447" s="971"/>
      <c r="C447" s="972"/>
      <c r="D447" s="375" t="s">
        <v>1038</v>
      </c>
      <c r="E447" s="904" t="s">
        <v>0</v>
      </c>
      <c r="F447" s="904"/>
      <c r="G447" s="905"/>
    </row>
    <row r="448" spans="1:7" ht="16.5" x14ac:dyDescent="0.25">
      <c r="A448" s="885" t="s">
        <v>29</v>
      </c>
      <c r="B448" s="886"/>
      <c r="C448" s="886"/>
      <c r="D448" s="886"/>
      <c r="E448" s="886"/>
      <c r="F448" s="886"/>
      <c r="G448" s="887"/>
    </row>
    <row r="449" spans="1:7" x14ac:dyDescent="0.2">
      <c r="A449" s="888" t="s">
        <v>48</v>
      </c>
      <c r="B449" s="889"/>
      <c r="C449" s="889"/>
      <c r="D449" s="889"/>
      <c r="E449" s="889"/>
      <c r="F449" s="889"/>
      <c r="G449" s="890"/>
    </row>
    <row r="450" spans="1:7" x14ac:dyDescent="0.2">
      <c r="A450" s="915" t="s">
        <v>49</v>
      </c>
      <c r="B450" s="916"/>
      <c r="C450" s="916"/>
      <c r="D450" s="916"/>
      <c r="E450" s="916"/>
      <c r="F450" s="916"/>
      <c r="G450" s="917"/>
    </row>
    <row r="451" spans="1:7" x14ac:dyDescent="0.2">
      <c r="A451" s="6"/>
      <c r="B451" s="178"/>
      <c r="C451" s="8"/>
      <c r="D451" s="9"/>
      <c r="E451" s="99"/>
      <c r="F451" s="10"/>
      <c r="G451" s="11" t="s">
        <v>8</v>
      </c>
    </row>
    <row r="452" spans="1:7" x14ac:dyDescent="0.2">
      <c r="A452" s="12" t="s">
        <v>1</v>
      </c>
      <c r="B452" s="13"/>
      <c r="C452" s="14" t="s">
        <v>5</v>
      </c>
      <c r="D452" s="13"/>
      <c r="E452" s="362" t="s">
        <v>1745</v>
      </c>
      <c r="F452" s="60"/>
      <c r="G452" s="363" t="s">
        <v>1746</v>
      </c>
    </row>
    <row r="453" spans="1:7" x14ac:dyDescent="0.2">
      <c r="A453" s="17" t="s">
        <v>8</v>
      </c>
      <c r="B453" s="179"/>
      <c r="C453" s="19"/>
      <c r="D453" s="4"/>
      <c r="E453" s="918"/>
      <c r="F453" s="919"/>
      <c r="G453" s="20"/>
    </row>
    <row r="454" spans="1:7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7" x14ac:dyDescent="0.2">
      <c r="A455" s="6"/>
      <c r="B455" s="178"/>
      <c r="C455" s="8"/>
      <c r="D455" s="8"/>
      <c r="E455" s="920"/>
      <c r="F455" s="921"/>
      <c r="G455" s="25"/>
    </row>
    <row r="456" spans="1:7" ht="26.25" thickBot="1" x14ac:dyDescent="0.25">
      <c r="A456" s="26" t="s">
        <v>47</v>
      </c>
      <c r="B456" s="180" t="s">
        <v>23</v>
      </c>
      <c r="C456" s="28" t="s">
        <v>34</v>
      </c>
      <c r="D456" s="110" t="s">
        <v>53</v>
      </c>
      <c r="E456" s="181" t="s">
        <v>54</v>
      </c>
      <c r="F456" s="111" t="s">
        <v>55</v>
      </c>
      <c r="G456" s="112" t="s">
        <v>35</v>
      </c>
    </row>
    <row r="457" spans="1:7" ht="13.5" thickTop="1" x14ac:dyDescent="0.2">
      <c r="A457" s="29">
        <v>1</v>
      </c>
      <c r="B457" s="75"/>
      <c r="C457" s="365" t="s">
        <v>242</v>
      </c>
      <c r="D457" s="366" t="s">
        <v>1742</v>
      </c>
      <c r="E457" s="77">
        <v>80</v>
      </c>
      <c r="F457" s="185">
        <v>250</v>
      </c>
      <c r="G457" s="35">
        <f>F457*E457</f>
        <v>20000</v>
      </c>
    </row>
    <row r="458" spans="1:7" x14ac:dyDescent="0.2">
      <c r="A458" s="364"/>
      <c r="B458" s="75"/>
      <c r="C458" s="183"/>
      <c r="D458" s="366" t="s">
        <v>1106</v>
      </c>
      <c r="E458" s="77"/>
      <c r="F458" s="185"/>
      <c r="G458" s="35"/>
    </row>
    <row r="459" spans="1:7" x14ac:dyDescent="0.2">
      <c r="A459" s="29"/>
      <c r="B459" s="75"/>
      <c r="C459" s="365"/>
      <c r="D459" s="366"/>
      <c r="E459" s="77"/>
      <c r="F459" s="185"/>
      <c r="G459" s="35"/>
    </row>
    <row r="460" spans="1:7" x14ac:dyDescent="0.2">
      <c r="A460" s="29"/>
      <c r="B460" s="75"/>
      <c r="C460" s="183"/>
      <c r="D460" s="366"/>
      <c r="E460" s="77"/>
      <c r="F460" s="185"/>
      <c r="G460" s="35"/>
    </row>
    <row r="461" spans="1:7" x14ac:dyDescent="0.2">
      <c r="A461" s="29"/>
      <c r="B461" s="75"/>
      <c r="C461" s="183"/>
      <c r="D461" s="184"/>
      <c r="E461" s="77"/>
      <c r="F461" s="185"/>
      <c r="G461" s="35"/>
    </row>
    <row r="462" spans="1:7" x14ac:dyDescent="0.2">
      <c r="A462" s="29"/>
      <c r="B462" s="75"/>
      <c r="C462" s="183"/>
      <c r="D462" s="184"/>
      <c r="E462" s="77"/>
      <c r="F462" s="185"/>
      <c r="G462" s="35"/>
    </row>
    <row r="463" spans="1:7" x14ac:dyDescent="0.2">
      <c r="A463" s="29"/>
      <c r="B463" s="75"/>
      <c r="C463" s="41"/>
      <c r="D463" s="184"/>
      <c r="E463" s="77"/>
      <c r="F463" s="185"/>
      <c r="G463" s="35"/>
    </row>
    <row r="464" spans="1:7" x14ac:dyDescent="0.2">
      <c r="A464" s="29"/>
      <c r="B464" s="75"/>
      <c r="C464" s="41"/>
      <c r="D464" s="184"/>
      <c r="E464" s="77"/>
      <c r="F464" s="185"/>
      <c r="G464" s="35"/>
    </row>
    <row r="465" spans="1:7" x14ac:dyDescent="0.2">
      <c r="A465" s="29"/>
      <c r="B465" s="186"/>
      <c r="C465" s="41"/>
      <c r="D465" s="184"/>
      <c r="E465" s="77"/>
      <c r="F465" s="185"/>
      <c r="G465" s="35"/>
    </row>
    <row r="466" spans="1:7" x14ac:dyDescent="0.2">
      <c r="A466" s="29"/>
      <c r="B466" s="74"/>
      <c r="C466" s="31"/>
      <c r="D466" s="184"/>
      <c r="E466" s="77"/>
      <c r="F466" s="185"/>
      <c r="G466" s="35"/>
    </row>
    <row r="467" spans="1:7" x14ac:dyDescent="0.2">
      <c r="A467" s="29"/>
      <c r="B467" s="74"/>
      <c r="C467" s="41"/>
      <c r="D467" s="187"/>
      <c r="E467" s="84"/>
      <c r="F467" s="163"/>
      <c r="G467" s="35"/>
    </row>
    <row r="468" spans="1:7" x14ac:dyDescent="0.2">
      <c r="A468" s="29"/>
      <c r="B468" s="74"/>
      <c r="C468" s="41"/>
      <c r="D468" s="187"/>
      <c r="E468" s="84"/>
      <c r="F468" s="163"/>
      <c r="G468" s="35"/>
    </row>
    <row r="469" spans="1:7" x14ac:dyDescent="0.2">
      <c r="A469" s="29"/>
      <c r="B469" s="75"/>
      <c r="C469" s="41"/>
      <c r="D469" s="187"/>
      <c r="E469" s="84"/>
      <c r="F469" s="172"/>
      <c r="G469" s="35"/>
    </row>
    <row r="470" spans="1:7" x14ac:dyDescent="0.2">
      <c r="A470" s="29"/>
      <c r="B470" s="75"/>
      <c r="C470" s="41"/>
      <c r="D470" s="187"/>
      <c r="E470" s="84"/>
      <c r="F470" s="173"/>
      <c r="G470" s="35"/>
    </row>
    <row r="471" spans="1:7" x14ac:dyDescent="0.2">
      <c r="A471" s="29"/>
      <c r="B471" s="75"/>
      <c r="C471" s="183"/>
      <c r="D471" s="187"/>
      <c r="E471" s="77"/>
      <c r="F471" s="185"/>
      <c r="G471" s="35"/>
    </row>
    <row r="472" spans="1:7" x14ac:dyDescent="0.2">
      <c r="A472" s="29"/>
      <c r="B472" s="75"/>
      <c r="C472" s="183"/>
      <c r="D472" s="187"/>
      <c r="E472" s="77"/>
      <c r="F472" s="185"/>
      <c r="G472" s="35"/>
    </row>
    <row r="473" spans="1:7" x14ac:dyDescent="0.2">
      <c r="A473" s="29"/>
      <c r="B473" s="75"/>
      <c r="C473" s="183"/>
      <c r="D473" s="184"/>
      <c r="E473" s="77"/>
      <c r="F473" s="185"/>
      <c r="G473" s="35"/>
    </row>
    <row r="474" spans="1:7" x14ac:dyDescent="0.2">
      <c r="A474" s="29"/>
      <c r="B474" s="75"/>
      <c r="C474" s="183"/>
      <c r="D474" s="184"/>
      <c r="E474" s="77"/>
      <c r="F474" s="185"/>
      <c r="G474" s="35"/>
    </row>
    <row r="475" spans="1:7" x14ac:dyDescent="0.2">
      <c r="A475" s="29"/>
      <c r="B475" s="75"/>
      <c r="C475" s="183"/>
      <c r="D475" s="184"/>
      <c r="E475" s="77"/>
      <c r="F475" s="185"/>
      <c r="G475" s="35"/>
    </row>
    <row r="476" spans="1:7" x14ac:dyDescent="0.2">
      <c r="A476" s="29"/>
      <c r="B476" s="75"/>
      <c r="C476" s="41"/>
      <c r="D476" s="184"/>
      <c r="E476" s="84"/>
      <c r="F476" s="163"/>
      <c r="G476" s="35"/>
    </row>
    <row r="477" spans="1:7" x14ac:dyDescent="0.2">
      <c r="A477" s="29"/>
      <c r="B477" s="75"/>
      <c r="C477" s="41"/>
      <c r="D477" s="184"/>
      <c r="E477" s="84"/>
      <c r="F477" s="163"/>
      <c r="G477" s="35"/>
    </row>
    <row r="478" spans="1:7" x14ac:dyDescent="0.2">
      <c r="A478" s="29"/>
      <c r="B478" s="75"/>
      <c r="C478" s="41"/>
      <c r="D478" s="187"/>
      <c r="E478" s="84"/>
      <c r="F478" s="163"/>
      <c r="G478" s="35"/>
    </row>
    <row r="479" spans="1:7" x14ac:dyDescent="0.2">
      <c r="A479" s="29"/>
      <c r="B479" s="75"/>
      <c r="C479" s="41"/>
      <c r="D479" s="187"/>
      <c r="E479" s="84"/>
      <c r="F479" s="163"/>
      <c r="G479" s="35"/>
    </row>
    <row r="480" spans="1:7" x14ac:dyDescent="0.2">
      <c r="A480" s="29"/>
      <c r="B480" s="75"/>
      <c r="C480" s="41"/>
      <c r="D480" s="187"/>
      <c r="E480" s="84"/>
      <c r="F480" s="163"/>
      <c r="G480" s="35"/>
    </row>
    <row r="481" spans="1:7" x14ac:dyDescent="0.2">
      <c r="A481" s="29"/>
      <c r="B481" s="75"/>
      <c r="C481" s="41"/>
      <c r="D481" s="187"/>
      <c r="E481" s="84"/>
      <c r="F481" s="163"/>
      <c r="G481" s="35"/>
    </row>
    <row r="482" spans="1:7" x14ac:dyDescent="0.2">
      <c r="A482" s="29"/>
      <c r="B482" s="75"/>
      <c r="C482" s="41"/>
      <c r="D482" s="187"/>
      <c r="E482" s="84"/>
      <c r="F482" s="163"/>
      <c r="G482" s="35"/>
    </row>
    <row r="483" spans="1:7" x14ac:dyDescent="0.2">
      <c r="A483" s="29"/>
      <c r="B483" s="75"/>
      <c r="C483" s="41"/>
      <c r="D483" s="187"/>
      <c r="E483" s="84"/>
      <c r="F483" s="163"/>
      <c r="G483" s="35"/>
    </row>
    <row r="484" spans="1:7" x14ac:dyDescent="0.2">
      <c r="A484" s="29"/>
      <c r="B484" s="75"/>
      <c r="C484" s="41"/>
      <c r="D484" s="187"/>
      <c r="E484" s="84"/>
      <c r="F484" s="163"/>
      <c r="G484" s="35"/>
    </row>
    <row r="485" spans="1:7" x14ac:dyDescent="0.2">
      <c r="A485" s="29"/>
      <c r="B485" s="75"/>
      <c r="C485" s="41"/>
      <c r="D485" s="187"/>
      <c r="E485" s="84"/>
      <c r="F485" s="163"/>
      <c r="G485" s="35"/>
    </row>
    <row r="486" spans="1:7" x14ac:dyDescent="0.2">
      <c r="A486" s="29"/>
      <c r="B486" s="75"/>
      <c r="C486" s="41"/>
      <c r="D486" s="187"/>
      <c r="E486" s="84"/>
      <c r="F486" s="163"/>
      <c r="G486" s="35"/>
    </row>
    <row r="487" spans="1:7" x14ac:dyDescent="0.2">
      <c r="A487" s="29"/>
      <c r="B487" s="75"/>
      <c r="C487" s="41"/>
      <c r="D487" s="187"/>
      <c r="E487" s="84"/>
      <c r="F487" s="163"/>
      <c r="G487" s="35"/>
    </row>
    <row r="488" spans="1:7" x14ac:dyDescent="0.2">
      <c r="A488" s="29"/>
      <c r="B488" s="75"/>
      <c r="C488" s="41"/>
      <c r="D488" s="187"/>
      <c r="E488" s="84"/>
      <c r="F488" s="172"/>
      <c r="G488" s="35"/>
    </row>
    <row r="489" spans="1:7" x14ac:dyDescent="0.2">
      <c r="A489" s="29"/>
      <c r="B489" s="75"/>
      <c r="C489" s="41"/>
      <c r="D489" s="187"/>
      <c r="E489" s="84"/>
      <c r="F489" s="173"/>
      <c r="G489" s="35"/>
    </row>
    <row r="490" spans="1:7" x14ac:dyDescent="0.2">
      <c r="A490" s="29" t="s">
        <v>8</v>
      </c>
      <c r="B490" s="75"/>
      <c r="C490" s="41"/>
      <c r="D490" s="187"/>
      <c r="E490" s="84"/>
      <c r="F490" s="173"/>
      <c r="G490" s="35" t="s">
        <v>8</v>
      </c>
    </row>
    <row r="491" spans="1:7" ht="13.5" thickBot="1" x14ac:dyDescent="0.25">
      <c r="A491" s="45"/>
      <c r="B491" s="188"/>
      <c r="C491" s="47" t="s">
        <v>8</v>
      </c>
      <c r="D491" s="66" t="s">
        <v>8</v>
      </c>
      <c r="E491" s="188"/>
      <c r="F491" s="49" t="s">
        <v>15</v>
      </c>
      <c r="G491" s="50">
        <f>SUM(G457:G490)</f>
        <v>20000</v>
      </c>
    </row>
    <row r="492" spans="1:7" ht="13.5" thickTop="1" x14ac:dyDescent="0.2">
      <c r="A492" s="367" t="s">
        <v>1743</v>
      </c>
      <c r="B492" s="190"/>
      <c r="C492" s="191"/>
      <c r="D492" s="192"/>
      <c r="E492" s="190"/>
      <c r="F492" s="193"/>
      <c r="G492" s="194"/>
    </row>
    <row r="493" spans="1:7" ht="13.5" thickBot="1" x14ac:dyDescent="0.25">
      <c r="A493" s="195" t="s">
        <v>159</v>
      </c>
      <c r="B493" s="196"/>
      <c r="C493" s="368" t="s">
        <v>1744</v>
      </c>
      <c r="D493" s="196"/>
      <c r="E493" s="197"/>
      <c r="F493" s="198"/>
      <c r="G493" s="199"/>
    </row>
    <row r="494" spans="1:7" ht="13.5" thickTop="1" x14ac:dyDescent="0.2">
      <c r="A494" s="906" t="s">
        <v>8</v>
      </c>
      <c r="B494" s="907"/>
      <c r="C494" s="907"/>
      <c r="D494" s="57" t="s">
        <v>11</v>
      </c>
      <c r="E494" s="908" t="s">
        <v>12</v>
      </c>
      <c r="F494" s="908"/>
      <c r="G494" s="909"/>
    </row>
    <row r="495" spans="1:7" x14ac:dyDescent="0.2">
      <c r="A495" s="966" t="s">
        <v>17</v>
      </c>
      <c r="B495" s="967"/>
      <c r="C495" s="968"/>
      <c r="D495" s="39"/>
      <c r="E495" s="912"/>
      <c r="F495" s="913"/>
      <c r="G495" s="914"/>
    </row>
    <row r="496" spans="1:7" x14ac:dyDescent="0.2">
      <c r="A496" s="966" t="s">
        <v>38</v>
      </c>
      <c r="B496" s="967"/>
      <c r="C496" s="968"/>
      <c r="D496" s="58" t="s">
        <v>308</v>
      </c>
      <c r="E496" s="969" t="s">
        <v>142</v>
      </c>
      <c r="F496" s="868"/>
      <c r="G496" s="869"/>
    </row>
    <row r="497" spans="1:7" ht="13.5" thickBot="1" x14ac:dyDescent="0.25">
      <c r="A497" s="970" t="s">
        <v>39</v>
      </c>
      <c r="B497" s="971"/>
      <c r="C497" s="972"/>
      <c r="D497" s="375" t="s">
        <v>1038</v>
      </c>
      <c r="E497" s="904" t="s">
        <v>0</v>
      </c>
      <c r="F497" s="904"/>
      <c r="G497" s="905"/>
    </row>
    <row r="498" spans="1:7" ht="16.5" x14ac:dyDescent="0.25">
      <c r="A498" s="885" t="s">
        <v>29</v>
      </c>
      <c r="B498" s="886"/>
      <c r="C498" s="886"/>
      <c r="D498" s="886"/>
      <c r="E498" s="886"/>
      <c r="F498" s="886"/>
      <c r="G498" s="887"/>
    </row>
    <row r="499" spans="1:7" x14ac:dyDescent="0.2">
      <c r="A499" s="888" t="s">
        <v>48</v>
      </c>
      <c r="B499" s="889"/>
      <c r="C499" s="889"/>
      <c r="D499" s="889"/>
      <c r="E499" s="889"/>
      <c r="F499" s="889"/>
      <c r="G499" s="890"/>
    </row>
    <row r="500" spans="1:7" x14ac:dyDescent="0.2">
      <c r="A500" s="915" t="s">
        <v>49</v>
      </c>
      <c r="B500" s="916"/>
      <c r="C500" s="916"/>
      <c r="D500" s="916"/>
      <c r="E500" s="916"/>
      <c r="F500" s="916"/>
      <c r="G500" s="917"/>
    </row>
    <row r="501" spans="1:7" x14ac:dyDescent="0.2">
      <c r="A501" s="6"/>
      <c r="B501" s="178"/>
      <c r="C501" s="8"/>
      <c r="D501" s="9"/>
      <c r="E501" s="99"/>
      <c r="F501" s="10"/>
      <c r="G501" s="11" t="s">
        <v>8</v>
      </c>
    </row>
    <row r="502" spans="1:7" x14ac:dyDescent="0.2">
      <c r="A502" s="12" t="s">
        <v>1</v>
      </c>
      <c r="B502" s="13"/>
      <c r="C502" s="14" t="s">
        <v>5</v>
      </c>
      <c r="D502" s="13"/>
      <c r="E502" s="362" t="s">
        <v>1747</v>
      </c>
      <c r="F502" s="60"/>
      <c r="G502" s="363" t="s">
        <v>1032</v>
      </c>
    </row>
    <row r="503" spans="1:7" x14ac:dyDescent="0.2">
      <c r="A503" s="17" t="s">
        <v>8</v>
      </c>
      <c r="B503" s="179"/>
      <c r="C503" s="19"/>
      <c r="D503" s="4"/>
      <c r="E503" s="918"/>
      <c r="F503" s="919"/>
      <c r="G503" s="20"/>
    </row>
    <row r="504" spans="1:7" x14ac:dyDescent="0.2">
      <c r="A504" s="21" t="s">
        <v>37</v>
      </c>
      <c r="B504" s="22"/>
      <c r="C504" s="22"/>
      <c r="D504" s="22"/>
      <c r="E504" s="23" t="s">
        <v>46</v>
      </c>
      <c r="F504" s="24"/>
      <c r="G504" s="20" t="s">
        <v>50</v>
      </c>
    </row>
    <row r="505" spans="1:7" x14ac:dyDescent="0.2">
      <c r="A505" s="6"/>
      <c r="B505" s="178"/>
      <c r="C505" s="8"/>
      <c r="D505" s="8"/>
      <c r="E505" s="920"/>
      <c r="F505" s="921"/>
      <c r="G505" s="25"/>
    </row>
    <row r="506" spans="1:7" ht="26.25" thickBot="1" x14ac:dyDescent="0.25">
      <c r="A506" s="26" t="s">
        <v>47</v>
      </c>
      <c r="B506" s="180" t="s">
        <v>23</v>
      </c>
      <c r="C506" s="28" t="s">
        <v>34</v>
      </c>
      <c r="D506" s="110" t="s">
        <v>53</v>
      </c>
      <c r="E506" s="181" t="s">
        <v>54</v>
      </c>
      <c r="F506" s="111" t="s">
        <v>55</v>
      </c>
      <c r="G506" s="112" t="s">
        <v>35</v>
      </c>
    </row>
    <row r="507" spans="1:7" ht="13.5" thickTop="1" x14ac:dyDescent="0.2">
      <c r="A507" s="29">
        <v>1</v>
      </c>
      <c r="B507" s="75"/>
      <c r="C507" s="365" t="s">
        <v>242</v>
      </c>
      <c r="D507" s="366" t="s">
        <v>980</v>
      </c>
      <c r="E507" s="77">
        <v>100</v>
      </c>
      <c r="F507" s="185">
        <v>750</v>
      </c>
      <c r="G507" s="35">
        <f>F507*E507</f>
        <v>75000</v>
      </c>
    </row>
    <row r="508" spans="1:7" x14ac:dyDescent="0.2">
      <c r="A508" s="364"/>
      <c r="B508" s="75"/>
      <c r="C508" s="183"/>
      <c r="D508" s="366" t="s">
        <v>349</v>
      </c>
      <c r="E508" s="77"/>
      <c r="F508" s="185"/>
      <c r="G508" s="35"/>
    </row>
    <row r="509" spans="1:7" x14ac:dyDescent="0.2">
      <c r="A509" s="364" t="s">
        <v>8</v>
      </c>
      <c r="B509" s="75"/>
      <c r="C509" s="365"/>
      <c r="D509" s="366"/>
      <c r="E509" s="77"/>
      <c r="F509" s="185"/>
      <c r="G509" s="372" t="s">
        <v>8</v>
      </c>
    </row>
    <row r="510" spans="1:7" x14ac:dyDescent="0.2">
      <c r="A510" s="29"/>
      <c r="B510" s="75"/>
      <c r="C510" s="183"/>
      <c r="D510" s="366"/>
      <c r="E510" s="77"/>
      <c r="F510" s="185"/>
      <c r="G510" s="35"/>
    </row>
    <row r="511" spans="1:7" x14ac:dyDescent="0.2">
      <c r="A511" s="29"/>
      <c r="B511" s="75"/>
      <c r="C511" s="183"/>
      <c r="D511" s="184"/>
      <c r="E511" s="77"/>
      <c r="F511" s="185"/>
      <c r="G511" s="35"/>
    </row>
    <row r="512" spans="1:7" x14ac:dyDescent="0.2">
      <c r="A512" s="29"/>
      <c r="B512" s="75"/>
      <c r="C512" s="183"/>
      <c r="D512" s="184"/>
      <c r="E512" s="77"/>
      <c r="F512" s="185"/>
      <c r="G512" s="35"/>
    </row>
    <row r="513" spans="1:7" x14ac:dyDescent="0.2">
      <c r="A513" s="29"/>
      <c r="B513" s="75"/>
      <c r="C513" s="41"/>
      <c r="D513" s="184"/>
      <c r="E513" s="77"/>
      <c r="F513" s="185"/>
      <c r="G513" s="35"/>
    </row>
    <row r="514" spans="1:7" x14ac:dyDescent="0.2">
      <c r="A514" s="29"/>
      <c r="B514" s="75"/>
      <c r="C514" s="41"/>
      <c r="D514" s="184"/>
      <c r="E514" s="77"/>
      <c r="F514" s="185"/>
      <c r="G514" s="35"/>
    </row>
    <row r="515" spans="1:7" x14ac:dyDescent="0.2">
      <c r="A515" s="29"/>
      <c r="B515" s="186"/>
      <c r="C515" s="41"/>
      <c r="D515" s="184"/>
      <c r="E515" s="77"/>
      <c r="F515" s="185"/>
      <c r="G515" s="35"/>
    </row>
    <row r="516" spans="1:7" x14ac:dyDescent="0.2">
      <c r="A516" s="29"/>
      <c r="B516" s="74"/>
      <c r="C516" s="31"/>
      <c r="D516" s="184"/>
      <c r="E516" s="77"/>
      <c r="F516" s="185"/>
      <c r="G516" s="35"/>
    </row>
    <row r="517" spans="1:7" x14ac:dyDescent="0.2">
      <c r="A517" s="29"/>
      <c r="B517" s="74"/>
      <c r="C517" s="41"/>
      <c r="D517" s="187"/>
      <c r="E517" s="84"/>
      <c r="F517" s="163"/>
      <c r="G517" s="35"/>
    </row>
    <row r="518" spans="1:7" x14ac:dyDescent="0.2">
      <c r="A518" s="29"/>
      <c r="B518" s="74"/>
      <c r="C518" s="41"/>
      <c r="D518" s="187"/>
      <c r="E518" s="84"/>
      <c r="F518" s="163"/>
      <c r="G518" s="35"/>
    </row>
    <row r="519" spans="1:7" x14ac:dyDescent="0.2">
      <c r="A519" s="29"/>
      <c r="B519" s="75"/>
      <c r="C519" s="41"/>
      <c r="D519" s="187"/>
      <c r="E519" s="84"/>
      <c r="F519" s="172"/>
      <c r="G519" s="35"/>
    </row>
    <row r="520" spans="1:7" x14ac:dyDescent="0.2">
      <c r="A520" s="29"/>
      <c r="B520" s="75"/>
      <c r="C520" s="41"/>
      <c r="D520" s="187"/>
      <c r="E520" s="84"/>
      <c r="F520" s="173"/>
      <c r="G520" s="35"/>
    </row>
    <row r="521" spans="1:7" x14ac:dyDescent="0.2">
      <c r="A521" s="29"/>
      <c r="B521" s="75"/>
      <c r="C521" s="183"/>
      <c r="D521" s="187"/>
      <c r="E521" s="77"/>
      <c r="F521" s="185"/>
      <c r="G521" s="35"/>
    </row>
    <row r="522" spans="1:7" x14ac:dyDescent="0.2">
      <c r="A522" s="29"/>
      <c r="B522" s="75"/>
      <c r="C522" s="183"/>
      <c r="D522" s="187"/>
      <c r="E522" s="77"/>
      <c r="F522" s="185"/>
      <c r="G522" s="35"/>
    </row>
    <row r="523" spans="1:7" x14ac:dyDescent="0.2">
      <c r="A523" s="29"/>
      <c r="B523" s="75"/>
      <c r="C523" s="183"/>
      <c r="D523" s="184"/>
      <c r="E523" s="77"/>
      <c r="F523" s="185"/>
      <c r="G523" s="35"/>
    </row>
    <row r="524" spans="1:7" x14ac:dyDescent="0.2">
      <c r="A524" s="29"/>
      <c r="B524" s="75"/>
      <c r="C524" s="183"/>
      <c r="D524" s="184"/>
      <c r="E524" s="77"/>
      <c r="F524" s="185"/>
      <c r="G524" s="35"/>
    </row>
    <row r="525" spans="1:7" x14ac:dyDescent="0.2">
      <c r="A525" s="29"/>
      <c r="B525" s="75"/>
      <c r="C525" s="183"/>
      <c r="D525" s="184"/>
      <c r="E525" s="77"/>
      <c r="F525" s="185"/>
      <c r="G525" s="35"/>
    </row>
    <row r="526" spans="1:7" x14ac:dyDescent="0.2">
      <c r="A526" s="29"/>
      <c r="B526" s="75"/>
      <c r="C526" s="41"/>
      <c r="D526" s="184"/>
      <c r="E526" s="84"/>
      <c r="F526" s="163"/>
      <c r="G526" s="35"/>
    </row>
    <row r="527" spans="1:7" x14ac:dyDescent="0.2">
      <c r="A527" s="29"/>
      <c r="B527" s="75"/>
      <c r="C527" s="41"/>
      <c r="D527" s="184"/>
      <c r="E527" s="84"/>
      <c r="F527" s="163"/>
      <c r="G527" s="35"/>
    </row>
    <row r="528" spans="1:7" x14ac:dyDescent="0.2">
      <c r="A528" s="29"/>
      <c r="B528" s="75"/>
      <c r="C528" s="41"/>
      <c r="D528" s="187"/>
      <c r="E528" s="84"/>
      <c r="F528" s="163"/>
      <c r="G528" s="35"/>
    </row>
    <row r="529" spans="1:7" x14ac:dyDescent="0.2">
      <c r="A529" s="29"/>
      <c r="B529" s="75"/>
      <c r="C529" s="41"/>
      <c r="D529" s="187"/>
      <c r="E529" s="84"/>
      <c r="F529" s="163"/>
      <c r="G529" s="35"/>
    </row>
    <row r="530" spans="1:7" x14ac:dyDescent="0.2">
      <c r="A530" s="29"/>
      <c r="B530" s="75"/>
      <c r="C530" s="41"/>
      <c r="D530" s="187"/>
      <c r="E530" s="84"/>
      <c r="F530" s="163"/>
      <c r="G530" s="35"/>
    </row>
    <row r="531" spans="1:7" x14ac:dyDescent="0.2">
      <c r="A531" s="29"/>
      <c r="B531" s="75"/>
      <c r="C531" s="41"/>
      <c r="D531" s="187"/>
      <c r="E531" s="84"/>
      <c r="F531" s="163"/>
      <c r="G531" s="35"/>
    </row>
    <row r="532" spans="1:7" x14ac:dyDescent="0.2">
      <c r="A532" s="29"/>
      <c r="B532" s="75"/>
      <c r="C532" s="41"/>
      <c r="D532" s="187"/>
      <c r="E532" s="84"/>
      <c r="F532" s="163"/>
      <c r="G532" s="35"/>
    </row>
    <row r="533" spans="1:7" x14ac:dyDescent="0.2">
      <c r="A533" s="29"/>
      <c r="B533" s="75"/>
      <c r="C533" s="41"/>
      <c r="D533" s="187"/>
      <c r="E533" s="84"/>
      <c r="F533" s="163"/>
      <c r="G533" s="35"/>
    </row>
    <row r="534" spans="1:7" x14ac:dyDescent="0.2">
      <c r="A534" s="29"/>
      <c r="B534" s="75"/>
      <c r="C534" s="41"/>
      <c r="D534" s="187"/>
      <c r="E534" s="84"/>
      <c r="F534" s="163"/>
      <c r="G534" s="35"/>
    </row>
    <row r="535" spans="1:7" x14ac:dyDescent="0.2">
      <c r="A535" s="29"/>
      <c r="B535" s="75"/>
      <c r="C535" s="41"/>
      <c r="D535" s="187"/>
      <c r="E535" s="84"/>
      <c r="F535" s="163"/>
      <c r="G535" s="35"/>
    </row>
    <row r="536" spans="1:7" x14ac:dyDescent="0.2">
      <c r="A536" s="29"/>
      <c r="B536" s="75"/>
      <c r="C536" s="41"/>
      <c r="D536" s="187"/>
      <c r="E536" s="84"/>
      <c r="F536" s="163"/>
      <c r="G536" s="35"/>
    </row>
    <row r="537" spans="1:7" x14ac:dyDescent="0.2">
      <c r="A537" s="29"/>
      <c r="B537" s="75"/>
      <c r="C537" s="41"/>
      <c r="D537" s="187"/>
      <c r="E537" s="84"/>
      <c r="F537" s="163"/>
      <c r="G537" s="35"/>
    </row>
    <row r="538" spans="1:7" x14ac:dyDescent="0.2">
      <c r="A538" s="29"/>
      <c r="B538" s="75"/>
      <c r="C538" s="41"/>
      <c r="D538" s="187"/>
      <c r="E538" s="84"/>
      <c r="F538" s="172"/>
      <c r="G538" s="35"/>
    </row>
    <row r="539" spans="1:7" x14ac:dyDescent="0.2">
      <c r="A539" s="29"/>
      <c r="B539" s="75"/>
      <c r="C539" s="41"/>
      <c r="D539" s="187"/>
      <c r="E539" s="84"/>
      <c r="F539" s="173"/>
      <c r="G539" s="35"/>
    </row>
    <row r="540" spans="1:7" x14ac:dyDescent="0.2">
      <c r="A540" s="29" t="s">
        <v>8</v>
      </c>
      <c r="B540" s="75"/>
      <c r="C540" s="41"/>
      <c r="D540" s="187"/>
      <c r="E540" s="84"/>
      <c r="F540" s="173"/>
      <c r="G540" s="35" t="s">
        <v>8</v>
      </c>
    </row>
    <row r="541" spans="1:7" ht="13.5" thickBot="1" x14ac:dyDescent="0.25">
      <c r="A541" s="45"/>
      <c r="B541" s="188"/>
      <c r="C541" s="47" t="s">
        <v>8</v>
      </c>
      <c r="D541" s="66" t="s">
        <v>8</v>
      </c>
      <c r="E541" s="188"/>
      <c r="F541" s="49" t="s">
        <v>15</v>
      </c>
      <c r="G541" s="50">
        <f>SUM(G507:G540)</f>
        <v>75000</v>
      </c>
    </row>
    <row r="542" spans="1:7" ht="13.5" thickTop="1" x14ac:dyDescent="0.2">
      <c r="A542" s="367" t="s">
        <v>1748</v>
      </c>
      <c r="B542" s="190"/>
      <c r="C542" s="191"/>
      <c r="D542" s="192"/>
      <c r="E542" s="190"/>
      <c r="F542" s="193"/>
      <c r="G542" s="194"/>
    </row>
    <row r="543" spans="1:7" ht="13.5" thickBot="1" x14ac:dyDescent="0.25">
      <c r="A543" s="195" t="s">
        <v>159</v>
      </c>
      <c r="B543" s="196"/>
      <c r="C543" s="368" t="s">
        <v>1749</v>
      </c>
      <c r="D543" s="196"/>
      <c r="E543" s="197"/>
      <c r="F543" s="198"/>
      <c r="G543" s="199"/>
    </row>
    <row r="544" spans="1:7" ht="13.5" thickTop="1" x14ac:dyDescent="0.2">
      <c r="A544" s="906" t="s">
        <v>8</v>
      </c>
      <c r="B544" s="907"/>
      <c r="C544" s="907"/>
      <c r="D544" s="57" t="s">
        <v>11</v>
      </c>
      <c r="E544" s="908" t="s">
        <v>12</v>
      </c>
      <c r="F544" s="908"/>
      <c r="G544" s="909"/>
    </row>
    <row r="545" spans="1:7" x14ac:dyDescent="0.2">
      <c r="A545" s="966" t="s">
        <v>17</v>
      </c>
      <c r="B545" s="967"/>
      <c r="C545" s="968"/>
      <c r="D545" s="39"/>
      <c r="E545" s="912"/>
      <c r="F545" s="913"/>
      <c r="G545" s="914"/>
    </row>
    <row r="546" spans="1:7" x14ac:dyDescent="0.2">
      <c r="A546" s="966" t="s">
        <v>38</v>
      </c>
      <c r="B546" s="967"/>
      <c r="C546" s="968"/>
      <c r="D546" s="58" t="s">
        <v>308</v>
      </c>
      <c r="E546" s="969" t="s">
        <v>142</v>
      </c>
      <c r="F546" s="868"/>
      <c r="G546" s="869"/>
    </row>
    <row r="547" spans="1:7" ht="13.5" thickBot="1" x14ac:dyDescent="0.25">
      <c r="A547" s="970" t="s">
        <v>39</v>
      </c>
      <c r="B547" s="971"/>
      <c r="C547" s="972"/>
      <c r="D547" s="375" t="s">
        <v>1038</v>
      </c>
      <c r="E547" s="904" t="s">
        <v>0</v>
      </c>
      <c r="F547" s="904"/>
      <c r="G547" s="905"/>
    </row>
    <row r="548" spans="1:7" ht="16.5" x14ac:dyDescent="0.25">
      <c r="A548" s="885" t="s">
        <v>29</v>
      </c>
      <c r="B548" s="886"/>
      <c r="C548" s="886"/>
      <c r="D548" s="886"/>
      <c r="E548" s="886"/>
      <c r="F548" s="886"/>
      <c r="G548" s="887"/>
    </row>
    <row r="549" spans="1:7" x14ac:dyDescent="0.2">
      <c r="A549" s="888" t="s">
        <v>48</v>
      </c>
      <c r="B549" s="889"/>
      <c r="C549" s="889"/>
      <c r="D549" s="889"/>
      <c r="E549" s="889"/>
      <c r="F549" s="889"/>
      <c r="G549" s="890"/>
    </row>
    <row r="550" spans="1:7" x14ac:dyDescent="0.2">
      <c r="A550" s="915" t="s">
        <v>49</v>
      </c>
      <c r="B550" s="916"/>
      <c r="C550" s="916"/>
      <c r="D550" s="916"/>
      <c r="E550" s="916"/>
      <c r="F550" s="916"/>
      <c r="G550" s="917"/>
    </row>
    <row r="551" spans="1:7" x14ac:dyDescent="0.2">
      <c r="A551" s="6"/>
      <c r="B551" s="178"/>
      <c r="C551" s="8"/>
      <c r="D551" s="9"/>
      <c r="E551" s="99"/>
      <c r="F551" s="10"/>
      <c r="G551" s="11" t="s">
        <v>8</v>
      </c>
    </row>
    <row r="552" spans="1:7" x14ac:dyDescent="0.2">
      <c r="A552" s="12" t="s">
        <v>1</v>
      </c>
      <c r="B552" s="13"/>
      <c r="C552" s="14" t="s">
        <v>5</v>
      </c>
      <c r="D552" s="13"/>
      <c r="E552" s="362" t="s">
        <v>1750</v>
      </c>
      <c r="F552" s="60"/>
      <c r="G552" s="363" t="s">
        <v>1034</v>
      </c>
    </row>
    <row r="553" spans="1:7" x14ac:dyDescent="0.2">
      <c r="A553" s="17" t="s">
        <v>8</v>
      </c>
      <c r="B553" s="179"/>
      <c r="C553" s="19"/>
      <c r="D553" s="4"/>
      <c r="E553" s="918"/>
      <c r="F553" s="919"/>
      <c r="G553" s="20"/>
    </row>
    <row r="554" spans="1:7" x14ac:dyDescent="0.2">
      <c r="A554" s="21" t="s">
        <v>37</v>
      </c>
      <c r="B554" s="22"/>
      <c r="C554" s="22"/>
      <c r="D554" s="22"/>
      <c r="E554" s="23" t="s">
        <v>46</v>
      </c>
      <c r="F554" s="24"/>
      <c r="G554" s="20" t="s">
        <v>50</v>
      </c>
    </row>
    <row r="555" spans="1:7" x14ac:dyDescent="0.2">
      <c r="A555" s="6"/>
      <c r="B555" s="178"/>
      <c r="C555" s="8"/>
      <c r="D555" s="8"/>
      <c r="E555" s="920"/>
      <c r="F555" s="921"/>
      <c r="G555" s="25"/>
    </row>
    <row r="556" spans="1:7" ht="26.25" thickBot="1" x14ac:dyDescent="0.25">
      <c r="A556" s="26" t="s">
        <v>47</v>
      </c>
      <c r="B556" s="180" t="s">
        <v>23</v>
      </c>
      <c r="C556" s="28" t="s">
        <v>34</v>
      </c>
      <c r="D556" s="110" t="s">
        <v>53</v>
      </c>
      <c r="E556" s="181" t="s">
        <v>54</v>
      </c>
      <c r="F556" s="111" t="s">
        <v>55</v>
      </c>
      <c r="G556" s="112" t="s">
        <v>35</v>
      </c>
    </row>
    <row r="557" spans="1:7" ht="13.5" thickTop="1" x14ac:dyDescent="0.2">
      <c r="A557" s="29">
        <v>1</v>
      </c>
      <c r="B557" s="75"/>
      <c r="C557" s="365" t="s">
        <v>242</v>
      </c>
      <c r="D557" s="366" t="s">
        <v>980</v>
      </c>
      <c r="E557" s="77">
        <v>80</v>
      </c>
      <c r="F557" s="185">
        <v>750</v>
      </c>
      <c r="G557" s="35">
        <f>F557*E557</f>
        <v>60000</v>
      </c>
    </row>
    <row r="558" spans="1:7" x14ac:dyDescent="0.2">
      <c r="A558" s="364"/>
      <c r="B558" s="75"/>
      <c r="C558" s="183"/>
      <c r="D558" s="366" t="s">
        <v>1046</v>
      </c>
      <c r="E558" s="77"/>
      <c r="F558" s="185"/>
      <c r="G558" s="35"/>
    </row>
    <row r="559" spans="1:7" x14ac:dyDescent="0.2">
      <c r="A559" s="364" t="s">
        <v>8</v>
      </c>
      <c r="B559" s="75"/>
      <c r="C559" s="365"/>
      <c r="D559" s="366"/>
      <c r="E559" s="77"/>
      <c r="F559" s="185"/>
      <c r="G559" s="372" t="s">
        <v>8</v>
      </c>
    </row>
    <row r="560" spans="1:7" x14ac:dyDescent="0.2">
      <c r="A560" s="29"/>
      <c r="B560" s="75"/>
      <c r="C560" s="183"/>
      <c r="D560" s="366"/>
      <c r="E560" s="77"/>
      <c r="F560" s="185"/>
      <c r="G560" s="35"/>
    </row>
    <row r="561" spans="1:7" x14ac:dyDescent="0.2">
      <c r="A561" s="29"/>
      <c r="B561" s="75"/>
      <c r="C561" s="183"/>
      <c r="D561" s="184"/>
      <c r="E561" s="77"/>
      <c r="F561" s="185"/>
      <c r="G561" s="35"/>
    </row>
    <row r="562" spans="1:7" x14ac:dyDescent="0.2">
      <c r="A562" s="29"/>
      <c r="B562" s="75"/>
      <c r="C562" s="183"/>
      <c r="D562" s="184"/>
      <c r="E562" s="77"/>
      <c r="F562" s="185"/>
      <c r="G562" s="35"/>
    </row>
    <row r="563" spans="1:7" x14ac:dyDescent="0.2">
      <c r="A563" s="29"/>
      <c r="B563" s="75"/>
      <c r="C563" s="41"/>
      <c r="D563" s="184"/>
      <c r="E563" s="77"/>
      <c r="F563" s="185"/>
      <c r="G563" s="35"/>
    </row>
    <row r="564" spans="1:7" x14ac:dyDescent="0.2">
      <c r="A564" s="29"/>
      <c r="B564" s="75"/>
      <c r="C564" s="41"/>
      <c r="D564" s="184"/>
      <c r="E564" s="77"/>
      <c r="F564" s="185"/>
      <c r="G564" s="35"/>
    </row>
    <row r="565" spans="1:7" x14ac:dyDescent="0.2">
      <c r="A565" s="29"/>
      <c r="B565" s="186"/>
      <c r="C565" s="41"/>
      <c r="D565" s="184"/>
      <c r="E565" s="77"/>
      <c r="F565" s="185"/>
      <c r="G565" s="35"/>
    </row>
    <row r="566" spans="1:7" x14ac:dyDescent="0.2">
      <c r="A566" s="29"/>
      <c r="B566" s="74"/>
      <c r="C566" s="31"/>
      <c r="D566" s="184"/>
      <c r="E566" s="77"/>
      <c r="F566" s="185"/>
      <c r="G566" s="35"/>
    </row>
    <row r="567" spans="1:7" x14ac:dyDescent="0.2">
      <c r="A567" s="29"/>
      <c r="B567" s="74"/>
      <c r="C567" s="41"/>
      <c r="D567" s="187"/>
      <c r="E567" s="84"/>
      <c r="F567" s="163"/>
      <c r="G567" s="35"/>
    </row>
    <row r="568" spans="1:7" x14ac:dyDescent="0.2">
      <c r="A568" s="29"/>
      <c r="B568" s="74"/>
      <c r="C568" s="41"/>
      <c r="D568" s="187"/>
      <c r="E568" s="84"/>
      <c r="F568" s="163"/>
      <c r="G568" s="35"/>
    </row>
    <row r="569" spans="1:7" x14ac:dyDescent="0.2">
      <c r="A569" s="29"/>
      <c r="B569" s="75"/>
      <c r="C569" s="41"/>
      <c r="D569" s="187"/>
      <c r="E569" s="84"/>
      <c r="F569" s="172"/>
      <c r="G569" s="35"/>
    </row>
    <row r="570" spans="1:7" x14ac:dyDescent="0.2">
      <c r="A570" s="29"/>
      <c r="B570" s="75"/>
      <c r="C570" s="41"/>
      <c r="D570" s="187"/>
      <c r="E570" s="84"/>
      <c r="F570" s="173"/>
      <c r="G570" s="35"/>
    </row>
    <row r="571" spans="1:7" x14ac:dyDescent="0.2">
      <c r="A571" s="29"/>
      <c r="B571" s="75"/>
      <c r="C571" s="183"/>
      <c r="D571" s="187"/>
      <c r="E571" s="77"/>
      <c r="F571" s="185"/>
      <c r="G571" s="35"/>
    </row>
    <row r="572" spans="1:7" x14ac:dyDescent="0.2">
      <c r="A572" s="29"/>
      <c r="B572" s="75"/>
      <c r="C572" s="183"/>
      <c r="D572" s="187"/>
      <c r="E572" s="77"/>
      <c r="F572" s="185"/>
      <c r="G572" s="35"/>
    </row>
    <row r="573" spans="1:7" x14ac:dyDescent="0.2">
      <c r="A573" s="29"/>
      <c r="B573" s="75"/>
      <c r="C573" s="183"/>
      <c r="D573" s="184"/>
      <c r="E573" s="77"/>
      <c r="F573" s="185"/>
      <c r="G573" s="35"/>
    </row>
    <row r="574" spans="1:7" x14ac:dyDescent="0.2">
      <c r="A574" s="29"/>
      <c r="B574" s="75"/>
      <c r="C574" s="183"/>
      <c r="D574" s="184"/>
      <c r="E574" s="77"/>
      <c r="F574" s="185"/>
      <c r="G574" s="35"/>
    </row>
    <row r="575" spans="1:7" x14ac:dyDescent="0.2">
      <c r="A575" s="29"/>
      <c r="B575" s="75"/>
      <c r="C575" s="183"/>
      <c r="D575" s="184"/>
      <c r="E575" s="77"/>
      <c r="F575" s="185"/>
      <c r="G575" s="35"/>
    </row>
    <row r="576" spans="1:7" x14ac:dyDescent="0.2">
      <c r="A576" s="29"/>
      <c r="B576" s="75"/>
      <c r="C576" s="41"/>
      <c r="D576" s="184"/>
      <c r="E576" s="84"/>
      <c r="F576" s="163"/>
      <c r="G576" s="35"/>
    </row>
    <row r="577" spans="1:7" x14ac:dyDescent="0.2">
      <c r="A577" s="29"/>
      <c r="B577" s="75"/>
      <c r="C577" s="41"/>
      <c r="D577" s="184"/>
      <c r="E577" s="84"/>
      <c r="F577" s="163"/>
      <c r="G577" s="35"/>
    </row>
    <row r="578" spans="1:7" x14ac:dyDescent="0.2">
      <c r="A578" s="29"/>
      <c r="B578" s="75"/>
      <c r="C578" s="41"/>
      <c r="D578" s="187"/>
      <c r="E578" s="84"/>
      <c r="F578" s="163"/>
      <c r="G578" s="35"/>
    </row>
    <row r="579" spans="1:7" x14ac:dyDescent="0.2">
      <c r="A579" s="29"/>
      <c r="B579" s="75"/>
      <c r="C579" s="41"/>
      <c r="D579" s="187"/>
      <c r="E579" s="84"/>
      <c r="F579" s="163"/>
      <c r="G579" s="35"/>
    </row>
    <row r="580" spans="1:7" x14ac:dyDescent="0.2">
      <c r="A580" s="29"/>
      <c r="B580" s="75"/>
      <c r="C580" s="41"/>
      <c r="D580" s="187"/>
      <c r="E580" s="84"/>
      <c r="F580" s="163"/>
      <c r="G580" s="35"/>
    </row>
    <row r="581" spans="1:7" x14ac:dyDescent="0.2">
      <c r="A581" s="29"/>
      <c r="B581" s="75"/>
      <c r="C581" s="41"/>
      <c r="D581" s="187"/>
      <c r="E581" s="84"/>
      <c r="F581" s="163"/>
      <c r="G581" s="35"/>
    </row>
    <row r="582" spans="1:7" x14ac:dyDescent="0.2">
      <c r="A582" s="29"/>
      <c r="B582" s="75"/>
      <c r="C582" s="41"/>
      <c r="D582" s="187"/>
      <c r="E582" s="84"/>
      <c r="F582" s="163"/>
      <c r="G582" s="35"/>
    </row>
    <row r="583" spans="1:7" x14ac:dyDescent="0.2">
      <c r="A583" s="29"/>
      <c r="B583" s="75"/>
      <c r="C583" s="41"/>
      <c r="D583" s="187"/>
      <c r="E583" s="84"/>
      <c r="F583" s="163"/>
      <c r="G583" s="35"/>
    </row>
    <row r="584" spans="1:7" x14ac:dyDescent="0.2">
      <c r="A584" s="29"/>
      <c r="B584" s="75"/>
      <c r="C584" s="41"/>
      <c r="D584" s="187"/>
      <c r="E584" s="84"/>
      <c r="F584" s="163"/>
      <c r="G584" s="35"/>
    </row>
    <row r="585" spans="1:7" x14ac:dyDescent="0.2">
      <c r="A585" s="29"/>
      <c r="B585" s="75"/>
      <c r="C585" s="41"/>
      <c r="D585" s="187"/>
      <c r="E585" s="84"/>
      <c r="F585" s="163"/>
      <c r="G585" s="35"/>
    </row>
    <row r="586" spans="1:7" x14ac:dyDescent="0.2">
      <c r="A586" s="29"/>
      <c r="B586" s="75"/>
      <c r="C586" s="41"/>
      <c r="D586" s="187"/>
      <c r="E586" s="84"/>
      <c r="F586" s="163"/>
      <c r="G586" s="35"/>
    </row>
    <row r="587" spans="1:7" x14ac:dyDescent="0.2">
      <c r="A587" s="29"/>
      <c r="B587" s="75"/>
      <c r="C587" s="41"/>
      <c r="D587" s="187"/>
      <c r="E587" s="84"/>
      <c r="F587" s="163"/>
      <c r="G587" s="35"/>
    </row>
    <row r="588" spans="1:7" x14ac:dyDescent="0.2">
      <c r="A588" s="29"/>
      <c r="B588" s="75"/>
      <c r="C588" s="41"/>
      <c r="D588" s="187"/>
      <c r="E588" s="84"/>
      <c r="F588" s="172"/>
      <c r="G588" s="35"/>
    </row>
    <row r="589" spans="1:7" x14ac:dyDescent="0.2">
      <c r="A589" s="29"/>
      <c r="B589" s="75"/>
      <c r="C589" s="41"/>
      <c r="D589" s="187"/>
      <c r="E589" s="84"/>
      <c r="F589" s="173"/>
      <c r="G589" s="35"/>
    </row>
    <row r="590" spans="1:7" x14ac:dyDescent="0.2">
      <c r="A590" s="29" t="s">
        <v>8</v>
      </c>
      <c r="B590" s="75"/>
      <c r="C590" s="41"/>
      <c r="D590" s="187"/>
      <c r="E590" s="84"/>
      <c r="F590" s="173"/>
      <c r="G590" s="35" t="s">
        <v>8</v>
      </c>
    </row>
    <row r="591" spans="1:7" ht="13.5" thickBot="1" x14ac:dyDescent="0.25">
      <c r="A591" s="45"/>
      <c r="B591" s="188"/>
      <c r="C591" s="47" t="s">
        <v>8</v>
      </c>
      <c r="D591" s="66" t="s">
        <v>8</v>
      </c>
      <c r="E591" s="188"/>
      <c r="F591" s="49" t="s">
        <v>15</v>
      </c>
      <c r="G591" s="50">
        <f>SUM(G557:G590)</f>
        <v>60000</v>
      </c>
    </row>
    <row r="592" spans="1:7" ht="13.5" thickTop="1" x14ac:dyDescent="0.2">
      <c r="A592" s="367" t="s">
        <v>1772</v>
      </c>
      <c r="B592" s="190"/>
      <c r="C592" s="191"/>
      <c r="D592" s="192"/>
      <c r="E592" s="190"/>
      <c r="F592" s="193"/>
      <c r="G592" s="194"/>
    </row>
    <row r="593" spans="1:11" ht="13.5" thickBot="1" x14ac:dyDescent="0.25">
      <c r="A593" s="195" t="s">
        <v>159</v>
      </c>
      <c r="B593" s="196"/>
      <c r="C593" s="368" t="s">
        <v>1752</v>
      </c>
      <c r="D593" s="196"/>
      <c r="E593" s="197"/>
      <c r="F593" s="198"/>
      <c r="G593" s="199"/>
    </row>
    <row r="594" spans="1:11" ht="13.5" thickTop="1" x14ac:dyDescent="0.2">
      <c r="A594" s="906" t="s">
        <v>8</v>
      </c>
      <c r="B594" s="907"/>
      <c r="C594" s="907"/>
      <c r="D594" s="57" t="s">
        <v>11</v>
      </c>
      <c r="E594" s="908" t="s">
        <v>12</v>
      </c>
      <c r="F594" s="908"/>
      <c r="G594" s="909"/>
    </row>
    <row r="595" spans="1:11" x14ac:dyDescent="0.2">
      <c r="A595" s="966" t="s">
        <v>17</v>
      </c>
      <c r="B595" s="967"/>
      <c r="C595" s="968"/>
      <c r="D595" s="39"/>
      <c r="E595" s="912"/>
      <c r="F595" s="913"/>
      <c r="G595" s="914"/>
      <c r="K595" s="430" t="s">
        <v>2004</v>
      </c>
    </row>
    <row r="596" spans="1:11" x14ac:dyDescent="0.2">
      <c r="A596" s="966" t="s">
        <v>38</v>
      </c>
      <c r="B596" s="967"/>
      <c r="C596" s="968"/>
      <c r="D596" s="58" t="s">
        <v>308</v>
      </c>
      <c r="E596" s="969" t="s">
        <v>142</v>
      </c>
      <c r="F596" s="868"/>
      <c r="G596" s="869"/>
    </row>
    <row r="597" spans="1:11" ht="13.5" thickBot="1" x14ac:dyDescent="0.25">
      <c r="A597" s="970" t="s">
        <v>39</v>
      </c>
      <c r="B597" s="971"/>
      <c r="C597" s="972"/>
      <c r="D597" s="375" t="s">
        <v>1038</v>
      </c>
      <c r="E597" s="904" t="s">
        <v>0</v>
      </c>
      <c r="F597" s="904"/>
      <c r="G597" s="905"/>
    </row>
    <row r="598" spans="1:11" ht="16.5" x14ac:dyDescent="0.25">
      <c r="A598" s="885" t="s">
        <v>29</v>
      </c>
      <c r="B598" s="886"/>
      <c r="C598" s="886"/>
      <c r="D598" s="886"/>
      <c r="E598" s="886"/>
      <c r="F598" s="886"/>
      <c r="G598" s="887"/>
    </row>
    <row r="599" spans="1:11" x14ac:dyDescent="0.2">
      <c r="A599" s="888" t="s">
        <v>48</v>
      </c>
      <c r="B599" s="889"/>
      <c r="C599" s="889"/>
      <c r="D599" s="889"/>
      <c r="E599" s="889"/>
      <c r="F599" s="889"/>
      <c r="G599" s="890"/>
    </row>
    <row r="600" spans="1:11" x14ac:dyDescent="0.2">
      <c r="A600" s="915" t="s">
        <v>49</v>
      </c>
      <c r="B600" s="916"/>
      <c r="C600" s="916"/>
      <c r="D600" s="916"/>
      <c r="E600" s="916"/>
      <c r="F600" s="916"/>
      <c r="G600" s="917"/>
    </row>
    <row r="601" spans="1:11" x14ac:dyDescent="0.2">
      <c r="A601" s="6"/>
      <c r="B601" s="178"/>
      <c r="C601" s="8"/>
      <c r="D601" s="9"/>
      <c r="E601" s="99"/>
      <c r="F601" s="10"/>
      <c r="G601" s="11" t="s">
        <v>8</v>
      </c>
    </row>
    <row r="602" spans="1:11" x14ac:dyDescent="0.2">
      <c r="A602" s="12" t="s">
        <v>1</v>
      </c>
      <c r="B602" s="13"/>
      <c r="C602" s="14" t="s">
        <v>5</v>
      </c>
      <c r="D602" s="13"/>
      <c r="E602" s="362" t="s">
        <v>1750</v>
      </c>
      <c r="F602" s="60"/>
      <c r="G602" s="363" t="s">
        <v>1034</v>
      </c>
    </row>
    <row r="603" spans="1:11" x14ac:dyDescent="0.2">
      <c r="A603" s="17" t="s">
        <v>8</v>
      </c>
      <c r="B603" s="179"/>
      <c r="C603" s="19"/>
      <c r="D603" s="4"/>
      <c r="E603" s="918"/>
      <c r="F603" s="919"/>
      <c r="G603" s="20"/>
    </row>
    <row r="604" spans="1:11" x14ac:dyDescent="0.2">
      <c r="A604" s="21" t="s">
        <v>37</v>
      </c>
      <c r="B604" s="22"/>
      <c r="C604" s="22"/>
      <c r="D604" s="22"/>
      <c r="E604" s="23" t="s">
        <v>46</v>
      </c>
      <c r="F604" s="24"/>
      <c r="G604" s="20" t="s">
        <v>50</v>
      </c>
    </row>
    <row r="605" spans="1:11" x14ac:dyDescent="0.2">
      <c r="A605" s="6"/>
      <c r="B605" s="178"/>
      <c r="C605" s="8"/>
      <c r="D605" s="8"/>
      <c r="E605" s="920"/>
      <c r="F605" s="921"/>
      <c r="G605" s="25"/>
    </row>
    <row r="606" spans="1:11" ht="26.25" thickBot="1" x14ac:dyDescent="0.25">
      <c r="A606" s="26" t="s">
        <v>47</v>
      </c>
      <c r="B606" s="180" t="s">
        <v>23</v>
      </c>
      <c r="C606" s="28" t="s">
        <v>34</v>
      </c>
      <c r="D606" s="110" t="s">
        <v>53</v>
      </c>
      <c r="E606" s="181" t="s">
        <v>54</v>
      </c>
      <c r="F606" s="111" t="s">
        <v>55</v>
      </c>
      <c r="G606" s="112" t="s">
        <v>35</v>
      </c>
    </row>
    <row r="607" spans="1:11" ht="13.5" thickTop="1" x14ac:dyDescent="0.2">
      <c r="A607" s="29">
        <v>1</v>
      </c>
      <c r="B607" s="75"/>
      <c r="C607" s="365" t="s">
        <v>242</v>
      </c>
      <c r="D607" s="366" t="s">
        <v>980</v>
      </c>
      <c r="E607" s="77">
        <v>80</v>
      </c>
      <c r="F607" s="185">
        <v>750</v>
      </c>
      <c r="G607" s="35">
        <f>F607*E607</f>
        <v>60000</v>
      </c>
    </row>
    <row r="608" spans="1:11" x14ac:dyDescent="0.2">
      <c r="A608" s="364"/>
      <c r="B608" s="75"/>
      <c r="C608" s="183"/>
      <c r="D608" s="366" t="s">
        <v>1046</v>
      </c>
      <c r="E608" s="77"/>
      <c r="F608" s="185"/>
      <c r="G608" s="35"/>
    </row>
    <row r="609" spans="1:7" x14ac:dyDescent="0.2">
      <c r="A609" s="364" t="s">
        <v>8</v>
      </c>
      <c r="B609" s="75"/>
      <c r="C609" s="365"/>
      <c r="D609" s="366"/>
      <c r="E609" s="77"/>
      <c r="F609" s="185"/>
      <c r="G609" s="372" t="s">
        <v>8</v>
      </c>
    </row>
    <row r="610" spans="1:7" x14ac:dyDescent="0.2">
      <c r="A610" s="29"/>
      <c r="B610" s="75"/>
      <c r="C610" s="183"/>
      <c r="D610" s="366"/>
      <c r="E610" s="77"/>
      <c r="F610" s="185"/>
      <c r="G610" s="35"/>
    </row>
    <row r="611" spans="1:7" x14ac:dyDescent="0.2">
      <c r="A611" s="29"/>
      <c r="B611" s="75"/>
      <c r="C611" s="183"/>
      <c r="D611" s="184"/>
      <c r="E611" s="77"/>
      <c r="F611" s="185"/>
      <c r="G611" s="35"/>
    </row>
    <row r="612" spans="1:7" x14ac:dyDescent="0.2">
      <c r="A612" s="29"/>
      <c r="B612" s="75"/>
      <c r="C612" s="183"/>
      <c r="D612" s="184"/>
      <c r="E612" s="77"/>
      <c r="F612" s="185"/>
      <c r="G612" s="35"/>
    </row>
    <row r="613" spans="1:7" x14ac:dyDescent="0.2">
      <c r="A613" s="29"/>
      <c r="B613" s="75"/>
      <c r="C613" s="41"/>
      <c r="D613" s="184"/>
      <c r="E613" s="77"/>
      <c r="F613" s="185"/>
      <c r="G613" s="35"/>
    </row>
    <row r="614" spans="1:7" x14ac:dyDescent="0.2">
      <c r="A614" s="29"/>
      <c r="B614" s="75"/>
      <c r="C614" s="41"/>
      <c r="D614" s="184"/>
      <c r="E614" s="77"/>
      <c r="F614" s="185"/>
      <c r="G614" s="35"/>
    </row>
    <row r="615" spans="1:7" x14ac:dyDescent="0.2">
      <c r="A615" s="29"/>
      <c r="B615" s="186"/>
      <c r="C615" s="41"/>
      <c r="D615" s="184"/>
      <c r="E615" s="77"/>
      <c r="F615" s="185"/>
      <c r="G615" s="35"/>
    </row>
    <row r="616" spans="1:7" x14ac:dyDescent="0.2">
      <c r="A616" s="29"/>
      <c r="B616" s="74"/>
      <c r="C616" s="31"/>
      <c r="D616" s="184"/>
      <c r="E616" s="77"/>
      <c r="F616" s="185"/>
      <c r="G616" s="35"/>
    </row>
    <row r="617" spans="1:7" x14ac:dyDescent="0.2">
      <c r="A617" s="29"/>
      <c r="B617" s="74"/>
      <c r="C617" s="41"/>
      <c r="D617" s="187"/>
      <c r="E617" s="84"/>
      <c r="F617" s="163"/>
      <c r="G617" s="35"/>
    </row>
    <row r="618" spans="1:7" x14ac:dyDescent="0.2">
      <c r="A618" s="29"/>
      <c r="B618" s="74"/>
      <c r="C618" s="41"/>
      <c r="D618" s="187"/>
      <c r="E618" s="84"/>
      <c r="F618" s="163"/>
      <c r="G618" s="35"/>
    </row>
    <row r="619" spans="1:7" x14ac:dyDescent="0.2">
      <c r="A619" s="29"/>
      <c r="B619" s="75"/>
      <c r="C619" s="41"/>
      <c r="D619" s="187"/>
      <c r="E619" s="84"/>
      <c r="F619" s="172"/>
      <c r="G619" s="35"/>
    </row>
    <row r="620" spans="1:7" x14ac:dyDescent="0.2">
      <c r="A620" s="29"/>
      <c r="B620" s="75"/>
      <c r="C620" s="41"/>
      <c r="D620" s="187"/>
      <c r="E620" s="84"/>
      <c r="F620" s="173"/>
      <c r="G620" s="35"/>
    </row>
    <row r="621" spans="1:7" x14ac:dyDescent="0.2">
      <c r="A621" s="29"/>
      <c r="B621" s="75"/>
      <c r="C621" s="183"/>
      <c r="D621" s="187"/>
      <c r="E621" s="77"/>
      <c r="F621" s="185"/>
      <c r="G621" s="35"/>
    </row>
    <row r="622" spans="1:7" x14ac:dyDescent="0.2">
      <c r="A622" s="29"/>
      <c r="B622" s="75"/>
      <c r="C622" s="183"/>
      <c r="D622" s="187"/>
      <c r="E622" s="77"/>
      <c r="F622" s="185"/>
      <c r="G622" s="35"/>
    </row>
    <row r="623" spans="1:7" x14ac:dyDescent="0.2">
      <c r="A623" s="29"/>
      <c r="B623" s="75"/>
      <c r="C623" s="183"/>
      <c r="D623" s="184"/>
      <c r="E623" s="77"/>
      <c r="F623" s="185"/>
      <c r="G623" s="35"/>
    </row>
    <row r="624" spans="1:7" x14ac:dyDescent="0.2">
      <c r="A624" s="29"/>
      <c r="B624" s="75"/>
      <c r="C624" s="183"/>
      <c r="D624" s="184"/>
      <c r="E624" s="77"/>
      <c r="F624" s="185"/>
      <c r="G624" s="35"/>
    </row>
    <row r="625" spans="1:7" x14ac:dyDescent="0.2">
      <c r="A625" s="29"/>
      <c r="B625" s="75"/>
      <c r="C625" s="183"/>
      <c r="D625" s="184"/>
      <c r="E625" s="77"/>
      <c r="F625" s="185"/>
      <c r="G625" s="35"/>
    </row>
    <row r="626" spans="1:7" x14ac:dyDescent="0.2">
      <c r="A626" s="29"/>
      <c r="B626" s="75"/>
      <c r="C626" s="41"/>
      <c r="D626" s="184"/>
      <c r="E626" s="84"/>
      <c r="F626" s="163"/>
      <c r="G626" s="35"/>
    </row>
    <row r="627" spans="1:7" x14ac:dyDescent="0.2">
      <c r="A627" s="29"/>
      <c r="B627" s="75"/>
      <c r="C627" s="41"/>
      <c r="D627" s="184"/>
      <c r="E627" s="84"/>
      <c r="F627" s="163"/>
      <c r="G627" s="35"/>
    </row>
    <row r="628" spans="1:7" x14ac:dyDescent="0.2">
      <c r="A628" s="29"/>
      <c r="B628" s="75"/>
      <c r="C628" s="41"/>
      <c r="D628" s="187"/>
      <c r="E628" s="84"/>
      <c r="F628" s="163"/>
      <c r="G628" s="35"/>
    </row>
    <row r="629" spans="1:7" x14ac:dyDescent="0.2">
      <c r="A629" s="29"/>
      <c r="B629" s="75"/>
      <c r="C629" s="41"/>
      <c r="D629" s="187"/>
      <c r="E629" s="84"/>
      <c r="F629" s="163"/>
      <c r="G629" s="35"/>
    </row>
    <row r="630" spans="1:7" x14ac:dyDescent="0.2">
      <c r="A630" s="29"/>
      <c r="B630" s="75"/>
      <c r="C630" s="41"/>
      <c r="D630" s="187"/>
      <c r="E630" s="84"/>
      <c r="F630" s="163"/>
      <c r="G630" s="35"/>
    </row>
    <row r="631" spans="1:7" x14ac:dyDescent="0.2">
      <c r="A631" s="29"/>
      <c r="B631" s="75"/>
      <c r="C631" s="41"/>
      <c r="D631" s="187"/>
      <c r="E631" s="84"/>
      <c r="F631" s="163"/>
      <c r="G631" s="35"/>
    </row>
    <row r="632" spans="1:7" x14ac:dyDescent="0.2">
      <c r="A632" s="29"/>
      <c r="B632" s="75"/>
      <c r="C632" s="41"/>
      <c r="D632" s="187"/>
      <c r="E632" s="84"/>
      <c r="F632" s="163"/>
      <c r="G632" s="35"/>
    </row>
    <row r="633" spans="1:7" x14ac:dyDescent="0.2">
      <c r="A633" s="29"/>
      <c r="B633" s="75"/>
      <c r="C633" s="41"/>
      <c r="D633" s="187"/>
      <c r="E633" s="84"/>
      <c r="F633" s="163"/>
      <c r="G633" s="35"/>
    </row>
    <row r="634" spans="1:7" x14ac:dyDescent="0.2">
      <c r="A634" s="29"/>
      <c r="B634" s="75"/>
      <c r="C634" s="41"/>
      <c r="D634" s="187"/>
      <c r="E634" s="84"/>
      <c r="F634" s="163"/>
      <c r="G634" s="35"/>
    </row>
    <row r="635" spans="1:7" x14ac:dyDescent="0.2">
      <c r="A635" s="29"/>
      <c r="B635" s="75"/>
      <c r="C635" s="41"/>
      <c r="D635" s="187"/>
      <c r="E635" s="84"/>
      <c r="F635" s="163"/>
      <c r="G635" s="35"/>
    </row>
    <row r="636" spans="1:7" x14ac:dyDescent="0.2">
      <c r="A636" s="29"/>
      <c r="B636" s="75"/>
      <c r="C636" s="41"/>
      <c r="D636" s="187"/>
      <c r="E636" s="84"/>
      <c r="F636" s="163"/>
      <c r="G636" s="35"/>
    </row>
    <row r="637" spans="1:7" x14ac:dyDescent="0.2">
      <c r="A637" s="29"/>
      <c r="B637" s="75"/>
      <c r="C637" s="41"/>
      <c r="D637" s="187"/>
      <c r="E637" s="84"/>
      <c r="F637" s="163"/>
      <c r="G637" s="35"/>
    </row>
    <row r="638" spans="1:7" x14ac:dyDescent="0.2">
      <c r="A638" s="29"/>
      <c r="B638" s="75"/>
      <c r="C638" s="41"/>
      <c r="D638" s="187"/>
      <c r="E638" s="84"/>
      <c r="F638" s="172"/>
      <c r="G638" s="35"/>
    </row>
    <row r="639" spans="1:7" x14ac:dyDescent="0.2">
      <c r="A639" s="29"/>
      <c r="B639" s="75"/>
      <c r="C639" s="41"/>
      <c r="D639" s="187"/>
      <c r="E639" s="84"/>
      <c r="F639" s="173"/>
      <c r="G639" s="35"/>
    </row>
    <row r="640" spans="1:7" x14ac:dyDescent="0.2">
      <c r="A640" s="29" t="s">
        <v>8</v>
      </c>
      <c r="B640" s="75"/>
      <c r="C640" s="41"/>
      <c r="D640" s="187"/>
      <c r="E640" s="84"/>
      <c r="F640" s="173"/>
      <c r="G640" s="35" t="s">
        <v>8</v>
      </c>
    </row>
    <row r="641" spans="1:11" ht="13.5" thickBot="1" x14ac:dyDescent="0.25">
      <c r="A641" s="45"/>
      <c r="B641" s="188"/>
      <c r="C641" s="47" t="s">
        <v>8</v>
      </c>
      <c r="D641" s="66" t="s">
        <v>8</v>
      </c>
      <c r="E641" s="188"/>
      <c r="F641" s="49" t="s">
        <v>15</v>
      </c>
      <c r="G641" s="50">
        <f>SUM(G607:G640)</f>
        <v>60000</v>
      </c>
    </row>
    <row r="642" spans="1:11" ht="13.5" thickTop="1" x14ac:dyDescent="0.2">
      <c r="A642" s="367" t="s">
        <v>1751</v>
      </c>
      <c r="B642" s="190"/>
      <c r="C642" s="191"/>
      <c r="D642" s="192"/>
      <c r="E642" s="190"/>
      <c r="F642" s="193"/>
      <c r="G642" s="194"/>
      <c r="K642" s="2">
        <f>250*250</f>
        <v>62500</v>
      </c>
    </row>
    <row r="643" spans="1:11" ht="13.5" thickBot="1" x14ac:dyDescent="0.25">
      <c r="A643" s="195" t="s">
        <v>159</v>
      </c>
      <c r="B643" s="196"/>
      <c r="C643" s="368" t="s">
        <v>1752</v>
      </c>
      <c r="D643" s="196"/>
      <c r="E643" s="197"/>
      <c r="F643" s="198"/>
      <c r="G643" s="199"/>
      <c r="K643" s="430" t="s">
        <v>151</v>
      </c>
    </row>
    <row r="644" spans="1:11" ht="13.5" thickTop="1" x14ac:dyDescent="0.2">
      <c r="A644" s="906" t="s">
        <v>8</v>
      </c>
      <c r="B644" s="907"/>
      <c r="C644" s="907"/>
      <c r="D644" s="57" t="s">
        <v>11</v>
      </c>
      <c r="E644" s="908" t="s">
        <v>12</v>
      </c>
      <c r="F644" s="908"/>
      <c r="G644" s="909"/>
    </row>
    <row r="645" spans="1:11" x14ac:dyDescent="0.2">
      <c r="A645" s="966" t="s">
        <v>17</v>
      </c>
      <c r="B645" s="967"/>
      <c r="C645" s="968"/>
      <c r="D645" s="39"/>
      <c r="E645" s="912"/>
      <c r="F645" s="913"/>
      <c r="G645" s="914"/>
    </row>
    <row r="646" spans="1:11" x14ac:dyDescent="0.2">
      <c r="A646" s="966" t="s">
        <v>38</v>
      </c>
      <c r="B646" s="967"/>
      <c r="C646" s="968"/>
      <c r="D646" s="58" t="s">
        <v>308</v>
      </c>
      <c r="E646" s="969" t="s">
        <v>142</v>
      </c>
      <c r="F646" s="868"/>
      <c r="G646" s="869"/>
    </row>
    <row r="647" spans="1:11" ht="13.5" thickBot="1" x14ac:dyDescent="0.25">
      <c r="A647" s="970" t="s">
        <v>39</v>
      </c>
      <c r="B647" s="971"/>
      <c r="C647" s="972"/>
      <c r="D647" s="375" t="s">
        <v>1038</v>
      </c>
      <c r="E647" s="904" t="s">
        <v>0</v>
      </c>
      <c r="F647" s="904"/>
      <c r="G647" s="905"/>
    </row>
    <row r="648" spans="1:11" ht="16.5" x14ac:dyDescent="0.25">
      <c r="A648" s="885" t="s">
        <v>29</v>
      </c>
      <c r="B648" s="886"/>
      <c r="C648" s="886"/>
      <c r="D648" s="886"/>
      <c r="E648" s="886"/>
      <c r="F648" s="886"/>
      <c r="G648" s="887"/>
    </row>
    <row r="649" spans="1:11" x14ac:dyDescent="0.2">
      <c r="A649" s="888" t="s">
        <v>48</v>
      </c>
      <c r="B649" s="889"/>
      <c r="C649" s="889"/>
      <c r="D649" s="889"/>
      <c r="E649" s="889"/>
      <c r="F649" s="889"/>
      <c r="G649" s="890"/>
    </row>
    <row r="650" spans="1:11" x14ac:dyDescent="0.2">
      <c r="A650" s="915" t="s">
        <v>49</v>
      </c>
      <c r="B650" s="916"/>
      <c r="C650" s="916"/>
      <c r="D650" s="916"/>
      <c r="E650" s="916"/>
      <c r="F650" s="916"/>
      <c r="G650" s="917"/>
    </row>
    <row r="651" spans="1:11" x14ac:dyDescent="0.2">
      <c r="A651" s="6"/>
      <c r="B651" s="178"/>
      <c r="C651" s="8"/>
      <c r="D651" s="9"/>
      <c r="E651" s="99"/>
      <c r="F651" s="10"/>
      <c r="G651" s="11" t="s">
        <v>8</v>
      </c>
    </row>
    <row r="652" spans="1:11" x14ac:dyDescent="0.2">
      <c r="A652" s="12" t="s">
        <v>1</v>
      </c>
      <c r="B652" s="13"/>
      <c r="C652" s="14" t="s">
        <v>5</v>
      </c>
      <c r="D652" s="13"/>
      <c r="E652" s="362" t="s">
        <v>1750</v>
      </c>
      <c r="F652" s="60"/>
      <c r="G652" s="363" t="s">
        <v>1034</v>
      </c>
    </row>
    <row r="653" spans="1:11" x14ac:dyDescent="0.2">
      <c r="A653" s="17" t="s">
        <v>8</v>
      </c>
      <c r="B653" s="179"/>
      <c r="C653" s="19"/>
      <c r="D653" s="4"/>
      <c r="E653" s="918"/>
      <c r="F653" s="919"/>
      <c r="G653" s="20"/>
    </row>
    <row r="654" spans="1:11" x14ac:dyDescent="0.2">
      <c r="A654" s="21" t="s">
        <v>37</v>
      </c>
      <c r="B654" s="22"/>
      <c r="C654" s="22"/>
      <c r="D654" s="22"/>
      <c r="E654" s="23" t="s">
        <v>46</v>
      </c>
      <c r="F654" s="24"/>
      <c r="G654" s="20" t="s">
        <v>50</v>
      </c>
    </row>
    <row r="655" spans="1:11" x14ac:dyDescent="0.2">
      <c r="A655" s="6"/>
      <c r="B655" s="178"/>
      <c r="C655" s="8"/>
      <c r="D655" s="8"/>
      <c r="E655" s="920"/>
      <c r="F655" s="921"/>
      <c r="G655" s="25"/>
    </row>
    <row r="656" spans="1:11" ht="26.25" thickBot="1" x14ac:dyDescent="0.25">
      <c r="A656" s="26" t="s">
        <v>47</v>
      </c>
      <c r="B656" s="180" t="s">
        <v>23</v>
      </c>
      <c r="C656" s="28" t="s">
        <v>34</v>
      </c>
      <c r="D656" s="110" t="s">
        <v>53</v>
      </c>
      <c r="E656" s="181" t="s">
        <v>54</v>
      </c>
      <c r="F656" s="111" t="s">
        <v>55</v>
      </c>
      <c r="G656" s="112" t="s">
        <v>35</v>
      </c>
    </row>
    <row r="657" spans="1:7" ht="13.5" thickTop="1" x14ac:dyDescent="0.2">
      <c r="A657" s="29">
        <v>1</v>
      </c>
      <c r="B657" s="75"/>
      <c r="C657" s="365" t="s">
        <v>242</v>
      </c>
      <c r="D657" s="366" t="s">
        <v>980</v>
      </c>
      <c r="E657" s="77">
        <v>80</v>
      </c>
      <c r="F657" s="185">
        <v>750</v>
      </c>
      <c r="G657" s="35">
        <f>F657*E657</f>
        <v>60000</v>
      </c>
    </row>
    <row r="658" spans="1:7" x14ac:dyDescent="0.2">
      <c r="A658" s="364"/>
      <c r="B658" s="75"/>
      <c r="C658" s="183"/>
      <c r="D658" s="366" t="s">
        <v>1046</v>
      </c>
      <c r="E658" s="77"/>
      <c r="F658" s="185"/>
      <c r="G658" s="35"/>
    </row>
    <row r="659" spans="1:7" x14ac:dyDescent="0.2">
      <c r="A659" s="364" t="s">
        <v>8</v>
      </c>
      <c r="B659" s="75"/>
      <c r="C659" s="365"/>
      <c r="D659" s="366"/>
      <c r="E659" s="77"/>
      <c r="F659" s="185"/>
      <c r="G659" s="372" t="s">
        <v>8</v>
      </c>
    </row>
    <row r="660" spans="1:7" x14ac:dyDescent="0.2">
      <c r="A660" s="29"/>
      <c r="B660" s="75"/>
      <c r="C660" s="183"/>
      <c r="D660" s="366"/>
      <c r="E660" s="77"/>
      <c r="F660" s="185"/>
      <c r="G660" s="35"/>
    </row>
    <row r="661" spans="1:7" x14ac:dyDescent="0.2">
      <c r="A661" s="29"/>
      <c r="B661" s="75"/>
      <c r="C661" s="183"/>
      <c r="D661" s="184"/>
      <c r="E661" s="77"/>
      <c r="F661" s="185"/>
      <c r="G661" s="35"/>
    </row>
    <row r="662" spans="1:7" x14ac:dyDescent="0.2">
      <c r="A662" s="29"/>
      <c r="B662" s="75"/>
      <c r="C662" s="183"/>
      <c r="D662" s="184"/>
      <c r="E662" s="77"/>
      <c r="F662" s="185"/>
      <c r="G662" s="35"/>
    </row>
    <row r="663" spans="1:7" x14ac:dyDescent="0.2">
      <c r="A663" s="29"/>
      <c r="B663" s="75"/>
      <c r="C663" s="41"/>
      <c r="D663" s="184"/>
      <c r="E663" s="77"/>
      <c r="F663" s="185"/>
      <c r="G663" s="35"/>
    </row>
    <row r="664" spans="1:7" x14ac:dyDescent="0.2">
      <c r="A664" s="29"/>
      <c r="B664" s="75"/>
      <c r="C664" s="41"/>
      <c r="D664" s="184"/>
      <c r="E664" s="77"/>
      <c r="F664" s="185"/>
      <c r="G664" s="35"/>
    </row>
    <row r="665" spans="1:7" x14ac:dyDescent="0.2">
      <c r="A665" s="29"/>
      <c r="B665" s="186"/>
      <c r="C665" s="41"/>
      <c r="D665" s="184"/>
      <c r="E665" s="77"/>
      <c r="F665" s="185"/>
      <c r="G665" s="35"/>
    </row>
    <row r="666" spans="1:7" x14ac:dyDescent="0.2">
      <c r="A666" s="29"/>
      <c r="B666" s="74"/>
      <c r="C666" s="31"/>
      <c r="D666" s="184"/>
      <c r="E666" s="77"/>
      <c r="F666" s="185"/>
      <c r="G666" s="35"/>
    </row>
    <row r="667" spans="1:7" x14ac:dyDescent="0.2">
      <c r="A667" s="29"/>
      <c r="B667" s="74"/>
      <c r="C667" s="41"/>
      <c r="D667" s="187"/>
      <c r="E667" s="84"/>
      <c r="F667" s="163"/>
      <c r="G667" s="35"/>
    </row>
    <row r="668" spans="1:7" x14ac:dyDescent="0.2">
      <c r="A668" s="29"/>
      <c r="B668" s="74"/>
      <c r="C668" s="41"/>
      <c r="D668" s="187"/>
      <c r="E668" s="84"/>
      <c r="F668" s="163"/>
      <c r="G668" s="35"/>
    </row>
    <row r="669" spans="1:7" x14ac:dyDescent="0.2">
      <c r="A669" s="29"/>
      <c r="B669" s="75"/>
      <c r="C669" s="41"/>
      <c r="D669" s="187"/>
      <c r="E669" s="84"/>
      <c r="F669" s="172"/>
      <c r="G669" s="35"/>
    </row>
    <row r="670" spans="1:7" x14ac:dyDescent="0.2">
      <c r="A670" s="29"/>
      <c r="B670" s="75"/>
      <c r="C670" s="41"/>
      <c r="D670" s="187"/>
      <c r="E670" s="84"/>
      <c r="F670" s="173"/>
      <c r="G670" s="35"/>
    </row>
    <row r="671" spans="1:7" x14ac:dyDescent="0.2">
      <c r="A671" s="29"/>
      <c r="B671" s="75"/>
      <c r="C671" s="183"/>
      <c r="D671" s="187"/>
      <c r="E671" s="77"/>
      <c r="F671" s="185"/>
      <c r="G671" s="35"/>
    </row>
    <row r="672" spans="1:7" x14ac:dyDescent="0.2">
      <c r="A672" s="29"/>
      <c r="B672" s="75"/>
      <c r="C672" s="183"/>
      <c r="D672" s="187"/>
      <c r="E672" s="77"/>
      <c r="F672" s="185"/>
      <c r="G672" s="35"/>
    </row>
    <row r="673" spans="1:7" x14ac:dyDescent="0.2">
      <c r="A673" s="29"/>
      <c r="B673" s="75"/>
      <c r="C673" s="183"/>
      <c r="D673" s="184"/>
      <c r="E673" s="77"/>
      <c r="F673" s="185"/>
      <c r="G673" s="35"/>
    </row>
    <row r="674" spans="1:7" x14ac:dyDescent="0.2">
      <c r="A674" s="29"/>
      <c r="B674" s="75"/>
      <c r="C674" s="183"/>
      <c r="D674" s="184"/>
      <c r="E674" s="77"/>
      <c r="F674" s="185"/>
      <c r="G674" s="35"/>
    </row>
    <row r="675" spans="1:7" x14ac:dyDescent="0.2">
      <c r="A675" s="29"/>
      <c r="B675" s="75"/>
      <c r="C675" s="183"/>
      <c r="D675" s="184"/>
      <c r="E675" s="77"/>
      <c r="F675" s="185"/>
      <c r="G675" s="35"/>
    </row>
    <row r="676" spans="1:7" x14ac:dyDescent="0.2">
      <c r="A676" s="29"/>
      <c r="B676" s="75"/>
      <c r="C676" s="41"/>
      <c r="D676" s="184"/>
      <c r="E676" s="84"/>
      <c r="F676" s="163"/>
      <c r="G676" s="35"/>
    </row>
    <row r="677" spans="1:7" x14ac:dyDescent="0.2">
      <c r="A677" s="29"/>
      <c r="B677" s="75"/>
      <c r="C677" s="41"/>
      <c r="D677" s="184"/>
      <c r="E677" s="84"/>
      <c r="F677" s="163"/>
      <c r="G677" s="35"/>
    </row>
    <row r="678" spans="1:7" x14ac:dyDescent="0.2">
      <c r="A678" s="29"/>
      <c r="B678" s="75"/>
      <c r="C678" s="41"/>
      <c r="D678" s="187"/>
      <c r="E678" s="84"/>
      <c r="F678" s="163"/>
      <c r="G678" s="35"/>
    </row>
    <row r="679" spans="1:7" x14ac:dyDescent="0.2">
      <c r="A679" s="29"/>
      <c r="B679" s="75"/>
      <c r="C679" s="41"/>
      <c r="D679" s="187"/>
      <c r="E679" s="84"/>
      <c r="F679" s="163"/>
      <c r="G679" s="35"/>
    </row>
    <row r="680" spans="1:7" x14ac:dyDescent="0.2">
      <c r="A680" s="29"/>
      <c r="B680" s="75"/>
      <c r="C680" s="41"/>
      <c r="D680" s="187"/>
      <c r="E680" s="84"/>
      <c r="F680" s="163"/>
      <c r="G680" s="35"/>
    </row>
    <row r="681" spans="1:7" x14ac:dyDescent="0.2">
      <c r="A681" s="29"/>
      <c r="B681" s="75"/>
      <c r="C681" s="41"/>
      <c r="D681" s="187"/>
      <c r="E681" s="84"/>
      <c r="F681" s="163"/>
      <c r="G681" s="35"/>
    </row>
    <row r="682" spans="1:7" x14ac:dyDescent="0.2">
      <c r="A682" s="29"/>
      <c r="B682" s="75"/>
      <c r="C682" s="41"/>
      <c r="D682" s="187"/>
      <c r="E682" s="84"/>
      <c r="F682" s="163"/>
      <c r="G682" s="35"/>
    </row>
    <row r="683" spans="1:7" x14ac:dyDescent="0.2">
      <c r="A683" s="29"/>
      <c r="B683" s="75"/>
      <c r="C683" s="41"/>
      <c r="D683" s="187"/>
      <c r="E683" s="84"/>
      <c r="F683" s="163"/>
      <c r="G683" s="35"/>
    </row>
    <row r="684" spans="1:7" x14ac:dyDescent="0.2">
      <c r="A684" s="29"/>
      <c r="B684" s="75"/>
      <c r="C684" s="41"/>
      <c r="D684" s="187"/>
      <c r="E684" s="84"/>
      <c r="F684" s="163"/>
      <c r="G684" s="35"/>
    </row>
    <row r="685" spans="1:7" x14ac:dyDescent="0.2">
      <c r="A685" s="29"/>
      <c r="B685" s="75"/>
      <c r="C685" s="41"/>
      <c r="D685" s="187"/>
      <c r="E685" s="84"/>
      <c r="F685" s="163"/>
      <c r="G685" s="35"/>
    </row>
    <row r="686" spans="1:7" x14ac:dyDescent="0.2">
      <c r="A686" s="29"/>
      <c r="B686" s="75"/>
      <c r="C686" s="41"/>
      <c r="D686" s="187"/>
      <c r="E686" s="84"/>
      <c r="F686" s="163"/>
      <c r="G686" s="35"/>
    </row>
    <row r="687" spans="1:7" x14ac:dyDescent="0.2">
      <c r="A687" s="29"/>
      <c r="B687" s="75"/>
      <c r="C687" s="41"/>
      <c r="D687" s="187"/>
      <c r="E687" s="84"/>
      <c r="F687" s="163"/>
      <c r="G687" s="35"/>
    </row>
    <row r="688" spans="1:7" x14ac:dyDescent="0.2">
      <c r="A688" s="29"/>
      <c r="B688" s="75"/>
      <c r="C688" s="41"/>
      <c r="D688" s="187"/>
      <c r="E688" s="84"/>
      <c r="F688" s="172"/>
      <c r="G688" s="35"/>
    </row>
    <row r="689" spans="1:7" x14ac:dyDescent="0.2">
      <c r="A689" s="29"/>
      <c r="B689" s="75"/>
      <c r="C689" s="41"/>
      <c r="D689" s="187"/>
      <c r="E689" s="84"/>
      <c r="F689" s="173"/>
      <c r="G689" s="35"/>
    </row>
    <row r="690" spans="1:7" x14ac:dyDescent="0.2">
      <c r="A690" s="29" t="s">
        <v>8</v>
      </c>
      <c r="B690" s="75"/>
      <c r="C690" s="41"/>
      <c r="D690" s="187"/>
      <c r="E690" s="84"/>
      <c r="F690" s="173"/>
      <c r="G690" s="35" t="s">
        <v>8</v>
      </c>
    </row>
    <row r="691" spans="1:7" ht="13.5" thickBot="1" x14ac:dyDescent="0.25">
      <c r="A691" s="45"/>
      <c r="B691" s="188"/>
      <c r="C691" s="47" t="s">
        <v>8</v>
      </c>
      <c r="D691" s="66" t="s">
        <v>8</v>
      </c>
      <c r="E691" s="188"/>
      <c r="F691" s="49" t="s">
        <v>15</v>
      </c>
      <c r="G691" s="50">
        <f>SUM(G657:G690)</f>
        <v>60000</v>
      </c>
    </row>
    <row r="692" spans="1:7" ht="13.5" thickTop="1" x14ac:dyDescent="0.2">
      <c r="A692" s="367" t="s">
        <v>1751</v>
      </c>
      <c r="B692" s="190"/>
      <c r="C692" s="191"/>
      <c r="D692" s="192"/>
      <c r="E692" s="190"/>
      <c r="F692" s="193"/>
      <c r="G692" s="194"/>
    </row>
    <row r="693" spans="1:7" ht="13.5" thickBot="1" x14ac:dyDescent="0.25">
      <c r="A693" s="195" t="s">
        <v>159</v>
      </c>
      <c r="B693" s="196"/>
      <c r="C693" s="368" t="s">
        <v>1752</v>
      </c>
      <c r="D693" s="196"/>
      <c r="E693" s="197"/>
      <c r="F693" s="198"/>
      <c r="G693" s="199"/>
    </row>
    <row r="694" spans="1:7" ht="13.5" thickTop="1" x14ac:dyDescent="0.2">
      <c r="A694" s="906" t="s">
        <v>8</v>
      </c>
      <c r="B694" s="907"/>
      <c r="C694" s="907"/>
      <c r="D694" s="57" t="s">
        <v>11</v>
      </c>
      <c r="E694" s="908" t="s">
        <v>12</v>
      </c>
      <c r="F694" s="908"/>
      <c r="G694" s="909"/>
    </row>
    <row r="695" spans="1:7" x14ac:dyDescent="0.2">
      <c r="A695" s="966" t="s">
        <v>17</v>
      </c>
      <c r="B695" s="967"/>
      <c r="C695" s="968"/>
      <c r="D695" s="39"/>
      <c r="E695" s="912"/>
      <c r="F695" s="913"/>
      <c r="G695" s="914"/>
    </row>
    <row r="696" spans="1:7" x14ac:dyDescent="0.2">
      <c r="A696" s="966" t="s">
        <v>38</v>
      </c>
      <c r="B696" s="967"/>
      <c r="C696" s="968"/>
      <c r="D696" s="58" t="s">
        <v>308</v>
      </c>
      <c r="E696" s="969" t="s">
        <v>142</v>
      </c>
      <c r="F696" s="868"/>
      <c r="G696" s="869"/>
    </row>
    <row r="697" spans="1:7" ht="13.5" thickBot="1" x14ac:dyDescent="0.25">
      <c r="A697" s="970" t="s">
        <v>39</v>
      </c>
      <c r="B697" s="971"/>
      <c r="C697" s="972"/>
      <c r="D697" s="375" t="s">
        <v>1038</v>
      </c>
      <c r="E697" s="904" t="s">
        <v>0</v>
      </c>
      <c r="F697" s="904"/>
      <c r="G697" s="905"/>
    </row>
    <row r="698" spans="1:7" ht="16.5" x14ac:dyDescent="0.25">
      <c r="A698" s="885" t="s">
        <v>29</v>
      </c>
      <c r="B698" s="886"/>
      <c r="C698" s="886"/>
      <c r="D698" s="886"/>
      <c r="E698" s="886"/>
      <c r="F698" s="886"/>
      <c r="G698" s="887"/>
    </row>
    <row r="699" spans="1:7" x14ac:dyDescent="0.2">
      <c r="A699" s="888" t="s">
        <v>48</v>
      </c>
      <c r="B699" s="889"/>
      <c r="C699" s="889"/>
      <c r="D699" s="889"/>
      <c r="E699" s="889"/>
      <c r="F699" s="889"/>
      <c r="G699" s="890"/>
    </row>
    <row r="700" spans="1:7" x14ac:dyDescent="0.2">
      <c r="A700" s="915" t="s">
        <v>49</v>
      </c>
      <c r="B700" s="916"/>
      <c r="C700" s="916"/>
      <c r="D700" s="916"/>
      <c r="E700" s="916"/>
      <c r="F700" s="916"/>
      <c r="G700" s="917"/>
    </row>
    <row r="701" spans="1:7" x14ac:dyDescent="0.2">
      <c r="A701" s="6"/>
      <c r="B701" s="178"/>
      <c r="C701" s="8"/>
      <c r="D701" s="9"/>
      <c r="E701" s="99"/>
      <c r="F701" s="10"/>
      <c r="G701" s="11" t="s">
        <v>8</v>
      </c>
    </row>
    <row r="702" spans="1:7" x14ac:dyDescent="0.2">
      <c r="A702" s="12" t="s">
        <v>1</v>
      </c>
      <c r="B702" s="13"/>
      <c r="C702" s="14" t="s">
        <v>5</v>
      </c>
      <c r="D702" s="13"/>
      <c r="E702" s="362" t="s">
        <v>1753</v>
      </c>
      <c r="F702" s="60"/>
      <c r="G702" s="363" t="s">
        <v>1194</v>
      </c>
    </row>
    <row r="703" spans="1:7" x14ac:dyDescent="0.2">
      <c r="A703" s="17" t="s">
        <v>8</v>
      </c>
      <c r="B703" s="179"/>
      <c r="C703" s="19"/>
      <c r="D703" s="4"/>
      <c r="E703" s="918"/>
      <c r="F703" s="919"/>
      <c r="G703" s="20"/>
    </row>
    <row r="704" spans="1:7" x14ac:dyDescent="0.2">
      <c r="A704" s="21" t="s">
        <v>37</v>
      </c>
      <c r="B704" s="22"/>
      <c r="C704" s="22"/>
      <c r="D704" s="22"/>
      <c r="E704" s="23" t="s">
        <v>46</v>
      </c>
      <c r="F704" s="24"/>
      <c r="G704" s="20" t="s">
        <v>50</v>
      </c>
    </row>
    <row r="705" spans="1:7" x14ac:dyDescent="0.2">
      <c r="A705" s="6"/>
      <c r="B705" s="178"/>
      <c r="C705" s="8"/>
      <c r="D705" s="8"/>
      <c r="E705" s="920"/>
      <c r="F705" s="921"/>
      <c r="G705" s="25"/>
    </row>
    <row r="706" spans="1:7" ht="26.25" thickBot="1" x14ac:dyDescent="0.25">
      <c r="A706" s="26" t="s">
        <v>47</v>
      </c>
      <c r="B706" s="180" t="s">
        <v>23</v>
      </c>
      <c r="C706" s="28" t="s">
        <v>34</v>
      </c>
      <c r="D706" s="110" t="s">
        <v>53</v>
      </c>
      <c r="E706" s="181" t="s">
        <v>54</v>
      </c>
      <c r="F706" s="111" t="s">
        <v>55</v>
      </c>
      <c r="G706" s="112" t="s">
        <v>35</v>
      </c>
    </row>
    <row r="707" spans="1:7" ht="13.5" thickTop="1" x14ac:dyDescent="0.2">
      <c r="A707" s="29">
        <v>1</v>
      </c>
      <c r="B707" s="75"/>
      <c r="C707" s="365" t="s">
        <v>1756</v>
      </c>
      <c r="D707" s="366" t="s">
        <v>1754</v>
      </c>
      <c r="E707" s="77">
        <v>250</v>
      </c>
      <c r="F707" s="185">
        <v>250</v>
      </c>
      <c r="G707" s="35">
        <f>F707*E707</f>
        <v>62500</v>
      </c>
    </row>
    <row r="708" spans="1:7" x14ac:dyDescent="0.2">
      <c r="A708" s="364"/>
      <c r="B708" s="75"/>
      <c r="C708" s="183"/>
      <c r="D708" s="366" t="s">
        <v>1755</v>
      </c>
      <c r="E708" s="77"/>
      <c r="F708" s="185"/>
      <c r="G708" s="35"/>
    </row>
    <row r="709" spans="1:7" x14ac:dyDescent="0.2">
      <c r="A709" s="364" t="s">
        <v>8</v>
      </c>
      <c r="B709" s="75"/>
      <c r="C709" s="365"/>
      <c r="D709" s="366"/>
      <c r="E709" s="77"/>
      <c r="F709" s="185"/>
      <c r="G709" s="372" t="s">
        <v>8</v>
      </c>
    </row>
    <row r="710" spans="1:7" x14ac:dyDescent="0.2">
      <c r="A710" s="29"/>
      <c r="B710" s="75"/>
      <c r="C710" s="183"/>
      <c r="D710" s="366"/>
      <c r="E710" s="77"/>
      <c r="F710" s="185"/>
      <c r="G710" s="35"/>
    </row>
    <row r="711" spans="1:7" x14ac:dyDescent="0.2">
      <c r="A711" s="29"/>
      <c r="B711" s="75"/>
      <c r="C711" s="183"/>
      <c r="D711" s="184"/>
      <c r="E711" s="77"/>
      <c r="F711" s="185"/>
      <c r="G711" s="35"/>
    </row>
    <row r="712" spans="1:7" x14ac:dyDescent="0.2">
      <c r="A712" s="29"/>
      <c r="B712" s="75"/>
      <c r="C712" s="183"/>
      <c r="D712" s="184"/>
      <c r="E712" s="77"/>
      <c r="F712" s="185"/>
      <c r="G712" s="35"/>
    </row>
    <row r="713" spans="1:7" x14ac:dyDescent="0.2">
      <c r="A713" s="29"/>
      <c r="B713" s="75"/>
      <c r="C713" s="41"/>
      <c r="D713" s="184"/>
      <c r="E713" s="77"/>
      <c r="F713" s="185"/>
      <c r="G713" s="35"/>
    </row>
    <row r="714" spans="1:7" x14ac:dyDescent="0.2">
      <c r="A714" s="29"/>
      <c r="B714" s="75"/>
      <c r="C714" s="41"/>
      <c r="D714" s="184"/>
      <c r="E714" s="77"/>
      <c r="F714" s="185"/>
      <c r="G714" s="35"/>
    </row>
    <row r="715" spans="1:7" x14ac:dyDescent="0.2">
      <c r="A715" s="29"/>
      <c r="B715" s="186"/>
      <c r="C715" s="41"/>
      <c r="D715" s="184"/>
      <c r="E715" s="77"/>
      <c r="F715" s="185"/>
      <c r="G715" s="35"/>
    </row>
    <row r="716" spans="1:7" x14ac:dyDescent="0.2">
      <c r="A716" s="29"/>
      <c r="B716" s="74"/>
      <c r="C716" s="31"/>
      <c r="D716" s="184"/>
      <c r="E716" s="77"/>
      <c r="F716" s="185"/>
      <c r="G716" s="35"/>
    </row>
    <row r="717" spans="1:7" x14ac:dyDescent="0.2">
      <c r="A717" s="29"/>
      <c r="B717" s="74"/>
      <c r="C717" s="41"/>
      <c r="D717" s="187"/>
      <c r="E717" s="84"/>
      <c r="F717" s="163"/>
      <c r="G717" s="35"/>
    </row>
    <row r="718" spans="1:7" x14ac:dyDescent="0.2">
      <c r="A718" s="29"/>
      <c r="B718" s="74"/>
      <c r="C718" s="41"/>
      <c r="D718" s="187"/>
      <c r="E718" s="84"/>
      <c r="F718" s="163"/>
      <c r="G718" s="35"/>
    </row>
    <row r="719" spans="1:7" x14ac:dyDescent="0.2">
      <c r="A719" s="29"/>
      <c r="B719" s="75"/>
      <c r="C719" s="41"/>
      <c r="D719" s="187"/>
      <c r="E719" s="84"/>
      <c r="F719" s="172"/>
      <c r="G719" s="35"/>
    </row>
    <row r="720" spans="1:7" x14ac:dyDescent="0.2">
      <c r="A720" s="29"/>
      <c r="B720" s="75"/>
      <c r="C720" s="41"/>
      <c r="D720" s="187"/>
      <c r="E720" s="84"/>
      <c r="F720" s="173"/>
      <c r="G720" s="35"/>
    </row>
    <row r="721" spans="1:7" x14ac:dyDescent="0.2">
      <c r="A721" s="29"/>
      <c r="B721" s="75"/>
      <c r="C721" s="183"/>
      <c r="D721" s="187"/>
      <c r="E721" s="77"/>
      <c r="F721" s="185"/>
      <c r="G721" s="35"/>
    </row>
    <row r="722" spans="1:7" x14ac:dyDescent="0.2">
      <c r="A722" s="29"/>
      <c r="B722" s="75"/>
      <c r="C722" s="183"/>
      <c r="D722" s="187"/>
      <c r="E722" s="77"/>
      <c r="F722" s="185"/>
      <c r="G722" s="35"/>
    </row>
    <row r="723" spans="1:7" x14ac:dyDescent="0.2">
      <c r="A723" s="29"/>
      <c r="B723" s="75"/>
      <c r="C723" s="183"/>
      <c r="D723" s="184"/>
      <c r="E723" s="77"/>
      <c r="F723" s="185"/>
      <c r="G723" s="35"/>
    </row>
    <row r="724" spans="1:7" x14ac:dyDescent="0.2">
      <c r="A724" s="29"/>
      <c r="B724" s="75"/>
      <c r="C724" s="183"/>
      <c r="D724" s="184"/>
      <c r="E724" s="77"/>
      <c r="F724" s="185"/>
      <c r="G724" s="35"/>
    </row>
    <row r="725" spans="1:7" x14ac:dyDescent="0.2">
      <c r="A725" s="29"/>
      <c r="B725" s="75"/>
      <c r="C725" s="183"/>
      <c r="D725" s="184"/>
      <c r="E725" s="77"/>
      <c r="F725" s="185"/>
      <c r="G725" s="35"/>
    </row>
    <row r="726" spans="1:7" x14ac:dyDescent="0.2">
      <c r="A726" s="29"/>
      <c r="B726" s="75"/>
      <c r="C726" s="41"/>
      <c r="D726" s="184"/>
      <c r="E726" s="84"/>
      <c r="F726" s="163"/>
      <c r="G726" s="35"/>
    </row>
    <row r="727" spans="1:7" x14ac:dyDescent="0.2">
      <c r="A727" s="29"/>
      <c r="B727" s="75"/>
      <c r="C727" s="41"/>
      <c r="D727" s="184"/>
      <c r="E727" s="84"/>
      <c r="F727" s="163"/>
      <c r="G727" s="35"/>
    </row>
    <row r="728" spans="1:7" x14ac:dyDescent="0.2">
      <c r="A728" s="29"/>
      <c r="B728" s="75"/>
      <c r="C728" s="41"/>
      <c r="D728" s="187"/>
      <c r="E728" s="84"/>
      <c r="F728" s="163"/>
      <c r="G728" s="35"/>
    </row>
    <row r="729" spans="1:7" x14ac:dyDescent="0.2">
      <c r="A729" s="29"/>
      <c r="B729" s="75"/>
      <c r="C729" s="41"/>
      <c r="D729" s="187"/>
      <c r="E729" s="84"/>
      <c r="F729" s="163"/>
      <c r="G729" s="35"/>
    </row>
    <row r="730" spans="1:7" x14ac:dyDescent="0.2">
      <c r="A730" s="29"/>
      <c r="B730" s="75"/>
      <c r="C730" s="41"/>
      <c r="D730" s="187"/>
      <c r="E730" s="84"/>
      <c r="F730" s="163"/>
      <c r="G730" s="35"/>
    </row>
    <row r="731" spans="1:7" x14ac:dyDescent="0.2">
      <c r="A731" s="29"/>
      <c r="B731" s="75"/>
      <c r="C731" s="41"/>
      <c r="D731" s="187"/>
      <c r="E731" s="84"/>
      <c r="F731" s="163"/>
      <c r="G731" s="35"/>
    </row>
    <row r="732" spans="1:7" x14ac:dyDescent="0.2">
      <c r="A732" s="29"/>
      <c r="B732" s="75"/>
      <c r="C732" s="41"/>
      <c r="D732" s="187"/>
      <c r="E732" s="84"/>
      <c r="F732" s="163"/>
      <c r="G732" s="35"/>
    </row>
    <row r="733" spans="1:7" x14ac:dyDescent="0.2">
      <c r="A733" s="29"/>
      <c r="B733" s="75"/>
      <c r="C733" s="41"/>
      <c r="D733" s="187"/>
      <c r="E733" s="84"/>
      <c r="F733" s="163"/>
      <c r="G733" s="35"/>
    </row>
    <row r="734" spans="1:7" x14ac:dyDescent="0.2">
      <c r="A734" s="29"/>
      <c r="B734" s="75"/>
      <c r="C734" s="41"/>
      <c r="D734" s="187"/>
      <c r="E734" s="84"/>
      <c r="F734" s="163"/>
      <c r="G734" s="35"/>
    </row>
    <row r="735" spans="1:7" x14ac:dyDescent="0.2">
      <c r="A735" s="29"/>
      <c r="B735" s="75"/>
      <c r="C735" s="41"/>
      <c r="D735" s="187"/>
      <c r="E735" s="84"/>
      <c r="F735" s="163"/>
      <c r="G735" s="35"/>
    </row>
    <row r="736" spans="1:7" x14ac:dyDescent="0.2">
      <c r="A736" s="29"/>
      <c r="B736" s="75"/>
      <c r="C736" s="41"/>
      <c r="D736" s="187"/>
      <c r="E736" s="84"/>
      <c r="F736" s="163"/>
      <c r="G736" s="35"/>
    </row>
    <row r="737" spans="1:7" x14ac:dyDescent="0.2">
      <c r="A737" s="29"/>
      <c r="B737" s="75"/>
      <c r="C737" s="41"/>
      <c r="D737" s="187"/>
      <c r="E737" s="84"/>
      <c r="F737" s="163"/>
      <c r="G737" s="35"/>
    </row>
    <row r="738" spans="1:7" x14ac:dyDescent="0.2">
      <c r="A738" s="29"/>
      <c r="B738" s="75"/>
      <c r="C738" s="41"/>
      <c r="D738" s="187"/>
      <c r="E738" s="84"/>
      <c r="F738" s="172"/>
      <c r="G738" s="35"/>
    </row>
    <row r="739" spans="1:7" x14ac:dyDescent="0.2">
      <c r="A739" s="29"/>
      <c r="B739" s="75"/>
      <c r="C739" s="41"/>
      <c r="D739" s="187"/>
      <c r="E739" s="84"/>
      <c r="F739" s="173"/>
      <c r="G739" s="35"/>
    </row>
    <row r="740" spans="1:7" x14ac:dyDescent="0.2">
      <c r="A740" s="29" t="s">
        <v>8</v>
      </c>
      <c r="B740" s="75"/>
      <c r="C740" s="41"/>
      <c r="D740" s="187"/>
      <c r="E740" s="84"/>
      <c r="F740" s="173"/>
      <c r="G740" s="35" t="s">
        <v>8</v>
      </c>
    </row>
    <row r="741" spans="1:7" ht="13.5" thickBot="1" x14ac:dyDescent="0.25">
      <c r="A741" s="45"/>
      <c r="B741" s="188"/>
      <c r="C741" s="47" t="s">
        <v>8</v>
      </c>
      <c r="D741" s="66" t="s">
        <v>8</v>
      </c>
      <c r="E741" s="188"/>
      <c r="F741" s="49" t="s">
        <v>15</v>
      </c>
      <c r="G741" s="50">
        <f>SUM(G707:G740)</f>
        <v>62500</v>
      </c>
    </row>
    <row r="742" spans="1:7" ht="13.5" thickTop="1" x14ac:dyDescent="0.2">
      <c r="A742" s="367" t="s">
        <v>1757</v>
      </c>
      <c r="B742" s="190"/>
      <c r="C742" s="191"/>
      <c r="D742" s="192"/>
      <c r="E742" s="190"/>
      <c r="F742" s="193"/>
      <c r="G742" s="194"/>
    </row>
    <row r="743" spans="1:7" ht="13.5" thickBot="1" x14ac:dyDescent="0.25">
      <c r="A743" s="195" t="s">
        <v>159</v>
      </c>
      <c r="B743" s="196"/>
      <c r="C743" s="368" t="s">
        <v>1758</v>
      </c>
      <c r="D743" s="196"/>
      <c r="E743" s="197"/>
      <c r="F743" s="198"/>
      <c r="G743" s="199"/>
    </row>
    <row r="744" spans="1:7" ht="13.5" thickTop="1" x14ac:dyDescent="0.2">
      <c r="A744" s="906" t="s">
        <v>8</v>
      </c>
      <c r="B744" s="907"/>
      <c r="C744" s="907"/>
      <c r="D744" s="57" t="s">
        <v>11</v>
      </c>
      <c r="E744" s="908" t="s">
        <v>12</v>
      </c>
      <c r="F744" s="908"/>
      <c r="G744" s="909"/>
    </row>
    <row r="745" spans="1:7" x14ac:dyDescent="0.2">
      <c r="A745" s="966" t="s">
        <v>17</v>
      </c>
      <c r="B745" s="967"/>
      <c r="C745" s="968"/>
      <c r="D745" s="39"/>
      <c r="E745" s="912"/>
      <c r="F745" s="913"/>
      <c r="G745" s="914"/>
    </row>
    <row r="746" spans="1:7" x14ac:dyDescent="0.2">
      <c r="A746" s="966" t="s">
        <v>38</v>
      </c>
      <c r="B746" s="967"/>
      <c r="C746" s="968"/>
      <c r="D746" s="58" t="s">
        <v>308</v>
      </c>
      <c r="E746" s="969" t="s">
        <v>142</v>
      </c>
      <c r="F746" s="868"/>
      <c r="G746" s="869"/>
    </row>
    <row r="747" spans="1:7" ht="13.5" thickBot="1" x14ac:dyDescent="0.25">
      <c r="A747" s="970" t="s">
        <v>39</v>
      </c>
      <c r="B747" s="971"/>
      <c r="C747" s="972"/>
      <c r="D747" s="375" t="s">
        <v>1038</v>
      </c>
      <c r="E747" s="904" t="s">
        <v>0</v>
      </c>
      <c r="F747" s="904"/>
      <c r="G747" s="905"/>
    </row>
    <row r="748" spans="1:7" ht="16.5" x14ac:dyDescent="0.25">
      <c r="A748" s="885" t="s">
        <v>29</v>
      </c>
      <c r="B748" s="886"/>
      <c r="C748" s="886"/>
      <c r="D748" s="886"/>
      <c r="E748" s="886"/>
      <c r="F748" s="886"/>
      <c r="G748" s="887"/>
    </row>
    <row r="749" spans="1:7" x14ac:dyDescent="0.2">
      <c r="A749" s="888" t="s">
        <v>48</v>
      </c>
      <c r="B749" s="889"/>
      <c r="C749" s="889"/>
      <c r="D749" s="889"/>
      <c r="E749" s="889"/>
      <c r="F749" s="889"/>
      <c r="G749" s="890"/>
    </row>
    <row r="750" spans="1:7" x14ac:dyDescent="0.2">
      <c r="A750" s="915" t="s">
        <v>49</v>
      </c>
      <c r="B750" s="916"/>
      <c r="C750" s="916"/>
      <c r="D750" s="916"/>
      <c r="E750" s="916"/>
      <c r="F750" s="916"/>
      <c r="G750" s="917"/>
    </row>
    <row r="751" spans="1:7" x14ac:dyDescent="0.2">
      <c r="A751" s="6"/>
      <c r="B751" s="178"/>
      <c r="C751" s="8"/>
      <c r="D751" s="9"/>
      <c r="E751" s="99"/>
      <c r="F751" s="10"/>
      <c r="G751" s="11" t="s">
        <v>8</v>
      </c>
    </row>
    <row r="752" spans="1:7" x14ac:dyDescent="0.2">
      <c r="A752" s="12" t="s">
        <v>1</v>
      </c>
      <c r="B752" s="13"/>
      <c r="C752" s="14" t="s">
        <v>5</v>
      </c>
      <c r="D752" s="13"/>
      <c r="E752" s="362" t="s">
        <v>1763</v>
      </c>
      <c r="F752" s="60"/>
      <c r="G752" s="363" t="s">
        <v>1762</v>
      </c>
    </row>
    <row r="753" spans="1:7" x14ac:dyDescent="0.2">
      <c r="A753" s="17" t="s">
        <v>8</v>
      </c>
      <c r="B753" s="179"/>
      <c r="C753" s="19"/>
      <c r="D753" s="4"/>
      <c r="E753" s="918"/>
      <c r="F753" s="919"/>
      <c r="G753" s="20"/>
    </row>
    <row r="754" spans="1:7" x14ac:dyDescent="0.2">
      <c r="A754" s="21" t="s">
        <v>37</v>
      </c>
      <c r="B754" s="22"/>
      <c r="C754" s="22"/>
      <c r="D754" s="22"/>
      <c r="E754" s="23" t="s">
        <v>46</v>
      </c>
      <c r="F754" s="24"/>
      <c r="G754" s="20" t="s">
        <v>50</v>
      </c>
    </row>
    <row r="755" spans="1:7" x14ac:dyDescent="0.2">
      <c r="A755" s="6"/>
      <c r="B755" s="178"/>
      <c r="C755" s="8"/>
      <c r="D755" s="8"/>
      <c r="E755" s="920"/>
      <c r="F755" s="921"/>
      <c r="G755" s="25"/>
    </row>
    <row r="756" spans="1:7" ht="26.25" thickBot="1" x14ac:dyDescent="0.25">
      <c r="A756" s="26" t="s">
        <v>47</v>
      </c>
      <c r="B756" s="180" t="s">
        <v>23</v>
      </c>
      <c r="C756" s="28" t="s">
        <v>34</v>
      </c>
      <c r="D756" s="110" t="s">
        <v>53</v>
      </c>
      <c r="E756" s="181" t="s">
        <v>54</v>
      </c>
      <c r="F756" s="111" t="s">
        <v>55</v>
      </c>
      <c r="G756" s="112" t="s">
        <v>35</v>
      </c>
    </row>
    <row r="757" spans="1:7" ht="13.5" thickTop="1" x14ac:dyDescent="0.2">
      <c r="A757" s="29">
        <v>1</v>
      </c>
      <c r="B757" s="75"/>
      <c r="C757" s="365" t="s">
        <v>242</v>
      </c>
      <c r="D757" s="366" t="s">
        <v>980</v>
      </c>
      <c r="E757" s="77">
        <v>80</v>
      </c>
      <c r="F757" s="185">
        <v>750</v>
      </c>
      <c r="G757" s="35">
        <f>F757*E757</f>
        <v>60000</v>
      </c>
    </row>
    <row r="758" spans="1:7" x14ac:dyDescent="0.2">
      <c r="A758" s="364"/>
      <c r="B758" s="75"/>
      <c r="C758" s="183"/>
      <c r="D758" s="366" t="s">
        <v>349</v>
      </c>
      <c r="E758" s="77"/>
      <c r="F758" s="185"/>
      <c r="G758" s="35"/>
    </row>
    <row r="759" spans="1:7" x14ac:dyDescent="0.2">
      <c r="A759" s="364" t="s">
        <v>8</v>
      </c>
      <c r="B759" s="75"/>
      <c r="C759" s="365"/>
      <c r="D759" s="366"/>
      <c r="E759" s="77"/>
      <c r="F759" s="185"/>
      <c r="G759" s="372" t="s">
        <v>8</v>
      </c>
    </row>
    <row r="760" spans="1:7" x14ac:dyDescent="0.2">
      <c r="A760" s="29"/>
      <c r="B760" s="75"/>
      <c r="C760" s="183"/>
      <c r="D760" s="366"/>
      <c r="E760" s="77"/>
      <c r="F760" s="185"/>
      <c r="G760" s="35"/>
    </row>
    <row r="761" spans="1:7" x14ac:dyDescent="0.2">
      <c r="A761" s="29"/>
      <c r="B761" s="75"/>
      <c r="C761" s="183"/>
      <c r="D761" s="184"/>
      <c r="E761" s="77"/>
      <c r="F761" s="185"/>
      <c r="G761" s="35"/>
    </row>
    <row r="762" spans="1:7" x14ac:dyDescent="0.2">
      <c r="A762" s="29"/>
      <c r="B762" s="75"/>
      <c r="C762" s="183"/>
      <c r="D762" s="184"/>
      <c r="E762" s="77"/>
      <c r="F762" s="185"/>
      <c r="G762" s="35"/>
    </row>
    <row r="763" spans="1:7" x14ac:dyDescent="0.2">
      <c r="A763" s="29"/>
      <c r="B763" s="75"/>
      <c r="C763" s="41"/>
      <c r="D763" s="184"/>
      <c r="E763" s="77"/>
      <c r="F763" s="185"/>
      <c r="G763" s="35"/>
    </row>
    <row r="764" spans="1:7" x14ac:dyDescent="0.2">
      <c r="A764" s="29"/>
      <c r="B764" s="75"/>
      <c r="C764" s="41"/>
      <c r="D764" s="184"/>
      <c r="E764" s="77"/>
      <c r="F764" s="185"/>
      <c r="G764" s="35"/>
    </row>
    <row r="765" spans="1:7" x14ac:dyDescent="0.2">
      <c r="A765" s="29"/>
      <c r="B765" s="186"/>
      <c r="C765" s="41"/>
      <c r="D765" s="184"/>
      <c r="E765" s="77"/>
      <c r="F765" s="185"/>
      <c r="G765" s="35"/>
    </row>
    <row r="766" spans="1:7" x14ac:dyDescent="0.2">
      <c r="A766" s="29"/>
      <c r="B766" s="74"/>
      <c r="C766" s="31"/>
      <c r="D766" s="184"/>
      <c r="E766" s="77"/>
      <c r="F766" s="185"/>
      <c r="G766" s="35"/>
    </row>
    <row r="767" spans="1:7" x14ac:dyDescent="0.2">
      <c r="A767" s="29"/>
      <c r="B767" s="74"/>
      <c r="C767" s="41"/>
      <c r="D767" s="187"/>
      <c r="E767" s="84"/>
      <c r="F767" s="163"/>
      <c r="G767" s="35"/>
    </row>
    <row r="768" spans="1:7" x14ac:dyDescent="0.2">
      <c r="A768" s="29"/>
      <c r="B768" s="74"/>
      <c r="C768" s="41"/>
      <c r="D768" s="187"/>
      <c r="E768" s="84"/>
      <c r="F768" s="163"/>
      <c r="G768" s="35"/>
    </row>
    <row r="769" spans="1:7" x14ac:dyDescent="0.2">
      <c r="A769" s="29"/>
      <c r="B769" s="75"/>
      <c r="C769" s="41"/>
      <c r="D769" s="187"/>
      <c r="E769" s="84"/>
      <c r="F769" s="172"/>
      <c r="G769" s="35"/>
    </row>
    <row r="770" spans="1:7" x14ac:dyDescent="0.2">
      <c r="A770" s="29"/>
      <c r="B770" s="75"/>
      <c r="C770" s="41"/>
      <c r="D770" s="187"/>
      <c r="E770" s="84"/>
      <c r="F770" s="173"/>
      <c r="G770" s="35"/>
    </row>
    <row r="771" spans="1:7" x14ac:dyDescent="0.2">
      <c r="A771" s="29"/>
      <c r="B771" s="75"/>
      <c r="C771" s="183"/>
      <c r="D771" s="187"/>
      <c r="E771" s="77"/>
      <c r="F771" s="185"/>
      <c r="G771" s="35"/>
    </row>
    <row r="772" spans="1:7" x14ac:dyDescent="0.2">
      <c r="A772" s="29"/>
      <c r="B772" s="75"/>
      <c r="C772" s="183"/>
      <c r="D772" s="187"/>
      <c r="E772" s="77"/>
      <c r="F772" s="185"/>
      <c r="G772" s="35"/>
    </row>
    <row r="773" spans="1:7" x14ac:dyDescent="0.2">
      <c r="A773" s="29"/>
      <c r="B773" s="75"/>
      <c r="C773" s="183"/>
      <c r="D773" s="184"/>
      <c r="E773" s="77"/>
      <c r="F773" s="185"/>
      <c r="G773" s="35"/>
    </row>
    <row r="774" spans="1:7" x14ac:dyDescent="0.2">
      <c r="A774" s="29"/>
      <c r="B774" s="75"/>
      <c r="C774" s="183"/>
      <c r="D774" s="184"/>
      <c r="E774" s="77"/>
      <c r="F774" s="185"/>
      <c r="G774" s="35"/>
    </row>
    <row r="775" spans="1:7" x14ac:dyDescent="0.2">
      <c r="A775" s="29"/>
      <c r="B775" s="75"/>
      <c r="C775" s="183"/>
      <c r="D775" s="184"/>
      <c r="E775" s="77"/>
      <c r="F775" s="185"/>
      <c r="G775" s="35"/>
    </row>
    <row r="776" spans="1:7" x14ac:dyDescent="0.2">
      <c r="A776" s="29"/>
      <c r="B776" s="75"/>
      <c r="C776" s="41"/>
      <c r="D776" s="184"/>
      <c r="E776" s="84"/>
      <c r="F776" s="163"/>
      <c r="G776" s="35"/>
    </row>
    <row r="777" spans="1:7" x14ac:dyDescent="0.2">
      <c r="A777" s="29"/>
      <c r="B777" s="75"/>
      <c r="C777" s="41"/>
      <c r="D777" s="184"/>
      <c r="E777" s="84"/>
      <c r="F777" s="163"/>
      <c r="G777" s="35"/>
    </row>
    <row r="778" spans="1:7" x14ac:dyDescent="0.2">
      <c r="A778" s="29"/>
      <c r="B778" s="75"/>
      <c r="C778" s="41"/>
      <c r="D778" s="187"/>
      <c r="E778" s="84"/>
      <c r="F778" s="163"/>
      <c r="G778" s="35"/>
    </row>
    <row r="779" spans="1:7" x14ac:dyDescent="0.2">
      <c r="A779" s="29"/>
      <c r="B779" s="75"/>
      <c r="C779" s="41"/>
      <c r="D779" s="187"/>
      <c r="E779" s="84"/>
      <c r="F779" s="163"/>
      <c r="G779" s="35"/>
    </row>
    <row r="780" spans="1:7" x14ac:dyDescent="0.2">
      <c r="A780" s="29"/>
      <c r="B780" s="75"/>
      <c r="C780" s="41"/>
      <c r="D780" s="187"/>
      <c r="E780" s="84"/>
      <c r="F780" s="163"/>
      <c r="G780" s="35"/>
    </row>
    <row r="781" spans="1:7" x14ac:dyDescent="0.2">
      <c r="A781" s="29"/>
      <c r="B781" s="75"/>
      <c r="C781" s="41"/>
      <c r="D781" s="187"/>
      <c r="E781" s="84"/>
      <c r="F781" s="163"/>
      <c r="G781" s="35"/>
    </row>
    <row r="782" spans="1:7" x14ac:dyDescent="0.2">
      <c r="A782" s="29"/>
      <c r="B782" s="75"/>
      <c r="C782" s="41"/>
      <c r="D782" s="187"/>
      <c r="E782" s="84"/>
      <c r="F782" s="163"/>
      <c r="G782" s="35"/>
    </row>
    <row r="783" spans="1:7" x14ac:dyDescent="0.2">
      <c r="A783" s="29"/>
      <c r="B783" s="75"/>
      <c r="C783" s="41"/>
      <c r="D783" s="187"/>
      <c r="E783" s="84"/>
      <c r="F783" s="163"/>
      <c r="G783" s="35"/>
    </row>
    <row r="784" spans="1:7" x14ac:dyDescent="0.2">
      <c r="A784" s="29"/>
      <c r="B784" s="75"/>
      <c r="C784" s="41"/>
      <c r="D784" s="187"/>
      <c r="E784" s="84"/>
      <c r="F784" s="163"/>
      <c r="G784" s="35"/>
    </row>
    <row r="785" spans="1:7" x14ac:dyDescent="0.2">
      <c r="A785" s="29"/>
      <c r="B785" s="75"/>
      <c r="C785" s="41"/>
      <c r="D785" s="187"/>
      <c r="E785" s="84"/>
      <c r="F785" s="163"/>
      <c r="G785" s="35"/>
    </row>
    <row r="786" spans="1:7" x14ac:dyDescent="0.2">
      <c r="A786" s="29"/>
      <c r="B786" s="75"/>
      <c r="C786" s="41"/>
      <c r="D786" s="187"/>
      <c r="E786" s="84"/>
      <c r="F786" s="163"/>
      <c r="G786" s="35"/>
    </row>
    <row r="787" spans="1:7" x14ac:dyDescent="0.2">
      <c r="A787" s="29"/>
      <c r="B787" s="75"/>
      <c r="C787" s="41"/>
      <c r="D787" s="187"/>
      <c r="E787" s="84"/>
      <c r="F787" s="172"/>
      <c r="G787" s="35"/>
    </row>
    <row r="788" spans="1:7" x14ac:dyDescent="0.2">
      <c r="A788" s="29"/>
      <c r="B788" s="75"/>
      <c r="C788" s="41"/>
      <c r="D788" s="187"/>
      <c r="E788" s="84"/>
      <c r="F788" s="173"/>
      <c r="G788" s="35"/>
    </row>
    <row r="789" spans="1:7" x14ac:dyDescent="0.2">
      <c r="A789" s="29" t="s">
        <v>8</v>
      </c>
      <c r="B789" s="75"/>
      <c r="C789" s="41"/>
      <c r="D789" s="187"/>
      <c r="E789" s="84"/>
      <c r="F789" s="173"/>
      <c r="G789" s="35" t="s">
        <v>8</v>
      </c>
    </row>
    <row r="790" spans="1:7" ht="13.5" thickBot="1" x14ac:dyDescent="0.25">
      <c r="A790" s="45"/>
      <c r="B790" s="188"/>
      <c r="C790" s="47" t="s">
        <v>8</v>
      </c>
      <c r="D790" s="66" t="s">
        <v>8</v>
      </c>
      <c r="E790" s="188"/>
      <c r="F790" s="49" t="s">
        <v>15</v>
      </c>
      <c r="G790" s="50">
        <f>SUM(G757:G789)</f>
        <v>60000</v>
      </c>
    </row>
    <row r="791" spans="1:7" ht="13.5" thickTop="1" x14ac:dyDescent="0.2">
      <c r="A791" s="367" t="s">
        <v>1759</v>
      </c>
      <c r="B791" s="190"/>
      <c r="C791" s="191"/>
      <c r="D791" s="192"/>
      <c r="E791" s="190"/>
      <c r="F791" s="193"/>
      <c r="G791" s="194"/>
    </row>
    <row r="792" spans="1:7" x14ac:dyDescent="0.2">
      <c r="A792" s="985" t="s">
        <v>1761</v>
      </c>
      <c r="B792" s="980"/>
      <c r="C792" s="980"/>
      <c r="D792" s="980"/>
      <c r="E792" s="980"/>
      <c r="F792" s="980"/>
      <c r="G792" s="981"/>
    </row>
    <row r="793" spans="1:7" ht="13.5" thickBot="1" x14ac:dyDescent="0.25">
      <c r="A793" s="986" t="s">
        <v>1760</v>
      </c>
      <c r="B793" s="987"/>
      <c r="C793" s="987"/>
      <c r="D793" s="987"/>
      <c r="E793" s="987"/>
      <c r="F793" s="987"/>
      <c r="G793" s="988"/>
    </row>
    <row r="794" spans="1:7" ht="13.5" thickTop="1" x14ac:dyDescent="0.2">
      <c r="A794" s="906" t="s">
        <v>8</v>
      </c>
      <c r="B794" s="907"/>
      <c r="C794" s="907"/>
      <c r="D794" s="57" t="s">
        <v>11</v>
      </c>
      <c r="E794" s="908" t="s">
        <v>12</v>
      </c>
      <c r="F794" s="908"/>
      <c r="G794" s="909"/>
    </row>
    <row r="795" spans="1:7" x14ac:dyDescent="0.2">
      <c r="A795" s="966" t="s">
        <v>17</v>
      </c>
      <c r="B795" s="967"/>
      <c r="C795" s="968"/>
      <c r="D795" s="39"/>
      <c r="E795" s="912"/>
      <c r="F795" s="913"/>
      <c r="G795" s="914"/>
    </row>
    <row r="796" spans="1:7" x14ac:dyDescent="0.2">
      <c r="A796" s="966" t="s">
        <v>38</v>
      </c>
      <c r="B796" s="967"/>
      <c r="C796" s="968"/>
      <c r="D796" s="58" t="s">
        <v>308</v>
      </c>
      <c r="E796" s="969" t="s">
        <v>142</v>
      </c>
      <c r="F796" s="868"/>
      <c r="G796" s="869"/>
    </row>
    <row r="797" spans="1:7" ht="13.5" thickBot="1" x14ac:dyDescent="0.25">
      <c r="A797" s="970" t="s">
        <v>39</v>
      </c>
      <c r="B797" s="971"/>
      <c r="C797" s="972"/>
      <c r="D797" s="375" t="s">
        <v>1038</v>
      </c>
      <c r="E797" s="904" t="s">
        <v>0</v>
      </c>
      <c r="F797" s="904"/>
      <c r="G797" s="905"/>
    </row>
    <row r="798" spans="1:7" ht="16.5" x14ac:dyDescent="0.25">
      <c r="A798" s="885" t="s">
        <v>29</v>
      </c>
      <c r="B798" s="886"/>
      <c r="C798" s="886"/>
      <c r="D798" s="886"/>
      <c r="E798" s="886"/>
      <c r="F798" s="886"/>
      <c r="G798" s="887"/>
    </row>
    <row r="799" spans="1:7" x14ac:dyDescent="0.2">
      <c r="A799" s="888" t="s">
        <v>48</v>
      </c>
      <c r="B799" s="889"/>
      <c r="C799" s="889"/>
      <c r="D799" s="889"/>
      <c r="E799" s="889"/>
      <c r="F799" s="889"/>
      <c r="G799" s="890"/>
    </row>
    <row r="800" spans="1:7" x14ac:dyDescent="0.2">
      <c r="A800" s="915" t="s">
        <v>49</v>
      </c>
      <c r="B800" s="916"/>
      <c r="C800" s="916"/>
      <c r="D800" s="916"/>
      <c r="E800" s="916"/>
      <c r="F800" s="916"/>
      <c r="G800" s="917"/>
    </row>
    <row r="801" spans="1:7" x14ac:dyDescent="0.2">
      <c r="A801" s="6"/>
      <c r="B801" s="178"/>
      <c r="C801" s="8"/>
      <c r="D801" s="9"/>
      <c r="E801" s="99"/>
      <c r="F801" s="10"/>
      <c r="G801" s="11" t="s">
        <v>8</v>
      </c>
    </row>
    <row r="802" spans="1:7" x14ac:dyDescent="0.2">
      <c r="A802" s="12" t="s">
        <v>1</v>
      </c>
      <c r="B802" s="13"/>
      <c r="C802" s="14" t="s">
        <v>5</v>
      </c>
      <c r="D802" s="13"/>
      <c r="E802" s="362" t="s">
        <v>1764</v>
      </c>
      <c r="F802" s="60"/>
      <c r="G802" s="363" t="s">
        <v>1762</v>
      </c>
    </row>
    <row r="803" spans="1:7" x14ac:dyDescent="0.2">
      <c r="A803" s="17" t="s">
        <v>8</v>
      </c>
      <c r="B803" s="179"/>
      <c r="C803" s="19"/>
      <c r="D803" s="4"/>
      <c r="E803" s="918"/>
      <c r="F803" s="919"/>
      <c r="G803" s="20"/>
    </row>
    <row r="804" spans="1:7" x14ac:dyDescent="0.2">
      <c r="A804" s="21" t="s">
        <v>37</v>
      </c>
      <c r="B804" s="22"/>
      <c r="C804" s="22"/>
      <c r="D804" s="22"/>
      <c r="E804" s="23" t="s">
        <v>46</v>
      </c>
      <c r="F804" s="24"/>
      <c r="G804" s="20" t="s">
        <v>50</v>
      </c>
    </row>
    <row r="805" spans="1:7" x14ac:dyDescent="0.2">
      <c r="A805" s="6"/>
      <c r="B805" s="178"/>
      <c r="C805" s="8"/>
      <c r="D805" s="8"/>
      <c r="E805" s="920"/>
      <c r="F805" s="921"/>
      <c r="G805" s="25"/>
    </row>
    <row r="806" spans="1:7" ht="26.25" thickBot="1" x14ac:dyDescent="0.25">
      <c r="A806" s="26" t="s">
        <v>47</v>
      </c>
      <c r="B806" s="180" t="s">
        <v>23</v>
      </c>
      <c r="C806" s="28" t="s">
        <v>34</v>
      </c>
      <c r="D806" s="110" t="s">
        <v>53</v>
      </c>
      <c r="E806" s="181" t="s">
        <v>54</v>
      </c>
      <c r="F806" s="111" t="s">
        <v>55</v>
      </c>
      <c r="G806" s="112" t="s">
        <v>35</v>
      </c>
    </row>
    <row r="807" spans="1:7" ht="13.5" thickTop="1" x14ac:dyDescent="0.2">
      <c r="A807" s="29">
        <v>1</v>
      </c>
      <c r="B807" s="75"/>
      <c r="C807" s="365" t="s">
        <v>242</v>
      </c>
      <c r="D807" s="366" t="s">
        <v>980</v>
      </c>
      <c r="E807" s="77">
        <v>60</v>
      </c>
      <c r="F807" s="185">
        <v>750</v>
      </c>
      <c r="G807" s="35">
        <f>F807*E807</f>
        <v>45000</v>
      </c>
    </row>
    <row r="808" spans="1:7" x14ac:dyDescent="0.2">
      <c r="A808" s="364"/>
      <c r="B808" s="75"/>
      <c r="C808" s="183"/>
      <c r="D808" s="366" t="s">
        <v>349</v>
      </c>
      <c r="E808" s="77"/>
      <c r="F808" s="185"/>
      <c r="G808" s="35"/>
    </row>
    <row r="809" spans="1:7" x14ac:dyDescent="0.2">
      <c r="A809" s="364" t="s">
        <v>8</v>
      </c>
      <c r="B809" s="75"/>
      <c r="C809" s="365"/>
      <c r="D809" s="366"/>
      <c r="E809" s="77"/>
      <c r="F809" s="185"/>
      <c r="G809" s="372" t="s">
        <v>8</v>
      </c>
    </row>
    <row r="810" spans="1:7" x14ac:dyDescent="0.2">
      <c r="A810" s="29"/>
      <c r="B810" s="75"/>
      <c r="C810" s="183"/>
      <c r="D810" s="366"/>
      <c r="E810" s="77"/>
      <c r="F810" s="185"/>
      <c r="G810" s="35"/>
    </row>
    <row r="811" spans="1:7" x14ac:dyDescent="0.2">
      <c r="A811" s="29"/>
      <c r="B811" s="75"/>
      <c r="C811" s="183"/>
      <c r="D811" s="184"/>
      <c r="E811" s="77"/>
      <c r="F811" s="185"/>
      <c r="G811" s="35"/>
    </row>
    <row r="812" spans="1:7" x14ac:dyDescent="0.2">
      <c r="A812" s="29"/>
      <c r="B812" s="75"/>
      <c r="C812" s="183"/>
      <c r="D812" s="184"/>
      <c r="E812" s="77"/>
      <c r="F812" s="185"/>
      <c r="G812" s="35"/>
    </row>
    <row r="813" spans="1:7" x14ac:dyDescent="0.2">
      <c r="A813" s="29"/>
      <c r="B813" s="75"/>
      <c r="C813" s="41"/>
      <c r="D813" s="184"/>
      <c r="E813" s="77"/>
      <c r="F813" s="185"/>
      <c r="G813" s="35"/>
    </row>
    <row r="814" spans="1:7" x14ac:dyDescent="0.2">
      <c r="A814" s="29"/>
      <c r="B814" s="75"/>
      <c r="C814" s="41"/>
      <c r="D814" s="184"/>
      <c r="E814" s="77"/>
      <c r="F814" s="185"/>
      <c r="G814" s="35"/>
    </row>
    <row r="815" spans="1:7" x14ac:dyDescent="0.2">
      <c r="A815" s="29"/>
      <c r="B815" s="186"/>
      <c r="C815" s="41"/>
      <c r="D815" s="184"/>
      <c r="E815" s="77"/>
      <c r="F815" s="185"/>
      <c r="G815" s="35"/>
    </row>
    <row r="816" spans="1:7" x14ac:dyDescent="0.2">
      <c r="A816" s="29"/>
      <c r="B816" s="74"/>
      <c r="C816" s="31"/>
      <c r="D816" s="184"/>
      <c r="E816" s="77"/>
      <c r="F816" s="185"/>
      <c r="G816" s="35"/>
    </row>
    <row r="817" spans="1:7" x14ac:dyDescent="0.2">
      <c r="A817" s="29"/>
      <c r="B817" s="74"/>
      <c r="C817" s="41"/>
      <c r="D817" s="187"/>
      <c r="E817" s="84"/>
      <c r="F817" s="163"/>
      <c r="G817" s="35"/>
    </row>
    <row r="818" spans="1:7" x14ac:dyDescent="0.2">
      <c r="A818" s="29"/>
      <c r="B818" s="74"/>
      <c r="C818" s="41"/>
      <c r="D818" s="187"/>
      <c r="E818" s="84"/>
      <c r="F818" s="163"/>
      <c r="G818" s="35"/>
    </row>
    <row r="819" spans="1:7" x14ac:dyDescent="0.2">
      <c r="A819" s="29"/>
      <c r="B819" s="75"/>
      <c r="C819" s="41"/>
      <c r="D819" s="187"/>
      <c r="E819" s="84"/>
      <c r="F819" s="172"/>
      <c r="G819" s="35"/>
    </row>
    <row r="820" spans="1:7" x14ac:dyDescent="0.2">
      <c r="A820" s="29"/>
      <c r="B820" s="75"/>
      <c r="C820" s="41"/>
      <c r="D820" s="187"/>
      <c r="E820" s="84"/>
      <c r="F820" s="173"/>
      <c r="G820" s="35"/>
    </row>
    <row r="821" spans="1:7" x14ac:dyDescent="0.2">
      <c r="A821" s="29"/>
      <c r="B821" s="75"/>
      <c r="C821" s="183"/>
      <c r="D821" s="187"/>
      <c r="E821" s="77"/>
      <c r="F821" s="185"/>
      <c r="G821" s="35"/>
    </row>
    <row r="822" spans="1:7" x14ac:dyDescent="0.2">
      <c r="A822" s="29"/>
      <c r="B822" s="75"/>
      <c r="C822" s="183"/>
      <c r="D822" s="187"/>
      <c r="E822" s="77"/>
      <c r="F822" s="185"/>
      <c r="G822" s="35"/>
    </row>
    <row r="823" spans="1:7" x14ac:dyDescent="0.2">
      <c r="A823" s="29"/>
      <c r="B823" s="75"/>
      <c r="C823" s="183"/>
      <c r="D823" s="184"/>
      <c r="E823" s="77"/>
      <c r="F823" s="185"/>
      <c r="G823" s="35"/>
    </row>
    <row r="824" spans="1:7" x14ac:dyDescent="0.2">
      <c r="A824" s="29"/>
      <c r="B824" s="75"/>
      <c r="C824" s="183"/>
      <c r="D824" s="184"/>
      <c r="E824" s="77"/>
      <c r="F824" s="185"/>
      <c r="G824" s="35"/>
    </row>
    <row r="825" spans="1:7" x14ac:dyDescent="0.2">
      <c r="A825" s="29"/>
      <c r="B825" s="75"/>
      <c r="C825" s="183"/>
      <c r="D825" s="184"/>
      <c r="E825" s="77"/>
      <c r="F825" s="185"/>
      <c r="G825" s="35"/>
    </row>
    <row r="826" spans="1:7" x14ac:dyDescent="0.2">
      <c r="A826" s="29"/>
      <c r="B826" s="75"/>
      <c r="C826" s="41"/>
      <c r="D826" s="184"/>
      <c r="E826" s="84"/>
      <c r="F826" s="163"/>
      <c r="G826" s="35"/>
    </row>
    <row r="827" spans="1:7" x14ac:dyDescent="0.2">
      <c r="A827" s="29"/>
      <c r="B827" s="75"/>
      <c r="C827" s="41"/>
      <c r="D827" s="184"/>
      <c r="E827" s="84"/>
      <c r="F827" s="163"/>
      <c r="G827" s="35"/>
    </row>
    <row r="828" spans="1:7" x14ac:dyDescent="0.2">
      <c r="A828" s="29"/>
      <c r="B828" s="75"/>
      <c r="C828" s="41"/>
      <c r="D828" s="187"/>
      <c r="E828" s="84"/>
      <c r="F828" s="163"/>
      <c r="G828" s="35"/>
    </row>
    <row r="829" spans="1:7" x14ac:dyDescent="0.2">
      <c r="A829" s="29"/>
      <c r="B829" s="75"/>
      <c r="C829" s="41"/>
      <c r="D829" s="187"/>
      <c r="E829" s="84"/>
      <c r="F829" s="163"/>
      <c r="G829" s="35"/>
    </row>
    <row r="830" spans="1:7" x14ac:dyDescent="0.2">
      <c r="A830" s="29"/>
      <c r="B830" s="75"/>
      <c r="C830" s="41"/>
      <c r="D830" s="187"/>
      <c r="E830" s="84"/>
      <c r="F830" s="163"/>
      <c r="G830" s="35"/>
    </row>
    <row r="831" spans="1:7" x14ac:dyDescent="0.2">
      <c r="A831" s="29"/>
      <c r="B831" s="75"/>
      <c r="C831" s="41"/>
      <c r="D831" s="187"/>
      <c r="E831" s="84"/>
      <c r="F831" s="163"/>
      <c r="G831" s="35"/>
    </row>
    <row r="832" spans="1:7" x14ac:dyDescent="0.2">
      <c r="A832" s="29"/>
      <c r="B832" s="75"/>
      <c r="C832" s="41"/>
      <c r="D832" s="187"/>
      <c r="E832" s="84"/>
      <c r="F832" s="163"/>
      <c r="G832" s="35"/>
    </row>
    <row r="833" spans="1:12" x14ac:dyDescent="0.2">
      <c r="A833" s="29"/>
      <c r="B833" s="75"/>
      <c r="C833" s="41"/>
      <c r="D833" s="187"/>
      <c r="E833" s="84"/>
      <c r="F833" s="163"/>
      <c r="G833" s="35"/>
    </row>
    <row r="834" spans="1:12" x14ac:dyDescent="0.2">
      <c r="A834" s="29"/>
      <c r="B834" s="75"/>
      <c r="C834" s="41"/>
      <c r="D834" s="187"/>
      <c r="E834" s="84"/>
      <c r="F834" s="163"/>
      <c r="G834" s="35"/>
    </row>
    <row r="835" spans="1:12" x14ac:dyDescent="0.2">
      <c r="A835" s="29"/>
      <c r="B835" s="75"/>
      <c r="C835" s="41"/>
      <c r="D835" s="187"/>
      <c r="E835" s="84"/>
      <c r="F835" s="163"/>
      <c r="G835" s="35"/>
    </row>
    <row r="836" spans="1:12" x14ac:dyDescent="0.2">
      <c r="A836" s="29"/>
      <c r="B836" s="75"/>
      <c r="C836" s="41"/>
      <c r="D836" s="187"/>
      <c r="E836" s="84"/>
      <c r="F836" s="163"/>
      <c r="G836" s="35"/>
      <c r="L836" s="2">
        <f>25*250</f>
        <v>6250</v>
      </c>
    </row>
    <row r="837" spans="1:12" x14ac:dyDescent="0.2">
      <c r="A837" s="29"/>
      <c r="B837" s="75"/>
      <c r="C837" s="41"/>
      <c r="D837" s="187"/>
      <c r="E837" s="84"/>
      <c r="F837" s="172"/>
      <c r="G837" s="35"/>
      <c r="L837" s="2">
        <f>100*200</f>
        <v>20000</v>
      </c>
    </row>
    <row r="838" spans="1:12" x14ac:dyDescent="0.2">
      <c r="A838" s="29"/>
      <c r="B838" s="75"/>
      <c r="C838" s="41"/>
      <c r="D838" s="187"/>
      <c r="E838" s="84"/>
      <c r="F838" s="173"/>
      <c r="G838" s="35"/>
    </row>
    <row r="839" spans="1:12" x14ac:dyDescent="0.2">
      <c r="A839" s="29" t="s">
        <v>8</v>
      </c>
      <c r="B839" s="75"/>
      <c r="C839" s="41"/>
      <c r="D839" s="187"/>
      <c r="E839" s="84"/>
      <c r="F839" s="173"/>
      <c r="G839" s="35" t="s">
        <v>8</v>
      </c>
    </row>
    <row r="840" spans="1:12" ht="13.5" thickBot="1" x14ac:dyDescent="0.25">
      <c r="A840" s="45"/>
      <c r="B840" s="188"/>
      <c r="C840" s="47" t="s">
        <v>8</v>
      </c>
      <c r="D840" s="66" t="s">
        <v>8</v>
      </c>
      <c r="E840" s="188"/>
      <c r="F840" s="49" t="s">
        <v>15</v>
      </c>
      <c r="G840" s="50">
        <f>SUM(G807:G839)</f>
        <v>45000</v>
      </c>
    </row>
    <row r="841" spans="1:12" ht="13.5" thickTop="1" x14ac:dyDescent="0.2">
      <c r="A841" s="367" t="s">
        <v>1765</v>
      </c>
      <c r="B841" s="190"/>
      <c r="C841" s="191"/>
      <c r="D841" s="192"/>
      <c r="E841" s="190"/>
      <c r="F841" s="193"/>
      <c r="G841" s="194"/>
    </row>
    <row r="842" spans="1:12" x14ac:dyDescent="0.2">
      <c r="A842" s="985" t="s">
        <v>1773</v>
      </c>
      <c r="B842" s="980"/>
      <c r="C842" s="980"/>
      <c r="D842" s="980"/>
      <c r="E842" s="980"/>
      <c r="F842" s="980"/>
      <c r="G842" s="981"/>
    </row>
    <row r="843" spans="1:12" ht="13.5" thickBot="1" x14ac:dyDescent="0.25">
      <c r="A843" s="986" t="s">
        <v>1766</v>
      </c>
      <c r="B843" s="987"/>
      <c r="C843" s="987"/>
      <c r="D843" s="987"/>
      <c r="E843" s="987"/>
      <c r="F843" s="987"/>
      <c r="G843" s="988"/>
    </row>
    <row r="844" spans="1:12" ht="13.5" thickTop="1" x14ac:dyDescent="0.2">
      <c r="A844" s="906" t="s">
        <v>8</v>
      </c>
      <c r="B844" s="907"/>
      <c r="C844" s="907"/>
      <c r="D844" s="57" t="s">
        <v>11</v>
      </c>
      <c r="E844" s="908" t="s">
        <v>12</v>
      </c>
      <c r="F844" s="908"/>
      <c r="G844" s="909"/>
    </row>
    <row r="845" spans="1:12" x14ac:dyDescent="0.2">
      <c r="A845" s="966" t="s">
        <v>17</v>
      </c>
      <c r="B845" s="967"/>
      <c r="C845" s="968"/>
      <c r="D845" s="39"/>
      <c r="E845" s="912"/>
      <c r="F845" s="913"/>
      <c r="G845" s="914"/>
    </row>
    <row r="846" spans="1:12" x14ac:dyDescent="0.2">
      <c r="A846" s="966" t="s">
        <v>38</v>
      </c>
      <c r="B846" s="967"/>
      <c r="C846" s="968"/>
      <c r="D846" s="58" t="s">
        <v>308</v>
      </c>
      <c r="E846" s="969" t="s">
        <v>142</v>
      </c>
      <c r="F846" s="868"/>
      <c r="G846" s="869"/>
    </row>
    <row r="847" spans="1:12" ht="13.5" thickBot="1" x14ac:dyDescent="0.25">
      <c r="A847" s="970" t="s">
        <v>39</v>
      </c>
      <c r="B847" s="971"/>
      <c r="C847" s="972"/>
      <c r="D847" s="375" t="s">
        <v>1038</v>
      </c>
      <c r="E847" s="904" t="s">
        <v>0</v>
      </c>
      <c r="F847" s="904"/>
      <c r="G847" s="905"/>
    </row>
    <row r="848" spans="1:12" ht="16.5" x14ac:dyDescent="0.25">
      <c r="A848" s="885" t="s">
        <v>29</v>
      </c>
      <c r="B848" s="886"/>
      <c r="C848" s="886"/>
      <c r="D848" s="886"/>
      <c r="E848" s="886"/>
      <c r="F848" s="886"/>
      <c r="G848" s="887"/>
    </row>
    <row r="849" spans="1:7" x14ac:dyDescent="0.2">
      <c r="A849" s="888" t="s">
        <v>48</v>
      </c>
      <c r="B849" s="889"/>
      <c r="C849" s="889"/>
      <c r="D849" s="889"/>
      <c r="E849" s="889"/>
      <c r="F849" s="889"/>
      <c r="G849" s="890"/>
    </row>
    <row r="850" spans="1:7" x14ac:dyDescent="0.2">
      <c r="A850" s="915" t="s">
        <v>49</v>
      </c>
      <c r="B850" s="916"/>
      <c r="C850" s="916"/>
      <c r="D850" s="916"/>
      <c r="E850" s="916"/>
      <c r="F850" s="916"/>
      <c r="G850" s="917"/>
    </row>
    <row r="851" spans="1:7" x14ac:dyDescent="0.2">
      <c r="A851" s="6"/>
      <c r="B851" s="178"/>
      <c r="C851" s="8"/>
      <c r="D851" s="9"/>
      <c r="E851" s="99"/>
      <c r="F851" s="10"/>
      <c r="G851" s="11" t="s">
        <v>8</v>
      </c>
    </row>
    <row r="852" spans="1:7" x14ac:dyDescent="0.2">
      <c r="A852" s="12" t="s">
        <v>1</v>
      </c>
      <c r="B852" s="13"/>
      <c r="C852" s="14" t="s">
        <v>5</v>
      </c>
      <c r="D852" s="13"/>
      <c r="E852" s="362" t="s">
        <v>1767</v>
      </c>
      <c r="F852" s="60"/>
      <c r="G852" s="363" t="s">
        <v>1194</v>
      </c>
    </row>
    <row r="853" spans="1:7" x14ac:dyDescent="0.2">
      <c r="A853" s="17" t="s">
        <v>8</v>
      </c>
      <c r="B853" s="179"/>
      <c r="C853" s="19"/>
      <c r="D853" s="4"/>
      <c r="E853" s="918"/>
      <c r="F853" s="919"/>
      <c r="G853" s="20"/>
    </row>
    <row r="854" spans="1:7" x14ac:dyDescent="0.2">
      <c r="A854" s="21" t="s">
        <v>37</v>
      </c>
      <c r="B854" s="22"/>
      <c r="C854" s="22"/>
      <c r="D854" s="22"/>
      <c r="E854" s="23" t="s">
        <v>46</v>
      </c>
      <c r="F854" s="24"/>
      <c r="G854" s="20" t="s">
        <v>50</v>
      </c>
    </row>
    <row r="855" spans="1:7" x14ac:dyDescent="0.2">
      <c r="A855" s="6"/>
      <c r="B855" s="178"/>
      <c r="C855" s="8"/>
      <c r="D855" s="8"/>
      <c r="E855" s="920"/>
      <c r="F855" s="921"/>
      <c r="G855" s="25"/>
    </row>
    <row r="856" spans="1:7" ht="26.25" thickBot="1" x14ac:dyDescent="0.25">
      <c r="A856" s="26" t="s">
        <v>47</v>
      </c>
      <c r="B856" s="180" t="s">
        <v>23</v>
      </c>
      <c r="C856" s="28" t="s">
        <v>34</v>
      </c>
      <c r="D856" s="110" t="s">
        <v>53</v>
      </c>
      <c r="E856" s="181" t="s">
        <v>54</v>
      </c>
      <c r="F856" s="111" t="s">
        <v>55</v>
      </c>
      <c r="G856" s="112" t="s">
        <v>35</v>
      </c>
    </row>
    <row r="857" spans="1:7" ht="13.5" thickTop="1" x14ac:dyDescent="0.2">
      <c r="A857" s="364" t="s">
        <v>8</v>
      </c>
      <c r="B857" s="75"/>
      <c r="C857" s="365"/>
      <c r="D857" s="366" t="s">
        <v>1768</v>
      </c>
      <c r="E857" s="457" t="s">
        <v>8</v>
      </c>
      <c r="F857" s="456" t="s">
        <v>8</v>
      </c>
      <c r="G857" s="35"/>
    </row>
    <row r="858" spans="1:7" x14ac:dyDescent="0.2">
      <c r="A858" s="364">
        <v>1</v>
      </c>
      <c r="B858" s="75"/>
      <c r="C858" s="365" t="s">
        <v>910</v>
      </c>
      <c r="D858" s="366" t="s">
        <v>1769</v>
      </c>
      <c r="E858" s="77">
        <v>1</v>
      </c>
      <c r="F858" s="185">
        <v>28200</v>
      </c>
      <c r="G858" s="35">
        <f>F858*E858</f>
        <v>28200</v>
      </c>
    </row>
    <row r="859" spans="1:7" x14ac:dyDescent="0.2">
      <c r="A859" s="364"/>
      <c r="B859" s="75"/>
      <c r="C859" s="365"/>
      <c r="D859" s="366"/>
      <c r="E859" s="77"/>
      <c r="F859" s="185"/>
      <c r="G859" s="372"/>
    </row>
    <row r="860" spans="1:7" x14ac:dyDescent="0.2">
      <c r="A860" s="29"/>
      <c r="B860" s="75"/>
      <c r="C860" s="183"/>
      <c r="D860" s="366"/>
      <c r="E860" s="77"/>
      <c r="F860" s="185"/>
      <c r="G860" s="35"/>
    </row>
    <row r="861" spans="1:7" x14ac:dyDescent="0.2">
      <c r="A861" s="29"/>
      <c r="B861" s="75"/>
      <c r="C861" s="183"/>
      <c r="D861" s="184"/>
      <c r="E861" s="77"/>
      <c r="F861" s="185"/>
      <c r="G861" s="35"/>
    </row>
    <row r="862" spans="1:7" x14ac:dyDescent="0.2">
      <c r="A862" s="29"/>
      <c r="B862" s="75"/>
      <c r="C862" s="183"/>
      <c r="D862" s="184"/>
      <c r="E862" s="77"/>
      <c r="F862" s="185"/>
      <c r="G862" s="35"/>
    </row>
    <row r="863" spans="1:7" x14ac:dyDescent="0.2">
      <c r="A863" s="29"/>
      <c r="B863" s="75"/>
      <c r="C863" s="41"/>
      <c r="D863" s="184"/>
      <c r="E863" s="77"/>
      <c r="F863" s="185"/>
      <c r="G863" s="35"/>
    </row>
    <row r="864" spans="1:7" x14ac:dyDescent="0.2">
      <c r="A864" s="29"/>
      <c r="B864" s="75"/>
      <c r="C864" s="41"/>
      <c r="D864" s="184"/>
      <c r="E864" s="77"/>
      <c r="F864" s="185"/>
      <c r="G864" s="35"/>
    </row>
    <row r="865" spans="1:7" x14ac:dyDescent="0.2">
      <c r="A865" s="29"/>
      <c r="B865" s="186"/>
      <c r="C865" s="41"/>
      <c r="D865" s="184"/>
      <c r="E865" s="77"/>
      <c r="F865" s="185"/>
      <c r="G865" s="35"/>
    </row>
    <row r="866" spans="1:7" x14ac:dyDescent="0.2">
      <c r="A866" s="29"/>
      <c r="B866" s="74"/>
      <c r="C866" s="31"/>
      <c r="D866" s="184"/>
      <c r="E866" s="77"/>
      <c r="F866" s="185"/>
      <c r="G866" s="35"/>
    </row>
    <row r="867" spans="1:7" x14ac:dyDescent="0.2">
      <c r="A867" s="29"/>
      <c r="B867" s="74"/>
      <c r="C867" s="41"/>
      <c r="D867" s="454" t="s">
        <v>896</v>
      </c>
      <c r="E867" s="84"/>
      <c r="F867" s="163"/>
      <c r="G867" s="35"/>
    </row>
    <row r="868" spans="1:7" x14ac:dyDescent="0.2">
      <c r="A868" s="29"/>
      <c r="B868" s="74"/>
      <c r="C868" s="41"/>
      <c r="D868" s="187"/>
      <c r="E868" s="84"/>
      <c r="F868" s="163"/>
      <c r="G868" s="35"/>
    </row>
    <row r="869" spans="1:7" x14ac:dyDescent="0.2">
      <c r="A869" s="29"/>
      <c r="B869" s="75"/>
      <c r="C869" s="41"/>
      <c r="D869" s="187"/>
      <c r="E869" s="84"/>
      <c r="F869" s="172"/>
      <c r="G869" s="35"/>
    </row>
    <row r="870" spans="1:7" x14ac:dyDescent="0.2">
      <c r="A870" s="29"/>
      <c r="B870" s="75"/>
      <c r="C870" s="41"/>
      <c r="D870" s="187"/>
      <c r="E870" s="84"/>
      <c r="F870" s="173"/>
      <c r="G870" s="35"/>
    </row>
    <row r="871" spans="1:7" x14ac:dyDescent="0.2">
      <c r="A871" s="29"/>
      <c r="B871" s="75"/>
      <c r="C871" s="183"/>
      <c r="D871" s="187"/>
      <c r="E871" s="77"/>
      <c r="F871" s="185"/>
      <c r="G871" s="35"/>
    </row>
    <row r="872" spans="1:7" x14ac:dyDescent="0.2">
      <c r="A872" s="29"/>
      <c r="B872" s="75"/>
      <c r="C872" s="183"/>
      <c r="D872" s="187"/>
      <c r="E872" s="77"/>
      <c r="F872" s="185"/>
      <c r="G872" s="35"/>
    </row>
    <row r="873" spans="1:7" x14ac:dyDescent="0.2">
      <c r="A873" s="29"/>
      <c r="B873" s="75"/>
      <c r="C873" s="183"/>
      <c r="D873" s="184"/>
      <c r="E873" s="77"/>
      <c r="F873" s="185"/>
      <c r="G873" s="35"/>
    </row>
    <row r="874" spans="1:7" x14ac:dyDescent="0.2">
      <c r="A874" s="29"/>
      <c r="B874" s="75"/>
      <c r="C874" s="183"/>
      <c r="D874" s="184"/>
      <c r="E874" s="77"/>
      <c r="F874" s="185"/>
      <c r="G874" s="35"/>
    </row>
    <row r="875" spans="1:7" x14ac:dyDescent="0.2">
      <c r="A875" s="29"/>
      <c r="B875" s="75"/>
      <c r="C875" s="183"/>
      <c r="D875" s="184"/>
      <c r="E875" s="77"/>
      <c r="F875" s="185"/>
      <c r="G875" s="35"/>
    </row>
    <row r="876" spans="1:7" x14ac:dyDescent="0.2">
      <c r="A876" s="29"/>
      <c r="B876" s="75"/>
      <c r="C876" s="41"/>
      <c r="D876" s="184"/>
      <c r="E876" s="84"/>
      <c r="F876" s="163"/>
      <c r="G876" s="35"/>
    </row>
    <row r="877" spans="1:7" x14ac:dyDescent="0.2">
      <c r="A877" s="29"/>
      <c r="B877" s="75"/>
      <c r="C877" s="41"/>
      <c r="D877" s="184"/>
      <c r="E877" s="84"/>
      <c r="F877" s="163"/>
      <c r="G877" s="35"/>
    </row>
    <row r="878" spans="1:7" x14ac:dyDescent="0.2">
      <c r="A878" s="29"/>
      <c r="B878" s="75"/>
      <c r="C878" s="41"/>
      <c r="D878" s="187"/>
      <c r="E878" s="84"/>
      <c r="F878" s="163"/>
      <c r="G878" s="35"/>
    </row>
    <row r="879" spans="1:7" x14ac:dyDescent="0.2">
      <c r="A879" s="29"/>
      <c r="B879" s="75"/>
      <c r="C879" s="41"/>
      <c r="D879" s="187"/>
      <c r="E879" s="84"/>
      <c r="F879" s="163"/>
      <c r="G879" s="35"/>
    </row>
    <row r="880" spans="1:7" x14ac:dyDescent="0.2">
      <c r="A880" s="29"/>
      <c r="B880" s="75"/>
      <c r="C880" s="41"/>
      <c r="D880" s="187"/>
      <c r="E880" s="84"/>
      <c r="F880" s="163"/>
      <c r="G880" s="35"/>
    </row>
    <row r="881" spans="1:7" x14ac:dyDescent="0.2">
      <c r="A881" s="29"/>
      <c r="B881" s="75"/>
      <c r="C881" s="41"/>
      <c r="D881" s="187"/>
      <c r="E881" s="84"/>
      <c r="F881" s="163"/>
      <c r="G881" s="35"/>
    </row>
    <row r="882" spans="1:7" x14ac:dyDescent="0.2">
      <c r="A882" s="29"/>
      <c r="B882" s="75"/>
      <c r="C882" s="41"/>
      <c r="D882" s="187"/>
      <c r="E882" s="84"/>
      <c r="F882" s="163"/>
      <c r="G882" s="35"/>
    </row>
    <row r="883" spans="1:7" x14ac:dyDescent="0.2">
      <c r="A883" s="29"/>
      <c r="B883" s="75"/>
      <c r="C883" s="41"/>
      <c r="D883" s="187"/>
      <c r="E883" s="84"/>
      <c r="F883" s="163"/>
      <c r="G883" s="35"/>
    </row>
    <row r="884" spans="1:7" x14ac:dyDescent="0.2">
      <c r="A884" s="29"/>
      <c r="B884" s="75"/>
      <c r="C884" s="41"/>
      <c r="D884" s="187"/>
      <c r="E884" s="84"/>
      <c r="F884" s="163"/>
      <c r="G884" s="35"/>
    </row>
    <row r="885" spans="1:7" x14ac:dyDescent="0.2">
      <c r="A885" s="29"/>
      <c r="B885" s="75"/>
      <c r="C885" s="41"/>
      <c r="D885" s="187"/>
      <c r="E885" s="84"/>
      <c r="F885" s="163"/>
      <c r="G885" s="35"/>
    </row>
    <row r="886" spans="1:7" x14ac:dyDescent="0.2">
      <c r="A886" s="29"/>
      <c r="B886" s="75"/>
      <c r="C886" s="41"/>
      <c r="D886" s="187"/>
      <c r="E886" s="84"/>
      <c r="F886" s="163"/>
      <c r="G886" s="35"/>
    </row>
    <row r="887" spans="1:7" x14ac:dyDescent="0.2">
      <c r="A887" s="29"/>
      <c r="B887" s="75"/>
      <c r="C887" s="41"/>
      <c r="D887" s="187"/>
      <c r="E887" s="84"/>
      <c r="F887" s="163"/>
      <c r="G887" s="35"/>
    </row>
    <row r="888" spans="1:7" x14ac:dyDescent="0.2">
      <c r="A888" s="29"/>
      <c r="B888" s="75"/>
      <c r="C888" s="41"/>
      <c r="D888" s="187"/>
      <c r="E888" s="84"/>
      <c r="F888" s="172"/>
      <c r="G888" s="35"/>
    </row>
    <row r="889" spans="1:7" x14ac:dyDescent="0.2">
      <c r="A889" s="29"/>
      <c r="B889" s="75"/>
      <c r="C889" s="41"/>
      <c r="D889" s="187"/>
      <c r="E889" s="84"/>
      <c r="F889" s="173"/>
      <c r="G889" s="35"/>
    </row>
    <row r="890" spans="1:7" x14ac:dyDescent="0.2">
      <c r="A890" s="29" t="s">
        <v>8</v>
      </c>
      <c r="B890" s="75"/>
      <c r="C890" s="41"/>
      <c r="D890" s="187"/>
      <c r="E890" s="84"/>
      <c r="F890" s="173"/>
      <c r="G890" s="35" t="s">
        <v>8</v>
      </c>
    </row>
    <row r="891" spans="1:7" ht="13.5" thickBot="1" x14ac:dyDescent="0.25">
      <c r="A891" s="45"/>
      <c r="B891" s="188"/>
      <c r="C891" s="47" t="s">
        <v>8</v>
      </c>
      <c r="D891" s="66" t="s">
        <v>8</v>
      </c>
      <c r="E891" s="188"/>
      <c r="F891" s="49" t="s">
        <v>15</v>
      </c>
      <c r="G891" s="50">
        <f>SUM(G857:G890)</f>
        <v>28200</v>
      </c>
    </row>
    <row r="892" spans="1:7" ht="13.5" thickTop="1" x14ac:dyDescent="0.2">
      <c r="A892" s="367" t="s">
        <v>1771</v>
      </c>
      <c r="B892" s="190"/>
      <c r="C892" s="191"/>
      <c r="D892" s="192"/>
      <c r="E892" s="190"/>
      <c r="F892" s="193"/>
      <c r="G892" s="194"/>
    </row>
    <row r="893" spans="1:7" ht="13.5" thickBot="1" x14ac:dyDescent="0.25">
      <c r="A893" s="986" t="s">
        <v>1770</v>
      </c>
      <c r="B893" s="989"/>
      <c r="C893" s="989"/>
      <c r="D893" s="989"/>
      <c r="E893" s="989"/>
      <c r="F893" s="989"/>
      <c r="G893" s="990"/>
    </row>
    <row r="894" spans="1:7" ht="13.5" thickTop="1" x14ac:dyDescent="0.2">
      <c r="A894" s="906" t="s">
        <v>8</v>
      </c>
      <c r="B894" s="907"/>
      <c r="C894" s="907"/>
      <c r="D894" s="57" t="s">
        <v>11</v>
      </c>
      <c r="E894" s="908" t="s">
        <v>12</v>
      </c>
      <c r="F894" s="908"/>
      <c r="G894" s="909"/>
    </row>
    <row r="895" spans="1:7" x14ac:dyDescent="0.2">
      <c r="A895" s="966" t="s">
        <v>17</v>
      </c>
      <c r="B895" s="967"/>
      <c r="C895" s="968"/>
      <c r="D895" s="39"/>
      <c r="E895" s="912"/>
      <c r="F895" s="913"/>
      <c r="G895" s="914"/>
    </row>
    <row r="896" spans="1:7" x14ac:dyDescent="0.2">
      <c r="A896" s="966" t="s">
        <v>38</v>
      </c>
      <c r="B896" s="967"/>
      <c r="C896" s="968"/>
      <c r="D896" s="58" t="s">
        <v>308</v>
      </c>
      <c r="E896" s="969" t="s">
        <v>142</v>
      </c>
      <c r="F896" s="868"/>
      <c r="G896" s="869"/>
    </row>
    <row r="897" spans="1:12" ht="13.5" thickBot="1" x14ac:dyDescent="0.25">
      <c r="A897" s="970" t="s">
        <v>39</v>
      </c>
      <c r="B897" s="971"/>
      <c r="C897" s="972"/>
      <c r="D897" s="375" t="s">
        <v>1038</v>
      </c>
      <c r="E897" s="904" t="s">
        <v>0</v>
      </c>
      <c r="F897" s="904"/>
      <c r="G897" s="905"/>
    </row>
    <row r="898" spans="1:12" ht="16.5" x14ac:dyDescent="0.25">
      <c r="A898" s="885" t="s">
        <v>29</v>
      </c>
      <c r="B898" s="886"/>
      <c r="C898" s="886"/>
      <c r="D898" s="886"/>
      <c r="E898" s="886"/>
      <c r="F898" s="886"/>
      <c r="G898" s="887"/>
    </row>
    <row r="899" spans="1:12" x14ac:dyDescent="0.2">
      <c r="A899" s="888" t="s">
        <v>48</v>
      </c>
      <c r="B899" s="889"/>
      <c r="C899" s="889"/>
      <c r="D899" s="889"/>
      <c r="E899" s="889"/>
      <c r="F899" s="889"/>
      <c r="G899" s="890"/>
    </row>
    <row r="900" spans="1:12" x14ac:dyDescent="0.2">
      <c r="A900" s="915" t="s">
        <v>49</v>
      </c>
      <c r="B900" s="916"/>
      <c r="C900" s="916"/>
      <c r="D900" s="916"/>
      <c r="E900" s="916"/>
      <c r="F900" s="916"/>
      <c r="G900" s="917"/>
    </row>
    <row r="901" spans="1:12" x14ac:dyDescent="0.2">
      <c r="A901" s="6"/>
      <c r="B901" s="178"/>
      <c r="C901" s="8"/>
      <c r="D901" s="9"/>
      <c r="E901" s="99"/>
      <c r="F901" s="10"/>
      <c r="G901" s="11" t="s">
        <v>8</v>
      </c>
    </row>
    <row r="902" spans="1:12" x14ac:dyDescent="0.2">
      <c r="A902" s="12" t="s">
        <v>1</v>
      </c>
      <c r="B902" s="13"/>
      <c r="C902" s="14" t="s">
        <v>5</v>
      </c>
      <c r="D902" s="13"/>
      <c r="E902" s="362" t="s">
        <v>1526</v>
      </c>
      <c r="F902" s="60"/>
      <c r="G902" s="363" t="s">
        <v>2005</v>
      </c>
    </row>
    <row r="903" spans="1:12" x14ac:dyDescent="0.2">
      <c r="A903" s="17" t="s">
        <v>8</v>
      </c>
      <c r="B903" s="179"/>
      <c r="C903" s="19"/>
      <c r="D903" s="4"/>
      <c r="E903" s="918"/>
      <c r="F903" s="919"/>
      <c r="G903" s="20"/>
    </row>
    <row r="904" spans="1:12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12" x14ac:dyDescent="0.2">
      <c r="A905" s="6"/>
      <c r="B905" s="178"/>
      <c r="C905" s="8"/>
      <c r="D905" s="8"/>
      <c r="E905" s="920"/>
      <c r="F905" s="921"/>
      <c r="G905" s="25"/>
    </row>
    <row r="906" spans="1:12" ht="26.25" thickBot="1" x14ac:dyDescent="0.25">
      <c r="A906" s="26" t="s">
        <v>47</v>
      </c>
      <c r="B906" s="180" t="s">
        <v>23</v>
      </c>
      <c r="C906" s="28" t="s">
        <v>34</v>
      </c>
      <c r="D906" s="110" t="s">
        <v>53</v>
      </c>
      <c r="E906" s="181" t="s">
        <v>54</v>
      </c>
      <c r="F906" s="111" t="s">
        <v>55</v>
      </c>
      <c r="G906" s="112" t="s">
        <v>35</v>
      </c>
    </row>
    <row r="907" spans="1:12" ht="13.5" thickTop="1" x14ac:dyDescent="0.2">
      <c r="A907" s="364">
        <v>1</v>
      </c>
      <c r="B907" s="75"/>
      <c r="C907" s="365" t="s">
        <v>2008</v>
      </c>
      <c r="D907" s="366" t="s">
        <v>2006</v>
      </c>
      <c r="E907" s="457">
        <v>1</v>
      </c>
      <c r="F907" s="456">
        <v>1380</v>
      </c>
      <c r="G907" s="35">
        <f>F907*E907</f>
        <v>1380</v>
      </c>
    </row>
    <row r="908" spans="1:12" x14ac:dyDescent="0.2">
      <c r="A908" s="364">
        <v>2</v>
      </c>
      <c r="B908" s="75"/>
      <c r="C908" s="365" t="s">
        <v>149</v>
      </c>
      <c r="D908" s="366" t="s">
        <v>2007</v>
      </c>
      <c r="E908" s="77">
        <v>5</v>
      </c>
      <c r="F908" s="185">
        <v>74</v>
      </c>
      <c r="G908" s="35">
        <f t="shared" ref="G908:G909" si="4">F908*E908</f>
        <v>370</v>
      </c>
    </row>
    <row r="909" spans="1:12" x14ac:dyDescent="0.2">
      <c r="A909" s="364">
        <v>3</v>
      </c>
      <c r="B909" s="75"/>
      <c r="C909" s="365" t="s">
        <v>2009</v>
      </c>
      <c r="D909" s="366" t="s">
        <v>168</v>
      </c>
      <c r="E909" s="77">
        <v>8</v>
      </c>
      <c r="F909" s="185">
        <v>550</v>
      </c>
      <c r="G909" s="35">
        <f t="shared" si="4"/>
        <v>4400</v>
      </c>
    </row>
    <row r="910" spans="1:12" x14ac:dyDescent="0.2">
      <c r="A910" s="29"/>
      <c r="B910" s="75"/>
      <c r="C910" s="365" t="s">
        <v>2009</v>
      </c>
      <c r="D910" s="366" t="s">
        <v>168</v>
      </c>
      <c r="E910" s="77">
        <v>2</v>
      </c>
      <c r="F910" s="185">
        <v>540</v>
      </c>
      <c r="G910" s="35">
        <f>F910*E910</f>
        <v>1080</v>
      </c>
      <c r="K910" s="211">
        <v>1100</v>
      </c>
      <c r="L910" s="591">
        <v>1080</v>
      </c>
    </row>
    <row r="911" spans="1:12" x14ac:dyDescent="0.2">
      <c r="A911" s="29"/>
      <c r="B911" s="75"/>
      <c r="C911" s="183"/>
      <c r="D911" s="184"/>
      <c r="E911" s="77"/>
      <c r="F911" s="185"/>
      <c r="G911" s="35"/>
      <c r="K911" s="211">
        <v>1650</v>
      </c>
    </row>
    <row r="912" spans="1:12" x14ac:dyDescent="0.2">
      <c r="A912" s="29"/>
      <c r="B912" s="75"/>
      <c r="C912" s="183"/>
      <c r="D912" s="184"/>
      <c r="E912" s="77"/>
      <c r="F912" s="185"/>
      <c r="G912" s="35"/>
      <c r="K912" s="211"/>
    </row>
    <row r="913" spans="1:11" x14ac:dyDescent="0.2">
      <c r="A913" s="29"/>
      <c r="B913" s="75"/>
      <c r="C913" s="41"/>
      <c r="D913" s="184"/>
      <c r="E913" s="77"/>
      <c r="F913" s="185"/>
      <c r="G913" s="35"/>
      <c r="K913" s="211"/>
    </row>
    <row r="914" spans="1:11" x14ac:dyDescent="0.2">
      <c r="A914" s="29"/>
      <c r="B914" s="75"/>
      <c r="C914" s="41"/>
      <c r="D914" s="184"/>
      <c r="E914" s="77"/>
      <c r="F914" s="185"/>
      <c r="G914" s="35"/>
      <c r="K914" s="211"/>
    </row>
    <row r="915" spans="1:11" x14ac:dyDescent="0.2">
      <c r="A915" s="29"/>
      <c r="B915" s="186"/>
      <c r="C915" s="41"/>
      <c r="D915" s="184"/>
      <c r="E915" s="77"/>
      <c r="F915" s="185"/>
      <c r="G915" s="35"/>
      <c r="K915" s="211"/>
    </row>
    <row r="916" spans="1:11" x14ac:dyDescent="0.2">
      <c r="A916" s="29"/>
      <c r="B916" s="74"/>
      <c r="C916" s="31"/>
      <c r="D916" s="184"/>
      <c r="E916" s="77"/>
      <c r="F916" s="185"/>
      <c r="G916" s="35"/>
      <c r="K916" s="211"/>
    </row>
    <row r="917" spans="1:11" x14ac:dyDescent="0.2">
      <c r="A917" s="29"/>
      <c r="B917" s="74"/>
      <c r="C917" s="41"/>
      <c r="D917" s="454" t="s">
        <v>896</v>
      </c>
      <c r="E917" s="84"/>
      <c r="F917" s="163"/>
      <c r="G917" s="35"/>
      <c r="K917" s="211"/>
    </row>
    <row r="918" spans="1:11" x14ac:dyDescent="0.2">
      <c r="A918" s="29"/>
      <c r="B918" s="74"/>
      <c r="C918" s="41"/>
      <c r="D918" s="187"/>
      <c r="E918" s="84"/>
      <c r="F918" s="163"/>
      <c r="G918" s="35"/>
    </row>
    <row r="919" spans="1:11" x14ac:dyDescent="0.2">
      <c r="A919" s="29"/>
      <c r="B919" s="75"/>
      <c r="C919" s="41"/>
      <c r="D919" s="187"/>
      <c r="E919" s="84"/>
      <c r="F919" s="172"/>
      <c r="G919" s="35"/>
    </row>
    <row r="920" spans="1:11" x14ac:dyDescent="0.2">
      <c r="A920" s="29"/>
      <c r="B920" s="75"/>
      <c r="C920" s="41"/>
      <c r="D920" s="187"/>
      <c r="E920" s="84"/>
      <c r="F920" s="173"/>
      <c r="G920" s="35"/>
    </row>
    <row r="921" spans="1:11" x14ac:dyDescent="0.2">
      <c r="A921" s="29"/>
      <c r="B921" s="75"/>
      <c r="C921" s="183"/>
      <c r="D921" s="187"/>
      <c r="E921" s="77"/>
      <c r="F921" s="185"/>
      <c r="G921" s="35"/>
    </row>
    <row r="922" spans="1:11" x14ac:dyDescent="0.2">
      <c r="A922" s="29"/>
      <c r="B922" s="75"/>
      <c r="C922" s="183"/>
      <c r="D922" s="187"/>
      <c r="E922" s="77"/>
      <c r="F922" s="185"/>
      <c r="G922" s="35"/>
    </row>
    <row r="923" spans="1:11" x14ac:dyDescent="0.2">
      <c r="A923" s="29"/>
      <c r="B923" s="75"/>
      <c r="C923" s="183"/>
      <c r="D923" s="184"/>
      <c r="E923" s="77"/>
      <c r="F923" s="185"/>
      <c r="G923" s="35"/>
    </row>
    <row r="924" spans="1:11" x14ac:dyDescent="0.2">
      <c r="A924" s="29"/>
      <c r="B924" s="75"/>
      <c r="C924" s="183"/>
      <c r="D924" s="184"/>
      <c r="E924" s="77"/>
      <c r="F924" s="185"/>
      <c r="G924" s="35"/>
    </row>
    <row r="925" spans="1:11" x14ac:dyDescent="0.2">
      <c r="A925" s="29"/>
      <c r="B925" s="75"/>
      <c r="C925" s="183"/>
      <c r="D925" s="184"/>
      <c r="E925" s="77"/>
      <c r="F925" s="185"/>
      <c r="G925" s="35"/>
    </row>
    <row r="926" spans="1:11" x14ac:dyDescent="0.2">
      <c r="A926" s="29"/>
      <c r="B926" s="75"/>
      <c r="C926" s="41"/>
      <c r="D926" s="184"/>
      <c r="E926" s="84"/>
      <c r="F926" s="163"/>
      <c r="G926" s="35"/>
    </row>
    <row r="927" spans="1:11" x14ac:dyDescent="0.2">
      <c r="A927" s="29"/>
      <c r="B927" s="75"/>
      <c r="C927" s="41"/>
      <c r="D927" s="184"/>
      <c r="E927" s="84"/>
      <c r="F927" s="163"/>
      <c r="G927" s="35"/>
    </row>
    <row r="928" spans="1:11" x14ac:dyDescent="0.2">
      <c r="A928" s="29"/>
      <c r="B928" s="75"/>
      <c r="C928" s="41"/>
      <c r="D928" s="187"/>
      <c r="E928" s="84"/>
      <c r="F928" s="163"/>
      <c r="G928" s="35"/>
    </row>
    <row r="929" spans="1:7" x14ac:dyDescent="0.2">
      <c r="A929" s="29"/>
      <c r="B929" s="75"/>
      <c r="C929" s="41"/>
      <c r="D929" s="187"/>
      <c r="E929" s="84"/>
      <c r="F929" s="163"/>
      <c r="G929" s="35"/>
    </row>
    <row r="930" spans="1:7" x14ac:dyDescent="0.2">
      <c r="A930" s="29"/>
      <c r="B930" s="75"/>
      <c r="C930" s="41"/>
      <c r="D930" s="187"/>
      <c r="E930" s="84"/>
      <c r="F930" s="163"/>
      <c r="G930" s="35"/>
    </row>
    <row r="931" spans="1:7" x14ac:dyDescent="0.2">
      <c r="A931" s="29"/>
      <c r="B931" s="75"/>
      <c r="C931" s="41"/>
      <c r="D931" s="187"/>
      <c r="E931" s="84"/>
      <c r="F931" s="163"/>
      <c r="G931" s="35"/>
    </row>
    <row r="932" spans="1:7" x14ac:dyDescent="0.2">
      <c r="A932" s="29"/>
      <c r="B932" s="75"/>
      <c r="C932" s="41"/>
      <c r="D932" s="187"/>
      <c r="E932" s="84"/>
      <c r="F932" s="163"/>
      <c r="G932" s="35"/>
    </row>
    <row r="933" spans="1:7" x14ac:dyDescent="0.2">
      <c r="A933" s="29"/>
      <c r="B933" s="75"/>
      <c r="C933" s="41"/>
      <c r="D933" s="187"/>
      <c r="E933" s="84"/>
      <c r="F933" s="163"/>
      <c r="G933" s="35"/>
    </row>
    <row r="934" spans="1:7" x14ac:dyDescent="0.2">
      <c r="A934" s="29"/>
      <c r="B934" s="75"/>
      <c r="C934" s="41"/>
      <c r="D934" s="187"/>
      <c r="E934" s="84"/>
      <c r="F934" s="163"/>
      <c r="G934" s="35"/>
    </row>
    <row r="935" spans="1:7" x14ac:dyDescent="0.2">
      <c r="A935" s="29"/>
      <c r="B935" s="75"/>
      <c r="C935" s="41"/>
      <c r="D935" s="187"/>
      <c r="E935" s="84"/>
      <c r="F935" s="163"/>
      <c r="G935" s="35"/>
    </row>
    <row r="936" spans="1:7" x14ac:dyDescent="0.2">
      <c r="A936" s="29"/>
      <c r="B936" s="75"/>
      <c r="C936" s="41"/>
      <c r="D936" s="187"/>
      <c r="E936" s="84"/>
      <c r="F936" s="163"/>
      <c r="G936" s="35"/>
    </row>
    <row r="937" spans="1:7" x14ac:dyDescent="0.2">
      <c r="A937" s="29"/>
      <c r="B937" s="75"/>
      <c r="C937" s="41"/>
      <c r="D937" s="187"/>
      <c r="E937" s="84"/>
      <c r="F937" s="163"/>
      <c r="G937" s="35"/>
    </row>
    <row r="938" spans="1:7" x14ac:dyDescent="0.2">
      <c r="A938" s="29"/>
      <c r="B938" s="75"/>
      <c r="C938" s="41"/>
      <c r="D938" s="187"/>
      <c r="E938" s="84"/>
      <c r="F938" s="172"/>
      <c r="G938" s="35"/>
    </row>
    <row r="939" spans="1:7" x14ac:dyDescent="0.2">
      <c r="A939" s="29"/>
      <c r="B939" s="75"/>
      <c r="C939" s="41"/>
      <c r="D939" s="187"/>
      <c r="E939" s="84"/>
      <c r="F939" s="173"/>
      <c r="G939" s="35"/>
    </row>
    <row r="940" spans="1:7" x14ac:dyDescent="0.2">
      <c r="A940" s="29" t="s">
        <v>8</v>
      </c>
      <c r="B940" s="75"/>
      <c r="C940" s="41"/>
      <c r="D940" s="187"/>
      <c r="E940" s="84"/>
      <c r="F940" s="173"/>
      <c r="G940" s="35" t="s">
        <v>8</v>
      </c>
    </row>
    <row r="941" spans="1:7" ht="13.5" thickBot="1" x14ac:dyDescent="0.25">
      <c r="A941" s="45"/>
      <c r="B941" s="188"/>
      <c r="C941" s="47" t="s">
        <v>8</v>
      </c>
      <c r="D941" s="66" t="s">
        <v>8</v>
      </c>
      <c r="E941" s="188"/>
      <c r="F941" s="49" t="s">
        <v>15</v>
      </c>
      <c r="G941" s="50">
        <f>SUM(G907:G940)</f>
        <v>7230</v>
      </c>
    </row>
    <row r="942" spans="1:7" ht="13.5" thickTop="1" x14ac:dyDescent="0.2">
      <c r="A942" s="963" t="s">
        <v>2010</v>
      </c>
      <c r="B942" s="964"/>
      <c r="C942" s="964"/>
      <c r="D942" s="964"/>
      <c r="E942" s="964"/>
      <c r="F942" s="964"/>
      <c r="G942" s="965"/>
    </row>
    <row r="943" spans="1:7" ht="13.5" thickBot="1" x14ac:dyDescent="0.25">
      <c r="A943" s="378"/>
      <c r="B943" s="374"/>
      <c r="C943" s="374" t="s">
        <v>2011</v>
      </c>
      <c r="D943" s="379"/>
      <c r="E943" s="374"/>
      <c r="F943" s="380"/>
      <c r="G943" s="381"/>
    </row>
    <row r="944" spans="1:7" ht="13.5" thickTop="1" x14ac:dyDescent="0.2">
      <c r="A944" s="906" t="s">
        <v>8</v>
      </c>
      <c r="B944" s="907"/>
      <c r="C944" s="907"/>
      <c r="D944" s="57" t="s">
        <v>11</v>
      </c>
      <c r="E944" s="908" t="s">
        <v>12</v>
      </c>
      <c r="F944" s="908"/>
      <c r="G944" s="909"/>
    </row>
    <row r="945" spans="1:7" x14ac:dyDescent="0.2">
      <c r="A945" s="966" t="s">
        <v>17</v>
      </c>
      <c r="B945" s="967"/>
      <c r="C945" s="968"/>
      <c r="D945" s="39"/>
      <c r="E945" s="912"/>
      <c r="F945" s="913"/>
      <c r="G945" s="914"/>
    </row>
    <row r="946" spans="1:7" x14ac:dyDescent="0.2">
      <c r="A946" s="966" t="s">
        <v>38</v>
      </c>
      <c r="B946" s="967"/>
      <c r="C946" s="968"/>
      <c r="D946" s="58" t="s">
        <v>308</v>
      </c>
      <c r="E946" s="969" t="s">
        <v>142</v>
      </c>
      <c r="F946" s="868"/>
      <c r="G946" s="869"/>
    </row>
    <row r="947" spans="1:7" ht="13.5" thickBot="1" x14ac:dyDescent="0.25">
      <c r="A947" s="970" t="s">
        <v>39</v>
      </c>
      <c r="B947" s="971"/>
      <c r="C947" s="972"/>
      <c r="D947" s="375" t="s">
        <v>1038</v>
      </c>
      <c r="E947" s="904" t="s">
        <v>0</v>
      </c>
      <c r="F947" s="904"/>
      <c r="G947" s="905"/>
    </row>
    <row r="948" spans="1:7" ht="16.5" x14ac:dyDescent="0.25">
      <c r="A948" s="885" t="s">
        <v>29</v>
      </c>
      <c r="B948" s="886"/>
      <c r="C948" s="886"/>
      <c r="D948" s="886"/>
      <c r="E948" s="886"/>
      <c r="F948" s="886"/>
      <c r="G948" s="887"/>
    </row>
    <row r="949" spans="1:7" x14ac:dyDescent="0.2">
      <c r="A949" s="888" t="s">
        <v>48</v>
      </c>
      <c r="B949" s="889"/>
      <c r="C949" s="889"/>
      <c r="D949" s="889"/>
      <c r="E949" s="889"/>
      <c r="F949" s="889"/>
      <c r="G949" s="890"/>
    </row>
    <row r="950" spans="1:7" x14ac:dyDescent="0.2">
      <c r="A950" s="915" t="s">
        <v>49</v>
      </c>
      <c r="B950" s="916"/>
      <c r="C950" s="916"/>
      <c r="D950" s="916"/>
      <c r="E950" s="916"/>
      <c r="F950" s="916"/>
      <c r="G950" s="917"/>
    </row>
    <row r="951" spans="1:7" x14ac:dyDescent="0.2">
      <c r="A951" s="6"/>
      <c r="B951" s="178"/>
      <c r="C951" s="8"/>
      <c r="D951" s="9"/>
      <c r="E951" s="99"/>
      <c r="F951" s="10"/>
      <c r="G951" s="11" t="s">
        <v>8</v>
      </c>
    </row>
    <row r="952" spans="1:7" x14ac:dyDescent="0.2">
      <c r="A952" s="12" t="s">
        <v>1</v>
      </c>
      <c r="B952" s="13"/>
      <c r="C952" s="14" t="s">
        <v>5</v>
      </c>
      <c r="D952" s="13"/>
      <c r="E952" s="362" t="s">
        <v>2074</v>
      </c>
      <c r="F952" s="60"/>
      <c r="G952" s="363" t="s">
        <v>1521</v>
      </c>
    </row>
    <row r="953" spans="1:7" x14ac:dyDescent="0.2">
      <c r="A953" s="17" t="s">
        <v>8</v>
      </c>
      <c r="B953" s="179"/>
      <c r="C953" s="19"/>
      <c r="D953" s="4"/>
      <c r="E953" s="918"/>
      <c r="F953" s="919"/>
      <c r="G953" s="20"/>
    </row>
    <row r="954" spans="1:7" x14ac:dyDescent="0.2">
      <c r="A954" s="21" t="s">
        <v>37</v>
      </c>
      <c r="B954" s="22"/>
      <c r="C954" s="22"/>
      <c r="D954" s="22"/>
      <c r="E954" s="23" t="s">
        <v>46</v>
      </c>
      <c r="F954" s="24"/>
      <c r="G954" s="20" t="s">
        <v>50</v>
      </c>
    </row>
    <row r="955" spans="1:7" x14ac:dyDescent="0.2">
      <c r="A955" s="6"/>
      <c r="B955" s="178"/>
      <c r="C955" s="8"/>
      <c r="D955" s="8"/>
      <c r="E955" s="920"/>
      <c r="F955" s="921"/>
      <c r="G955" s="25"/>
    </row>
    <row r="956" spans="1:7" ht="26.25" thickBot="1" x14ac:dyDescent="0.25">
      <c r="A956" s="26" t="s">
        <v>47</v>
      </c>
      <c r="B956" s="180" t="s">
        <v>23</v>
      </c>
      <c r="C956" s="28" t="s">
        <v>34</v>
      </c>
      <c r="D956" s="110" t="s">
        <v>53</v>
      </c>
      <c r="E956" s="181" t="s">
        <v>54</v>
      </c>
      <c r="F956" s="111" t="s">
        <v>55</v>
      </c>
      <c r="G956" s="112" t="s">
        <v>35</v>
      </c>
    </row>
    <row r="957" spans="1:7" ht="13.5" thickTop="1" x14ac:dyDescent="0.2">
      <c r="A957" s="364">
        <v>1</v>
      </c>
      <c r="B957" s="75"/>
      <c r="C957" s="365" t="s">
        <v>2008</v>
      </c>
      <c r="D957" s="366" t="s">
        <v>2006</v>
      </c>
      <c r="E957" s="457">
        <v>1</v>
      </c>
      <c r="F957" s="456">
        <v>1380</v>
      </c>
      <c r="G957" s="35">
        <f>F957*E957</f>
        <v>1380</v>
      </c>
    </row>
    <row r="958" spans="1:7" x14ac:dyDescent="0.2">
      <c r="A958" s="364">
        <v>2</v>
      </c>
      <c r="B958" s="75"/>
      <c r="C958" s="365" t="s">
        <v>149</v>
      </c>
      <c r="D958" s="366" t="s">
        <v>2007</v>
      </c>
      <c r="E958" s="77">
        <v>5</v>
      </c>
      <c r="F958" s="185">
        <v>74</v>
      </c>
      <c r="G958" s="35">
        <f t="shared" ref="G958:G959" si="5">F958*E958</f>
        <v>370</v>
      </c>
    </row>
    <row r="959" spans="1:7" x14ac:dyDescent="0.2">
      <c r="A959" s="364">
        <v>3</v>
      </c>
      <c r="B959" s="75"/>
      <c r="C959" s="365" t="s">
        <v>2009</v>
      </c>
      <c r="D959" s="366" t="s">
        <v>168</v>
      </c>
      <c r="E959" s="77">
        <v>8</v>
      </c>
      <c r="F959" s="185">
        <v>550</v>
      </c>
      <c r="G959" s="35">
        <f t="shared" si="5"/>
        <v>4400</v>
      </c>
    </row>
    <row r="960" spans="1:7" x14ac:dyDescent="0.2">
      <c r="A960" s="364">
        <v>4</v>
      </c>
      <c r="B960" s="75"/>
      <c r="C960" s="365" t="s">
        <v>2009</v>
      </c>
      <c r="D960" s="366" t="s">
        <v>168</v>
      </c>
      <c r="E960" s="77">
        <v>2</v>
      </c>
      <c r="F960" s="185">
        <v>540</v>
      </c>
      <c r="G960" s="35">
        <f>F960*E960</f>
        <v>1080</v>
      </c>
    </row>
    <row r="961" spans="1:7" x14ac:dyDescent="0.2">
      <c r="A961" s="29"/>
      <c r="B961" s="75"/>
      <c r="C961" s="183"/>
      <c r="D961" s="184"/>
      <c r="E961" s="77"/>
      <c r="F961" s="185"/>
      <c r="G961" s="35"/>
    </row>
    <row r="962" spans="1:7" x14ac:dyDescent="0.2">
      <c r="A962" s="29"/>
      <c r="B962" s="75"/>
      <c r="C962" s="183"/>
      <c r="D962" s="184"/>
      <c r="E962" s="77"/>
      <c r="F962" s="185"/>
      <c r="G962" s="35"/>
    </row>
    <row r="963" spans="1:7" x14ac:dyDescent="0.2">
      <c r="A963" s="29"/>
      <c r="B963" s="75"/>
      <c r="C963" s="41"/>
      <c r="D963" s="184"/>
      <c r="E963" s="77"/>
      <c r="F963" s="185"/>
      <c r="G963" s="35"/>
    </row>
    <row r="964" spans="1:7" x14ac:dyDescent="0.2">
      <c r="A964" s="29"/>
      <c r="B964" s="75"/>
      <c r="C964" s="41"/>
      <c r="D964" s="184"/>
      <c r="E964" s="77"/>
      <c r="F964" s="185"/>
      <c r="G964" s="35"/>
    </row>
    <row r="965" spans="1:7" x14ac:dyDescent="0.2">
      <c r="A965" s="29"/>
      <c r="B965" s="186"/>
      <c r="C965" s="41"/>
      <c r="D965" s="184"/>
      <c r="E965" s="77"/>
      <c r="F965" s="185"/>
      <c r="G965" s="35"/>
    </row>
    <row r="966" spans="1:7" x14ac:dyDescent="0.2">
      <c r="A966" s="29"/>
      <c r="B966" s="74"/>
      <c r="C966" s="31"/>
      <c r="D966" s="184"/>
      <c r="E966" s="77"/>
      <c r="F966" s="185"/>
      <c r="G966" s="35"/>
    </row>
    <row r="967" spans="1:7" x14ac:dyDescent="0.2">
      <c r="A967" s="29"/>
      <c r="B967" s="74"/>
      <c r="C967" s="41"/>
      <c r="D967" s="454" t="s">
        <v>896</v>
      </c>
      <c r="E967" s="84"/>
      <c r="F967" s="163"/>
      <c r="G967" s="35"/>
    </row>
    <row r="968" spans="1:7" x14ac:dyDescent="0.2">
      <c r="A968" s="29"/>
      <c r="B968" s="74"/>
      <c r="C968" s="41"/>
      <c r="D968" s="187"/>
      <c r="E968" s="84"/>
      <c r="F968" s="163"/>
      <c r="G968" s="35"/>
    </row>
    <row r="969" spans="1:7" x14ac:dyDescent="0.2">
      <c r="A969" s="29"/>
      <c r="B969" s="75"/>
      <c r="C969" s="41"/>
      <c r="D969" s="187"/>
      <c r="E969" s="84"/>
      <c r="F969" s="172"/>
      <c r="G969" s="35"/>
    </row>
    <row r="970" spans="1:7" x14ac:dyDescent="0.2">
      <c r="A970" s="29"/>
      <c r="B970" s="75"/>
      <c r="C970" s="41"/>
      <c r="D970" s="187"/>
      <c r="E970" s="84"/>
      <c r="F970" s="173"/>
      <c r="G970" s="35"/>
    </row>
    <row r="971" spans="1:7" x14ac:dyDescent="0.2">
      <c r="A971" s="29"/>
      <c r="B971" s="75"/>
      <c r="C971" s="183"/>
      <c r="D971" s="187"/>
      <c r="E971" s="77"/>
      <c r="F971" s="185"/>
      <c r="G971" s="35"/>
    </row>
    <row r="972" spans="1:7" x14ac:dyDescent="0.2">
      <c r="A972" s="29"/>
      <c r="B972" s="75"/>
      <c r="C972" s="183"/>
      <c r="D972" s="187"/>
      <c r="E972" s="77"/>
      <c r="F972" s="185"/>
      <c r="G972" s="35"/>
    </row>
    <row r="973" spans="1:7" x14ac:dyDescent="0.2">
      <c r="A973" s="29"/>
      <c r="B973" s="75"/>
      <c r="C973" s="183"/>
      <c r="D973" s="184"/>
      <c r="E973" s="77"/>
      <c r="F973" s="185"/>
      <c r="G973" s="35"/>
    </row>
    <row r="974" spans="1:7" x14ac:dyDescent="0.2">
      <c r="A974" s="29"/>
      <c r="B974" s="75"/>
      <c r="C974" s="183"/>
      <c r="D974" s="184"/>
      <c r="E974" s="77"/>
      <c r="F974" s="185"/>
      <c r="G974" s="35"/>
    </row>
    <row r="975" spans="1:7" x14ac:dyDescent="0.2">
      <c r="A975" s="29"/>
      <c r="B975" s="75"/>
      <c r="C975" s="183"/>
      <c r="D975" s="184"/>
      <c r="E975" s="77"/>
      <c r="F975" s="185"/>
      <c r="G975" s="35"/>
    </row>
    <row r="976" spans="1:7" x14ac:dyDescent="0.2">
      <c r="A976" s="29"/>
      <c r="B976" s="75"/>
      <c r="C976" s="41"/>
      <c r="D976" s="184"/>
      <c r="E976" s="84"/>
      <c r="F976" s="163"/>
      <c r="G976" s="35"/>
    </row>
    <row r="977" spans="1:7" x14ac:dyDescent="0.2">
      <c r="A977" s="29"/>
      <c r="B977" s="75"/>
      <c r="C977" s="41"/>
      <c r="D977" s="184"/>
      <c r="E977" s="84"/>
      <c r="F977" s="163"/>
      <c r="G977" s="35"/>
    </row>
    <row r="978" spans="1:7" x14ac:dyDescent="0.2">
      <c r="A978" s="29"/>
      <c r="B978" s="75"/>
      <c r="C978" s="41"/>
      <c r="D978" s="187"/>
      <c r="E978" s="84"/>
      <c r="F978" s="163"/>
      <c r="G978" s="35"/>
    </row>
    <row r="979" spans="1:7" x14ac:dyDescent="0.2">
      <c r="A979" s="29"/>
      <c r="B979" s="75"/>
      <c r="C979" s="41"/>
      <c r="D979" s="187"/>
      <c r="E979" s="84"/>
      <c r="F979" s="163"/>
      <c r="G979" s="35"/>
    </row>
    <row r="980" spans="1:7" x14ac:dyDescent="0.2">
      <c r="A980" s="29"/>
      <c r="B980" s="75"/>
      <c r="C980" s="41"/>
      <c r="D980" s="187"/>
      <c r="E980" s="84"/>
      <c r="F980" s="163"/>
      <c r="G980" s="35"/>
    </row>
    <row r="981" spans="1:7" x14ac:dyDescent="0.2">
      <c r="A981" s="29"/>
      <c r="B981" s="75"/>
      <c r="C981" s="41"/>
      <c r="D981" s="187"/>
      <c r="E981" s="84"/>
      <c r="F981" s="163"/>
      <c r="G981" s="35"/>
    </row>
    <row r="982" spans="1:7" x14ac:dyDescent="0.2">
      <c r="A982" s="29"/>
      <c r="B982" s="75"/>
      <c r="C982" s="41"/>
      <c r="D982" s="187"/>
      <c r="E982" s="84"/>
      <c r="F982" s="163"/>
      <c r="G982" s="35"/>
    </row>
    <row r="983" spans="1:7" x14ac:dyDescent="0.2">
      <c r="A983" s="29"/>
      <c r="B983" s="75"/>
      <c r="C983" s="41"/>
      <c r="D983" s="187"/>
      <c r="E983" s="84"/>
      <c r="F983" s="163"/>
      <c r="G983" s="35"/>
    </row>
    <row r="984" spans="1:7" x14ac:dyDescent="0.2">
      <c r="A984" s="29"/>
      <c r="B984" s="75"/>
      <c r="C984" s="41"/>
      <c r="D984" s="187"/>
      <c r="E984" s="84"/>
      <c r="F984" s="163"/>
      <c r="G984" s="35"/>
    </row>
    <row r="985" spans="1:7" x14ac:dyDescent="0.2">
      <c r="A985" s="29"/>
      <c r="B985" s="75"/>
      <c r="C985" s="41"/>
      <c r="D985" s="187"/>
      <c r="E985" s="84"/>
      <c r="F985" s="163"/>
      <c r="G985" s="35"/>
    </row>
    <row r="986" spans="1:7" x14ac:dyDescent="0.2">
      <c r="A986" s="29"/>
      <c r="B986" s="75"/>
      <c r="C986" s="41"/>
      <c r="D986" s="187"/>
      <c r="E986" s="84"/>
      <c r="F986" s="163"/>
      <c r="G986" s="35"/>
    </row>
    <row r="987" spans="1:7" x14ac:dyDescent="0.2">
      <c r="A987" s="29"/>
      <c r="B987" s="75"/>
      <c r="C987" s="41"/>
      <c r="D987" s="187"/>
      <c r="E987" s="84"/>
      <c r="F987" s="163"/>
      <c r="G987" s="35"/>
    </row>
    <row r="988" spans="1:7" x14ac:dyDescent="0.2">
      <c r="A988" s="29"/>
      <c r="B988" s="75"/>
      <c r="C988" s="41"/>
      <c r="D988" s="187"/>
      <c r="E988" s="84"/>
      <c r="F988" s="172"/>
      <c r="G988" s="35"/>
    </row>
    <row r="989" spans="1:7" x14ac:dyDescent="0.2">
      <c r="A989" s="29"/>
      <c r="B989" s="75"/>
      <c r="C989" s="41"/>
      <c r="D989" s="187"/>
      <c r="E989" s="84"/>
      <c r="F989" s="173"/>
      <c r="G989" s="35"/>
    </row>
    <row r="990" spans="1:7" x14ac:dyDescent="0.2">
      <c r="A990" s="29" t="s">
        <v>8</v>
      </c>
      <c r="B990" s="75"/>
      <c r="C990" s="41"/>
      <c r="D990" s="187"/>
      <c r="E990" s="84"/>
      <c r="F990" s="173"/>
      <c r="G990" s="35" t="s">
        <v>8</v>
      </c>
    </row>
    <row r="991" spans="1:7" ht="13.5" thickBot="1" x14ac:dyDescent="0.25">
      <c r="A991" s="45"/>
      <c r="B991" s="188"/>
      <c r="C991" s="47" t="s">
        <v>8</v>
      </c>
      <c r="D991" s="66" t="s">
        <v>8</v>
      </c>
      <c r="E991" s="188"/>
      <c r="F991" s="49" t="s">
        <v>15</v>
      </c>
      <c r="G991" s="50">
        <f>SUM(G957:G990)</f>
        <v>7230</v>
      </c>
    </row>
    <row r="992" spans="1:7" ht="13.5" thickTop="1" x14ac:dyDescent="0.2">
      <c r="A992" s="963" t="s">
        <v>2010</v>
      </c>
      <c r="B992" s="964"/>
      <c r="C992" s="964"/>
      <c r="D992" s="964"/>
      <c r="E992" s="964"/>
      <c r="F992" s="964"/>
      <c r="G992" s="965"/>
    </row>
    <row r="993" spans="1:7" ht="13.5" thickBot="1" x14ac:dyDescent="0.25">
      <c r="A993" s="378"/>
      <c r="B993" s="374"/>
      <c r="C993" s="374" t="s">
        <v>2011</v>
      </c>
      <c r="D993" s="379"/>
      <c r="E993" s="374"/>
      <c r="F993" s="380"/>
      <c r="G993" s="381"/>
    </row>
    <row r="994" spans="1:7" ht="13.5" thickTop="1" x14ac:dyDescent="0.2">
      <c r="A994" s="906" t="s">
        <v>8</v>
      </c>
      <c r="B994" s="907"/>
      <c r="C994" s="907"/>
      <c r="D994" s="57" t="s">
        <v>11</v>
      </c>
      <c r="E994" s="908" t="s">
        <v>12</v>
      </c>
      <c r="F994" s="908"/>
      <c r="G994" s="909"/>
    </row>
    <row r="995" spans="1:7" x14ac:dyDescent="0.2">
      <c r="A995" s="966" t="s">
        <v>17</v>
      </c>
      <c r="B995" s="967"/>
      <c r="C995" s="968"/>
      <c r="D995" s="39"/>
      <c r="E995" s="912"/>
      <c r="F995" s="913"/>
      <c r="G995" s="914"/>
    </row>
    <row r="996" spans="1:7" x14ac:dyDescent="0.2">
      <c r="A996" s="966" t="s">
        <v>38</v>
      </c>
      <c r="B996" s="967"/>
      <c r="C996" s="968"/>
      <c r="D996" s="58" t="s">
        <v>308</v>
      </c>
      <c r="E996" s="969" t="s">
        <v>142</v>
      </c>
      <c r="F996" s="868"/>
      <c r="G996" s="869"/>
    </row>
    <row r="997" spans="1:7" ht="13.5" thickBot="1" x14ac:dyDescent="0.25">
      <c r="A997" s="970" t="s">
        <v>39</v>
      </c>
      <c r="B997" s="971"/>
      <c r="C997" s="972"/>
      <c r="D997" s="375" t="s">
        <v>1038</v>
      </c>
      <c r="E997" s="904" t="s">
        <v>0</v>
      </c>
      <c r="F997" s="904"/>
      <c r="G997" s="905"/>
    </row>
    <row r="998" spans="1:7" ht="16.5" x14ac:dyDescent="0.25">
      <c r="A998" s="885" t="s">
        <v>29</v>
      </c>
      <c r="B998" s="886"/>
      <c r="C998" s="886"/>
      <c r="D998" s="886"/>
      <c r="E998" s="886"/>
      <c r="F998" s="886"/>
      <c r="G998" s="887"/>
    </row>
    <row r="999" spans="1:7" x14ac:dyDescent="0.2">
      <c r="A999" s="888" t="s">
        <v>48</v>
      </c>
      <c r="B999" s="889"/>
      <c r="C999" s="889"/>
      <c r="D999" s="889"/>
      <c r="E999" s="889"/>
      <c r="F999" s="889"/>
      <c r="G999" s="890"/>
    </row>
    <row r="1000" spans="1:7" x14ac:dyDescent="0.2">
      <c r="A1000" s="915" t="s">
        <v>49</v>
      </c>
      <c r="B1000" s="916"/>
      <c r="C1000" s="916"/>
      <c r="D1000" s="916"/>
      <c r="E1000" s="916"/>
      <c r="F1000" s="916"/>
      <c r="G1000" s="917"/>
    </row>
    <row r="1001" spans="1:7" x14ac:dyDescent="0.2">
      <c r="A1001" s="6"/>
      <c r="B1001" s="178"/>
      <c r="C1001" s="8"/>
      <c r="D1001" s="9"/>
      <c r="E1001" s="99"/>
      <c r="F1001" s="10"/>
      <c r="G1001" s="11" t="s">
        <v>8</v>
      </c>
    </row>
    <row r="1002" spans="1:7" x14ac:dyDescent="0.2">
      <c r="A1002" s="12" t="s">
        <v>1</v>
      </c>
      <c r="B1002" s="13"/>
      <c r="C1002" s="14" t="s">
        <v>5</v>
      </c>
      <c r="D1002" s="13"/>
      <c r="E1002" s="362" t="s">
        <v>2075</v>
      </c>
      <c r="F1002" s="60"/>
      <c r="G1002" s="363" t="s">
        <v>2060</v>
      </c>
    </row>
    <row r="1003" spans="1:7" x14ac:dyDescent="0.2">
      <c r="A1003" s="17" t="s">
        <v>8</v>
      </c>
      <c r="B1003" s="179"/>
      <c r="C1003" s="19"/>
      <c r="D1003" s="4"/>
      <c r="E1003" s="918"/>
      <c r="F1003" s="919"/>
      <c r="G1003" s="20"/>
    </row>
    <row r="1004" spans="1:7" x14ac:dyDescent="0.2">
      <c r="A1004" s="21" t="s">
        <v>37</v>
      </c>
      <c r="B1004" s="22"/>
      <c r="C1004" s="22"/>
      <c r="D1004" s="22"/>
      <c r="E1004" s="23" t="s">
        <v>46</v>
      </c>
      <c r="F1004" s="24"/>
      <c r="G1004" s="20" t="s">
        <v>50</v>
      </c>
    </row>
    <row r="1005" spans="1:7" x14ac:dyDescent="0.2">
      <c r="A1005" s="6"/>
      <c r="B1005" s="178"/>
      <c r="C1005" s="8"/>
      <c r="D1005" s="8"/>
      <c r="E1005" s="920"/>
      <c r="F1005" s="921"/>
      <c r="G1005" s="25"/>
    </row>
    <row r="1006" spans="1:7" ht="26.25" thickBot="1" x14ac:dyDescent="0.25">
      <c r="A1006" s="26" t="s">
        <v>47</v>
      </c>
      <c r="B1006" s="180" t="s">
        <v>23</v>
      </c>
      <c r="C1006" s="28" t="s">
        <v>34</v>
      </c>
      <c r="D1006" s="110" t="s">
        <v>53</v>
      </c>
      <c r="E1006" s="181" t="s">
        <v>54</v>
      </c>
      <c r="F1006" s="111" t="s">
        <v>55</v>
      </c>
      <c r="G1006" s="112" t="s">
        <v>35</v>
      </c>
    </row>
    <row r="1007" spans="1:7" ht="13.5" thickTop="1" x14ac:dyDescent="0.2">
      <c r="A1007" s="364">
        <v>1</v>
      </c>
      <c r="B1007" s="75"/>
      <c r="C1007" s="365" t="s">
        <v>2028</v>
      </c>
      <c r="D1007" s="366" t="s">
        <v>294</v>
      </c>
      <c r="E1007" s="457">
        <v>4</v>
      </c>
      <c r="F1007" s="456">
        <v>220</v>
      </c>
      <c r="G1007" s="35">
        <f>F1007*E1007</f>
        <v>880</v>
      </c>
    </row>
    <row r="1008" spans="1:7" x14ac:dyDescent="0.2">
      <c r="A1008" s="364">
        <f>A1007+1</f>
        <v>2</v>
      </c>
      <c r="B1008" s="75"/>
      <c r="C1008" s="365" t="s">
        <v>149</v>
      </c>
      <c r="D1008" s="366" t="s">
        <v>2012</v>
      </c>
      <c r="E1008" s="77">
        <v>3</v>
      </c>
      <c r="F1008" s="185">
        <v>66</v>
      </c>
      <c r="G1008" s="35">
        <f t="shared" ref="G1008:G1009" si="6">F1008*E1008</f>
        <v>198</v>
      </c>
    </row>
    <row r="1009" spans="1:10" x14ac:dyDescent="0.2">
      <c r="A1009" s="364">
        <f t="shared" ref="A1009:A1028" si="7">A1008+1</f>
        <v>3</v>
      </c>
      <c r="B1009" s="75"/>
      <c r="C1009" s="365" t="s">
        <v>2028</v>
      </c>
      <c r="D1009" s="366" t="s">
        <v>1974</v>
      </c>
      <c r="E1009" s="77">
        <v>1</v>
      </c>
      <c r="F1009" s="185">
        <v>210</v>
      </c>
      <c r="G1009" s="35">
        <f t="shared" si="6"/>
        <v>210</v>
      </c>
    </row>
    <row r="1010" spans="1:10" x14ac:dyDescent="0.2">
      <c r="A1010" s="364">
        <f t="shared" si="7"/>
        <v>4</v>
      </c>
      <c r="B1010" s="75"/>
      <c r="C1010" s="365" t="s">
        <v>149</v>
      </c>
      <c r="D1010" s="366" t="s">
        <v>2030</v>
      </c>
      <c r="E1010" s="77">
        <v>1</v>
      </c>
      <c r="F1010" s="185">
        <v>43</v>
      </c>
      <c r="G1010" s="35">
        <f>F1010*E1010</f>
        <v>43</v>
      </c>
    </row>
    <row r="1011" spans="1:10" x14ac:dyDescent="0.2">
      <c r="A1011" s="364">
        <f t="shared" si="7"/>
        <v>5</v>
      </c>
      <c r="B1011" s="75"/>
      <c r="C1011" s="365" t="s">
        <v>2029</v>
      </c>
      <c r="D1011" s="366" t="s">
        <v>2031</v>
      </c>
      <c r="E1011" s="77">
        <v>6</v>
      </c>
      <c r="F1011" s="185">
        <v>64</v>
      </c>
      <c r="G1011" s="35">
        <f t="shared" ref="G1011:G1040" si="8">F1011*E1011</f>
        <v>384</v>
      </c>
    </row>
    <row r="1012" spans="1:10" x14ac:dyDescent="0.2">
      <c r="A1012" s="364">
        <f t="shared" si="7"/>
        <v>6</v>
      </c>
      <c r="B1012" s="75"/>
      <c r="C1012" s="365" t="s">
        <v>176</v>
      </c>
      <c r="D1012" s="366" t="s">
        <v>2013</v>
      </c>
      <c r="E1012" s="77">
        <v>1</v>
      </c>
      <c r="F1012" s="185">
        <v>250</v>
      </c>
      <c r="G1012" s="35">
        <f t="shared" si="8"/>
        <v>250</v>
      </c>
    </row>
    <row r="1013" spans="1:10" x14ac:dyDescent="0.2">
      <c r="A1013" s="364">
        <f t="shared" si="7"/>
        <v>7</v>
      </c>
      <c r="B1013" s="75"/>
      <c r="C1013" s="371" t="s">
        <v>2029</v>
      </c>
      <c r="D1013" s="366" t="s">
        <v>2014</v>
      </c>
      <c r="E1013" s="77">
        <v>5</v>
      </c>
      <c r="F1013" s="185">
        <v>52</v>
      </c>
      <c r="G1013" s="35">
        <f t="shared" si="8"/>
        <v>260</v>
      </c>
    </row>
    <row r="1014" spans="1:10" x14ac:dyDescent="0.2">
      <c r="A1014" s="364">
        <f t="shared" si="7"/>
        <v>8</v>
      </c>
      <c r="B1014" s="75"/>
      <c r="C1014" s="371" t="s">
        <v>177</v>
      </c>
      <c r="D1014" s="366" t="s">
        <v>2015</v>
      </c>
      <c r="E1014" s="77">
        <v>1</v>
      </c>
      <c r="F1014" s="185">
        <v>108</v>
      </c>
      <c r="G1014" s="35">
        <f t="shared" si="8"/>
        <v>108</v>
      </c>
    </row>
    <row r="1015" spans="1:10" x14ac:dyDescent="0.2">
      <c r="A1015" s="364">
        <f t="shared" si="7"/>
        <v>9</v>
      </c>
      <c r="B1015" s="186"/>
      <c r="C1015" s="371" t="s">
        <v>185</v>
      </c>
      <c r="D1015" s="366" t="s">
        <v>2021</v>
      </c>
      <c r="E1015" s="77">
        <v>1</v>
      </c>
      <c r="F1015" s="185">
        <v>105</v>
      </c>
      <c r="G1015" s="35">
        <f t="shared" si="8"/>
        <v>105</v>
      </c>
      <c r="H1015" s="212">
        <f>SUM(G1007:G1015)</f>
        <v>2438</v>
      </c>
      <c r="I1015" s="212"/>
      <c r="J1015" s="212"/>
    </row>
    <row r="1016" spans="1:10" x14ac:dyDescent="0.2">
      <c r="A1016" s="364">
        <f t="shared" si="7"/>
        <v>10</v>
      </c>
      <c r="B1016" s="74"/>
      <c r="C1016" s="422" t="s">
        <v>2028</v>
      </c>
      <c r="D1016" s="366" t="s">
        <v>2016</v>
      </c>
      <c r="E1016" s="77">
        <v>12.1</v>
      </c>
      <c r="F1016" s="185">
        <v>230.16528930000001</v>
      </c>
      <c r="G1016" s="35">
        <f t="shared" si="8"/>
        <v>2785.0000005299999</v>
      </c>
      <c r="H1016" s="212">
        <f>G1016</f>
        <v>2785.0000005299999</v>
      </c>
      <c r="I1016" s="212"/>
      <c r="J1016" s="212"/>
    </row>
    <row r="1017" spans="1:10" x14ac:dyDescent="0.2">
      <c r="A1017" s="364">
        <f t="shared" si="7"/>
        <v>11</v>
      </c>
      <c r="B1017" s="74"/>
      <c r="C1017" s="371" t="s">
        <v>185</v>
      </c>
      <c r="D1017" s="454" t="s">
        <v>2021</v>
      </c>
      <c r="E1017" s="84">
        <v>1</v>
      </c>
      <c r="F1017" s="163">
        <v>125</v>
      </c>
      <c r="G1017" s="35">
        <f t="shared" si="8"/>
        <v>125</v>
      </c>
    </row>
    <row r="1018" spans="1:10" x14ac:dyDescent="0.2">
      <c r="A1018" s="364">
        <f t="shared" si="7"/>
        <v>12</v>
      </c>
      <c r="B1018" s="74"/>
      <c r="C1018" s="371" t="s">
        <v>185</v>
      </c>
      <c r="D1018" s="454" t="s">
        <v>2035</v>
      </c>
      <c r="E1018" s="84">
        <v>1</v>
      </c>
      <c r="F1018" s="163">
        <v>80</v>
      </c>
      <c r="G1018" s="35">
        <f t="shared" si="8"/>
        <v>80</v>
      </c>
    </row>
    <row r="1019" spans="1:10" x14ac:dyDescent="0.2">
      <c r="A1019" s="364">
        <f t="shared" si="7"/>
        <v>13</v>
      </c>
      <c r="B1019" s="75"/>
      <c r="C1019" s="371" t="s">
        <v>185</v>
      </c>
      <c r="D1019" s="454" t="s">
        <v>2017</v>
      </c>
      <c r="E1019" s="84">
        <v>1</v>
      </c>
      <c r="F1019" s="172">
        <v>40</v>
      </c>
      <c r="G1019" s="35">
        <f t="shared" si="8"/>
        <v>40</v>
      </c>
    </row>
    <row r="1020" spans="1:10" x14ac:dyDescent="0.2">
      <c r="A1020" s="364">
        <f t="shared" si="7"/>
        <v>14</v>
      </c>
      <c r="B1020" s="75"/>
      <c r="C1020" s="371" t="s">
        <v>185</v>
      </c>
      <c r="D1020" s="454" t="s">
        <v>2018</v>
      </c>
      <c r="E1020" s="84">
        <v>1</v>
      </c>
      <c r="F1020" s="173">
        <v>60</v>
      </c>
      <c r="G1020" s="35">
        <f t="shared" si="8"/>
        <v>60</v>
      </c>
    </row>
    <row r="1021" spans="1:10" x14ac:dyDescent="0.2">
      <c r="A1021" s="364">
        <f t="shared" si="7"/>
        <v>15</v>
      </c>
      <c r="B1021" s="75"/>
      <c r="C1021" s="365" t="s">
        <v>153</v>
      </c>
      <c r="D1021" s="454" t="s">
        <v>283</v>
      </c>
      <c r="E1021" s="77">
        <v>5</v>
      </c>
      <c r="F1021" s="185">
        <v>7</v>
      </c>
      <c r="G1021" s="35">
        <f t="shared" si="8"/>
        <v>35</v>
      </c>
    </row>
    <row r="1022" spans="1:10" x14ac:dyDescent="0.2">
      <c r="A1022" s="364">
        <f t="shared" si="7"/>
        <v>16</v>
      </c>
      <c r="B1022" s="75"/>
      <c r="C1022" s="365" t="s">
        <v>153</v>
      </c>
      <c r="D1022" s="454" t="s">
        <v>1948</v>
      </c>
      <c r="E1022" s="77">
        <v>5</v>
      </c>
      <c r="F1022" s="185">
        <v>7</v>
      </c>
      <c r="G1022" s="35">
        <f t="shared" si="8"/>
        <v>35</v>
      </c>
      <c r="H1022" s="212">
        <f>SUM(G1017:G1022)</f>
        <v>375</v>
      </c>
      <c r="I1022" s="212"/>
      <c r="J1022" s="212"/>
    </row>
    <row r="1023" spans="1:10" x14ac:dyDescent="0.2">
      <c r="A1023" s="364">
        <f t="shared" si="7"/>
        <v>17</v>
      </c>
      <c r="B1023" s="75"/>
      <c r="C1023" s="365" t="s">
        <v>2034</v>
      </c>
      <c r="D1023" s="366" t="s">
        <v>2019</v>
      </c>
      <c r="E1023" s="77">
        <v>2</v>
      </c>
      <c r="F1023" s="185">
        <v>350</v>
      </c>
      <c r="G1023" s="35">
        <f t="shared" si="8"/>
        <v>700</v>
      </c>
      <c r="H1023" s="212">
        <f>G1023</f>
        <v>700</v>
      </c>
      <c r="I1023" s="212"/>
      <c r="J1023" s="212"/>
    </row>
    <row r="1024" spans="1:10" x14ac:dyDescent="0.2">
      <c r="A1024" s="364">
        <f t="shared" si="7"/>
        <v>18</v>
      </c>
      <c r="B1024" s="75"/>
      <c r="C1024" s="365" t="s">
        <v>149</v>
      </c>
      <c r="D1024" s="366" t="s">
        <v>2020</v>
      </c>
      <c r="E1024" s="77">
        <v>13</v>
      </c>
      <c r="F1024" s="185">
        <v>50</v>
      </c>
      <c r="G1024" s="35">
        <f t="shared" si="8"/>
        <v>650</v>
      </c>
    </row>
    <row r="1025" spans="1:12" x14ac:dyDescent="0.2">
      <c r="A1025" s="364">
        <f t="shared" si="7"/>
        <v>19</v>
      </c>
      <c r="B1025" s="75"/>
      <c r="C1025" s="365" t="s">
        <v>2028</v>
      </c>
      <c r="D1025" s="366" t="s">
        <v>1940</v>
      </c>
      <c r="E1025" s="77">
        <v>0.5</v>
      </c>
      <c r="F1025" s="185">
        <v>170</v>
      </c>
      <c r="G1025" s="35">
        <f t="shared" si="8"/>
        <v>85</v>
      </c>
    </row>
    <row r="1026" spans="1:12" x14ac:dyDescent="0.2">
      <c r="A1026" s="364">
        <f t="shared" si="7"/>
        <v>20</v>
      </c>
      <c r="B1026" s="75"/>
      <c r="C1026" s="371" t="s">
        <v>2028</v>
      </c>
      <c r="D1026" s="366" t="s">
        <v>1974</v>
      </c>
      <c r="E1026" s="84">
        <v>1</v>
      </c>
      <c r="F1026" s="163">
        <v>135</v>
      </c>
      <c r="G1026" s="35">
        <f t="shared" si="8"/>
        <v>135</v>
      </c>
    </row>
    <row r="1027" spans="1:12" x14ac:dyDescent="0.2">
      <c r="A1027" s="364">
        <f t="shared" si="7"/>
        <v>21</v>
      </c>
      <c r="B1027" s="75"/>
      <c r="C1027" s="371" t="s">
        <v>2028</v>
      </c>
      <c r="D1027" s="366" t="s">
        <v>193</v>
      </c>
      <c r="E1027" s="84">
        <v>0.5</v>
      </c>
      <c r="F1027" s="163">
        <v>120</v>
      </c>
      <c r="G1027" s="35">
        <f t="shared" si="8"/>
        <v>60</v>
      </c>
      <c r="H1027" s="164">
        <f>SUM(G1024:G1027)</f>
        <v>930</v>
      </c>
      <c r="I1027" s="164"/>
      <c r="J1027" s="164"/>
    </row>
    <row r="1028" spans="1:12" x14ac:dyDescent="0.2">
      <c r="A1028" s="364">
        <f t="shared" si="7"/>
        <v>22</v>
      </c>
      <c r="B1028" s="75"/>
      <c r="C1028" s="371" t="s">
        <v>2008</v>
      </c>
      <c r="D1028" s="454" t="s">
        <v>2026</v>
      </c>
      <c r="E1028" s="84">
        <v>1</v>
      </c>
      <c r="F1028" s="163">
        <v>1300</v>
      </c>
      <c r="G1028" s="35">
        <f t="shared" si="8"/>
        <v>1300</v>
      </c>
      <c r="H1028" s="212">
        <f>G1028</f>
        <v>1300</v>
      </c>
      <c r="I1028" s="212"/>
      <c r="J1028" s="212"/>
    </row>
    <row r="1029" spans="1:12" x14ac:dyDescent="0.2">
      <c r="A1029" s="29">
        <f>A1028+1</f>
        <v>23</v>
      </c>
      <c r="B1029" s="75"/>
      <c r="C1029" s="371" t="s">
        <v>153</v>
      </c>
      <c r="D1029" s="454" t="s">
        <v>2022</v>
      </c>
      <c r="E1029" s="84">
        <v>8</v>
      </c>
      <c r="F1029" s="163">
        <v>1</v>
      </c>
      <c r="G1029" s="35">
        <f t="shared" si="8"/>
        <v>8</v>
      </c>
    </row>
    <row r="1030" spans="1:12" x14ac:dyDescent="0.2">
      <c r="A1030" s="29">
        <f t="shared" ref="A1030:A1040" si="9">A1029+1</f>
        <v>24</v>
      </c>
      <c r="B1030" s="75"/>
      <c r="C1030" s="371" t="s">
        <v>2028</v>
      </c>
      <c r="D1030" s="454" t="s">
        <v>2033</v>
      </c>
      <c r="E1030" s="84">
        <v>0.75</v>
      </c>
      <c r="F1030" s="163">
        <v>129.33332999999999</v>
      </c>
      <c r="G1030" s="35">
        <f>F1030*E1030</f>
        <v>96.999997499999992</v>
      </c>
      <c r="L1030" s="430">
        <f>97/0.75</f>
        <v>129.33333333333334</v>
      </c>
    </row>
    <row r="1031" spans="1:12" x14ac:dyDescent="0.2">
      <c r="A1031" s="29">
        <f t="shared" si="9"/>
        <v>25</v>
      </c>
      <c r="B1031" s="75"/>
      <c r="C1031" s="371" t="s">
        <v>2028</v>
      </c>
      <c r="D1031" s="454" t="s">
        <v>2023</v>
      </c>
      <c r="E1031" s="84">
        <v>0.25</v>
      </c>
      <c r="F1031" s="163">
        <v>240</v>
      </c>
      <c r="G1031" s="35">
        <f t="shared" si="8"/>
        <v>60</v>
      </c>
    </row>
    <row r="1032" spans="1:12" x14ac:dyDescent="0.2">
      <c r="A1032" s="29">
        <f t="shared" si="9"/>
        <v>26</v>
      </c>
      <c r="B1032" s="75"/>
      <c r="C1032" s="371" t="s">
        <v>185</v>
      </c>
      <c r="D1032" s="454" t="s">
        <v>2017</v>
      </c>
      <c r="E1032" s="84">
        <v>1</v>
      </c>
      <c r="F1032" s="163">
        <v>45</v>
      </c>
      <c r="G1032" s="35">
        <f t="shared" si="8"/>
        <v>45</v>
      </c>
    </row>
    <row r="1033" spans="1:12" x14ac:dyDescent="0.2">
      <c r="A1033" s="29">
        <f t="shared" si="9"/>
        <v>27</v>
      </c>
      <c r="B1033" s="75"/>
      <c r="C1033" s="371" t="s">
        <v>185</v>
      </c>
      <c r="D1033" s="454" t="s">
        <v>2018</v>
      </c>
      <c r="E1033" s="84">
        <v>1</v>
      </c>
      <c r="F1033" s="163">
        <v>56</v>
      </c>
      <c r="G1033" s="35">
        <f t="shared" si="8"/>
        <v>56</v>
      </c>
    </row>
    <row r="1034" spans="1:12" x14ac:dyDescent="0.2">
      <c r="A1034" s="29">
        <f t="shared" si="9"/>
        <v>28</v>
      </c>
      <c r="B1034" s="75"/>
      <c r="C1034" s="371" t="s">
        <v>2028</v>
      </c>
      <c r="D1034" s="454" t="s">
        <v>2024</v>
      </c>
      <c r="E1034" s="84">
        <v>1</v>
      </c>
      <c r="F1034" s="163">
        <v>76</v>
      </c>
      <c r="G1034" s="35">
        <f t="shared" si="8"/>
        <v>76</v>
      </c>
    </row>
    <row r="1035" spans="1:12" x14ac:dyDescent="0.2">
      <c r="A1035" s="29">
        <f t="shared" si="9"/>
        <v>29</v>
      </c>
      <c r="B1035" s="75"/>
      <c r="C1035" s="371" t="s">
        <v>153</v>
      </c>
      <c r="D1035" s="454" t="s">
        <v>1948</v>
      </c>
      <c r="E1035" s="84">
        <v>5</v>
      </c>
      <c r="F1035" s="163">
        <v>7</v>
      </c>
      <c r="G1035" s="35">
        <f t="shared" si="8"/>
        <v>35</v>
      </c>
    </row>
    <row r="1036" spans="1:12" x14ac:dyDescent="0.2">
      <c r="A1036" s="29">
        <f t="shared" si="9"/>
        <v>30</v>
      </c>
      <c r="B1036" s="75"/>
      <c r="C1036" s="371" t="s">
        <v>185</v>
      </c>
      <c r="D1036" s="454" t="s">
        <v>2017</v>
      </c>
      <c r="E1036" s="84">
        <v>1</v>
      </c>
      <c r="F1036" s="163">
        <v>35</v>
      </c>
      <c r="G1036" s="35">
        <f t="shared" si="8"/>
        <v>35</v>
      </c>
    </row>
    <row r="1037" spans="1:12" x14ac:dyDescent="0.2">
      <c r="A1037" s="29">
        <f t="shared" si="9"/>
        <v>31</v>
      </c>
      <c r="B1037" s="75"/>
      <c r="C1037" s="371" t="s">
        <v>2028</v>
      </c>
      <c r="D1037" s="454" t="s">
        <v>193</v>
      </c>
      <c r="E1037" s="84">
        <v>0.5</v>
      </c>
      <c r="F1037" s="163">
        <v>138</v>
      </c>
      <c r="G1037" s="35">
        <f t="shared" si="8"/>
        <v>69</v>
      </c>
      <c r="H1037" s="212">
        <f>SUM(G1029:G1037)</f>
        <v>480.99999750000001</v>
      </c>
      <c r="I1037" s="212"/>
      <c r="J1037" s="212"/>
    </row>
    <row r="1038" spans="1:12" x14ac:dyDescent="0.2">
      <c r="A1038" s="29">
        <f t="shared" si="9"/>
        <v>32</v>
      </c>
      <c r="B1038" s="75"/>
      <c r="C1038" s="371" t="s">
        <v>2028</v>
      </c>
      <c r="D1038" s="454" t="s">
        <v>2019</v>
      </c>
      <c r="E1038" s="84">
        <v>1</v>
      </c>
      <c r="F1038" s="172">
        <v>340</v>
      </c>
      <c r="G1038" s="35">
        <f t="shared" si="8"/>
        <v>340</v>
      </c>
      <c r="H1038" s="212">
        <f>G1038</f>
        <v>340</v>
      </c>
      <c r="I1038" s="212"/>
      <c r="J1038" s="212"/>
    </row>
    <row r="1039" spans="1:12" x14ac:dyDescent="0.2">
      <c r="A1039" s="29">
        <f t="shared" si="9"/>
        <v>33</v>
      </c>
      <c r="B1039" s="75"/>
      <c r="C1039" s="371" t="s">
        <v>2028</v>
      </c>
      <c r="D1039" s="454" t="s">
        <v>1974</v>
      </c>
      <c r="E1039" s="84">
        <v>1</v>
      </c>
      <c r="F1039" s="173">
        <v>140</v>
      </c>
      <c r="G1039" s="35">
        <f t="shared" si="8"/>
        <v>140</v>
      </c>
      <c r="H1039" s="212">
        <f>G1039</f>
        <v>140</v>
      </c>
      <c r="I1039" s="212"/>
      <c r="J1039" s="212"/>
    </row>
    <row r="1040" spans="1:12" x14ac:dyDescent="0.2">
      <c r="A1040" s="29">
        <f t="shared" si="9"/>
        <v>34</v>
      </c>
      <c r="B1040" s="75"/>
      <c r="C1040" s="371" t="s">
        <v>2032</v>
      </c>
      <c r="D1040" s="454" t="s">
        <v>2025</v>
      </c>
      <c r="E1040" s="84">
        <v>2</v>
      </c>
      <c r="F1040" s="173">
        <v>120</v>
      </c>
      <c r="G1040" s="35">
        <f t="shared" si="8"/>
        <v>240</v>
      </c>
      <c r="H1040" s="212">
        <f>G1040</f>
        <v>240</v>
      </c>
      <c r="I1040" s="212"/>
      <c r="J1040" s="212"/>
    </row>
    <row r="1041" spans="1:7" ht="13.5" thickBot="1" x14ac:dyDescent="0.25">
      <c r="A1041" s="45"/>
      <c r="B1041" s="188"/>
      <c r="C1041" s="47" t="s">
        <v>8</v>
      </c>
      <c r="D1041" s="66" t="s">
        <v>8</v>
      </c>
      <c r="E1041" s="188"/>
      <c r="F1041" s="49" t="s">
        <v>15</v>
      </c>
      <c r="G1041" s="50">
        <f>SUM(G1007:G1040)</f>
        <v>9728.9999980299981</v>
      </c>
    </row>
    <row r="1042" spans="1:7" ht="13.5" thickTop="1" x14ac:dyDescent="0.2">
      <c r="A1042" s="963" t="s">
        <v>2027</v>
      </c>
      <c r="B1042" s="964"/>
      <c r="C1042" s="964"/>
      <c r="D1042" s="964"/>
      <c r="E1042" s="964"/>
      <c r="F1042" s="964"/>
      <c r="G1042" s="965"/>
    </row>
    <row r="1043" spans="1:7" ht="13.5" thickBot="1" x14ac:dyDescent="0.25">
      <c r="A1043" s="378"/>
      <c r="B1043" s="374"/>
      <c r="C1043" s="374" t="s">
        <v>8</v>
      </c>
      <c r="D1043" s="379"/>
      <c r="E1043" s="374"/>
      <c r="F1043" s="380"/>
      <c r="G1043" s="381"/>
    </row>
    <row r="1044" spans="1:7" ht="13.5" thickTop="1" x14ac:dyDescent="0.2">
      <c r="A1044" s="906" t="s">
        <v>8</v>
      </c>
      <c r="B1044" s="907"/>
      <c r="C1044" s="907"/>
      <c r="D1044" s="57" t="s">
        <v>11</v>
      </c>
      <c r="E1044" s="908" t="s">
        <v>12</v>
      </c>
      <c r="F1044" s="908"/>
      <c r="G1044" s="909"/>
    </row>
    <row r="1045" spans="1:7" x14ac:dyDescent="0.2">
      <c r="A1045" s="966" t="s">
        <v>17</v>
      </c>
      <c r="B1045" s="967"/>
      <c r="C1045" s="968"/>
      <c r="D1045" s="39"/>
      <c r="E1045" s="912"/>
      <c r="F1045" s="913"/>
      <c r="G1045" s="914"/>
    </row>
    <row r="1046" spans="1:7" x14ac:dyDescent="0.2">
      <c r="A1046" s="966" t="s">
        <v>38</v>
      </c>
      <c r="B1046" s="967"/>
      <c r="C1046" s="968"/>
      <c r="D1046" s="58" t="s">
        <v>308</v>
      </c>
      <c r="E1046" s="969" t="s">
        <v>142</v>
      </c>
      <c r="F1046" s="868"/>
      <c r="G1046" s="869"/>
    </row>
    <row r="1047" spans="1:7" ht="13.5" thickBot="1" x14ac:dyDescent="0.25">
      <c r="A1047" s="970" t="s">
        <v>39</v>
      </c>
      <c r="B1047" s="971"/>
      <c r="C1047" s="972"/>
      <c r="D1047" s="375" t="s">
        <v>1038</v>
      </c>
      <c r="E1047" s="904" t="s">
        <v>0</v>
      </c>
      <c r="F1047" s="904"/>
      <c r="G1047" s="905"/>
    </row>
    <row r="1048" spans="1:7" ht="16.5" x14ac:dyDescent="0.25">
      <c r="A1048" s="885" t="s">
        <v>29</v>
      </c>
      <c r="B1048" s="886"/>
      <c r="C1048" s="886"/>
      <c r="D1048" s="886"/>
      <c r="E1048" s="886"/>
      <c r="F1048" s="886"/>
      <c r="G1048" s="887"/>
    </row>
    <row r="1049" spans="1:7" x14ac:dyDescent="0.2">
      <c r="A1049" s="888" t="s">
        <v>48</v>
      </c>
      <c r="B1049" s="889"/>
      <c r="C1049" s="889"/>
      <c r="D1049" s="889"/>
      <c r="E1049" s="889"/>
      <c r="F1049" s="889"/>
      <c r="G1049" s="890"/>
    </row>
    <row r="1050" spans="1:7" x14ac:dyDescent="0.2">
      <c r="A1050" s="915" t="s">
        <v>49</v>
      </c>
      <c r="B1050" s="916"/>
      <c r="C1050" s="916"/>
      <c r="D1050" s="916"/>
      <c r="E1050" s="916"/>
      <c r="F1050" s="916"/>
      <c r="G1050" s="917"/>
    </row>
    <row r="1051" spans="1:7" x14ac:dyDescent="0.2">
      <c r="A1051" s="6"/>
      <c r="B1051" s="178"/>
      <c r="C1051" s="8"/>
      <c r="D1051" s="9"/>
      <c r="E1051" s="99"/>
      <c r="F1051" s="10"/>
      <c r="G1051" s="11" t="s">
        <v>8</v>
      </c>
    </row>
    <row r="1052" spans="1:7" x14ac:dyDescent="0.2">
      <c r="A1052" s="12" t="s">
        <v>1</v>
      </c>
      <c r="B1052" s="13"/>
      <c r="C1052" s="14" t="s">
        <v>5</v>
      </c>
      <c r="D1052" s="13"/>
      <c r="E1052" s="362" t="s">
        <v>2076</v>
      </c>
      <c r="F1052" s="60"/>
      <c r="G1052" s="363" t="s">
        <v>2060</v>
      </c>
    </row>
    <row r="1053" spans="1:7" x14ac:dyDescent="0.2">
      <c r="A1053" s="17" t="s">
        <v>8</v>
      </c>
      <c r="B1053" s="179"/>
      <c r="C1053" s="19"/>
      <c r="D1053" s="4"/>
      <c r="E1053" s="918"/>
      <c r="F1053" s="919"/>
      <c r="G1053" s="20"/>
    </row>
    <row r="1054" spans="1:7" x14ac:dyDescent="0.2">
      <c r="A1054" s="21" t="s">
        <v>37</v>
      </c>
      <c r="B1054" s="22"/>
      <c r="C1054" s="22"/>
      <c r="D1054" s="22"/>
      <c r="E1054" s="23" t="s">
        <v>46</v>
      </c>
      <c r="F1054" s="24"/>
      <c r="G1054" s="20" t="s">
        <v>50</v>
      </c>
    </row>
    <row r="1055" spans="1:7" x14ac:dyDescent="0.2">
      <c r="A1055" s="6"/>
      <c r="B1055" s="178"/>
      <c r="C1055" s="8"/>
      <c r="D1055" s="8"/>
      <c r="E1055" s="920"/>
      <c r="F1055" s="921"/>
      <c r="G1055" s="25"/>
    </row>
    <row r="1056" spans="1:7" ht="26.25" thickBot="1" x14ac:dyDescent="0.25">
      <c r="A1056" s="26" t="s">
        <v>47</v>
      </c>
      <c r="B1056" s="180" t="s">
        <v>23</v>
      </c>
      <c r="C1056" s="28" t="s">
        <v>34</v>
      </c>
      <c r="D1056" s="110" t="s">
        <v>53</v>
      </c>
      <c r="E1056" s="181" t="s">
        <v>54</v>
      </c>
      <c r="F1056" s="111" t="s">
        <v>55</v>
      </c>
      <c r="G1056" s="112" t="s">
        <v>35</v>
      </c>
    </row>
    <row r="1057" spans="1:11" ht="13.5" thickTop="1" x14ac:dyDescent="0.2">
      <c r="A1057" s="364">
        <v>1</v>
      </c>
      <c r="B1057" s="75"/>
      <c r="C1057" s="365" t="s">
        <v>176</v>
      </c>
      <c r="D1057" s="366" t="s">
        <v>2059</v>
      </c>
      <c r="E1057" s="457">
        <v>1</v>
      </c>
      <c r="F1057" s="456">
        <v>99.5</v>
      </c>
      <c r="G1057" s="35">
        <f>F1057*E1057</f>
        <v>99.5</v>
      </c>
    </row>
    <row r="1058" spans="1:11" x14ac:dyDescent="0.2">
      <c r="A1058" s="364">
        <f>A1057+1</f>
        <v>2</v>
      </c>
      <c r="B1058" s="75"/>
      <c r="C1058" s="365" t="s">
        <v>176</v>
      </c>
      <c r="D1058" s="366" t="s">
        <v>2037</v>
      </c>
      <c r="E1058" s="77">
        <v>1</v>
      </c>
      <c r="F1058" s="185">
        <v>380.75</v>
      </c>
      <c r="G1058" s="35">
        <f t="shared" ref="G1058:G1059" si="10">F1058*E1058</f>
        <v>380.75</v>
      </c>
    </row>
    <row r="1059" spans="1:11" x14ac:dyDescent="0.2">
      <c r="A1059" s="364">
        <f t="shared" ref="A1059:A1078" si="11">A1058+1</f>
        <v>3</v>
      </c>
      <c r="B1059" s="75"/>
      <c r="C1059" s="365" t="s">
        <v>185</v>
      </c>
      <c r="D1059" s="366" t="s">
        <v>2035</v>
      </c>
      <c r="E1059" s="77">
        <v>1</v>
      </c>
      <c r="F1059" s="185">
        <v>65.75</v>
      </c>
      <c r="G1059" s="35">
        <f t="shared" si="10"/>
        <v>65.75</v>
      </c>
    </row>
    <row r="1060" spans="1:11" x14ac:dyDescent="0.2">
      <c r="A1060" s="364">
        <f t="shared" si="11"/>
        <v>4</v>
      </c>
      <c r="B1060" s="75"/>
      <c r="C1060" s="365" t="s">
        <v>185</v>
      </c>
      <c r="D1060" s="366" t="s">
        <v>1459</v>
      </c>
      <c r="E1060" s="77">
        <v>1</v>
      </c>
      <c r="F1060" s="185">
        <v>304.5</v>
      </c>
      <c r="G1060" s="35">
        <f>F1060*E1060</f>
        <v>304.5</v>
      </c>
    </row>
    <row r="1061" spans="1:11" x14ac:dyDescent="0.2">
      <c r="A1061" s="364">
        <f t="shared" si="11"/>
        <v>5</v>
      </c>
      <c r="B1061" s="75"/>
      <c r="C1061" s="365" t="s">
        <v>185</v>
      </c>
      <c r="D1061" s="366" t="s">
        <v>1460</v>
      </c>
      <c r="E1061" s="77">
        <v>1</v>
      </c>
      <c r="F1061" s="185">
        <v>249.5</v>
      </c>
      <c r="G1061" s="35">
        <f t="shared" ref="G1061:G1079" si="12">F1061*E1061</f>
        <v>249.5</v>
      </c>
    </row>
    <row r="1062" spans="1:11" x14ac:dyDescent="0.2">
      <c r="A1062" s="364">
        <f t="shared" si="11"/>
        <v>6</v>
      </c>
      <c r="B1062" s="75"/>
      <c r="C1062" s="365" t="s">
        <v>185</v>
      </c>
      <c r="D1062" s="366" t="s">
        <v>2038</v>
      </c>
      <c r="E1062" s="77">
        <v>1</v>
      </c>
      <c r="F1062" s="185">
        <v>73</v>
      </c>
      <c r="G1062" s="35">
        <f t="shared" si="12"/>
        <v>73</v>
      </c>
    </row>
    <row r="1063" spans="1:11" x14ac:dyDescent="0.2">
      <c r="A1063" s="364">
        <f t="shared" si="11"/>
        <v>7</v>
      </c>
      <c r="B1063" s="75"/>
      <c r="C1063" s="371" t="s">
        <v>185</v>
      </c>
      <c r="D1063" s="366" t="s">
        <v>2013</v>
      </c>
      <c r="E1063" s="77">
        <v>1</v>
      </c>
      <c r="F1063" s="185">
        <v>70</v>
      </c>
      <c r="G1063" s="35">
        <f t="shared" si="12"/>
        <v>70</v>
      </c>
    </row>
    <row r="1064" spans="1:11" x14ac:dyDescent="0.2">
      <c r="A1064" s="364">
        <f t="shared" si="11"/>
        <v>8</v>
      </c>
      <c r="B1064" s="75"/>
      <c r="C1064" s="371" t="s">
        <v>149</v>
      </c>
      <c r="D1064" s="366" t="s">
        <v>1465</v>
      </c>
      <c r="E1064" s="77">
        <v>4</v>
      </c>
      <c r="F1064" s="185">
        <v>136.05000000000001</v>
      </c>
      <c r="G1064" s="35">
        <f t="shared" si="12"/>
        <v>544.20000000000005</v>
      </c>
    </row>
    <row r="1065" spans="1:11" x14ac:dyDescent="0.2">
      <c r="A1065" s="364">
        <f t="shared" si="11"/>
        <v>9</v>
      </c>
      <c r="B1065" s="186"/>
      <c r="C1065" s="371" t="s">
        <v>149</v>
      </c>
      <c r="D1065" s="366" t="s">
        <v>2039</v>
      </c>
      <c r="E1065" s="77">
        <v>7</v>
      </c>
      <c r="F1065" s="185">
        <v>76</v>
      </c>
      <c r="G1065" s="35">
        <f t="shared" si="12"/>
        <v>532</v>
      </c>
    </row>
    <row r="1066" spans="1:11" x14ac:dyDescent="0.2">
      <c r="A1066" s="364">
        <f t="shared" si="11"/>
        <v>10</v>
      </c>
      <c r="B1066" s="74"/>
      <c r="C1066" s="422" t="s">
        <v>149</v>
      </c>
      <c r="D1066" s="366" t="s">
        <v>2040</v>
      </c>
      <c r="E1066" s="77">
        <v>2</v>
      </c>
      <c r="F1066" s="185">
        <v>21.25</v>
      </c>
      <c r="G1066" s="35">
        <f t="shared" si="12"/>
        <v>42.5</v>
      </c>
    </row>
    <row r="1067" spans="1:11" x14ac:dyDescent="0.2">
      <c r="A1067" s="364">
        <f t="shared" si="11"/>
        <v>11</v>
      </c>
      <c r="B1067" s="74"/>
      <c r="C1067" s="371" t="s">
        <v>149</v>
      </c>
      <c r="D1067" s="454" t="s">
        <v>2041</v>
      </c>
      <c r="E1067" s="84">
        <v>2</v>
      </c>
      <c r="F1067" s="163">
        <v>155</v>
      </c>
      <c r="G1067" s="35">
        <f t="shared" si="12"/>
        <v>310</v>
      </c>
    </row>
    <row r="1068" spans="1:11" x14ac:dyDescent="0.2">
      <c r="A1068" s="364">
        <f t="shared" si="11"/>
        <v>12</v>
      </c>
      <c r="B1068" s="74"/>
      <c r="C1068" s="371" t="s">
        <v>149</v>
      </c>
      <c r="D1068" s="454" t="s">
        <v>1470</v>
      </c>
      <c r="E1068" s="84">
        <v>3</v>
      </c>
      <c r="F1068" s="163">
        <v>34.35</v>
      </c>
      <c r="G1068" s="35">
        <f t="shared" si="12"/>
        <v>103.05000000000001</v>
      </c>
    </row>
    <row r="1069" spans="1:11" x14ac:dyDescent="0.2">
      <c r="A1069" s="364">
        <f t="shared" si="11"/>
        <v>13</v>
      </c>
      <c r="B1069" s="75"/>
      <c r="C1069" s="371" t="s">
        <v>149</v>
      </c>
      <c r="D1069" s="454" t="s">
        <v>1472</v>
      </c>
      <c r="E1069" s="84">
        <v>1</v>
      </c>
      <c r="F1069" s="172">
        <v>37.25</v>
      </c>
      <c r="G1069" s="35">
        <f t="shared" si="12"/>
        <v>37.25</v>
      </c>
    </row>
    <row r="1070" spans="1:11" x14ac:dyDescent="0.2">
      <c r="A1070" s="364">
        <f t="shared" si="11"/>
        <v>14</v>
      </c>
      <c r="B1070" s="75"/>
      <c r="C1070" s="371" t="s">
        <v>149</v>
      </c>
      <c r="D1070" s="454" t="s">
        <v>2042</v>
      </c>
      <c r="E1070" s="84">
        <v>1</v>
      </c>
      <c r="F1070" s="173">
        <v>37.25</v>
      </c>
      <c r="G1070" s="35">
        <f t="shared" si="12"/>
        <v>37.25</v>
      </c>
    </row>
    <row r="1071" spans="1:11" x14ac:dyDescent="0.2">
      <c r="A1071" s="364">
        <f t="shared" si="11"/>
        <v>15</v>
      </c>
      <c r="B1071" s="75"/>
      <c r="C1071" s="371" t="s">
        <v>149</v>
      </c>
      <c r="D1071" s="454" t="s">
        <v>2043</v>
      </c>
      <c r="E1071" s="77">
        <v>1</v>
      </c>
      <c r="F1071" s="185">
        <v>96.8</v>
      </c>
      <c r="G1071" s="35">
        <f t="shared" si="12"/>
        <v>96.8</v>
      </c>
      <c r="K1071" s="430" t="s">
        <v>2052</v>
      </c>
    </row>
    <row r="1072" spans="1:11" x14ac:dyDescent="0.2">
      <c r="A1072" s="364">
        <f t="shared" si="11"/>
        <v>16</v>
      </c>
      <c r="B1072" s="75"/>
      <c r="C1072" s="371" t="s">
        <v>149</v>
      </c>
      <c r="D1072" s="454" t="s">
        <v>2044</v>
      </c>
      <c r="E1072" s="77">
        <v>3</v>
      </c>
      <c r="F1072" s="185">
        <v>41.9</v>
      </c>
      <c r="G1072" s="35">
        <f t="shared" si="12"/>
        <v>125.69999999999999</v>
      </c>
      <c r="K1072" s="430" t="s">
        <v>2051</v>
      </c>
    </row>
    <row r="1073" spans="1:11" x14ac:dyDescent="0.2">
      <c r="A1073" s="364">
        <f t="shared" si="11"/>
        <v>17</v>
      </c>
      <c r="B1073" s="75"/>
      <c r="C1073" s="371" t="s">
        <v>149</v>
      </c>
      <c r="D1073" s="366" t="s">
        <v>2046</v>
      </c>
      <c r="E1073" s="77">
        <v>2</v>
      </c>
      <c r="F1073" s="185">
        <v>41.9</v>
      </c>
      <c r="G1073" s="35">
        <f t="shared" si="12"/>
        <v>83.8</v>
      </c>
      <c r="K1073" s="430" t="s">
        <v>2050</v>
      </c>
    </row>
    <row r="1074" spans="1:11" x14ac:dyDescent="0.2">
      <c r="A1074" s="364">
        <f t="shared" si="11"/>
        <v>18</v>
      </c>
      <c r="B1074" s="75"/>
      <c r="C1074" s="371" t="s">
        <v>149</v>
      </c>
      <c r="D1074" s="366" t="s">
        <v>2045</v>
      </c>
      <c r="E1074" s="77">
        <v>2</v>
      </c>
      <c r="F1074" s="185">
        <v>42.75</v>
      </c>
      <c r="G1074" s="35">
        <f>F1074*E1074</f>
        <v>85.5</v>
      </c>
      <c r="K1074" s="430" t="s">
        <v>2049</v>
      </c>
    </row>
    <row r="1075" spans="1:11" x14ac:dyDescent="0.2">
      <c r="A1075" s="364">
        <f t="shared" si="11"/>
        <v>19</v>
      </c>
      <c r="B1075" s="75"/>
      <c r="C1075" s="371" t="s">
        <v>149</v>
      </c>
      <c r="D1075" s="366" t="s">
        <v>2047</v>
      </c>
      <c r="E1075" s="77">
        <v>2</v>
      </c>
      <c r="F1075" s="185">
        <v>42.75</v>
      </c>
      <c r="G1075" s="35">
        <f t="shared" si="12"/>
        <v>85.5</v>
      </c>
      <c r="K1075" s="430" t="s">
        <v>2048</v>
      </c>
    </row>
    <row r="1076" spans="1:11" x14ac:dyDescent="0.2">
      <c r="A1076" s="364">
        <f t="shared" si="11"/>
        <v>20</v>
      </c>
      <c r="B1076" s="75"/>
      <c r="C1076" s="371" t="s">
        <v>149</v>
      </c>
      <c r="D1076" s="366" t="s">
        <v>2054</v>
      </c>
      <c r="E1076" s="84">
        <v>2</v>
      </c>
      <c r="F1076" s="163">
        <v>39.75</v>
      </c>
      <c r="G1076" s="35">
        <f t="shared" si="12"/>
        <v>79.5</v>
      </c>
      <c r="K1076" s="430" t="s">
        <v>2053</v>
      </c>
    </row>
    <row r="1077" spans="1:11" x14ac:dyDescent="0.2">
      <c r="A1077" s="364">
        <f t="shared" si="11"/>
        <v>21</v>
      </c>
      <c r="B1077" s="75"/>
      <c r="C1077" s="371" t="s">
        <v>149</v>
      </c>
      <c r="D1077" s="366" t="s">
        <v>2058</v>
      </c>
      <c r="E1077" s="84">
        <v>1</v>
      </c>
      <c r="F1077" s="163">
        <v>42.75</v>
      </c>
      <c r="G1077" s="35">
        <f t="shared" si="12"/>
        <v>42.75</v>
      </c>
    </row>
    <row r="1078" spans="1:11" x14ac:dyDescent="0.2">
      <c r="A1078" s="364">
        <f t="shared" si="11"/>
        <v>22</v>
      </c>
      <c r="B1078" s="75"/>
      <c r="C1078" s="371" t="s">
        <v>149</v>
      </c>
      <c r="D1078" s="366" t="s">
        <v>2055</v>
      </c>
      <c r="E1078" s="84">
        <v>1</v>
      </c>
      <c r="F1078" s="163">
        <v>133</v>
      </c>
      <c r="G1078" s="35">
        <f t="shared" si="12"/>
        <v>133</v>
      </c>
    </row>
    <row r="1079" spans="1:11" x14ac:dyDescent="0.2">
      <c r="A1079" s="29">
        <f>A1078+1</f>
        <v>23</v>
      </c>
      <c r="B1079" s="75"/>
      <c r="C1079" s="371" t="s">
        <v>149</v>
      </c>
      <c r="D1079" s="454" t="s">
        <v>2056</v>
      </c>
      <c r="E1079" s="84">
        <v>1</v>
      </c>
      <c r="F1079" s="163">
        <v>91.5</v>
      </c>
      <c r="G1079" s="35">
        <f t="shared" si="12"/>
        <v>91.5</v>
      </c>
    </row>
    <row r="1080" spans="1:11" x14ac:dyDescent="0.2">
      <c r="A1080" s="29">
        <f t="shared" ref="A1080:A1084" si="13">A1079+1</f>
        <v>24</v>
      </c>
      <c r="B1080" s="75"/>
      <c r="C1080" s="371" t="s">
        <v>149</v>
      </c>
      <c r="D1080" s="454" t="s">
        <v>1461</v>
      </c>
      <c r="E1080" s="84">
        <v>1</v>
      </c>
      <c r="F1080" s="163">
        <v>112.5</v>
      </c>
      <c r="G1080" s="35">
        <f>F1080*E1080</f>
        <v>112.5</v>
      </c>
    </row>
    <row r="1081" spans="1:11" x14ac:dyDescent="0.2">
      <c r="A1081" s="29">
        <f t="shared" si="13"/>
        <v>25</v>
      </c>
      <c r="B1081" s="75"/>
      <c r="C1081" s="371" t="s">
        <v>177</v>
      </c>
      <c r="D1081" s="454" t="s">
        <v>1463</v>
      </c>
      <c r="E1081" s="84">
        <v>1</v>
      </c>
      <c r="F1081" s="163">
        <v>67.5</v>
      </c>
      <c r="G1081" s="35">
        <f t="shared" ref="G1081:G1084" si="14">F1081*E1081</f>
        <v>67.5</v>
      </c>
    </row>
    <row r="1082" spans="1:11" x14ac:dyDescent="0.2">
      <c r="A1082" s="29">
        <f t="shared" si="13"/>
        <v>26</v>
      </c>
      <c r="B1082" s="75"/>
      <c r="C1082" s="371" t="s">
        <v>149</v>
      </c>
      <c r="D1082" s="454" t="s">
        <v>2057</v>
      </c>
      <c r="E1082" s="84">
        <v>4</v>
      </c>
      <c r="F1082" s="163">
        <v>58.8</v>
      </c>
      <c r="G1082" s="35">
        <f t="shared" si="14"/>
        <v>235.2</v>
      </c>
      <c r="K1082" s="2">
        <f>1650/3</f>
        <v>550</v>
      </c>
    </row>
    <row r="1083" spans="1:11" x14ac:dyDescent="0.2">
      <c r="A1083" s="29">
        <f t="shared" si="13"/>
        <v>27</v>
      </c>
      <c r="B1083" s="75"/>
      <c r="C1083" s="371" t="s">
        <v>149</v>
      </c>
      <c r="D1083" s="454" t="s">
        <v>168</v>
      </c>
      <c r="E1083" s="84">
        <v>3</v>
      </c>
      <c r="F1083" s="163">
        <v>550</v>
      </c>
      <c r="G1083" s="35">
        <f t="shared" si="14"/>
        <v>1650</v>
      </c>
    </row>
    <row r="1084" spans="1:11" x14ac:dyDescent="0.2">
      <c r="A1084" s="29">
        <f t="shared" si="13"/>
        <v>28</v>
      </c>
      <c r="B1084" s="75"/>
      <c r="C1084" s="371" t="s">
        <v>2008</v>
      </c>
      <c r="D1084" s="454" t="s">
        <v>2006</v>
      </c>
      <c r="E1084" s="84">
        <v>1</v>
      </c>
      <c r="F1084" s="163">
        <v>1380</v>
      </c>
      <c r="G1084" s="35">
        <f t="shared" si="14"/>
        <v>1380</v>
      </c>
    </row>
    <row r="1085" spans="1:11" x14ac:dyDescent="0.2">
      <c r="A1085" s="29"/>
      <c r="B1085" s="75"/>
      <c r="C1085" s="371"/>
      <c r="D1085" s="454"/>
      <c r="E1085" s="84"/>
      <c r="F1085" s="163"/>
      <c r="G1085" s="35"/>
    </row>
    <row r="1086" spans="1:11" x14ac:dyDescent="0.2">
      <c r="A1086" s="29"/>
      <c r="B1086" s="75"/>
      <c r="C1086" s="371"/>
      <c r="D1086" s="454"/>
      <c r="E1086" s="84"/>
      <c r="F1086" s="163"/>
      <c r="G1086" s="35"/>
      <c r="K1086" s="430" t="s">
        <v>8</v>
      </c>
    </row>
    <row r="1087" spans="1:11" x14ac:dyDescent="0.2">
      <c r="A1087" s="29"/>
      <c r="B1087" s="75"/>
      <c r="C1087" s="371"/>
      <c r="D1087" s="454"/>
      <c r="E1087" s="84"/>
      <c r="F1087" s="163"/>
      <c r="G1087" s="35"/>
    </row>
    <row r="1088" spans="1:11" x14ac:dyDescent="0.2">
      <c r="A1088" s="29"/>
      <c r="B1088" s="75"/>
      <c r="C1088" s="371"/>
      <c r="D1088" s="454"/>
      <c r="E1088" s="84"/>
      <c r="F1088" s="172"/>
      <c r="G1088" s="35"/>
    </row>
    <row r="1089" spans="1:7" x14ac:dyDescent="0.2">
      <c r="A1089" s="29"/>
      <c r="B1089" s="75"/>
      <c r="C1089" s="371"/>
      <c r="D1089" s="454"/>
      <c r="E1089" s="84"/>
      <c r="F1089" s="173"/>
      <c r="G1089" s="35"/>
    </row>
    <row r="1090" spans="1:7" x14ac:dyDescent="0.2">
      <c r="A1090" s="29"/>
      <c r="B1090" s="75"/>
      <c r="C1090" s="371"/>
      <c r="D1090" s="454"/>
      <c r="E1090" s="84"/>
      <c r="F1090" s="173"/>
      <c r="G1090" s="35"/>
    </row>
    <row r="1091" spans="1:7" ht="13.5" thickBot="1" x14ac:dyDescent="0.25">
      <c r="A1091" s="45"/>
      <c r="B1091" s="188"/>
      <c r="C1091" s="47" t="s">
        <v>8</v>
      </c>
      <c r="D1091" s="66" t="s">
        <v>8</v>
      </c>
      <c r="E1091" s="188"/>
      <c r="F1091" s="49" t="s">
        <v>15</v>
      </c>
      <c r="G1091" s="50">
        <f>SUM(G1057:G1090)</f>
        <v>7118.5</v>
      </c>
    </row>
    <row r="1092" spans="1:7" ht="13.5" thickTop="1" x14ac:dyDescent="0.2">
      <c r="A1092" s="963" t="s">
        <v>2036</v>
      </c>
      <c r="B1092" s="964"/>
      <c r="C1092" s="964"/>
      <c r="D1092" s="964"/>
      <c r="E1092" s="964"/>
      <c r="F1092" s="964"/>
      <c r="G1092" s="965"/>
    </row>
    <row r="1093" spans="1:7" ht="13.5" thickBot="1" x14ac:dyDescent="0.25">
      <c r="A1093" s="378"/>
      <c r="B1093" s="374"/>
      <c r="C1093" s="374" t="s">
        <v>8</v>
      </c>
      <c r="D1093" s="379"/>
      <c r="E1093" s="374"/>
      <c r="F1093" s="380"/>
      <c r="G1093" s="381"/>
    </row>
    <row r="1094" spans="1:7" ht="13.5" thickTop="1" x14ac:dyDescent="0.2">
      <c r="A1094" s="906" t="s">
        <v>8</v>
      </c>
      <c r="B1094" s="907"/>
      <c r="C1094" s="907"/>
      <c r="D1094" s="57" t="s">
        <v>11</v>
      </c>
      <c r="E1094" s="908" t="s">
        <v>12</v>
      </c>
      <c r="F1094" s="908"/>
      <c r="G1094" s="909"/>
    </row>
    <row r="1095" spans="1:7" x14ac:dyDescent="0.2">
      <c r="A1095" s="966" t="s">
        <v>17</v>
      </c>
      <c r="B1095" s="967"/>
      <c r="C1095" s="968"/>
      <c r="D1095" s="39"/>
      <c r="E1095" s="912"/>
      <c r="F1095" s="913"/>
      <c r="G1095" s="914"/>
    </row>
    <row r="1096" spans="1:7" x14ac:dyDescent="0.2">
      <c r="A1096" s="966" t="s">
        <v>38</v>
      </c>
      <c r="B1096" s="967"/>
      <c r="C1096" s="968"/>
      <c r="D1096" s="58" t="s">
        <v>308</v>
      </c>
      <c r="E1096" s="969" t="s">
        <v>142</v>
      </c>
      <c r="F1096" s="868"/>
      <c r="G1096" s="869"/>
    </row>
    <row r="1097" spans="1:7" ht="13.5" thickBot="1" x14ac:dyDescent="0.25">
      <c r="A1097" s="970" t="s">
        <v>39</v>
      </c>
      <c r="B1097" s="971"/>
      <c r="C1097" s="972"/>
      <c r="D1097" s="375" t="s">
        <v>1038</v>
      </c>
      <c r="E1097" s="904" t="s">
        <v>0</v>
      </c>
      <c r="F1097" s="904"/>
      <c r="G1097" s="905"/>
    </row>
    <row r="1098" spans="1:7" ht="16.5" x14ac:dyDescent="0.25">
      <c r="A1098" s="885" t="s">
        <v>29</v>
      </c>
      <c r="B1098" s="886"/>
      <c r="C1098" s="886"/>
      <c r="D1098" s="886"/>
      <c r="E1098" s="886"/>
      <c r="F1098" s="886"/>
      <c r="G1098" s="887"/>
    </row>
    <row r="1099" spans="1:7" x14ac:dyDescent="0.2">
      <c r="A1099" s="888" t="s">
        <v>48</v>
      </c>
      <c r="B1099" s="889"/>
      <c r="C1099" s="889"/>
      <c r="D1099" s="889"/>
      <c r="E1099" s="889"/>
      <c r="F1099" s="889"/>
      <c r="G1099" s="890"/>
    </row>
    <row r="1100" spans="1:7" x14ac:dyDescent="0.2">
      <c r="A1100" s="891" t="s">
        <v>49</v>
      </c>
      <c r="B1100" s="892"/>
      <c r="C1100" s="892"/>
      <c r="D1100" s="892"/>
      <c r="E1100" s="892"/>
      <c r="F1100" s="892"/>
      <c r="G1100" s="893"/>
    </row>
    <row r="1101" spans="1:7" x14ac:dyDescent="0.2">
      <c r="A1101" s="387"/>
      <c r="B1101" s="592"/>
      <c r="C1101" s="389"/>
      <c r="D1101" s="390"/>
      <c r="E1101" s="388"/>
      <c r="F1101" s="391"/>
      <c r="G1101" s="392" t="s">
        <v>8</v>
      </c>
    </row>
    <row r="1102" spans="1:7" x14ac:dyDescent="0.2">
      <c r="A1102" s="393" t="s">
        <v>1</v>
      </c>
      <c r="B1102" s="394"/>
      <c r="C1102" s="14" t="s">
        <v>5</v>
      </c>
      <c r="D1102" s="394"/>
      <c r="E1102" s="241" t="s">
        <v>2098</v>
      </c>
      <c r="F1102" s="593"/>
      <c r="G1102" s="242" t="s">
        <v>2087</v>
      </c>
    </row>
    <row r="1103" spans="1:7" x14ac:dyDescent="0.2">
      <c r="A1103" s="361" t="s">
        <v>8</v>
      </c>
      <c r="B1103" s="594"/>
      <c r="C1103" s="19"/>
      <c r="D1103" s="386"/>
      <c r="E1103" s="894"/>
      <c r="F1103" s="895"/>
      <c r="G1103" s="397"/>
    </row>
    <row r="1104" spans="1:7" x14ac:dyDescent="0.2">
      <c r="A1104" s="373" t="s">
        <v>37</v>
      </c>
      <c r="B1104" s="377"/>
      <c r="C1104" s="377"/>
      <c r="D1104" s="377"/>
      <c r="E1104" s="398" t="s">
        <v>46</v>
      </c>
      <c r="F1104" s="399"/>
      <c r="G1104" s="397" t="s">
        <v>50</v>
      </c>
    </row>
    <row r="1105" spans="1:17" x14ac:dyDescent="0.2">
      <c r="A1105" s="387"/>
      <c r="B1105" s="592"/>
      <c r="C1105" s="389"/>
      <c r="D1105" s="389"/>
      <c r="E1105" s="896"/>
      <c r="F1105" s="897"/>
      <c r="G1105" s="400"/>
    </row>
    <row r="1106" spans="1:17" ht="26.25" thickBot="1" x14ac:dyDescent="0.25">
      <c r="A1106" s="26" t="s">
        <v>47</v>
      </c>
      <c r="B1106" s="180" t="s">
        <v>23</v>
      </c>
      <c r="C1106" s="28" t="s">
        <v>34</v>
      </c>
      <c r="D1106" s="110" t="s">
        <v>53</v>
      </c>
      <c r="E1106" s="181" t="s">
        <v>54</v>
      </c>
      <c r="F1106" s="111" t="s">
        <v>55</v>
      </c>
      <c r="G1106" s="112" t="s">
        <v>35</v>
      </c>
    </row>
    <row r="1107" spans="1:17" ht="13.5" thickTop="1" x14ac:dyDescent="0.2">
      <c r="A1107" s="364">
        <v>1</v>
      </c>
      <c r="B1107" s="595"/>
      <c r="C1107" s="365" t="s">
        <v>149</v>
      </c>
      <c r="D1107" s="366" t="s">
        <v>328</v>
      </c>
      <c r="E1107" s="596">
        <v>500</v>
      </c>
      <c r="F1107" s="456">
        <v>200</v>
      </c>
      <c r="G1107" s="372">
        <f>F1107*E1107</f>
        <v>100000</v>
      </c>
    </row>
    <row r="1108" spans="1:17" x14ac:dyDescent="0.2">
      <c r="A1108" s="364"/>
      <c r="B1108" s="595"/>
      <c r="C1108" s="365"/>
      <c r="D1108" s="458" t="s">
        <v>2082</v>
      </c>
      <c r="E1108" s="596"/>
      <c r="F1108" s="456"/>
      <c r="G1108" s="372"/>
    </row>
    <row r="1109" spans="1:17" x14ac:dyDescent="0.2">
      <c r="A1109" s="364"/>
      <c r="B1109" s="595"/>
      <c r="C1109" s="365"/>
      <c r="D1109" s="458" t="s">
        <v>2083</v>
      </c>
      <c r="E1109" s="596"/>
      <c r="F1109" s="456"/>
      <c r="G1109" s="372"/>
    </row>
    <row r="1110" spans="1:17" x14ac:dyDescent="0.2">
      <c r="A1110" s="364"/>
      <c r="B1110" s="595"/>
      <c r="C1110" s="245"/>
      <c r="D1110" s="458" t="s">
        <v>342</v>
      </c>
      <c r="E1110" s="457"/>
      <c r="F1110" s="456"/>
      <c r="G1110" s="372"/>
    </row>
    <row r="1111" spans="1:17" x14ac:dyDescent="0.2">
      <c r="A1111" s="364"/>
      <c r="B1111" s="595"/>
      <c r="C1111" s="268"/>
      <c r="D1111" s="458"/>
      <c r="E1111" s="457"/>
      <c r="F1111" s="456"/>
      <c r="G1111" s="372"/>
    </row>
    <row r="1112" spans="1:17" x14ac:dyDescent="0.2">
      <c r="A1112" s="364">
        <v>2</v>
      </c>
      <c r="B1112" s="595"/>
      <c r="C1112" s="365" t="s">
        <v>149</v>
      </c>
      <c r="D1112" s="366" t="s">
        <v>329</v>
      </c>
      <c r="E1112" s="596">
        <v>1000</v>
      </c>
      <c r="F1112" s="456">
        <v>250</v>
      </c>
      <c r="G1112" s="372">
        <f>F1112*E1112</f>
        <v>250000</v>
      </c>
      <c r="K1112" s="364">
        <v>2</v>
      </c>
      <c r="L1112" s="595"/>
      <c r="M1112" s="365" t="s">
        <v>242</v>
      </c>
      <c r="N1112" s="366" t="s">
        <v>2084</v>
      </c>
      <c r="O1112" s="596">
        <v>5520</v>
      </c>
      <c r="P1112" s="456">
        <v>750</v>
      </c>
      <c r="Q1112" s="372">
        <f>P1112*O1112</f>
        <v>4140000</v>
      </c>
    </row>
    <row r="1113" spans="1:17" x14ac:dyDescent="0.2">
      <c r="A1113" s="364"/>
      <c r="B1113" s="595"/>
      <c r="C1113" s="371"/>
      <c r="D1113" s="458" t="s">
        <v>2082</v>
      </c>
      <c r="E1113" s="539"/>
      <c r="F1113" s="587"/>
      <c r="G1113" s="372"/>
      <c r="K1113" s="364"/>
      <c r="L1113" s="595"/>
      <c r="M1113" s="371"/>
      <c r="N1113" s="597" t="s">
        <v>333</v>
      </c>
      <c r="O1113" s="539"/>
      <c r="P1113" s="587"/>
      <c r="Q1113" s="372"/>
    </row>
    <row r="1114" spans="1:17" x14ac:dyDescent="0.2">
      <c r="A1114" s="364"/>
      <c r="B1114" s="595"/>
      <c r="C1114" s="422"/>
      <c r="D1114" s="458" t="s">
        <v>2083</v>
      </c>
      <c r="E1114" s="457"/>
      <c r="F1114" s="456"/>
      <c r="G1114" s="372"/>
      <c r="K1114" s="364"/>
      <c r="L1114" s="595"/>
      <c r="M1114" s="422"/>
      <c r="N1114" s="366" t="s">
        <v>2085</v>
      </c>
      <c r="O1114" s="457"/>
      <c r="P1114" s="456"/>
      <c r="Q1114" s="372"/>
    </row>
    <row r="1115" spans="1:17" x14ac:dyDescent="0.2">
      <c r="A1115" s="364"/>
      <c r="B1115" s="598"/>
      <c r="C1115" s="371"/>
      <c r="D1115" s="458" t="s">
        <v>342</v>
      </c>
      <c r="E1115" s="457"/>
      <c r="F1115" s="456"/>
      <c r="G1115" s="372"/>
      <c r="K1115" s="364"/>
      <c r="L1115" s="598"/>
      <c r="M1115" s="371"/>
      <c r="N1115" s="599" t="s">
        <v>332</v>
      </c>
      <c r="O1115" s="457"/>
      <c r="P1115" s="456"/>
      <c r="Q1115" s="372"/>
    </row>
    <row r="1116" spans="1:17" x14ac:dyDescent="0.2">
      <c r="A1116" s="364"/>
      <c r="B1116" s="600"/>
      <c r="C1116" s="371"/>
      <c r="D1116" s="366"/>
      <c r="E1116" s="539"/>
      <c r="F1116" s="587"/>
      <c r="G1116" s="372"/>
      <c r="K1116" s="364"/>
      <c r="L1116" s="600"/>
      <c r="M1116" s="371"/>
      <c r="N1116" s="366" t="s">
        <v>342</v>
      </c>
      <c r="O1116" s="539"/>
      <c r="P1116" s="587"/>
      <c r="Q1116" s="372"/>
    </row>
    <row r="1117" spans="1:17" x14ac:dyDescent="0.2">
      <c r="A1117" s="364">
        <v>3</v>
      </c>
      <c r="B1117" s="600"/>
      <c r="C1117" s="365" t="s">
        <v>242</v>
      </c>
      <c r="D1117" s="366" t="s">
        <v>2088</v>
      </c>
      <c r="E1117" s="596">
        <v>1000</v>
      </c>
      <c r="F1117" s="456">
        <v>750</v>
      </c>
      <c r="G1117" s="372">
        <f>F1117*E1117</f>
        <v>750000</v>
      </c>
      <c r="K1117" s="364"/>
      <c r="L1117" s="600"/>
      <c r="M1117" s="365"/>
      <c r="N1117" s="366"/>
      <c r="O1117" s="539"/>
      <c r="P1117" s="587"/>
      <c r="Q1117" s="372"/>
    </row>
    <row r="1118" spans="1:17" x14ac:dyDescent="0.2">
      <c r="A1118" s="364"/>
      <c r="B1118" s="600"/>
      <c r="C1118" s="371"/>
      <c r="D1118" s="597" t="s">
        <v>333</v>
      </c>
      <c r="E1118" s="539"/>
      <c r="F1118" s="587"/>
      <c r="G1118" s="372" t="s">
        <v>8</v>
      </c>
      <c r="K1118" s="364">
        <v>3</v>
      </c>
      <c r="L1118" s="600"/>
      <c r="M1118" s="365" t="s">
        <v>149</v>
      </c>
      <c r="N1118" s="366" t="s">
        <v>331</v>
      </c>
      <c r="O1118" s="601">
        <v>2500</v>
      </c>
      <c r="P1118" s="587">
        <v>350</v>
      </c>
      <c r="Q1118" s="372">
        <f>P1118*O1118</f>
        <v>875000</v>
      </c>
    </row>
    <row r="1119" spans="1:17" x14ac:dyDescent="0.2">
      <c r="A1119" s="364"/>
      <c r="B1119" s="600"/>
      <c r="C1119" s="422"/>
      <c r="D1119" s="366" t="s">
        <v>2085</v>
      </c>
      <c r="E1119" s="457"/>
      <c r="F1119" s="456"/>
      <c r="G1119" s="372"/>
      <c r="K1119" s="364"/>
      <c r="L1119" s="600"/>
      <c r="M1119" s="422"/>
      <c r="N1119" s="366" t="s">
        <v>2086</v>
      </c>
      <c r="O1119" s="457"/>
      <c r="P1119" s="456"/>
      <c r="Q1119" s="372"/>
    </row>
    <row r="1120" spans="1:17" x14ac:dyDescent="0.2">
      <c r="A1120" s="364"/>
      <c r="B1120" s="600"/>
      <c r="C1120" s="371"/>
      <c r="D1120" s="599" t="s">
        <v>332</v>
      </c>
      <c r="E1120" s="457"/>
      <c r="F1120" s="456"/>
      <c r="G1120" s="372"/>
      <c r="K1120" s="364"/>
      <c r="L1120" s="600"/>
      <c r="M1120" s="422"/>
      <c r="N1120" s="366" t="s">
        <v>237</v>
      </c>
      <c r="O1120" s="457"/>
      <c r="P1120" s="456"/>
      <c r="Q1120" s="372"/>
    </row>
    <row r="1121" spans="1:17" x14ac:dyDescent="0.2">
      <c r="A1121" s="364"/>
      <c r="B1121" s="595"/>
      <c r="C1121" s="371"/>
      <c r="D1121" s="366" t="s">
        <v>342</v>
      </c>
      <c r="E1121" s="539"/>
      <c r="F1121" s="587"/>
      <c r="G1121" s="372"/>
      <c r="K1121" s="364"/>
      <c r="L1121" s="595"/>
      <c r="M1121" s="371"/>
      <c r="N1121" s="366" t="s">
        <v>332</v>
      </c>
      <c r="O1121" s="457"/>
      <c r="P1121" s="456"/>
      <c r="Q1121" s="372"/>
    </row>
    <row r="1122" spans="1:17" x14ac:dyDescent="0.2">
      <c r="A1122" s="364"/>
      <c r="B1122" s="595"/>
      <c r="C1122" s="371"/>
      <c r="D1122" s="602"/>
      <c r="E1122" s="457"/>
      <c r="F1122" s="456"/>
      <c r="G1122" s="372"/>
      <c r="K1122" s="364"/>
      <c r="L1122" s="595"/>
      <c r="M1122" s="371"/>
      <c r="N1122" s="602" t="s">
        <v>342</v>
      </c>
      <c r="O1122" s="457"/>
      <c r="P1122" s="456"/>
      <c r="Q1122" s="372"/>
    </row>
    <row r="1123" spans="1:17" x14ac:dyDescent="0.2">
      <c r="A1123" s="364">
        <v>4</v>
      </c>
      <c r="B1123" s="595"/>
      <c r="C1123" s="365" t="s">
        <v>242</v>
      </c>
      <c r="D1123" s="366" t="s">
        <v>2089</v>
      </c>
      <c r="E1123" s="596">
        <v>1500</v>
      </c>
      <c r="F1123" s="456">
        <v>600</v>
      </c>
      <c r="G1123" s="372">
        <f>F1123*E1123</f>
        <v>900000</v>
      </c>
      <c r="K1123" s="364"/>
      <c r="L1123" s="595"/>
      <c r="M1123" s="371"/>
      <c r="N1123" s="366"/>
      <c r="O1123" s="457"/>
      <c r="P1123" s="456"/>
      <c r="Q1123" s="372"/>
    </row>
    <row r="1124" spans="1:17" x14ac:dyDescent="0.2">
      <c r="A1124" s="364"/>
      <c r="B1124" s="595"/>
      <c r="C1124" s="371"/>
      <c r="D1124" s="597" t="s">
        <v>333</v>
      </c>
      <c r="E1124" s="539"/>
      <c r="F1124" s="587"/>
      <c r="G1124" s="372" t="s">
        <v>8</v>
      </c>
      <c r="K1124" s="364">
        <v>4</v>
      </c>
      <c r="L1124" s="595"/>
      <c r="M1124" s="365" t="s">
        <v>149</v>
      </c>
      <c r="N1124" s="366" t="s">
        <v>331</v>
      </c>
      <c r="O1124" s="601">
        <v>2500</v>
      </c>
      <c r="P1124" s="587">
        <v>450</v>
      </c>
      <c r="Q1124" s="372">
        <f>P1124*O1124</f>
        <v>1125000</v>
      </c>
    </row>
    <row r="1125" spans="1:17" x14ac:dyDescent="0.2">
      <c r="A1125" s="364"/>
      <c r="B1125" s="595"/>
      <c r="C1125" s="422"/>
      <c r="D1125" s="366" t="s">
        <v>2085</v>
      </c>
      <c r="E1125" s="457"/>
      <c r="F1125" s="456"/>
      <c r="G1125" s="372"/>
      <c r="K1125" s="364"/>
      <c r="L1125" s="595"/>
      <c r="M1125" s="422"/>
      <c r="N1125" s="366" t="s">
        <v>333</v>
      </c>
      <c r="O1125" s="457"/>
      <c r="P1125" s="456"/>
      <c r="Q1125" s="372"/>
    </row>
    <row r="1126" spans="1:17" x14ac:dyDescent="0.2">
      <c r="A1126" s="364"/>
      <c r="B1126" s="595"/>
      <c r="C1126" s="371"/>
      <c r="D1126" s="599" t="s">
        <v>332</v>
      </c>
      <c r="E1126" s="457"/>
      <c r="F1126" s="456"/>
      <c r="G1126" s="372"/>
      <c r="K1126" s="364"/>
      <c r="L1126" s="595"/>
      <c r="M1126" s="422"/>
      <c r="N1126" s="366" t="s">
        <v>237</v>
      </c>
      <c r="O1126" s="457"/>
      <c r="P1126" s="456"/>
      <c r="Q1126" s="372"/>
    </row>
    <row r="1127" spans="1:17" x14ac:dyDescent="0.2">
      <c r="A1127" s="364"/>
      <c r="B1127" s="595"/>
      <c r="C1127" s="371"/>
      <c r="D1127" s="366" t="s">
        <v>342</v>
      </c>
      <c r="E1127" s="539"/>
      <c r="F1127" s="587"/>
      <c r="G1127" s="372"/>
      <c r="K1127" s="364"/>
      <c r="L1127" s="595"/>
      <c r="M1127" s="371"/>
      <c r="N1127" s="458" t="s">
        <v>332</v>
      </c>
      <c r="O1127" s="596" t="s">
        <v>8</v>
      </c>
      <c r="P1127" s="456"/>
      <c r="Q1127" s="372"/>
    </row>
    <row r="1128" spans="1:17" x14ac:dyDescent="0.2">
      <c r="A1128" s="364"/>
      <c r="B1128" s="595"/>
      <c r="C1128" s="365"/>
      <c r="D1128" s="603"/>
      <c r="E1128" s="604"/>
      <c r="F1128" s="605"/>
      <c r="G1128" s="372"/>
      <c r="K1128" s="364"/>
      <c r="L1128" s="595"/>
      <c r="M1128" s="365"/>
      <c r="N1128" s="603" t="s">
        <v>342</v>
      </c>
      <c r="O1128" s="604"/>
      <c r="P1128" s="605" t="s">
        <v>8</v>
      </c>
      <c r="Q1128" s="372"/>
    </row>
    <row r="1129" spans="1:17" x14ac:dyDescent="0.2">
      <c r="A1129" s="364">
        <v>5</v>
      </c>
      <c r="B1129" s="595"/>
      <c r="C1129" s="365" t="s">
        <v>149</v>
      </c>
      <c r="D1129" s="366" t="s">
        <v>331</v>
      </c>
      <c r="E1129" s="601">
        <v>1500</v>
      </c>
      <c r="F1129" s="587">
        <v>350</v>
      </c>
      <c r="G1129" s="372">
        <f>F1129*E1129</f>
        <v>525000</v>
      </c>
      <c r="K1129" s="364"/>
      <c r="L1129" s="595"/>
      <c r="M1129" s="365"/>
      <c r="N1129" s="603"/>
      <c r="O1129" s="604"/>
      <c r="P1129" s="605"/>
      <c r="Q1129" s="372"/>
    </row>
    <row r="1130" spans="1:17" x14ac:dyDescent="0.2">
      <c r="A1130" s="364"/>
      <c r="B1130" s="595"/>
      <c r="C1130" s="422"/>
      <c r="D1130" s="366" t="s">
        <v>2086</v>
      </c>
      <c r="E1130" s="457"/>
      <c r="F1130" s="456"/>
      <c r="G1130" s="372"/>
    </row>
    <row r="1131" spans="1:17" x14ac:dyDescent="0.2">
      <c r="A1131" s="364"/>
      <c r="B1131" s="595"/>
      <c r="C1131" s="422"/>
      <c r="D1131" s="366" t="s">
        <v>237</v>
      </c>
      <c r="E1131" s="457"/>
      <c r="F1131" s="456"/>
      <c r="G1131" s="372"/>
    </row>
    <row r="1132" spans="1:17" x14ac:dyDescent="0.2">
      <c r="A1132" s="364"/>
      <c r="B1132" s="595"/>
      <c r="C1132" s="371"/>
      <c r="D1132" s="366" t="s">
        <v>332</v>
      </c>
      <c r="E1132" s="457"/>
      <c r="F1132" s="456"/>
      <c r="G1132" s="372"/>
    </row>
    <row r="1133" spans="1:17" x14ac:dyDescent="0.2">
      <c r="A1133" s="364"/>
      <c r="B1133" s="595"/>
      <c r="C1133" s="371"/>
      <c r="D1133" s="602" t="s">
        <v>342</v>
      </c>
      <c r="E1133" s="457"/>
      <c r="F1133" s="456"/>
      <c r="G1133" s="372"/>
    </row>
    <row r="1134" spans="1:17" x14ac:dyDescent="0.2">
      <c r="A1134" s="364"/>
      <c r="B1134" s="595"/>
      <c r="C1134" s="365"/>
      <c r="D1134" s="615"/>
      <c r="E1134" s="457"/>
      <c r="F1134" s="456"/>
      <c r="G1134" s="372"/>
    </row>
    <row r="1135" spans="1:17" x14ac:dyDescent="0.2">
      <c r="A1135" s="364">
        <v>6</v>
      </c>
      <c r="B1135" s="595"/>
      <c r="C1135" s="365" t="s">
        <v>149</v>
      </c>
      <c r="D1135" s="366" t="s">
        <v>331</v>
      </c>
      <c r="E1135" s="601">
        <v>2000</v>
      </c>
      <c r="F1135" s="587">
        <v>450</v>
      </c>
      <c r="G1135" s="372">
        <f>F1135*E1135</f>
        <v>900000</v>
      </c>
      <c r="K1135" s="2">
        <v>100</v>
      </c>
      <c r="L1135" s="211">
        <v>350</v>
      </c>
      <c r="M1135" s="211">
        <f>L1135*K1135</f>
        <v>35000</v>
      </c>
    </row>
    <row r="1136" spans="1:17" x14ac:dyDescent="0.2">
      <c r="A1136" s="364"/>
      <c r="B1136" s="595"/>
      <c r="C1136" s="422"/>
      <c r="D1136" s="366" t="s">
        <v>333</v>
      </c>
      <c r="E1136" s="457"/>
      <c r="F1136" s="456"/>
      <c r="G1136" s="372"/>
      <c r="K1136" s="2">
        <v>100</v>
      </c>
      <c r="L1136" s="211">
        <v>200</v>
      </c>
      <c r="M1136" s="211">
        <f>L1136*K1136</f>
        <v>20000</v>
      </c>
    </row>
    <row r="1137" spans="1:13" x14ac:dyDescent="0.2">
      <c r="A1137" s="364"/>
      <c r="B1137" s="595"/>
      <c r="C1137" s="422"/>
      <c r="D1137" s="366" t="s">
        <v>237</v>
      </c>
      <c r="E1137" s="457"/>
      <c r="F1137" s="456" t="s">
        <v>8</v>
      </c>
      <c r="G1137" s="372"/>
      <c r="M1137" s="212">
        <f>SUM(M1135:M1136)</f>
        <v>55000</v>
      </c>
    </row>
    <row r="1138" spans="1:13" x14ac:dyDescent="0.2">
      <c r="A1138" s="364"/>
      <c r="B1138" s="595"/>
      <c r="C1138" s="371"/>
      <c r="D1138" s="458" t="s">
        <v>332</v>
      </c>
      <c r="E1138" s="596" t="s">
        <v>8</v>
      </c>
      <c r="F1138" s="456"/>
      <c r="G1138" s="372"/>
    </row>
    <row r="1139" spans="1:13" x14ac:dyDescent="0.2">
      <c r="A1139" s="364"/>
      <c r="B1139" s="595"/>
      <c r="C1139" s="365"/>
      <c r="D1139" s="603" t="s">
        <v>342</v>
      </c>
      <c r="E1139" s="604"/>
      <c r="F1139" s="605" t="s">
        <v>8</v>
      </c>
      <c r="G1139" s="372"/>
    </row>
    <row r="1140" spans="1:13" x14ac:dyDescent="0.2">
      <c r="A1140" s="616"/>
      <c r="B1140" s="617"/>
      <c r="C1140" s="618"/>
      <c r="D1140" s="619"/>
      <c r="E1140" s="620"/>
      <c r="F1140" s="456"/>
      <c r="G1140" s="621"/>
    </row>
    <row r="1141" spans="1:13" ht="13.5" thickBot="1" x14ac:dyDescent="0.25">
      <c r="A1141" s="426"/>
      <c r="B1141" s="606"/>
      <c r="C1141" s="607"/>
      <c r="D1141" s="66" t="s">
        <v>8</v>
      </c>
      <c r="E1141" s="606"/>
      <c r="F1141" s="49" t="s">
        <v>15</v>
      </c>
      <c r="G1141" s="50">
        <f>SUM(G1107:G1139)</f>
        <v>3425000</v>
      </c>
    </row>
    <row r="1142" spans="1:13" ht="13.5" thickTop="1" x14ac:dyDescent="0.2">
      <c r="A1142" s="367" t="s">
        <v>2090</v>
      </c>
      <c r="B1142" s="608"/>
      <c r="C1142" s="609"/>
      <c r="D1142" s="610"/>
      <c r="E1142" s="608"/>
      <c r="F1142" s="611"/>
      <c r="G1142" s="612"/>
    </row>
    <row r="1143" spans="1:13" ht="13.5" thickBot="1" x14ac:dyDescent="0.25">
      <c r="A1143" s="589" t="s">
        <v>159</v>
      </c>
      <c r="B1143" s="368"/>
      <c r="C1143" s="368" t="s">
        <v>8</v>
      </c>
      <c r="D1143" s="368"/>
      <c r="E1143" s="613"/>
      <c r="F1143" s="614"/>
      <c r="G1143" s="590"/>
    </row>
    <row r="1144" spans="1:13" ht="13.5" thickTop="1" x14ac:dyDescent="0.2">
      <c r="A1144" s="878" t="s">
        <v>8</v>
      </c>
      <c r="B1144" s="879"/>
      <c r="C1144" s="879"/>
      <c r="D1144" s="433" t="s">
        <v>11</v>
      </c>
      <c r="E1144" s="880" t="s">
        <v>12</v>
      </c>
      <c r="F1144" s="880"/>
      <c r="G1144" s="881"/>
    </row>
    <row r="1145" spans="1:13" x14ac:dyDescent="0.2">
      <c r="A1145" s="973" t="s">
        <v>17</v>
      </c>
      <c r="B1145" s="974"/>
      <c r="C1145" s="975"/>
      <c r="D1145" s="434"/>
      <c r="E1145" s="882"/>
      <c r="F1145" s="883"/>
      <c r="G1145" s="884"/>
    </row>
    <row r="1146" spans="1:13" x14ac:dyDescent="0.2">
      <c r="A1146" s="973" t="s">
        <v>38</v>
      </c>
      <c r="B1146" s="974"/>
      <c r="C1146" s="975"/>
      <c r="D1146" s="58" t="s">
        <v>308</v>
      </c>
      <c r="E1146" s="969" t="s">
        <v>142</v>
      </c>
      <c r="F1146" s="868"/>
      <c r="G1146" s="869"/>
    </row>
    <row r="1147" spans="1:13" ht="13.5" thickBot="1" x14ac:dyDescent="0.25">
      <c r="A1147" s="976" t="s">
        <v>39</v>
      </c>
      <c r="B1147" s="977"/>
      <c r="C1147" s="978"/>
      <c r="D1147" s="375" t="s">
        <v>1038</v>
      </c>
      <c r="E1147" s="873" t="s">
        <v>0</v>
      </c>
      <c r="F1147" s="873"/>
      <c r="G1147" s="874"/>
    </row>
    <row r="1148" spans="1:13" ht="16.5" x14ac:dyDescent="0.25">
      <c r="A1148" s="885" t="s">
        <v>29</v>
      </c>
      <c r="B1148" s="886"/>
      <c r="C1148" s="886"/>
      <c r="D1148" s="886"/>
      <c r="E1148" s="886"/>
      <c r="F1148" s="886"/>
      <c r="G1148" s="887"/>
    </row>
    <row r="1149" spans="1:13" x14ac:dyDescent="0.2">
      <c r="A1149" s="888" t="s">
        <v>48</v>
      </c>
      <c r="B1149" s="889"/>
      <c r="C1149" s="889"/>
      <c r="D1149" s="889"/>
      <c r="E1149" s="889"/>
      <c r="F1149" s="889"/>
      <c r="G1149" s="890"/>
    </row>
    <row r="1150" spans="1:13" x14ac:dyDescent="0.2">
      <c r="A1150" s="891" t="s">
        <v>49</v>
      </c>
      <c r="B1150" s="892"/>
      <c r="C1150" s="892"/>
      <c r="D1150" s="892"/>
      <c r="E1150" s="892"/>
      <c r="F1150" s="892"/>
      <c r="G1150" s="893"/>
    </row>
    <row r="1151" spans="1:13" x14ac:dyDescent="0.2">
      <c r="A1151" s="387"/>
      <c r="B1151" s="592"/>
      <c r="C1151" s="389"/>
      <c r="D1151" s="390"/>
      <c r="E1151" s="388"/>
      <c r="F1151" s="391"/>
      <c r="G1151" s="392" t="s">
        <v>8</v>
      </c>
    </row>
    <row r="1152" spans="1:13" x14ac:dyDescent="0.2">
      <c r="A1152" s="393" t="s">
        <v>1</v>
      </c>
      <c r="B1152" s="394"/>
      <c r="C1152" s="14" t="s">
        <v>5</v>
      </c>
      <c r="D1152" s="394"/>
      <c r="E1152" s="241" t="s">
        <v>2099</v>
      </c>
      <c r="F1152" s="593"/>
      <c r="G1152" s="242" t="s">
        <v>2087</v>
      </c>
    </row>
    <row r="1153" spans="1:7" x14ac:dyDescent="0.2">
      <c r="A1153" s="361" t="s">
        <v>8</v>
      </c>
      <c r="B1153" s="594"/>
      <c r="C1153" s="19"/>
      <c r="D1153" s="386"/>
      <c r="E1153" s="894"/>
      <c r="F1153" s="895"/>
      <c r="G1153" s="397"/>
    </row>
    <row r="1154" spans="1:7" x14ac:dyDescent="0.2">
      <c r="A1154" s="373" t="s">
        <v>37</v>
      </c>
      <c r="B1154" s="377"/>
      <c r="C1154" s="377"/>
      <c r="D1154" s="377"/>
      <c r="E1154" s="398" t="s">
        <v>46</v>
      </c>
      <c r="F1154" s="399"/>
      <c r="G1154" s="397" t="s">
        <v>50</v>
      </c>
    </row>
    <row r="1155" spans="1:7" x14ac:dyDescent="0.2">
      <c r="A1155" s="387"/>
      <c r="B1155" s="592"/>
      <c r="C1155" s="389"/>
      <c r="D1155" s="389"/>
      <c r="E1155" s="896"/>
      <c r="F1155" s="897"/>
      <c r="G1155" s="400"/>
    </row>
    <row r="1156" spans="1:7" ht="26.25" thickBot="1" x14ac:dyDescent="0.25">
      <c r="A1156" s="26" t="s">
        <v>47</v>
      </c>
      <c r="B1156" s="180" t="s">
        <v>23</v>
      </c>
      <c r="C1156" s="28" t="s">
        <v>34</v>
      </c>
      <c r="D1156" s="110" t="s">
        <v>53</v>
      </c>
      <c r="E1156" s="181" t="s">
        <v>54</v>
      </c>
      <c r="F1156" s="111" t="s">
        <v>55</v>
      </c>
      <c r="G1156" s="112" t="s">
        <v>35</v>
      </c>
    </row>
    <row r="1157" spans="1:7" ht="13.5" thickTop="1" x14ac:dyDescent="0.2">
      <c r="A1157" s="364">
        <v>1</v>
      </c>
      <c r="B1157" s="595"/>
      <c r="C1157" s="365" t="s">
        <v>242</v>
      </c>
      <c r="D1157" s="366" t="s">
        <v>2402</v>
      </c>
      <c r="E1157" s="596">
        <v>150</v>
      </c>
      <c r="F1157" s="456">
        <v>600</v>
      </c>
      <c r="G1157" s="372">
        <f>F1157*E1157</f>
        <v>90000</v>
      </c>
    </row>
    <row r="1158" spans="1:7" x14ac:dyDescent="0.2">
      <c r="A1158" s="364" t="s">
        <v>8</v>
      </c>
      <c r="B1158" s="595"/>
      <c r="C1158" s="365"/>
      <c r="D1158" s="458" t="s">
        <v>1191</v>
      </c>
      <c r="E1158" s="596"/>
      <c r="F1158" s="456"/>
      <c r="G1158" s="372" t="s">
        <v>8</v>
      </c>
    </row>
    <row r="1159" spans="1:7" x14ac:dyDescent="0.2">
      <c r="A1159" s="364"/>
      <c r="B1159" s="595"/>
      <c r="C1159" s="365"/>
      <c r="D1159" s="458" t="s">
        <v>2401</v>
      </c>
      <c r="E1159" s="596"/>
      <c r="F1159" s="456"/>
      <c r="G1159" s="372"/>
    </row>
    <row r="1160" spans="1:7" x14ac:dyDescent="0.2">
      <c r="A1160" s="364">
        <v>2</v>
      </c>
      <c r="B1160" s="595"/>
      <c r="C1160" s="365" t="s">
        <v>242</v>
      </c>
      <c r="D1160" s="458" t="s">
        <v>2226</v>
      </c>
      <c r="E1160" s="596">
        <v>150</v>
      </c>
      <c r="F1160" s="456">
        <v>200</v>
      </c>
      <c r="G1160" s="372">
        <f>F1160*E1160</f>
        <v>30000</v>
      </c>
    </row>
    <row r="1161" spans="1:7" x14ac:dyDescent="0.2">
      <c r="A1161" s="364"/>
      <c r="B1161" s="595"/>
      <c r="C1161" s="245"/>
      <c r="D1161" s="458"/>
      <c r="E1161" s="457"/>
      <c r="F1161" s="456"/>
      <c r="G1161" s="372"/>
    </row>
    <row r="1162" spans="1:7" x14ac:dyDescent="0.2">
      <c r="A1162" s="364"/>
      <c r="B1162" s="595"/>
      <c r="C1162" s="268"/>
      <c r="D1162" s="458"/>
      <c r="E1162" s="457"/>
      <c r="F1162" s="456"/>
      <c r="G1162" s="372"/>
    </row>
    <row r="1163" spans="1:7" x14ac:dyDescent="0.2">
      <c r="A1163" s="364"/>
      <c r="B1163" s="595"/>
      <c r="C1163" s="365"/>
      <c r="D1163" s="366"/>
      <c r="E1163" s="596"/>
      <c r="F1163" s="456"/>
      <c r="G1163" s="372"/>
    </row>
    <row r="1164" spans="1:7" x14ac:dyDescent="0.2">
      <c r="A1164" s="364"/>
      <c r="B1164" s="595"/>
      <c r="C1164" s="371"/>
      <c r="D1164" s="458"/>
      <c r="E1164" s="539"/>
      <c r="F1164" s="587"/>
      <c r="G1164" s="372"/>
    </row>
    <row r="1165" spans="1:7" x14ac:dyDescent="0.2">
      <c r="A1165" s="364"/>
      <c r="B1165" s="595"/>
      <c r="C1165" s="422"/>
      <c r="D1165" s="458"/>
      <c r="E1165" s="457"/>
      <c r="F1165" s="456"/>
      <c r="G1165" s="372"/>
    </row>
    <row r="1166" spans="1:7" x14ac:dyDescent="0.2">
      <c r="A1166" s="364"/>
      <c r="B1166" s="598"/>
      <c r="C1166" s="371"/>
      <c r="D1166" s="458"/>
      <c r="E1166" s="457"/>
      <c r="F1166" s="456"/>
      <c r="G1166" s="372"/>
    </row>
    <row r="1167" spans="1:7" x14ac:dyDescent="0.2">
      <c r="A1167" s="364"/>
      <c r="B1167" s="600"/>
      <c r="C1167" s="365"/>
      <c r="D1167" s="366"/>
      <c r="E1167" s="596"/>
      <c r="F1167" s="456"/>
      <c r="G1167" s="372"/>
    </row>
    <row r="1168" spans="1:7" x14ac:dyDescent="0.2">
      <c r="A1168" s="364"/>
      <c r="B1168" s="600"/>
      <c r="C1168" s="371"/>
      <c r="D1168" s="597"/>
      <c r="E1168" s="539"/>
      <c r="F1168" s="587"/>
      <c r="G1168" s="372"/>
    </row>
    <row r="1169" spans="1:7" x14ac:dyDescent="0.2">
      <c r="A1169" s="364"/>
      <c r="B1169" s="600"/>
      <c r="C1169" s="422"/>
      <c r="D1169" s="366"/>
      <c r="E1169" s="457"/>
      <c r="F1169" s="456"/>
      <c r="G1169" s="372"/>
    </row>
    <row r="1170" spans="1:7" x14ac:dyDescent="0.2">
      <c r="A1170" s="364"/>
      <c r="B1170" s="600"/>
      <c r="C1170" s="371"/>
      <c r="D1170" s="599"/>
      <c r="E1170" s="457"/>
      <c r="F1170" s="456"/>
      <c r="G1170" s="372"/>
    </row>
    <row r="1171" spans="1:7" x14ac:dyDescent="0.2">
      <c r="A1171" s="364"/>
      <c r="B1171" s="595"/>
      <c r="C1171" s="371"/>
      <c r="D1171" s="366"/>
      <c r="E1171" s="539"/>
      <c r="F1171" s="587"/>
      <c r="G1171" s="372"/>
    </row>
    <row r="1172" spans="1:7" x14ac:dyDescent="0.2">
      <c r="A1172" s="364"/>
      <c r="B1172" s="595"/>
      <c r="C1172" s="371"/>
      <c r="D1172" s="602"/>
      <c r="E1172" s="457"/>
      <c r="F1172" s="456"/>
      <c r="G1172" s="372"/>
    </row>
    <row r="1173" spans="1:7" x14ac:dyDescent="0.2">
      <c r="A1173" s="364"/>
      <c r="B1173" s="595"/>
      <c r="C1173" s="365"/>
      <c r="D1173" s="366"/>
      <c r="E1173" s="596"/>
      <c r="F1173" s="456"/>
      <c r="G1173" s="372"/>
    </row>
    <row r="1174" spans="1:7" x14ac:dyDescent="0.2">
      <c r="A1174" s="364"/>
      <c r="B1174" s="595"/>
      <c r="C1174" s="371"/>
      <c r="D1174" s="597"/>
      <c r="E1174" s="539"/>
      <c r="F1174" s="587"/>
      <c r="G1174" s="372"/>
    </row>
    <row r="1175" spans="1:7" x14ac:dyDescent="0.2">
      <c r="A1175" s="364"/>
      <c r="B1175" s="595"/>
      <c r="C1175" s="422"/>
      <c r="D1175" s="366"/>
      <c r="E1175" s="457"/>
      <c r="F1175" s="456"/>
      <c r="G1175" s="372"/>
    </row>
    <row r="1176" spans="1:7" x14ac:dyDescent="0.2">
      <c r="A1176" s="364"/>
      <c r="B1176" s="595"/>
      <c r="C1176" s="371"/>
      <c r="D1176" s="599"/>
      <c r="E1176" s="457"/>
      <c r="F1176" s="456"/>
      <c r="G1176" s="372"/>
    </row>
    <row r="1177" spans="1:7" x14ac:dyDescent="0.2">
      <c r="A1177" s="364"/>
      <c r="B1177" s="595"/>
      <c r="C1177" s="371"/>
      <c r="D1177" s="366"/>
      <c r="E1177" s="539"/>
      <c r="F1177" s="587"/>
      <c r="G1177" s="372"/>
    </row>
    <row r="1178" spans="1:7" x14ac:dyDescent="0.2">
      <c r="A1178" s="364"/>
      <c r="B1178" s="595"/>
      <c r="C1178" s="365"/>
      <c r="D1178" s="603"/>
      <c r="E1178" s="604"/>
      <c r="F1178" s="605"/>
      <c r="G1178" s="372"/>
    </row>
    <row r="1179" spans="1:7" x14ac:dyDescent="0.2">
      <c r="A1179" s="364"/>
      <c r="B1179" s="595"/>
      <c r="C1179" s="365"/>
      <c r="D1179" s="366"/>
      <c r="E1179" s="601"/>
      <c r="F1179" s="587"/>
      <c r="G1179" s="372"/>
    </row>
    <row r="1180" spans="1:7" x14ac:dyDescent="0.2">
      <c r="A1180" s="364"/>
      <c r="B1180" s="595"/>
      <c r="C1180" s="422"/>
      <c r="D1180" s="366"/>
      <c r="E1180" s="457"/>
      <c r="F1180" s="456"/>
      <c r="G1180" s="372"/>
    </row>
    <row r="1181" spans="1:7" x14ac:dyDescent="0.2">
      <c r="A1181" s="364"/>
      <c r="B1181" s="595"/>
      <c r="C1181" s="422"/>
      <c r="D1181" s="366"/>
      <c r="E1181" s="457"/>
      <c r="F1181" s="456"/>
      <c r="G1181" s="372"/>
    </row>
    <row r="1182" spans="1:7" x14ac:dyDescent="0.2">
      <c r="A1182" s="364"/>
      <c r="B1182" s="595"/>
      <c r="C1182" s="371"/>
      <c r="D1182" s="366"/>
      <c r="E1182" s="457"/>
      <c r="F1182" s="456"/>
      <c r="G1182" s="372"/>
    </row>
    <row r="1183" spans="1:7" x14ac:dyDescent="0.2">
      <c r="A1183" s="364"/>
      <c r="B1183" s="595"/>
      <c r="C1183" s="371"/>
      <c r="D1183" s="602"/>
      <c r="E1183" s="457"/>
      <c r="F1183" s="456"/>
      <c r="G1183" s="372"/>
    </row>
    <row r="1184" spans="1:7" x14ac:dyDescent="0.2">
      <c r="A1184" s="364"/>
      <c r="B1184" s="595"/>
      <c r="C1184" s="365"/>
      <c r="D1184" s="615"/>
      <c r="E1184" s="457"/>
      <c r="F1184" s="456"/>
      <c r="G1184" s="372"/>
    </row>
    <row r="1185" spans="1:7" x14ac:dyDescent="0.2">
      <c r="A1185" s="364"/>
      <c r="B1185" s="595"/>
      <c r="C1185" s="365"/>
      <c r="D1185" s="366"/>
      <c r="E1185" s="601"/>
      <c r="F1185" s="587"/>
      <c r="G1185" s="372"/>
    </row>
    <row r="1186" spans="1:7" x14ac:dyDescent="0.2">
      <c r="A1186" s="364"/>
      <c r="B1186" s="595"/>
      <c r="C1186" s="422"/>
      <c r="D1186" s="366"/>
      <c r="E1186" s="457"/>
      <c r="F1186" s="456"/>
      <c r="G1186" s="372"/>
    </row>
    <row r="1187" spans="1:7" x14ac:dyDescent="0.2">
      <c r="A1187" s="364"/>
      <c r="B1187" s="595"/>
      <c r="C1187" s="422"/>
      <c r="D1187" s="366"/>
      <c r="E1187" s="457"/>
      <c r="F1187" s="456"/>
      <c r="G1187" s="372"/>
    </row>
    <row r="1188" spans="1:7" x14ac:dyDescent="0.2">
      <c r="A1188" s="364"/>
      <c r="B1188" s="595"/>
      <c r="C1188" s="371"/>
      <c r="D1188" s="458"/>
      <c r="E1188" s="596"/>
      <c r="F1188" s="456"/>
      <c r="G1188" s="372"/>
    </row>
    <row r="1189" spans="1:7" x14ac:dyDescent="0.2">
      <c r="A1189" s="364"/>
      <c r="B1189" s="595"/>
      <c r="C1189" s="365"/>
      <c r="D1189" s="603"/>
      <c r="E1189" s="604"/>
      <c r="F1189" s="605"/>
      <c r="G1189" s="372"/>
    </row>
    <row r="1190" spans="1:7" x14ac:dyDescent="0.2">
      <c r="A1190" s="616"/>
      <c r="B1190" s="617"/>
      <c r="C1190" s="618"/>
      <c r="D1190" s="619"/>
      <c r="E1190" s="620"/>
      <c r="F1190" s="456"/>
      <c r="G1190" s="621"/>
    </row>
    <row r="1191" spans="1:7" ht="13.5" thickBot="1" x14ac:dyDescent="0.25">
      <c r="A1191" s="426"/>
      <c r="B1191" s="606"/>
      <c r="C1191" s="607"/>
      <c r="D1191" s="66" t="s">
        <v>8</v>
      </c>
      <c r="E1191" s="606"/>
      <c r="F1191" s="49" t="s">
        <v>15</v>
      </c>
      <c r="G1191" s="50">
        <f>SUM(G1157:G1189)</f>
        <v>120000</v>
      </c>
    </row>
    <row r="1192" spans="1:7" ht="13.5" thickTop="1" x14ac:dyDescent="0.2">
      <c r="A1192" s="367" t="s">
        <v>2091</v>
      </c>
      <c r="B1192" s="608"/>
      <c r="C1192" s="609"/>
      <c r="D1192" s="610"/>
      <c r="E1192" s="608"/>
      <c r="F1192" s="611"/>
      <c r="G1192" s="612"/>
    </row>
    <row r="1193" spans="1:7" ht="13.5" thickBot="1" x14ac:dyDescent="0.25">
      <c r="A1193" s="589" t="s">
        <v>159</v>
      </c>
      <c r="B1193" s="368"/>
      <c r="C1193" s="368" t="s">
        <v>2092</v>
      </c>
      <c r="D1193" s="368"/>
      <c r="E1193" s="613"/>
      <c r="F1193" s="614"/>
      <c r="G1193" s="590"/>
    </row>
    <row r="1194" spans="1:7" ht="13.5" thickTop="1" x14ac:dyDescent="0.2">
      <c r="A1194" s="878" t="s">
        <v>8</v>
      </c>
      <c r="B1194" s="879"/>
      <c r="C1194" s="879"/>
      <c r="D1194" s="433" t="s">
        <v>11</v>
      </c>
      <c r="E1194" s="880" t="s">
        <v>12</v>
      </c>
      <c r="F1194" s="880"/>
      <c r="G1194" s="881"/>
    </row>
    <row r="1195" spans="1:7" x14ac:dyDescent="0.2">
      <c r="A1195" s="973" t="s">
        <v>17</v>
      </c>
      <c r="B1195" s="974"/>
      <c r="C1195" s="975"/>
      <c r="D1195" s="434"/>
      <c r="E1195" s="882"/>
      <c r="F1195" s="883"/>
      <c r="G1195" s="884"/>
    </row>
    <row r="1196" spans="1:7" x14ac:dyDescent="0.2">
      <c r="A1196" s="973" t="s">
        <v>38</v>
      </c>
      <c r="B1196" s="974"/>
      <c r="C1196" s="975"/>
      <c r="D1196" s="58" t="s">
        <v>308</v>
      </c>
      <c r="E1196" s="969" t="s">
        <v>142</v>
      </c>
      <c r="F1196" s="868"/>
      <c r="G1196" s="869"/>
    </row>
    <row r="1197" spans="1:7" ht="13.5" thickBot="1" x14ac:dyDescent="0.25">
      <c r="A1197" s="976" t="s">
        <v>39</v>
      </c>
      <c r="B1197" s="977"/>
      <c r="C1197" s="978"/>
      <c r="D1197" s="375" t="s">
        <v>1038</v>
      </c>
      <c r="E1197" s="873" t="s">
        <v>0</v>
      </c>
      <c r="F1197" s="873"/>
      <c r="G1197" s="874"/>
    </row>
    <row r="1198" spans="1:7" ht="16.5" x14ac:dyDescent="0.25">
      <c r="A1198" s="885" t="s">
        <v>29</v>
      </c>
      <c r="B1198" s="886"/>
      <c r="C1198" s="886"/>
      <c r="D1198" s="886"/>
      <c r="E1198" s="886"/>
      <c r="F1198" s="886"/>
      <c r="G1198" s="887"/>
    </row>
    <row r="1199" spans="1:7" x14ac:dyDescent="0.2">
      <c r="A1199" s="888" t="s">
        <v>48</v>
      </c>
      <c r="B1199" s="889"/>
      <c r="C1199" s="889"/>
      <c r="D1199" s="889"/>
      <c r="E1199" s="889"/>
      <c r="F1199" s="889"/>
      <c r="G1199" s="890"/>
    </row>
    <row r="1200" spans="1:7" x14ac:dyDescent="0.2">
      <c r="A1200" s="891" t="s">
        <v>49</v>
      </c>
      <c r="B1200" s="892"/>
      <c r="C1200" s="892"/>
      <c r="D1200" s="892"/>
      <c r="E1200" s="892"/>
      <c r="F1200" s="892"/>
      <c r="G1200" s="893"/>
    </row>
    <row r="1201" spans="1:12" x14ac:dyDescent="0.2">
      <c r="A1201" s="387"/>
      <c r="B1201" s="592"/>
      <c r="C1201" s="389"/>
      <c r="D1201" s="390"/>
      <c r="E1201" s="388"/>
      <c r="F1201" s="391"/>
      <c r="G1201" s="392" t="s">
        <v>8</v>
      </c>
    </row>
    <row r="1202" spans="1:12" x14ac:dyDescent="0.2">
      <c r="A1202" s="393" t="s">
        <v>1</v>
      </c>
      <c r="B1202" s="394"/>
      <c r="C1202" s="14" t="s">
        <v>5</v>
      </c>
      <c r="D1202" s="394"/>
      <c r="E1202" s="241" t="s">
        <v>2154</v>
      </c>
      <c r="F1202" s="593"/>
      <c r="G1202" s="242" t="s">
        <v>2153</v>
      </c>
    </row>
    <row r="1203" spans="1:12" x14ac:dyDescent="0.2">
      <c r="A1203" s="361" t="s">
        <v>8</v>
      </c>
      <c r="B1203" s="594"/>
      <c r="C1203" s="19"/>
      <c r="D1203" s="386"/>
      <c r="E1203" s="894"/>
      <c r="F1203" s="895"/>
      <c r="G1203" s="397"/>
    </row>
    <row r="1204" spans="1:12" x14ac:dyDescent="0.2">
      <c r="A1204" s="373" t="s">
        <v>37</v>
      </c>
      <c r="B1204" s="377"/>
      <c r="C1204" s="377"/>
      <c r="D1204" s="377"/>
      <c r="E1204" s="398" t="s">
        <v>46</v>
      </c>
      <c r="F1204" s="399"/>
      <c r="G1204" s="397" t="s">
        <v>50</v>
      </c>
    </row>
    <row r="1205" spans="1:12" x14ac:dyDescent="0.2">
      <c r="A1205" s="387"/>
      <c r="B1205" s="592"/>
      <c r="C1205" s="389"/>
      <c r="D1205" s="389"/>
      <c r="E1205" s="896"/>
      <c r="F1205" s="897"/>
      <c r="G1205" s="400"/>
    </row>
    <row r="1206" spans="1:12" ht="26.25" thickBot="1" x14ac:dyDescent="0.25">
      <c r="A1206" s="26" t="s">
        <v>47</v>
      </c>
      <c r="B1206" s="180" t="s">
        <v>23</v>
      </c>
      <c r="C1206" s="28" t="s">
        <v>34</v>
      </c>
      <c r="D1206" s="110" t="s">
        <v>53</v>
      </c>
      <c r="E1206" s="181" t="s">
        <v>54</v>
      </c>
      <c r="F1206" s="111" t="s">
        <v>55</v>
      </c>
      <c r="G1206" s="112" t="s">
        <v>35</v>
      </c>
    </row>
    <row r="1207" spans="1:12" ht="13.5" thickTop="1" x14ac:dyDescent="0.2">
      <c r="A1207" s="364">
        <v>1</v>
      </c>
      <c r="B1207" s="595"/>
      <c r="C1207" s="365" t="s">
        <v>1923</v>
      </c>
      <c r="D1207" s="366" t="s">
        <v>1974</v>
      </c>
      <c r="E1207" s="596">
        <v>1</v>
      </c>
      <c r="F1207" s="456">
        <v>155</v>
      </c>
      <c r="G1207" s="372">
        <f>F1207*E1207</f>
        <v>155</v>
      </c>
    </row>
    <row r="1208" spans="1:12" x14ac:dyDescent="0.2">
      <c r="A1208" s="364">
        <f>A1207+1</f>
        <v>2</v>
      </c>
      <c r="B1208" s="595"/>
      <c r="C1208" s="365" t="s">
        <v>1923</v>
      </c>
      <c r="D1208" s="458" t="s">
        <v>2131</v>
      </c>
      <c r="E1208" s="596">
        <v>1</v>
      </c>
      <c r="F1208" s="456">
        <v>90</v>
      </c>
      <c r="G1208" s="372">
        <f>F1208*E1208</f>
        <v>90</v>
      </c>
    </row>
    <row r="1209" spans="1:12" x14ac:dyDescent="0.2">
      <c r="A1209" s="364">
        <f t="shared" ref="A1209:A1232" si="15">A1208+1</f>
        <v>3</v>
      </c>
      <c r="B1209" s="595"/>
      <c r="C1209" s="365" t="s">
        <v>1923</v>
      </c>
      <c r="D1209" s="458" t="s">
        <v>193</v>
      </c>
      <c r="E1209" s="457">
        <v>0.25</v>
      </c>
      <c r="F1209" s="456">
        <v>100</v>
      </c>
      <c r="G1209" s="372">
        <f t="shared" ref="G1209:G1232" si="16">F1209*E1209</f>
        <v>25</v>
      </c>
    </row>
    <row r="1210" spans="1:12" x14ac:dyDescent="0.2">
      <c r="A1210" s="364">
        <f t="shared" si="15"/>
        <v>4</v>
      </c>
      <c r="B1210" s="595"/>
      <c r="C1210" s="245" t="s">
        <v>1923</v>
      </c>
      <c r="D1210" s="458" t="s">
        <v>2132</v>
      </c>
      <c r="E1210" s="457">
        <v>0.5</v>
      </c>
      <c r="F1210" s="456">
        <v>560</v>
      </c>
      <c r="G1210" s="372">
        <f t="shared" si="16"/>
        <v>280</v>
      </c>
      <c r="L1210" s="2">
        <f>280*2</f>
        <v>560</v>
      </c>
    </row>
    <row r="1211" spans="1:12" x14ac:dyDescent="0.2">
      <c r="A1211" s="364">
        <f t="shared" si="15"/>
        <v>5</v>
      </c>
      <c r="B1211" s="595"/>
      <c r="C1211" s="268" t="s">
        <v>149</v>
      </c>
      <c r="D1211" s="458" t="s">
        <v>2133</v>
      </c>
      <c r="E1211" s="457">
        <v>1</v>
      </c>
      <c r="F1211" s="456">
        <v>120</v>
      </c>
      <c r="G1211" s="372">
        <f t="shared" si="16"/>
        <v>120</v>
      </c>
    </row>
    <row r="1212" spans="1:12" x14ac:dyDescent="0.2">
      <c r="A1212" s="364">
        <f t="shared" si="15"/>
        <v>6</v>
      </c>
      <c r="B1212" s="595"/>
      <c r="C1212" s="365" t="s">
        <v>1923</v>
      </c>
      <c r="D1212" s="366" t="s">
        <v>1943</v>
      </c>
      <c r="E1212" s="457">
        <v>0.5</v>
      </c>
      <c r="F1212" s="456">
        <v>180</v>
      </c>
      <c r="G1212" s="372">
        <f t="shared" si="16"/>
        <v>90</v>
      </c>
    </row>
    <row r="1213" spans="1:12" x14ac:dyDescent="0.2">
      <c r="A1213" s="364">
        <f t="shared" si="15"/>
        <v>7</v>
      </c>
      <c r="B1213" s="595"/>
      <c r="C1213" s="371" t="s">
        <v>1923</v>
      </c>
      <c r="D1213" s="366" t="s">
        <v>1943</v>
      </c>
      <c r="E1213" s="539">
        <v>0.25</v>
      </c>
      <c r="F1213" s="587">
        <v>120</v>
      </c>
      <c r="G1213" s="372">
        <f t="shared" si="16"/>
        <v>30</v>
      </c>
    </row>
    <row r="1214" spans="1:12" x14ac:dyDescent="0.2">
      <c r="A1214" s="364">
        <f t="shared" si="15"/>
        <v>8</v>
      </c>
      <c r="B1214" s="595"/>
      <c r="C1214" s="422" t="s">
        <v>1923</v>
      </c>
      <c r="D1214" s="458" t="s">
        <v>1976</v>
      </c>
      <c r="E1214" s="457">
        <v>1</v>
      </c>
      <c r="F1214" s="456">
        <v>70</v>
      </c>
      <c r="G1214" s="372">
        <f t="shared" si="16"/>
        <v>70</v>
      </c>
      <c r="H1214" s="212">
        <f>SUM(G1207:G1214)</f>
        <v>860</v>
      </c>
      <c r="I1214" s="212"/>
      <c r="J1214" s="212"/>
    </row>
    <row r="1215" spans="1:12" x14ac:dyDescent="0.2">
      <c r="A1215" s="364">
        <f t="shared" si="15"/>
        <v>9</v>
      </c>
      <c r="B1215" s="598"/>
      <c r="C1215" s="371" t="s">
        <v>185</v>
      </c>
      <c r="D1215" s="458" t="s">
        <v>2134</v>
      </c>
      <c r="E1215" s="457">
        <v>1</v>
      </c>
      <c r="F1215" s="456">
        <v>280</v>
      </c>
      <c r="G1215" s="372">
        <f t="shared" si="16"/>
        <v>280</v>
      </c>
    </row>
    <row r="1216" spans="1:12" x14ac:dyDescent="0.2">
      <c r="A1216" s="364">
        <f t="shared" si="15"/>
        <v>10</v>
      </c>
      <c r="B1216" s="600"/>
      <c r="C1216" s="371" t="s">
        <v>185</v>
      </c>
      <c r="D1216" s="366" t="s">
        <v>2135</v>
      </c>
      <c r="E1216" s="539">
        <v>1</v>
      </c>
      <c r="F1216" s="587">
        <v>65</v>
      </c>
      <c r="G1216" s="372">
        <f t="shared" si="16"/>
        <v>65</v>
      </c>
    </row>
    <row r="1217" spans="1:14" x14ac:dyDescent="0.2">
      <c r="A1217" s="364">
        <f t="shared" si="15"/>
        <v>11</v>
      </c>
      <c r="B1217" s="600"/>
      <c r="C1217" s="365" t="s">
        <v>185</v>
      </c>
      <c r="D1217" s="366" t="s">
        <v>2136</v>
      </c>
      <c r="E1217" s="596">
        <v>1</v>
      </c>
      <c r="F1217" s="456">
        <v>40</v>
      </c>
      <c r="G1217" s="372">
        <f t="shared" si="16"/>
        <v>40</v>
      </c>
    </row>
    <row r="1218" spans="1:14" x14ac:dyDescent="0.2">
      <c r="A1218" s="364">
        <f t="shared" si="15"/>
        <v>12</v>
      </c>
      <c r="B1218" s="600"/>
      <c r="C1218" s="371" t="s">
        <v>177</v>
      </c>
      <c r="D1218" s="597" t="s">
        <v>283</v>
      </c>
      <c r="E1218" s="539">
        <v>1</v>
      </c>
      <c r="F1218" s="587">
        <v>40</v>
      </c>
      <c r="G1218" s="372">
        <f t="shared" si="16"/>
        <v>40</v>
      </c>
    </row>
    <row r="1219" spans="1:14" x14ac:dyDescent="0.2">
      <c r="A1219" s="364">
        <f t="shared" si="15"/>
        <v>13</v>
      </c>
      <c r="B1219" s="600"/>
      <c r="C1219" s="422" t="s">
        <v>153</v>
      </c>
      <c r="D1219" s="366" t="s">
        <v>1948</v>
      </c>
      <c r="E1219" s="457">
        <v>10</v>
      </c>
      <c r="F1219" s="456">
        <v>7</v>
      </c>
      <c r="G1219" s="372">
        <f t="shared" si="16"/>
        <v>70</v>
      </c>
      <c r="H1219" s="164">
        <f>G1215+G1216+G1217+G1218+G1219</f>
        <v>495</v>
      </c>
      <c r="I1219" s="164"/>
      <c r="J1219" s="164"/>
    </row>
    <row r="1220" spans="1:14" x14ac:dyDescent="0.2">
      <c r="A1220" s="364">
        <f t="shared" si="15"/>
        <v>14</v>
      </c>
      <c r="B1220" s="600"/>
      <c r="C1220" s="371" t="s">
        <v>185</v>
      </c>
      <c r="D1220" s="599" t="s">
        <v>2137</v>
      </c>
      <c r="E1220" s="457">
        <v>1</v>
      </c>
      <c r="F1220" s="456">
        <v>125</v>
      </c>
      <c r="G1220" s="372">
        <f t="shared" si="16"/>
        <v>125</v>
      </c>
      <c r="H1220" s="212">
        <f>G1220</f>
        <v>125</v>
      </c>
      <c r="I1220" s="212"/>
      <c r="J1220" s="212"/>
    </row>
    <row r="1221" spans="1:14" x14ac:dyDescent="0.2">
      <c r="A1221" s="364">
        <f t="shared" si="15"/>
        <v>15</v>
      </c>
      <c r="B1221" s="595"/>
      <c r="C1221" s="371" t="s">
        <v>1923</v>
      </c>
      <c r="D1221" s="366" t="s">
        <v>2138</v>
      </c>
      <c r="E1221" s="539">
        <v>2</v>
      </c>
      <c r="F1221" s="587">
        <v>240</v>
      </c>
      <c r="G1221" s="372">
        <f t="shared" si="16"/>
        <v>480</v>
      </c>
      <c r="H1221" s="212">
        <f>G1221</f>
        <v>480</v>
      </c>
      <c r="I1221" s="212"/>
      <c r="J1221" s="212"/>
    </row>
    <row r="1222" spans="1:14" x14ac:dyDescent="0.2">
      <c r="A1222" s="364">
        <f t="shared" si="15"/>
        <v>16</v>
      </c>
      <c r="B1222" s="595"/>
      <c r="C1222" s="371" t="s">
        <v>2146</v>
      </c>
      <c r="D1222" s="602" t="s">
        <v>2139</v>
      </c>
      <c r="E1222" s="457">
        <v>2</v>
      </c>
      <c r="F1222" s="456">
        <v>307.5</v>
      </c>
      <c r="G1222" s="372">
        <f t="shared" si="16"/>
        <v>615</v>
      </c>
      <c r="H1222" s="212">
        <f>G1222</f>
        <v>615</v>
      </c>
      <c r="I1222" s="212"/>
      <c r="J1222" s="212"/>
    </row>
    <row r="1223" spans="1:14" x14ac:dyDescent="0.2">
      <c r="A1223" s="364">
        <f t="shared" si="15"/>
        <v>17</v>
      </c>
      <c r="B1223" s="595"/>
      <c r="C1223" s="365" t="s">
        <v>185</v>
      </c>
      <c r="D1223" s="366" t="s">
        <v>2140</v>
      </c>
      <c r="E1223" s="596">
        <v>48</v>
      </c>
      <c r="F1223" s="456">
        <v>4.5</v>
      </c>
      <c r="G1223" s="372">
        <f t="shared" si="16"/>
        <v>216</v>
      </c>
      <c r="H1223" s="212">
        <f>G1223</f>
        <v>216</v>
      </c>
      <c r="I1223" s="212"/>
      <c r="J1223" s="212"/>
    </row>
    <row r="1224" spans="1:14" x14ac:dyDescent="0.2">
      <c r="A1224" s="364">
        <f t="shared" si="15"/>
        <v>18</v>
      </c>
      <c r="B1224" s="595"/>
      <c r="C1224" s="371" t="s">
        <v>149</v>
      </c>
      <c r="D1224" s="597" t="s">
        <v>2141</v>
      </c>
      <c r="E1224" s="539">
        <v>2</v>
      </c>
      <c r="F1224" s="587">
        <v>195</v>
      </c>
      <c r="G1224" s="372">
        <f t="shared" si="16"/>
        <v>390</v>
      </c>
    </row>
    <row r="1225" spans="1:14" x14ac:dyDescent="0.2">
      <c r="A1225" s="364">
        <f t="shared" si="15"/>
        <v>19</v>
      </c>
      <c r="B1225" s="595"/>
      <c r="C1225" s="422" t="s">
        <v>149</v>
      </c>
      <c r="D1225" s="366" t="s">
        <v>2145</v>
      </c>
      <c r="E1225" s="457">
        <v>4</v>
      </c>
      <c r="F1225" s="456">
        <v>112</v>
      </c>
      <c r="G1225" s="372">
        <f t="shared" si="16"/>
        <v>448</v>
      </c>
    </row>
    <row r="1226" spans="1:14" x14ac:dyDescent="0.2">
      <c r="A1226" s="364">
        <f t="shared" si="15"/>
        <v>20</v>
      </c>
      <c r="B1226" s="595"/>
      <c r="C1226" s="371" t="s">
        <v>149</v>
      </c>
      <c r="D1226" s="599" t="s">
        <v>2142</v>
      </c>
      <c r="E1226" s="457">
        <v>4</v>
      </c>
      <c r="F1226" s="456">
        <v>110</v>
      </c>
      <c r="G1226" s="372">
        <f t="shared" si="16"/>
        <v>440</v>
      </c>
      <c r="H1226" s="164">
        <f>G1224+G1225+G1226</f>
        <v>1278</v>
      </c>
      <c r="I1226" s="164"/>
      <c r="J1226" s="164"/>
      <c r="L1226" s="2">
        <f>19.5+320</f>
        <v>339.5</v>
      </c>
      <c r="N1226" s="164">
        <f>L1226+H1226</f>
        <v>1617.5</v>
      </c>
    </row>
    <row r="1227" spans="1:14" x14ac:dyDescent="0.2">
      <c r="A1227" s="364">
        <f t="shared" si="15"/>
        <v>21</v>
      </c>
      <c r="B1227" s="595"/>
      <c r="C1227" s="371" t="s">
        <v>149</v>
      </c>
      <c r="D1227" s="638" t="s">
        <v>2400</v>
      </c>
      <c r="E1227" s="457">
        <v>4</v>
      </c>
      <c r="F1227" s="456">
        <v>80</v>
      </c>
      <c r="G1227" s="372">
        <f t="shared" si="16"/>
        <v>320</v>
      </c>
      <c r="H1227" s="164"/>
      <c r="I1227" s="164"/>
      <c r="J1227" s="164"/>
      <c r="N1227" s="164"/>
    </row>
    <row r="1228" spans="1:14" x14ac:dyDescent="0.2">
      <c r="A1228" s="364">
        <f t="shared" si="15"/>
        <v>22</v>
      </c>
      <c r="B1228" s="595"/>
      <c r="C1228" s="371" t="s">
        <v>1923</v>
      </c>
      <c r="D1228" s="366" t="s">
        <v>2019</v>
      </c>
      <c r="E1228" s="539">
        <v>6</v>
      </c>
      <c r="F1228" s="587">
        <v>340</v>
      </c>
      <c r="G1228" s="372">
        <f t="shared" si="16"/>
        <v>2040</v>
      </c>
    </row>
    <row r="1229" spans="1:14" x14ac:dyDescent="0.2">
      <c r="A1229" s="364">
        <f t="shared" si="15"/>
        <v>23</v>
      </c>
      <c r="B1229" s="595"/>
      <c r="C1229" s="365" t="s">
        <v>1923</v>
      </c>
      <c r="D1229" s="603" t="s">
        <v>2143</v>
      </c>
      <c r="E1229" s="604">
        <v>1</v>
      </c>
      <c r="F1229" s="605">
        <v>340</v>
      </c>
      <c r="G1229" s="372">
        <f t="shared" si="16"/>
        <v>340</v>
      </c>
    </row>
    <row r="1230" spans="1:14" x14ac:dyDescent="0.2">
      <c r="A1230" s="364">
        <f t="shared" si="15"/>
        <v>24</v>
      </c>
      <c r="B1230" s="595"/>
      <c r="C1230" s="365" t="s">
        <v>1923</v>
      </c>
      <c r="D1230" s="366" t="s">
        <v>2144</v>
      </c>
      <c r="E1230" s="601">
        <v>1</v>
      </c>
      <c r="F1230" s="587">
        <v>370</v>
      </c>
      <c r="G1230" s="372">
        <f t="shared" si="16"/>
        <v>370</v>
      </c>
      <c r="H1230" s="164">
        <f>G1228+G1229+G1230</f>
        <v>2750</v>
      </c>
      <c r="I1230" s="164"/>
      <c r="J1230" s="164"/>
    </row>
    <row r="1231" spans="1:14" x14ac:dyDescent="0.2">
      <c r="A1231" s="364">
        <f t="shared" si="15"/>
        <v>25</v>
      </c>
      <c r="B1231" s="595"/>
      <c r="C1231" s="422" t="s">
        <v>1923</v>
      </c>
      <c r="D1231" s="366" t="s">
        <v>2147</v>
      </c>
      <c r="E1231" s="457">
        <v>4.13</v>
      </c>
      <c r="F1231" s="456">
        <v>339.95157380000001</v>
      </c>
      <c r="G1231" s="372">
        <v>1404</v>
      </c>
      <c r="H1231" s="212">
        <f>G1231</f>
        <v>1404</v>
      </c>
      <c r="I1231" s="212"/>
      <c r="J1231" s="212"/>
      <c r="L1231" s="2">
        <f>1404/4.13</f>
        <v>339.95157384987897</v>
      </c>
    </row>
    <row r="1232" spans="1:14" x14ac:dyDescent="0.2">
      <c r="A1232" s="364">
        <f t="shared" si="15"/>
        <v>26</v>
      </c>
      <c r="B1232" s="595"/>
      <c r="C1232" s="422" t="s">
        <v>1923</v>
      </c>
      <c r="D1232" s="366" t="s">
        <v>2139</v>
      </c>
      <c r="E1232" s="457">
        <v>9.1</v>
      </c>
      <c r="F1232" s="456">
        <v>85</v>
      </c>
      <c r="G1232" s="372">
        <f t="shared" si="16"/>
        <v>773.5</v>
      </c>
      <c r="H1232" s="212">
        <f>G1232</f>
        <v>773.5</v>
      </c>
      <c r="I1232" s="212"/>
      <c r="J1232" s="212"/>
    </row>
    <row r="1233" spans="1:15" x14ac:dyDescent="0.2">
      <c r="A1233" s="364"/>
      <c r="B1233" s="595"/>
      <c r="C1233" s="371"/>
      <c r="D1233" s="366"/>
      <c r="E1233" s="457"/>
      <c r="F1233" s="456"/>
      <c r="G1233" s="372"/>
    </row>
    <row r="1234" spans="1:15" x14ac:dyDescent="0.2">
      <c r="A1234" s="364"/>
      <c r="B1234" s="595"/>
      <c r="C1234" s="365"/>
      <c r="D1234" s="615"/>
      <c r="E1234" s="457"/>
      <c r="F1234" s="456"/>
      <c r="G1234" s="372"/>
    </row>
    <row r="1235" spans="1:15" x14ac:dyDescent="0.2">
      <c r="A1235" s="364"/>
      <c r="B1235" s="595"/>
      <c r="C1235" s="365"/>
      <c r="D1235" s="366"/>
      <c r="E1235" s="601"/>
      <c r="F1235" s="587"/>
      <c r="G1235" s="372"/>
    </row>
    <row r="1236" spans="1:15" x14ac:dyDescent="0.2">
      <c r="A1236" s="364"/>
      <c r="B1236" s="595"/>
      <c r="C1236" s="422"/>
      <c r="D1236" s="366"/>
      <c r="E1236" s="457"/>
      <c r="F1236" s="456"/>
      <c r="G1236" s="372"/>
    </row>
    <row r="1237" spans="1:15" x14ac:dyDescent="0.2">
      <c r="A1237" s="364"/>
      <c r="B1237" s="595"/>
      <c r="C1237" s="422"/>
      <c r="D1237" s="366"/>
      <c r="E1237" s="457"/>
      <c r="F1237" s="456"/>
      <c r="G1237" s="372"/>
    </row>
    <row r="1238" spans="1:15" x14ac:dyDescent="0.2">
      <c r="A1238" s="364"/>
      <c r="B1238" s="595"/>
      <c r="C1238" s="371"/>
      <c r="D1238" s="458"/>
      <c r="E1238" s="596"/>
      <c r="F1238" s="456"/>
      <c r="G1238" s="372"/>
    </row>
    <row r="1239" spans="1:15" x14ac:dyDescent="0.2">
      <c r="A1239" s="364"/>
      <c r="B1239" s="595"/>
      <c r="C1239" s="365"/>
      <c r="D1239" s="603"/>
      <c r="E1239" s="604"/>
      <c r="F1239" s="605"/>
      <c r="G1239" s="372"/>
    </row>
    <row r="1240" spans="1:15" x14ac:dyDescent="0.2">
      <c r="A1240" s="616"/>
      <c r="B1240" s="617"/>
      <c r="C1240" s="618"/>
      <c r="D1240" s="619"/>
      <c r="E1240" s="620"/>
      <c r="F1240" s="456"/>
      <c r="G1240" s="372"/>
      <c r="N1240" s="164"/>
      <c r="O1240" s="164"/>
    </row>
    <row r="1241" spans="1:15" ht="13.5" thickBot="1" x14ac:dyDescent="0.25">
      <c r="A1241" s="426"/>
      <c r="B1241" s="606"/>
      <c r="C1241" s="607"/>
      <c r="D1241" s="66" t="s">
        <v>8</v>
      </c>
      <c r="E1241" s="606"/>
      <c r="F1241" s="49" t="s">
        <v>15</v>
      </c>
      <c r="G1241" s="50">
        <f>SUM(G1207:G1240)</f>
        <v>9316.5</v>
      </c>
      <c r="L1241" s="164">
        <f>9336-G1241</f>
        <v>19.5</v>
      </c>
    </row>
    <row r="1242" spans="1:15" ht="13.5" thickTop="1" x14ac:dyDescent="0.2">
      <c r="A1242" s="963" t="s">
        <v>2148</v>
      </c>
      <c r="B1242" s="964"/>
      <c r="C1242" s="964"/>
      <c r="D1242" s="964"/>
      <c r="E1242" s="964"/>
      <c r="F1242" s="964"/>
      <c r="G1242" s="965"/>
    </row>
    <row r="1243" spans="1:15" ht="13.5" thickBot="1" x14ac:dyDescent="0.25">
      <c r="A1243" s="378"/>
      <c r="B1243" s="374"/>
      <c r="C1243" s="374" t="s">
        <v>8</v>
      </c>
      <c r="D1243" s="379"/>
      <c r="E1243" s="374"/>
      <c r="F1243" s="380"/>
      <c r="G1243" s="381"/>
    </row>
    <row r="1244" spans="1:15" ht="13.5" thickTop="1" x14ac:dyDescent="0.2">
      <c r="A1244" s="878" t="s">
        <v>8</v>
      </c>
      <c r="B1244" s="879"/>
      <c r="C1244" s="879"/>
      <c r="D1244" s="433" t="s">
        <v>11</v>
      </c>
      <c r="E1244" s="880" t="s">
        <v>12</v>
      </c>
      <c r="F1244" s="880"/>
      <c r="G1244" s="881"/>
    </row>
    <row r="1245" spans="1:15" x14ac:dyDescent="0.2">
      <c r="A1245" s="973" t="s">
        <v>17</v>
      </c>
      <c r="B1245" s="974"/>
      <c r="C1245" s="975"/>
      <c r="D1245" s="434"/>
      <c r="E1245" s="882"/>
      <c r="F1245" s="883"/>
      <c r="G1245" s="884"/>
    </row>
    <row r="1246" spans="1:15" x14ac:dyDescent="0.2">
      <c r="A1246" s="973" t="s">
        <v>38</v>
      </c>
      <c r="B1246" s="974"/>
      <c r="C1246" s="975"/>
      <c r="D1246" s="58" t="s">
        <v>308</v>
      </c>
      <c r="E1246" s="969" t="s">
        <v>142</v>
      </c>
      <c r="F1246" s="868"/>
      <c r="G1246" s="869"/>
    </row>
    <row r="1247" spans="1:15" ht="13.5" thickBot="1" x14ac:dyDescent="0.25">
      <c r="A1247" s="976" t="s">
        <v>39</v>
      </c>
      <c r="B1247" s="977"/>
      <c r="C1247" s="978"/>
      <c r="D1247" s="375" t="s">
        <v>1038</v>
      </c>
      <c r="E1247" s="873" t="s">
        <v>0</v>
      </c>
      <c r="F1247" s="873"/>
      <c r="G1247" s="874"/>
    </row>
    <row r="1248" spans="1:15" ht="16.5" x14ac:dyDescent="0.25">
      <c r="A1248" s="885" t="s">
        <v>29</v>
      </c>
      <c r="B1248" s="886"/>
      <c r="C1248" s="886"/>
      <c r="D1248" s="886"/>
      <c r="E1248" s="886"/>
      <c r="F1248" s="886"/>
      <c r="G1248" s="887"/>
    </row>
    <row r="1249" spans="1:7" x14ac:dyDescent="0.2">
      <c r="A1249" s="888" t="s">
        <v>48</v>
      </c>
      <c r="B1249" s="889"/>
      <c r="C1249" s="889"/>
      <c r="D1249" s="889"/>
      <c r="E1249" s="889"/>
      <c r="F1249" s="889"/>
      <c r="G1249" s="890"/>
    </row>
    <row r="1250" spans="1:7" x14ac:dyDescent="0.2">
      <c r="A1250" s="915" t="s">
        <v>49</v>
      </c>
      <c r="B1250" s="916"/>
      <c r="C1250" s="916"/>
      <c r="D1250" s="916"/>
      <c r="E1250" s="916"/>
      <c r="F1250" s="916"/>
      <c r="G1250" s="917"/>
    </row>
    <row r="1251" spans="1:7" x14ac:dyDescent="0.2">
      <c r="A1251" s="6"/>
      <c r="B1251" s="178"/>
      <c r="C1251" s="8"/>
      <c r="D1251" s="9"/>
      <c r="E1251" s="99"/>
      <c r="F1251" s="10"/>
      <c r="G1251" s="11" t="s">
        <v>8</v>
      </c>
    </row>
    <row r="1252" spans="1:7" x14ac:dyDescent="0.2">
      <c r="A1252" s="12" t="s">
        <v>1</v>
      </c>
      <c r="B1252" s="13"/>
      <c r="C1252" s="14" t="s">
        <v>5</v>
      </c>
      <c r="D1252" s="13"/>
      <c r="E1252" s="362" t="s">
        <v>2273</v>
      </c>
      <c r="F1252" s="60"/>
      <c r="G1252" s="363" t="s">
        <v>2060</v>
      </c>
    </row>
    <row r="1253" spans="1:7" x14ac:dyDescent="0.2">
      <c r="A1253" s="17" t="s">
        <v>8</v>
      </c>
      <c r="B1253" s="179"/>
      <c r="C1253" s="19"/>
      <c r="D1253" s="4"/>
      <c r="E1253" s="918"/>
      <c r="F1253" s="919"/>
      <c r="G1253" s="20"/>
    </row>
    <row r="1254" spans="1:7" x14ac:dyDescent="0.2">
      <c r="A1254" s="21" t="s">
        <v>37</v>
      </c>
      <c r="B1254" s="22"/>
      <c r="C1254" s="22"/>
      <c r="D1254" s="22"/>
      <c r="E1254" s="23" t="s">
        <v>46</v>
      </c>
      <c r="F1254" s="24"/>
      <c r="G1254" s="20" t="s">
        <v>50</v>
      </c>
    </row>
    <row r="1255" spans="1:7" x14ac:dyDescent="0.2">
      <c r="A1255" s="6"/>
      <c r="B1255" s="178"/>
      <c r="C1255" s="8"/>
      <c r="D1255" s="8"/>
      <c r="E1255" s="920"/>
      <c r="F1255" s="921"/>
      <c r="G1255" s="25"/>
    </row>
    <row r="1256" spans="1:7" ht="26.25" thickBot="1" x14ac:dyDescent="0.25">
      <c r="A1256" s="26" t="s">
        <v>47</v>
      </c>
      <c r="B1256" s="180" t="s">
        <v>23</v>
      </c>
      <c r="C1256" s="28" t="s">
        <v>34</v>
      </c>
      <c r="D1256" s="110" t="s">
        <v>53</v>
      </c>
      <c r="E1256" s="181" t="s">
        <v>54</v>
      </c>
      <c r="F1256" s="111" t="s">
        <v>55</v>
      </c>
      <c r="G1256" s="112" t="s">
        <v>35</v>
      </c>
    </row>
    <row r="1257" spans="1:7" ht="13.5" thickTop="1" x14ac:dyDescent="0.2">
      <c r="A1257" s="29">
        <v>1</v>
      </c>
      <c r="B1257" s="75"/>
      <c r="C1257" s="365" t="s">
        <v>1756</v>
      </c>
      <c r="D1257" s="366" t="s">
        <v>2222</v>
      </c>
      <c r="E1257" s="77">
        <v>30</v>
      </c>
      <c r="F1257" s="185">
        <v>200</v>
      </c>
      <c r="G1257" s="35">
        <f>F1257*E1257</f>
        <v>6000</v>
      </c>
    </row>
    <row r="1258" spans="1:7" x14ac:dyDescent="0.2">
      <c r="A1258" s="364"/>
      <c r="B1258" s="75"/>
      <c r="C1258" s="183"/>
      <c r="D1258" s="366" t="s">
        <v>888</v>
      </c>
      <c r="E1258" s="77"/>
      <c r="F1258" s="185"/>
      <c r="G1258" s="35"/>
    </row>
    <row r="1259" spans="1:7" x14ac:dyDescent="0.2">
      <c r="A1259" s="364" t="s">
        <v>8</v>
      </c>
      <c r="B1259" s="75"/>
      <c r="C1259" s="365"/>
      <c r="D1259" s="366"/>
      <c r="E1259" s="77"/>
      <c r="F1259" s="185"/>
      <c r="G1259" s="372" t="s">
        <v>8</v>
      </c>
    </row>
    <row r="1260" spans="1:7" x14ac:dyDescent="0.2">
      <c r="A1260" s="29"/>
      <c r="B1260" s="75"/>
      <c r="C1260" s="183"/>
      <c r="D1260" s="366"/>
      <c r="E1260" s="77"/>
      <c r="F1260" s="185"/>
      <c r="G1260" s="35"/>
    </row>
    <row r="1261" spans="1:7" x14ac:dyDescent="0.2">
      <c r="A1261" s="29"/>
      <c r="B1261" s="75"/>
      <c r="C1261" s="183"/>
      <c r="D1261" s="184"/>
      <c r="E1261" s="77"/>
      <c r="F1261" s="185"/>
      <c r="G1261" s="35"/>
    </row>
    <row r="1262" spans="1:7" x14ac:dyDescent="0.2">
      <c r="A1262" s="29"/>
      <c r="B1262" s="75"/>
      <c r="C1262" s="183"/>
      <c r="D1262" s="184"/>
      <c r="E1262" s="77"/>
      <c r="F1262" s="185"/>
      <c r="G1262" s="35"/>
    </row>
    <row r="1263" spans="1:7" x14ac:dyDescent="0.2">
      <c r="A1263" s="29"/>
      <c r="B1263" s="75"/>
      <c r="C1263" s="41"/>
      <c r="D1263" s="184"/>
      <c r="E1263" s="77"/>
      <c r="F1263" s="185"/>
      <c r="G1263" s="35"/>
    </row>
    <row r="1264" spans="1:7" x14ac:dyDescent="0.2">
      <c r="A1264" s="29"/>
      <c r="B1264" s="75"/>
      <c r="C1264" s="41"/>
      <c r="D1264" s="184"/>
      <c r="E1264" s="77"/>
      <c r="F1264" s="185"/>
      <c r="G1264" s="35"/>
    </row>
    <row r="1265" spans="1:7" x14ac:dyDescent="0.2">
      <c r="A1265" s="29"/>
      <c r="B1265" s="186"/>
      <c r="C1265" s="41"/>
      <c r="D1265" s="184"/>
      <c r="E1265" s="77"/>
      <c r="F1265" s="185"/>
      <c r="G1265" s="35"/>
    </row>
    <row r="1266" spans="1:7" x14ac:dyDescent="0.2">
      <c r="A1266" s="29"/>
      <c r="B1266" s="74"/>
      <c r="C1266" s="31"/>
      <c r="D1266" s="184"/>
      <c r="E1266" s="77"/>
      <c r="F1266" s="185"/>
      <c r="G1266" s="35"/>
    </row>
    <row r="1267" spans="1:7" x14ac:dyDescent="0.2">
      <c r="A1267" s="29"/>
      <c r="B1267" s="74"/>
      <c r="C1267" s="41"/>
      <c r="D1267" s="187"/>
      <c r="E1267" s="84"/>
      <c r="F1267" s="163"/>
      <c r="G1267" s="35"/>
    </row>
    <row r="1268" spans="1:7" x14ac:dyDescent="0.2">
      <c r="A1268" s="29"/>
      <c r="B1268" s="74"/>
      <c r="C1268" s="41"/>
      <c r="D1268" s="187"/>
      <c r="E1268" s="84"/>
      <c r="F1268" s="163"/>
      <c r="G1268" s="35"/>
    </row>
    <row r="1269" spans="1:7" x14ac:dyDescent="0.2">
      <c r="A1269" s="29"/>
      <c r="B1269" s="75"/>
      <c r="C1269" s="41"/>
      <c r="D1269" s="187"/>
      <c r="E1269" s="84"/>
      <c r="F1269" s="172"/>
      <c r="G1269" s="35"/>
    </row>
    <row r="1270" spans="1:7" x14ac:dyDescent="0.2">
      <c r="A1270" s="29"/>
      <c r="B1270" s="75"/>
      <c r="C1270" s="41"/>
      <c r="D1270" s="187"/>
      <c r="E1270" s="84"/>
      <c r="F1270" s="173"/>
      <c r="G1270" s="35"/>
    </row>
    <row r="1271" spans="1:7" x14ac:dyDescent="0.2">
      <c r="A1271" s="29"/>
      <c r="B1271" s="75"/>
      <c r="C1271" s="183"/>
      <c r="D1271" s="187"/>
      <c r="E1271" s="77"/>
      <c r="F1271" s="185"/>
      <c r="G1271" s="35"/>
    </row>
    <row r="1272" spans="1:7" x14ac:dyDescent="0.2">
      <c r="A1272" s="29"/>
      <c r="B1272" s="75"/>
      <c r="C1272" s="183"/>
      <c r="D1272" s="187"/>
      <c r="E1272" s="77"/>
      <c r="F1272" s="185"/>
      <c r="G1272" s="35"/>
    </row>
    <row r="1273" spans="1:7" x14ac:dyDescent="0.2">
      <c r="A1273" s="29"/>
      <c r="B1273" s="75"/>
      <c r="C1273" s="183"/>
      <c r="D1273" s="184"/>
      <c r="E1273" s="77"/>
      <c r="F1273" s="185"/>
      <c r="G1273" s="35"/>
    </row>
    <row r="1274" spans="1:7" x14ac:dyDescent="0.2">
      <c r="A1274" s="29"/>
      <c r="B1274" s="75"/>
      <c r="C1274" s="183"/>
      <c r="D1274" s="184"/>
      <c r="E1274" s="77"/>
      <c r="F1274" s="185"/>
      <c r="G1274" s="35"/>
    </row>
    <row r="1275" spans="1:7" x14ac:dyDescent="0.2">
      <c r="A1275" s="29"/>
      <c r="B1275" s="75"/>
      <c r="C1275" s="183"/>
      <c r="D1275" s="184"/>
      <c r="E1275" s="77"/>
      <c r="F1275" s="185"/>
      <c r="G1275" s="35"/>
    </row>
    <row r="1276" spans="1:7" x14ac:dyDescent="0.2">
      <c r="A1276" s="29"/>
      <c r="B1276" s="75"/>
      <c r="C1276" s="41"/>
      <c r="D1276" s="184"/>
      <c r="E1276" s="84"/>
      <c r="F1276" s="163"/>
      <c r="G1276" s="35"/>
    </row>
    <row r="1277" spans="1:7" x14ac:dyDescent="0.2">
      <c r="A1277" s="29"/>
      <c r="B1277" s="75"/>
      <c r="C1277" s="41"/>
      <c r="D1277" s="184"/>
      <c r="E1277" s="84"/>
      <c r="F1277" s="163"/>
      <c r="G1277" s="35"/>
    </row>
    <row r="1278" spans="1:7" x14ac:dyDescent="0.2">
      <c r="A1278" s="29"/>
      <c r="B1278" s="75"/>
      <c r="C1278" s="41"/>
      <c r="D1278" s="187"/>
      <c r="E1278" s="84"/>
      <c r="F1278" s="163"/>
      <c r="G1278" s="35"/>
    </row>
    <row r="1279" spans="1:7" x14ac:dyDescent="0.2">
      <c r="A1279" s="29"/>
      <c r="B1279" s="75"/>
      <c r="C1279" s="41"/>
      <c r="D1279" s="187"/>
      <c r="E1279" s="84"/>
      <c r="F1279" s="163"/>
      <c r="G1279" s="35"/>
    </row>
    <row r="1280" spans="1:7" x14ac:dyDescent="0.2">
      <c r="A1280" s="29"/>
      <c r="B1280" s="75"/>
      <c r="C1280" s="41"/>
      <c r="D1280" s="187"/>
      <c r="E1280" s="84"/>
      <c r="F1280" s="163"/>
      <c r="G1280" s="35"/>
    </row>
    <row r="1281" spans="1:7" x14ac:dyDescent="0.2">
      <c r="A1281" s="29"/>
      <c r="B1281" s="75"/>
      <c r="C1281" s="41"/>
      <c r="D1281" s="187"/>
      <c r="E1281" s="84"/>
      <c r="F1281" s="163"/>
      <c r="G1281" s="35"/>
    </row>
    <row r="1282" spans="1:7" x14ac:dyDescent="0.2">
      <c r="A1282" s="29"/>
      <c r="B1282" s="75"/>
      <c r="C1282" s="41"/>
      <c r="D1282" s="187"/>
      <c r="E1282" s="84"/>
      <c r="F1282" s="163"/>
      <c r="G1282" s="35"/>
    </row>
    <row r="1283" spans="1:7" x14ac:dyDescent="0.2">
      <c r="A1283" s="29"/>
      <c r="B1283" s="75"/>
      <c r="C1283" s="41"/>
      <c r="D1283" s="187"/>
      <c r="E1283" s="84"/>
      <c r="F1283" s="163"/>
      <c r="G1283" s="35"/>
    </row>
    <row r="1284" spans="1:7" x14ac:dyDescent="0.2">
      <c r="A1284" s="29"/>
      <c r="B1284" s="75"/>
      <c r="C1284" s="41"/>
      <c r="D1284" s="187"/>
      <c r="E1284" s="84"/>
      <c r="F1284" s="163"/>
      <c r="G1284" s="35"/>
    </row>
    <row r="1285" spans="1:7" x14ac:dyDescent="0.2">
      <c r="A1285" s="29"/>
      <c r="B1285" s="75"/>
      <c r="C1285" s="41"/>
      <c r="D1285" s="187"/>
      <c r="E1285" s="84"/>
      <c r="F1285" s="163"/>
      <c r="G1285" s="35"/>
    </row>
    <row r="1286" spans="1:7" x14ac:dyDescent="0.2">
      <c r="A1286" s="29"/>
      <c r="B1286" s="75"/>
      <c r="C1286" s="41"/>
      <c r="D1286" s="187"/>
      <c r="E1286" s="84"/>
      <c r="F1286" s="163"/>
      <c r="G1286" s="35"/>
    </row>
    <row r="1287" spans="1:7" x14ac:dyDescent="0.2">
      <c r="A1287" s="29"/>
      <c r="B1287" s="75"/>
      <c r="C1287" s="41"/>
      <c r="D1287" s="187"/>
      <c r="E1287" s="84"/>
      <c r="F1287" s="163"/>
      <c r="G1287" s="35"/>
    </row>
    <row r="1288" spans="1:7" x14ac:dyDescent="0.2">
      <c r="A1288" s="29"/>
      <c r="B1288" s="75"/>
      <c r="C1288" s="41"/>
      <c r="D1288" s="187"/>
      <c r="E1288" s="84"/>
      <c r="F1288" s="172"/>
      <c r="G1288" s="35"/>
    </row>
    <row r="1289" spans="1:7" x14ac:dyDescent="0.2">
      <c r="A1289" s="29"/>
      <c r="B1289" s="75"/>
      <c r="C1289" s="41"/>
      <c r="D1289" s="187"/>
      <c r="E1289" s="84"/>
      <c r="F1289" s="173"/>
      <c r="G1289" s="35"/>
    </row>
    <row r="1290" spans="1:7" x14ac:dyDescent="0.2">
      <c r="A1290" s="29" t="s">
        <v>8</v>
      </c>
      <c r="B1290" s="75"/>
      <c r="C1290" s="41"/>
      <c r="D1290" s="187"/>
      <c r="E1290" s="84"/>
      <c r="F1290" s="173"/>
      <c r="G1290" s="35" t="s">
        <v>8</v>
      </c>
    </row>
    <row r="1291" spans="1:7" ht="13.5" thickBot="1" x14ac:dyDescent="0.25">
      <c r="A1291" s="45"/>
      <c r="B1291" s="188"/>
      <c r="C1291" s="47" t="s">
        <v>8</v>
      </c>
      <c r="D1291" s="66" t="s">
        <v>8</v>
      </c>
      <c r="E1291" s="188"/>
      <c r="F1291" s="49" t="s">
        <v>15</v>
      </c>
      <c r="G1291" s="50">
        <f>SUM(G1257:G1290)</f>
        <v>6000</v>
      </c>
    </row>
    <row r="1292" spans="1:7" ht="13.5" thickTop="1" x14ac:dyDescent="0.2">
      <c r="A1292" s="367" t="s">
        <v>2223</v>
      </c>
      <c r="B1292" s="190"/>
      <c r="C1292" s="191"/>
      <c r="D1292" s="192"/>
      <c r="E1292" s="190"/>
      <c r="F1292" s="193"/>
      <c r="G1292" s="194"/>
    </row>
    <row r="1293" spans="1:7" ht="13.5" thickBot="1" x14ac:dyDescent="0.25">
      <c r="A1293" s="195" t="s">
        <v>159</v>
      </c>
      <c r="B1293" s="196"/>
      <c r="C1293" s="368" t="s">
        <v>8</v>
      </c>
      <c r="D1293" s="196"/>
      <c r="E1293" s="197"/>
      <c r="F1293" s="198"/>
      <c r="G1293" s="199"/>
    </row>
    <row r="1294" spans="1:7" ht="13.5" thickTop="1" x14ac:dyDescent="0.2">
      <c r="A1294" s="906" t="s">
        <v>8</v>
      </c>
      <c r="B1294" s="907"/>
      <c r="C1294" s="907"/>
      <c r="D1294" s="57" t="s">
        <v>11</v>
      </c>
      <c r="E1294" s="908" t="s">
        <v>12</v>
      </c>
      <c r="F1294" s="908"/>
      <c r="G1294" s="909"/>
    </row>
    <row r="1295" spans="1:7" x14ac:dyDescent="0.2">
      <c r="A1295" s="966" t="s">
        <v>17</v>
      </c>
      <c r="B1295" s="967"/>
      <c r="C1295" s="968"/>
      <c r="D1295" s="39"/>
      <c r="E1295" s="912"/>
      <c r="F1295" s="913"/>
      <c r="G1295" s="914"/>
    </row>
    <row r="1296" spans="1:7" x14ac:dyDescent="0.2">
      <c r="A1296" s="966" t="s">
        <v>38</v>
      </c>
      <c r="B1296" s="967"/>
      <c r="C1296" s="968"/>
      <c r="D1296" s="58" t="s">
        <v>308</v>
      </c>
      <c r="E1296" s="969" t="s">
        <v>142</v>
      </c>
      <c r="F1296" s="868"/>
      <c r="G1296" s="869"/>
    </row>
    <row r="1297" spans="1:7" ht="13.5" thickBot="1" x14ac:dyDescent="0.25">
      <c r="A1297" s="970" t="s">
        <v>39</v>
      </c>
      <c r="B1297" s="971"/>
      <c r="C1297" s="972"/>
      <c r="D1297" s="375" t="s">
        <v>1038</v>
      </c>
      <c r="E1297" s="904" t="s">
        <v>0</v>
      </c>
      <c r="F1297" s="904"/>
      <c r="G1297" s="905"/>
    </row>
    <row r="1298" spans="1:7" ht="16.5" x14ac:dyDescent="0.25">
      <c r="A1298" s="885" t="s">
        <v>29</v>
      </c>
      <c r="B1298" s="886"/>
      <c r="C1298" s="886"/>
      <c r="D1298" s="886"/>
      <c r="E1298" s="886"/>
      <c r="F1298" s="886"/>
      <c r="G1298" s="887"/>
    </row>
    <row r="1299" spans="1:7" x14ac:dyDescent="0.2">
      <c r="A1299" s="888" t="s">
        <v>48</v>
      </c>
      <c r="B1299" s="889"/>
      <c r="C1299" s="889"/>
      <c r="D1299" s="889"/>
      <c r="E1299" s="889"/>
      <c r="F1299" s="889"/>
      <c r="G1299" s="890"/>
    </row>
    <row r="1300" spans="1:7" x14ac:dyDescent="0.2">
      <c r="A1300" s="915" t="s">
        <v>49</v>
      </c>
      <c r="B1300" s="916"/>
      <c r="C1300" s="916"/>
      <c r="D1300" s="916"/>
      <c r="E1300" s="916"/>
      <c r="F1300" s="916"/>
      <c r="G1300" s="917"/>
    </row>
    <row r="1301" spans="1:7" x14ac:dyDescent="0.2">
      <c r="A1301" s="6"/>
      <c r="B1301" s="178"/>
      <c r="C1301" s="8"/>
      <c r="D1301" s="9"/>
      <c r="E1301" s="99"/>
      <c r="F1301" s="10"/>
      <c r="G1301" s="11" t="s">
        <v>8</v>
      </c>
    </row>
    <row r="1302" spans="1:7" x14ac:dyDescent="0.2">
      <c r="A1302" s="12" t="s">
        <v>1</v>
      </c>
      <c r="B1302" s="13"/>
      <c r="C1302" s="14" t="s">
        <v>5</v>
      </c>
      <c r="D1302" s="13"/>
      <c r="E1302" s="362" t="s">
        <v>2274</v>
      </c>
      <c r="F1302" s="60"/>
      <c r="G1302" s="363" t="s">
        <v>2275</v>
      </c>
    </row>
    <row r="1303" spans="1:7" x14ac:dyDescent="0.2">
      <c r="A1303" s="17" t="s">
        <v>8</v>
      </c>
      <c r="B1303" s="179"/>
      <c r="C1303" s="19"/>
      <c r="D1303" s="4"/>
      <c r="E1303" s="918"/>
      <c r="F1303" s="919"/>
      <c r="G1303" s="20"/>
    </row>
    <row r="1304" spans="1:7" x14ac:dyDescent="0.2">
      <c r="A1304" s="21" t="s">
        <v>37</v>
      </c>
      <c r="B1304" s="22"/>
      <c r="C1304" s="22"/>
      <c r="D1304" s="22"/>
      <c r="E1304" s="23" t="s">
        <v>46</v>
      </c>
      <c r="F1304" s="24"/>
      <c r="G1304" s="20" t="s">
        <v>50</v>
      </c>
    </row>
    <row r="1305" spans="1:7" x14ac:dyDescent="0.2">
      <c r="A1305" s="6"/>
      <c r="B1305" s="178"/>
      <c r="C1305" s="8"/>
      <c r="D1305" s="8"/>
      <c r="E1305" s="920"/>
      <c r="F1305" s="921"/>
      <c r="G1305" s="25"/>
    </row>
    <row r="1306" spans="1:7" ht="26.25" thickBot="1" x14ac:dyDescent="0.25">
      <c r="A1306" s="26" t="s">
        <v>47</v>
      </c>
      <c r="B1306" s="180" t="s">
        <v>23</v>
      </c>
      <c r="C1306" s="28" t="s">
        <v>34</v>
      </c>
      <c r="D1306" s="110" t="s">
        <v>53</v>
      </c>
      <c r="E1306" s="181" t="s">
        <v>54</v>
      </c>
      <c r="F1306" s="111" t="s">
        <v>55</v>
      </c>
      <c r="G1306" s="112" t="s">
        <v>35</v>
      </c>
    </row>
    <row r="1307" spans="1:7" ht="13.5" thickTop="1" x14ac:dyDescent="0.2">
      <c r="A1307" s="29">
        <v>1</v>
      </c>
      <c r="B1307" s="75"/>
      <c r="C1307" s="365" t="s">
        <v>1756</v>
      </c>
      <c r="D1307" s="366" t="s">
        <v>1288</v>
      </c>
      <c r="E1307" s="77">
        <v>50</v>
      </c>
      <c r="F1307" s="185">
        <v>450</v>
      </c>
      <c r="G1307" s="35">
        <f>F1307*E1307</f>
        <v>22500</v>
      </c>
    </row>
    <row r="1308" spans="1:7" x14ac:dyDescent="0.2">
      <c r="A1308" s="364"/>
      <c r="B1308" s="75"/>
      <c r="C1308" s="183"/>
      <c r="D1308" s="366" t="s">
        <v>301</v>
      </c>
      <c r="E1308" s="77"/>
      <c r="F1308" s="185"/>
      <c r="G1308" s="35"/>
    </row>
    <row r="1309" spans="1:7" x14ac:dyDescent="0.2">
      <c r="A1309" s="364" t="s">
        <v>8</v>
      </c>
      <c r="B1309" s="75"/>
      <c r="C1309" s="365"/>
      <c r="D1309" s="366"/>
      <c r="E1309" s="77"/>
      <c r="F1309" s="185"/>
      <c r="G1309" s="372" t="s">
        <v>8</v>
      </c>
    </row>
    <row r="1310" spans="1:7" x14ac:dyDescent="0.2">
      <c r="A1310" s="29"/>
      <c r="B1310" s="75"/>
      <c r="C1310" s="183"/>
      <c r="D1310" s="366"/>
      <c r="E1310" s="77"/>
      <c r="F1310" s="185"/>
      <c r="G1310" s="35"/>
    </row>
    <row r="1311" spans="1:7" x14ac:dyDescent="0.2">
      <c r="A1311" s="29"/>
      <c r="B1311" s="75"/>
      <c r="C1311" s="183"/>
      <c r="D1311" s="184"/>
      <c r="E1311" s="77"/>
      <c r="F1311" s="185"/>
      <c r="G1311" s="35"/>
    </row>
    <row r="1312" spans="1:7" x14ac:dyDescent="0.2">
      <c r="A1312" s="29"/>
      <c r="B1312" s="75"/>
      <c r="C1312" s="183"/>
      <c r="D1312" s="184"/>
      <c r="E1312" s="77"/>
      <c r="F1312" s="185"/>
      <c r="G1312" s="35"/>
    </row>
    <row r="1313" spans="1:7" x14ac:dyDescent="0.2">
      <c r="A1313" s="29"/>
      <c r="B1313" s="75"/>
      <c r="C1313" s="41"/>
      <c r="D1313" s="184"/>
      <c r="E1313" s="77"/>
      <c r="F1313" s="185"/>
      <c r="G1313" s="35"/>
    </row>
    <row r="1314" spans="1:7" x14ac:dyDescent="0.2">
      <c r="A1314" s="29"/>
      <c r="B1314" s="75"/>
      <c r="C1314" s="41"/>
      <c r="D1314" s="184"/>
      <c r="E1314" s="77"/>
      <c r="F1314" s="185"/>
      <c r="G1314" s="35"/>
    </row>
    <row r="1315" spans="1:7" x14ac:dyDescent="0.2">
      <c r="A1315" s="29"/>
      <c r="B1315" s="186"/>
      <c r="C1315" s="41"/>
      <c r="D1315" s="184"/>
      <c r="E1315" s="77"/>
      <c r="F1315" s="185"/>
      <c r="G1315" s="35"/>
    </row>
    <row r="1316" spans="1:7" x14ac:dyDescent="0.2">
      <c r="A1316" s="29"/>
      <c r="B1316" s="74"/>
      <c r="C1316" s="31"/>
      <c r="D1316" s="184"/>
      <c r="E1316" s="77"/>
      <c r="F1316" s="185"/>
      <c r="G1316" s="35"/>
    </row>
    <row r="1317" spans="1:7" x14ac:dyDescent="0.2">
      <c r="A1317" s="29"/>
      <c r="B1317" s="74"/>
      <c r="C1317" s="41"/>
      <c r="D1317" s="187"/>
      <c r="E1317" s="84"/>
      <c r="F1317" s="163"/>
      <c r="G1317" s="35"/>
    </row>
    <row r="1318" spans="1:7" x14ac:dyDescent="0.2">
      <c r="A1318" s="29"/>
      <c r="B1318" s="74"/>
      <c r="C1318" s="41"/>
      <c r="D1318" s="187"/>
      <c r="E1318" s="84"/>
      <c r="F1318" s="163"/>
      <c r="G1318" s="35"/>
    </row>
    <row r="1319" spans="1:7" x14ac:dyDescent="0.2">
      <c r="A1319" s="29"/>
      <c r="B1319" s="75"/>
      <c r="C1319" s="41"/>
      <c r="D1319" s="187"/>
      <c r="E1319" s="84"/>
      <c r="F1319" s="172"/>
      <c r="G1319" s="35"/>
    </row>
    <row r="1320" spans="1:7" x14ac:dyDescent="0.2">
      <c r="A1320" s="29"/>
      <c r="B1320" s="75"/>
      <c r="C1320" s="41"/>
      <c r="D1320" s="187"/>
      <c r="E1320" s="84"/>
      <c r="F1320" s="173"/>
      <c r="G1320" s="35"/>
    </row>
    <row r="1321" spans="1:7" x14ac:dyDescent="0.2">
      <c r="A1321" s="29"/>
      <c r="B1321" s="75"/>
      <c r="C1321" s="183"/>
      <c r="D1321" s="187"/>
      <c r="E1321" s="77"/>
      <c r="F1321" s="185"/>
      <c r="G1321" s="35"/>
    </row>
    <row r="1322" spans="1:7" x14ac:dyDescent="0.2">
      <c r="A1322" s="29"/>
      <c r="B1322" s="75"/>
      <c r="C1322" s="183"/>
      <c r="D1322" s="187"/>
      <c r="E1322" s="77"/>
      <c r="F1322" s="185"/>
      <c r="G1322" s="35"/>
    </row>
    <row r="1323" spans="1:7" x14ac:dyDescent="0.2">
      <c r="A1323" s="29"/>
      <c r="B1323" s="75"/>
      <c r="C1323" s="183"/>
      <c r="D1323" s="184"/>
      <c r="E1323" s="77"/>
      <c r="F1323" s="185"/>
      <c r="G1323" s="35"/>
    </row>
    <row r="1324" spans="1:7" x14ac:dyDescent="0.2">
      <c r="A1324" s="29"/>
      <c r="B1324" s="75"/>
      <c r="C1324" s="183"/>
      <c r="D1324" s="184"/>
      <c r="E1324" s="77"/>
      <c r="F1324" s="185"/>
      <c r="G1324" s="35"/>
    </row>
    <row r="1325" spans="1:7" x14ac:dyDescent="0.2">
      <c r="A1325" s="29"/>
      <c r="B1325" s="75"/>
      <c r="C1325" s="183"/>
      <c r="D1325" s="184"/>
      <c r="E1325" s="77"/>
      <c r="F1325" s="185"/>
      <c r="G1325" s="35"/>
    </row>
    <row r="1326" spans="1:7" x14ac:dyDescent="0.2">
      <c r="A1326" s="29"/>
      <c r="B1326" s="75"/>
      <c r="C1326" s="41"/>
      <c r="D1326" s="184"/>
      <c r="E1326" s="84"/>
      <c r="F1326" s="163"/>
      <c r="G1326" s="35"/>
    </row>
    <row r="1327" spans="1:7" x14ac:dyDescent="0.2">
      <c r="A1327" s="29"/>
      <c r="B1327" s="75"/>
      <c r="C1327" s="41"/>
      <c r="D1327" s="184"/>
      <c r="E1327" s="84"/>
      <c r="F1327" s="163"/>
      <c r="G1327" s="35"/>
    </row>
    <row r="1328" spans="1:7" x14ac:dyDescent="0.2">
      <c r="A1328" s="29"/>
      <c r="B1328" s="75"/>
      <c r="C1328" s="41"/>
      <c r="D1328" s="187"/>
      <c r="E1328" s="84"/>
      <c r="F1328" s="163"/>
      <c r="G1328" s="35"/>
    </row>
    <row r="1329" spans="1:7" x14ac:dyDescent="0.2">
      <c r="A1329" s="29"/>
      <c r="B1329" s="75"/>
      <c r="C1329" s="41"/>
      <c r="D1329" s="187"/>
      <c r="E1329" s="84"/>
      <c r="F1329" s="163"/>
      <c r="G1329" s="35"/>
    </row>
    <row r="1330" spans="1:7" x14ac:dyDescent="0.2">
      <c r="A1330" s="29"/>
      <c r="B1330" s="75"/>
      <c r="C1330" s="41"/>
      <c r="D1330" s="187"/>
      <c r="E1330" s="84"/>
      <c r="F1330" s="163"/>
      <c r="G1330" s="35"/>
    </row>
    <row r="1331" spans="1:7" x14ac:dyDescent="0.2">
      <c r="A1331" s="29"/>
      <c r="B1331" s="75"/>
      <c r="C1331" s="41"/>
      <c r="D1331" s="187"/>
      <c r="E1331" s="84"/>
      <c r="F1331" s="163"/>
      <c r="G1331" s="35"/>
    </row>
    <row r="1332" spans="1:7" x14ac:dyDescent="0.2">
      <c r="A1332" s="29"/>
      <c r="B1332" s="75"/>
      <c r="C1332" s="41"/>
      <c r="D1332" s="187"/>
      <c r="E1332" s="84"/>
      <c r="F1332" s="163"/>
      <c r="G1332" s="35"/>
    </row>
    <row r="1333" spans="1:7" x14ac:dyDescent="0.2">
      <c r="A1333" s="29"/>
      <c r="B1333" s="75"/>
      <c r="C1333" s="41"/>
      <c r="D1333" s="187"/>
      <c r="E1333" s="84"/>
      <c r="F1333" s="163"/>
      <c r="G1333" s="35"/>
    </row>
    <row r="1334" spans="1:7" x14ac:dyDescent="0.2">
      <c r="A1334" s="29"/>
      <c r="B1334" s="75"/>
      <c r="C1334" s="41"/>
      <c r="D1334" s="187"/>
      <c r="E1334" s="84"/>
      <c r="F1334" s="163"/>
      <c r="G1334" s="35"/>
    </row>
    <row r="1335" spans="1:7" x14ac:dyDescent="0.2">
      <c r="A1335" s="29"/>
      <c r="B1335" s="75"/>
      <c r="C1335" s="41"/>
      <c r="D1335" s="187"/>
      <c r="E1335" s="84"/>
      <c r="F1335" s="163"/>
      <c r="G1335" s="35"/>
    </row>
    <row r="1336" spans="1:7" x14ac:dyDescent="0.2">
      <c r="A1336" s="29"/>
      <c r="B1336" s="75"/>
      <c r="C1336" s="41"/>
      <c r="D1336" s="187"/>
      <c r="E1336" s="84"/>
      <c r="F1336" s="163"/>
      <c r="G1336" s="35"/>
    </row>
    <row r="1337" spans="1:7" x14ac:dyDescent="0.2">
      <c r="A1337" s="29"/>
      <c r="B1337" s="75"/>
      <c r="C1337" s="41"/>
      <c r="D1337" s="187"/>
      <c r="E1337" s="84"/>
      <c r="F1337" s="163"/>
      <c r="G1337" s="35"/>
    </row>
    <row r="1338" spans="1:7" x14ac:dyDescent="0.2">
      <c r="A1338" s="29"/>
      <c r="B1338" s="75"/>
      <c r="C1338" s="41"/>
      <c r="D1338" s="187"/>
      <c r="E1338" s="84"/>
      <c r="F1338" s="172"/>
      <c r="G1338" s="35"/>
    </row>
    <row r="1339" spans="1:7" x14ac:dyDescent="0.2">
      <c r="A1339" s="29"/>
      <c r="B1339" s="75"/>
      <c r="C1339" s="41"/>
      <c r="D1339" s="187"/>
      <c r="E1339" s="84"/>
      <c r="F1339" s="173"/>
      <c r="G1339" s="35"/>
    </row>
    <row r="1340" spans="1:7" x14ac:dyDescent="0.2">
      <c r="A1340" s="29" t="s">
        <v>8</v>
      </c>
      <c r="B1340" s="75"/>
      <c r="C1340" s="41"/>
      <c r="D1340" s="187"/>
      <c r="E1340" s="84"/>
      <c r="F1340" s="173"/>
      <c r="G1340" s="35" t="s">
        <v>8</v>
      </c>
    </row>
    <row r="1341" spans="1:7" ht="13.5" thickBot="1" x14ac:dyDescent="0.25">
      <c r="A1341" s="45"/>
      <c r="B1341" s="188"/>
      <c r="C1341" s="47" t="s">
        <v>8</v>
      </c>
      <c r="D1341" s="66" t="s">
        <v>8</v>
      </c>
      <c r="E1341" s="188"/>
      <c r="F1341" s="49" t="s">
        <v>15</v>
      </c>
      <c r="G1341" s="50">
        <f>SUM(G1307:G1340)</f>
        <v>22500</v>
      </c>
    </row>
    <row r="1342" spans="1:7" ht="13.5" thickTop="1" x14ac:dyDescent="0.2">
      <c r="A1342" s="367" t="s">
        <v>2224</v>
      </c>
      <c r="B1342" s="190"/>
      <c r="C1342" s="191"/>
      <c r="D1342" s="192"/>
      <c r="E1342" s="190"/>
      <c r="F1342" s="193"/>
      <c r="G1342" s="194"/>
    </row>
    <row r="1343" spans="1:7" ht="13.5" thickBot="1" x14ac:dyDescent="0.25">
      <c r="A1343" s="195" t="s">
        <v>159</v>
      </c>
      <c r="B1343" s="196"/>
      <c r="C1343" s="368" t="s">
        <v>8</v>
      </c>
      <c r="D1343" s="196"/>
      <c r="E1343" s="197"/>
      <c r="F1343" s="198"/>
      <c r="G1343" s="199"/>
    </row>
    <row r="1344" spans="1:7" ht="13.5" thickTop="1" x14ac:dyDescent="0.2">
      <c r="A1344" s="906" t="s">
        <v>8</v>
      </c>
      <c r="B1344" s="907"/>
      <c r="C1344" s="907"/>
      <c r="D1344" s="57" t="s">
        <v>11</v>
      </c>
      <c r="E1344" s="908" t="s">
        <v>12</v>
      </c>
      <c r="F1344" s="908"/>
      <c r="G1344" s="909"/>
    </row>
    <row r="1345" spans="1:7" x14ac:dyDescent="0.2">
      <c r="A1345" s="966" t="s">
        <v>17</v>
      </c>
      <c r="B1345" s="967"/>
      <c r="C1345" s="968"/>
      <c r="D1345" s="39"/>
      <c r="E1345" s="912"/>
      <c r="F1345" s="913"/>
      <c r="G1345" s="914"/>
    </row>
    <row r="1346" spans="1:7" x14ac:dyDescent="0.2">
      <c r="A1346" s="966" t="s">
        <v>38</v>
      </c>
      <c r="B1346" s="967"/>
      <c r="C1346" s="968"/>
      <c r="D1346" s="58" t="s">
        <v>308</v>
      </c>
      <c r="E1346" s="969" t="s">
        <v>142</v>
      </c>
      <c r="F1346" s="868"/>
      <c r="G1346" s="869"/>
    </row>
    <row r="1347" spans="1:7" ht="13.5" thickBot="1" x14ac:dyDescent="0.25">
      <c r="A1347" s="970" t="s">
        <v>39</v>
      </c>
      <c r="B1347" s="971"/>
      <c r="C1347" s="972"/>
      <c r="D1347" s="375" t="s">
        <v>1038</v>
      </c>
      <c r="E1347" s="904" t="s">
        <v>0</v>
      </c>
      <c r="F1347" s="904"/>
      <c r="G1347" s="905"/>
    </row>
    <row r="1348" spans="1:7" ht="16.5" x14ac:dyDescent="0.25">
      <c r="A1348" s="885" t="s">
        <v>29</v>
      </c>
      <c r="B1348" s="886"/>
      <c r="C1348" s="886"/>
      <c r="D1348" s="886"/>
      <c r="E1348" s="886"/>
      <c r="F1348" s="886"/>
      <c r="G1348" s="887"/>
    </row>
    <row r="1349" spans="1:7" x14ac:dyDescent="0.2">
      <c r="A1349" s="888" t="s">
        <v>48</v>
      </c>
      <c r="B1349" s="889"/>
      <c r="C1349" s="889"/>
      <c r="D1349" s="889"/>
      <c r="E1349" s="889"/>
      <c r="F1349" s="889"/>
      <c r="G1349" s="890"/>
    </row>
    <row r="1350" spans="1:7" x14ac:dyDescent="0.2">
      <c r="A1350" s="915" t="s">
        <v>49</v>
      </c>
      <c r="B1350" s="916"/>
      <c r="C1350" s="916"/>
      <c r="D1350" s="916"/>
      <c r="E1350" s="916"/>
      <c r="F1350" s="916"/>
      <c r="G1350" s="917"/>
    </row>
    <row r="1351" spans="1:7" x14ac:dyDescent="0.2">
      <c r="A1351" s="6"/>
      <c r="B1351" s="178"/>
      <c r="C1351" s="8"/>
      <c r="D1351" s="9"/>
      <c r="E1351" s="99"/>
      <c r="F1351" s="10"/>
      <c r="G1351" s="11" t="s">
        <v>8</v>
      </c>
    </row>
    <row r="1352" spans="1:7" x14ac:dyDescent="0.2">
      <c r="A1352" s="12" t="s">
        <v>1</v>
      </c>
      <c r="B1352" s="13"/>
      <c r="C1352" s="14" t="s">
        <v>5</v>
      </c>
      <c r="D1352" s="13"/>
      <c r="E1352" s="362" t="s">
        <v>2276</v>
      </c>
      <c r="F1352" s="60"/>
      <c r="G1352" s="363" t="s">
        <v>1981</v>
      </c>
    </row>
    <row r="1353" spans="1:7" x14ac:dyDescent="0.2">
      <c r="A1353" s="17" t="s">
        <v>8</v>
      </c>
      <c r="B1353" s="179"/>
      <c r="C1353" s="19"/>
      <c r="D1353" s="4"/>
      <c r="E1353" s="918"/>
      <c r="F1353" s="919"/>
      <c r="G1353" s="20"/>
    </row>
    <row r="1354" spans="1:7" x14ac:dyDescent="0.2">
      <c r="A1354" s="21" t="s">
        <v>37</v>
      </c>
      <c r="B1354" s="22"/>
      <c r="C1354" s="22"/>
      <c r="D1354" s="22"/>
      <c r="E1354" s="23" t="s">
        <v>46</v>
      </c>
      <c r="F1354" s="24"/>
      <c r="G1354" s="20" t="s">
        <v>50</v>
      </c>
    </row>
    <row r="1355" spans="1:7" x14ac:dyDescent="0.2">
      <c r="A1355" s="6"/>
      <c r="B1355" s="178"/>
      <c r="C1355" s="8"/>
      <c r="D1355" s="8"/>
      <c r="E1355" s="920"/>
      <c r="F1355" s="921"/>
      <c r="G1355" s="25"/>
    </row>
    <row r="1356" spans="1:7" ht="26.25" thickBot="1" x14ac:dyDescent="0.25">
      <c r="A1356" s="26" t="s">
        <v>47</v>
      </c>
      <c r="B1356" s="180" t="s">
        <v>23</v>
      </c>
      <c r="C1356" s="28" t="s">
        <v>34</v>
      </c>
      <c r="D1356" s="110" t="s">
        <v>53</v>
      </c>
      <c r="E1356" s="181" t="s">
        <v>54</v>
      </c>
      <c r="F1356" s="111" t="s">
        <v>55</v>
      </c>
      <c r="G1356" s="112" t="s">
        <v>35</v>
      </c>
    </row>
    <row r="1357" spans="1:7" ht="13.5" thickTop="1" x14ac:dyDescent="0.2">
      <c r="A1357" s="29">
        <v>1</v>
      </c>
      <c r="B1357" s="75"/>
      <c r="C1357" s="365" t="s">
        <v>149</v>
      </c>
      <c r="D1357" s="366" t="s">
        <v>2225</v>
      </c>
      <c r="E1357" s="77">
        <v>150</v>
      </c>
      <c r="F1357" s="185">
        <v>200</v>
      </c>
      <c r="G1357" s="35">
        <f>F1357*E1357</f>
        <v>30000</v>
      </c>
    </row>
    <row r="1358" spans="1:7" x14ac:dyDescent="0.2">
      <c r="A1358" s="364">
        <v>2</v>
      </c>
      <c r="B1358" s="75"/>
      <c r="C1358" s="365" t="s">
        <v>149</v>
      </c>
      <c r="D1358" s="366" t="s">
        <v>339</v>
      </c>
      <c r="E1358" s="77">
        <v>150</v>
      </c>
      <c r="F1358" s="185">
        <v>350</v>
      </c>
      <c r="G1358" s="35">
        <f t="shared" ref="G1358:G1360" si="17">F1358*E1358</f>
        <v>52500</v>
      </c>
    </row>
    <row r="1359" spans="1:7" x14ac:dyDescent="0.2">
      <c r="A1359" s="364"/>
      <c r="B1359" s="75"/>
      <c r="C1359" s="365"/>
      <c r="D1359" s="366" t="s">
        <v>301</v>
      </c>
      <c r="E1359" s="77"/>
      <c r="F1359" s="185"/>
      <c r="G1359" s="35"/>
    </row>
    <row r="1360" spans="1:7" x14ac:dyDescent="0.2">
      <c r="A1360" s="364">
        <v>3</v>
      </c>
      <c r="B1360" s="75"/>
      <c r="C1360" s="365" t="s">
        <v>149</v>
      </c>
      <c r="D1360" s="366" t="s">
        <v>2226</v>
      </c>
      <c r="E1360" s="77">
        <v>150</v>
      </c>
      <c r="F1360" s="185">
        <v>200</v>
      </c>
      <c r="G1360" s="35">
        <f t="shared" si="17"/>
        <v>30000</v>
      </c>
    </row>
    <row r="1361" spans="1:7" x14ac:dyDescent="0.2">
      <c r="A1361" s="29"/>
      <c r="B1361" s="75"/>
      <c r="C1361" s="183"/>
      <c r="D1361" s="366"/>
      <c r="E1361" s="77"/>
      <c r="F1361" s="185"/>
      <c r="G1361" s="35"/>
    </row>
    <row r="1362" spans="1:7" x14ac:dyDescent="0.2">
      <c r="A1362" s="29"/>
      <c r="B1362" s="75"/>
      <c r="C1362" s="183"/>
      <c r="D1362" s="184"/>
      <c r="E1362" s="77"/>
      <c r="F1362" s="185"/>
      <c r="G1362" s="35"/>
    </row>
    <row r="1363" spans="1:7" x14ac:dyDescent="0.2">
      <c r="A1363" s="29"/>
      <c r="B1363" s="75"/>
      <c r="C1363" s="41"/>
      <c r="D1363" s="184"/>
      <c r="E1363" s="77"/>
      <c r="F1363" s="185"/>
      <c r="G1363" s="35"/>
    </row>
    <row r="1364" spans="1:7" x14ac:dyDescent="0.2">
      <c r="A1364" s="29"/>
      <c r="B1364" s="75"/>
      <c r="C1364" s="41"/>
      <c r="D1364" s="184"/>
      <c r="E1364" s="77"/>
      <c r="F1364" s="185"/>
      <c r="G1364" s="35"/>
    </row>
    <row r="1365" spans="1:7" x14ac:dyDescent="0.2">
      <c r="A1365" s="29"/>
      <c r="B1365" s="186"/>
      <c r="C1365" s="41"/>
      <c r="D1365" s="184"/>
      <c r="E1365" s="77"/>
      <c r="F1365" s="185"/>
      <c r="G1365" s="35"/>
    </row>
    <row r="1366" spans="1:7" x14ac:dyDescent="0.2">
      <c r="A1366" s="29"/>
      <c r="B1366" s="74"/>
      <c r="C1366" s="31"/>
      <c r="D1366" s="184"/>
      <c r="E1366" s="77"/>
      <c r="F1366" s="185"/>
      <c r="G1366" s="35"/>
    </row>
    <row r="1367" spans="1:7" x14ac:dyDescent="0.2">
      <c r="A1367" s="29"/>
      <c r="B1367" s="74"/>
      <c r="C1367" s="41"/>
      <c r="D1367" s="187"/>
      <c r="E1367" s="84"/>
      <c r="F1367" s="163"/>
      <c r="G1367" s="35"/>
    </row>
    <row r="1368" spans="1:7" x14ac:dyDescent="0.2">
      <c r="A1368" s="29"/>
      <c r="B1368" s="74"/>
      <c r="C1368" s="41"/>
      <c r="D1368" s="187"/>
      <c r="E1368" s="84"/>
      <c r="F1368" s="163"/>
      <c r="G1368" s="35"/>
    </row>
    <row r="1369" spans="1:7" x14ac:dyDescent="0.2">
      <c r="A1369" s="29"/>
      <c r="B1369" s="75"/>
      <c r="C1369" s="41"/>
      <c r="D1369" s="187"/>
      <c r="E1369" s="84"/>
      <c r="F1369" s="172"/>
      <c r="G1369" s="35"/>
    </row>
    <row r="1370" spans="1:7" x14ac:dyDescent="0.2">
      <c r="A1370" s="29"/>
      <c r="B1370" s="75"/>
      <c r="C1370" s="41"/>
      <c r="D1370" s="187"/>
      <c r="E1370" s="84"/>
      <c r="F1370" s="173"/>
      <c r="G1370" s="35"/>
    </row>
    <row r="1371" spans="1:7" x14ac:dyDescent="0.2">
      <c r="A1371" s="29"/>
      <c r="B1371" s="75"/>
      <c r="C1371" s="183"/>
      <c r="D1371" s="187"/>
      <c r="E1371" s="77"/>
      <c r="F1371" s="185"/>
      <c r="G1371" s="35"/>
    </row>
    <row r="1372" spans="1:7" x14ac:dyDescent="0.2">
      <c r="A1372" s="29"/>
      <c r="B1372" s="75"/>
      <c r="C1372" s="183"/>
      <c r="D1372" s="187"/>
      <c r="E1372" s="77"/>
      <c r="F1372" s="185"/>
      <c r="G1372" s="35"/>
    </row>
    <row r="1373" spans="1:7" x14ac:dyDescent="0.2">
      <c r="A1373" s="29"/>
      <c r="B1373" s="75"/>
      <c r="C1373" s="183"/>
      <c r="D1373" s="184"/>
      <c r="E1373" s="77"/>
      <c r="F1373" s="185"/>
      <c r="G1373" s="35"/>
    </row>
    <row r="1374" spans="1:7" x14ac:dyDescent="0.2">
      <c r="A1374" s="29"/>
      <c r="B1374" s="75"/>
      <c r="C1374" s="183"/>
      <c r="D1374" s="184"/>
      <c r="E1374" s="77"/>
      <c r="F1374" s="185"/>
      <c r="G1374" s="35"/>
    </row>
    <row r="1375" spans="1:7" x14ac:dyDescent="0.2">
      <c r="A1375" s="29"/>
      <c r="B1375" s="75"/>
      <c r="C1375" s="183"/>
      <c r="D1375" s="184"/>
      <c r="E1375" s="77"/>
      <c r="F1375" s="185"/>
      <c r="G1375" s="35"/>
    </row>
    <row r="1376" spans="1:7" x14ac:dyDescent="0.2">
      <c r="A1376" s="29"/>
      <c r="B1376" s="75"/>
      <c r="C1376" s="41"/>
      <c r="D1376" s="184"/>
      <c r="E1376" s="84"/>
      <c r="F1376" s="163"/>
      <c r="G1376" s="35"/>
    </row>
    <row r="1377" spans="1:7" x14ac:dyDescent="0.2">
      <c r="A1377" s="29"/>
      <c r="B1377" s="75"/>
      <c r="C1377" s="41"/>
      <c r="D1377" s="184"/>
      <c r="E1377" s="84"/>
      <c r="F1377" s="163"/>
      <c r="G1377" s="35"/>
    </row>
    <row r="1378" spans="1:7" x14ac:dyDescent="0.2">
      <c r="A1378" s="29"/>
      <c r="B1378" s="75"/>
      <c r="C1378" s="41"/>
      <c r="D1378" s="187"/>
      <c r="E1378" s="84"/>
      <c r="F1378" s="163"/>
      <c r="G1378" s="35"/>
    </row>
    <row r="1379" spans="1:7" x14ac:dyDescent="0.2">
      <c r="A1379" s="29"/>
      <c r="B1379" s="75"/>
      <c r="C1379" s="41"/>
      <c r="D1379" s="187"/>
      <c r="E1379" s="84"/>
      <c r="F1379" s="163"/>
      <c r="G1379" s="35"/>
    </row>
    <row r="1380" spans="1:7" x14ac:dyDescent="0.2">
      <c r="A1380" s="29"/>
      <c r="B1380" s="75"/>
      <c r="C1380" s="41"/>
      <c r="D1380" s="187"/>
      <c r="E1380" s="84"/>
      <c r="F1380" s="163"/>
      <c r="G1380" s="35"/>
    </row>
    <row r="1381" spans="1:7" x14ac:dyDescent="0.2">
      <c r="A1381" s="29"/>
      <c r="B1381" s="75"/>
      <c r="C1381" s="41"/>
      <c r="D1381" s="187"/>
      <c r="E1381" s="84"/>
      <c r="F1381" s="163"/>
      <c r="G1381" s="35"/>
    </row>
    <row r="1382" spans="1:7" x14ac:dyDescent="0.2">
      <c r="A1382" s="29"/>
      <c r="B1382" s="75"/>
      <c r="C1382" s="41"/>
      <c r="D1382" s="187"/>
      <c r="E1382" s="84"/>
      <c r="F1382" s="163"/>
      <c r="G1382" s="35"/>
    </row>
    <row r="1383" spans="1:7" x14ac:dyDescent="0.2">
      <c r="A1383" s="29"/>
      <c r="B1383" s="75"/>
      <c r="C1383" s="41"/>
      <c r="D1383" s="187"/>
      <c r="E1383" s="84"/>
      <c r="F1383" s="163"/>
      <c r="G1383" s="35"/>
    </row>
    <row r="1384" spans="1:7" x14ac:dyDescent="0.2">
      <c r="A1384" s="29"/>
      <c r="B1384" s="75"/>
      <c r="C1384" s="41"/>
      <c r="D1384" s="187"/>
      <c r="E1384" s="84"/>
      <c r="F1384" s="163"/>
      <c r="G1384" s="35"/>
    </row>
    <row r="1385" spans="1:7" x14ac:dyDescent="0.2">
      <c r="A1385" s="29"/>
      <c r="B1385" s="75"/>
      <c r="C1385" s="41"/>
      <c r="D1385" s="187"/>
      <c r="E1385" s="84"/>
      <c r="F1385" s="163"/>
      <c r="G1385" s="35"/>
    </row>
    <row r="1386" spans="1:7" x14ac:dyDescent="0.2">
      <c r="A1386" s="29"/>
      <c r="B1386" s="75"/>
      <c r="C1386" s="41"/>
      <c r="D1386" s="187"/>
      <c r="E1386" s="84"/>
      <c r="F1386" s="163"/>
      <c r="G1386" s="35"/>
    </row>
    <row r="1387" spans="1:7" x14ac:dyDescent="0.2">
      <c r="A1387" s="29"/>
      <c r="B1387" s="75"/>
      <c r="C1387" s="41"/>
      <c r="D1387" s="187"/>
      <c r="E1387" s="84"/>
      <c r="F1387" s="163"/>
      <c r="G1387" s="35"/>
    </row>
    <row r="1388" spans="1:7" x14ac:dyDescent="0.2">
      <c r="A1388" s="29"/>
      <c r="B1388" s="75"/>
      <c r="C1388" s="41"/>
      <c r="D1388" s="187"/>
      <c r="E1388" s="84"/>
      <c r="F1388" s="172"/>
      <c r="G1388" s="35"/>
    </row>
    <row r="1389" spans="1:7" x14ac:dyDescent="0.2">
      <c r="A1389" s="29"/>
      <c r="B1389" s="75"/>
      <c r="C1389" s="41"/>
      <c r="D1389" s="187"/>
      <c r="E1389" s="84"/>
      <c r="F1389" s="173"/>
      <c r="G1389" s="35"/>
    </row>
    <row r="1390" spans="1:7" x14ac:dyDescent="0.2">
      <c r="A1390" s="29" t="s">
        <v>8</v>
      </c>
      <c r="B1390" s="75"/>
      <c r="C1390" s="41"/>
      <c r="D1390" s="187"/>
      <c r="E1390" s="84"/>
      <c r="F1390" s="173"/>
      <c r="G1390" s="35" t="s">
        <v>8</v>
      </c>
    </row>
    <row r="1391" spans="1:7" ht="13.5" thickBot="1" x14ac:dyDescent="0.25">
      <c r="A1391" s="45"/>
      <c r="B1391" s="188"/>
      <c r="C1391" s="47" t="s">
        <v>8</v>
      </c>
      <c r="D1391" s="66" t="s">
        <v>8</v>
      </c>
      <c r="E1391" s="188"/>
      <c r="F1391" s="49" t="s">
        <v>15</v>
      </c>
      <c r="G1391" s="50">
        <f>SUM(G1357:G1390)</f>
        <v>112500</v>
      </c>
    </row>
    <row r="1392" spans="1:7" ht="13.5" thickTop="1" x14ac:dyDescent="0.2">
      <c r="A1392" s="367" t="s">
        <v>2227</v>
      </c>
      <c r="B1392" s="190"/>
      <c r="C1392" s="191"/>
      <c r="D1392" s="192"/>
      <c r="E1392" s="190"/>
      <c r="F1392" s="193"/>
      <c r="G1392" s="194"/>
    </row>
    <row r="1393" spans="1:7" ht="13.5" thickBot="1" x14ac:dyDescent="0.25">
      <c r="A1393" s="195" t="s">
        <v>159</v>
      </c>
      <c r="B1393" s="196"/>
      <c r="C1393" s="368" t="s">
        <v>2228</v>
      </c>
      <c r="D1393" s="196"/>
      <c r="E1393" s="197"/>
      <c r="F1393" s="198"/>
      <c r="G1393" s="199"/>
    </row>
    <row r="1394" spans="1:7" ht="13.5" thickTop="1" x14ac:dyDescent="0.2">
      <c r="A1394" s="906" t="s">
        <v>8</v>
      </c>
      <c r="B1394" s="907"/>
      <c r="C1394" s="907"/>
      <c r="D1394" s="57" t="s">
        <v>11</v>
      </c>
      <c r="E1394" s="908" t="s">
        <v>12</v>
      </c>
      <c r="F1394" s="908"/>
      <c r="G1394" s="909"/>
    </row>
    <row r="1395" spans="1:7" x14ac:dyDescent="0.2">
      <c r="A1395" s="966" t="s">
        <v>17</v>
      </c>
      <c r="B1395" s="967"/>
      <c r="C1395" s="968"/>
      <c r="D1395" s="39"/>
      <c r="E1395" s="912"/>
      <c r="F1395" s="913"/>
      <c r="G1395" s="914"/>
    </row>
    <row r="1396" spans="1:7" x14ac:dyDescent="0.2">
      <c r="A1396" s="966" t="s">
        <v>38</v>
      </c>
      <c r="B1396" s="967"/>
      <c r="C1396" s="968"/>
      <c r="D1396" s="58" t="s">
        <v>308</v>
      </c>
      <c r="E1396" s="969" t="s">
        <v>142</v>
      </c>
      <c r="F1396" s="868"/>
      <c r="G1396" s="869"/>
    </row>
    <row r="1397" spans="1:7" ht="13.5" thickBot="1" x14ac:dyDescent="0.25">
      <c r="A1397" s="970" t="s">
        <v>39</v>
      </c>
      <c r="B1397" s="971"/>
      <c r="C1397" s="972"/>
      <c r="D1397" s="375" t="s">
        <v>1038</v>
      </c>
      <c r="E1397" s="904" t="s">
        <v>0</v>
      </c>
      <c r="F1397" s="904"/>
      <c r="G1397" s="905"/>
    </row>
    <row r="1398" spans="1:7" ht="16.5" x14ac:dyDescent="0.25">
      <c r="A1398" s="885" t="s">
        <v>29</v>
      </c>
      <c r="B1398" s="886"/>
      <c r="C1398" s="886"/>
      <c r="D1398" s="886"/>
      <c r="E1398" s="886"/>
      <c r="F1398" s="886"/>
      <c r="G1398" s="887"/>
    </row>
    <row r="1399" spans="1:7" x14ac:dyDescent="0.2">
      <c r="A1399" s="888" t="s">
        <v>48</v>
      </c>
      <c r="B1399" s="889"/>
      <c r="C1399" s="889"/>
      <c r="D1399" s="889"/>
      <c r="E1399" s="889"/>
      <c r="F1399" s="889"/>
      <c r="G1399" s="890"/>
    </row>
    <row r="1400" spans="1:7" x14ac:dyDescent="0.2">
      <c r="A1400" s="915" t="s">
        <v>49</v>
      </c>
      <c r="B1400" s="916"/>
      <c r="C1400" s="916"/>
      <c r="D1400" s="916"/>
      <c r="E1400" s="916"/>
      <c r="F1400" s="916"/>
      <c r="G1400" s="917"/>
    </row>
    <row r="1401" spans="1:7" x14ac:dyDescent="0.2">
      <c r="A1401" s="6"/>
      <c r="B1401" s="178"/>
      <c r="C1401" s="8"/>
      <c r="D1401" s="9"/>
      <c r="E1401" s="99"/>
      <c r="F1401" s="10"/>
      <c r="G1401" s="11" t="s">
        <v>8</v>
      </c>
    </row>
    <row r="1402" spans="1:7" x14ac:dyDescent="0.2">
      <c r="A1402" s="12" t="s">
        <v>1</v>
      </c>
      <c r="B1402" s="13"/>
      <c r="C1402" s="14" t="s">
        <v>5</v>
      </c>
      <c r="D1402" s="13"/>
      <c r="E1402" s="362" t="s">
        <v>1526</v>
      </c>
      <c r="F1402" s="60"/>
      <c r="G1402" s="363" t="s">
        <v>2005</v>
      </c>
    </row>
    <row r="1403" spans="1:7" x14ac:dyDescent="0.2">
      <c r="A1403" s="17" t="s">
        <v>8</v>
      </c>
      <c r="B1403" s="179"/>
      <c r="C1403" s="19"/>
      <c r="D1403" s="4"/>
      <c r="E1403" s="918"/>
      <c r="F1403" s="919"/>
      <c r="G1403" s="20"/>
    </row>
    <row r="1404" spans="1:7" x14ac:dyDescent="0.2">
      <c r="A1404" s="21" t="s">
        <v>37</v>
      </c>
      <c r="B1404" s="22"/>
      <c r="C1404" s="22"/>
      <c r="D1404" s="22"/>
      <c r="E1404" s="23" t="s">
        <v>46</v>
      </c>
      <c r="F1404" s="24"/>
      <c r="G1404" s="20" t="s">
        <v>50</v>
      </c>
    </row>
    <row r="1405" spans="1:7" x14ac:dyDescent="0.2">
      <c r="A1405" s="6"/>
      <c r="B1405" s="178"/>
      <c r="C1405" s="8"/>
      <c r="D1405" s="8"/>
      <c r="E1405" s="920"/>
      <c r="F1405" s="921"/>
      <c r="G1405" s="25"/>
    </row>
    <row r="1406" spans="1:7" ht="26.25" thickBot="1" x14ac:dyDescent="0.25">
      <c r="A1406" s="26" t="s">
        <v>47</v>
      </c>
      <c r="B1406" s="180" t="s">
        <v>23</v>
      </c>
      <c r="C1406" s="28" t="s">
        <v>34</v>
      </c>
      <c r="D1406" s="110" t="s">
        <v>53</v>
      </c>
      <c r="E1406" s="181" t="s">
        <v>54</v>
      </c>
      <c r="F1406" s="111" t="s">
        <v>55</v>
      </c>
      <c r="G1406" s="112" t="s">
        <v>35</v>
      </c>
    </row>
    <row r="1407" spans="1:7" ht="13.5" thickTop="1" x14ac:dyDescent="0.2">
      <c r="A1407" s="29">
        <v>1</v>
      </c>
      <c r="B1407" s="75"/>
      <c r="C1407" s="365" t="s">
        <v>149</v>
      </c>
      <c r="D1407" s="366" t="s">
        <v>2225</v>
      </c>
      <c r="E1407" s="77">
        <v>150</v>
      </c>
      <c r="F1407" s="185">
        <v>200</v>
      </c>
      <c r="G1407" s="35">
        <f>F1407*E1407</f>
        <v>30000</v>
      </c>
    </row>
    <row r="1408" spans="1:7" x14ac:dyDescent="0.2">
      <c r="A1408" s="364">
        <v>2</v>
      </c>
      <c r="B1408" s="75"/>
      <c r="C1408" s="365" t="s">
        <v>149</v>
      </c>
      <c r="D1408" s="366" t="s">
        <v>339</v>
      </c>
      <c r="E1408" s="77">
        <v>150</v>
      </c>
      <c r="F1408" s="185">
        <v>350</v>
      </c>
      <c r="G1408" s="35">
        <f t="shared" ref="G1408" si="18">F1408*E1408</f>
        <v>52500</v>
      </c>
    </row>
    <row r="1409" spans="1:7" x14ac:dyDescent="0.2">
      <c r="A1409" s="364"/>
      <c r="B1409" s="75"/>
      <c r="C1409" s="365"/>
      <c r="D1409" s="366" t="s">
        <v>301</v>
      </c>
      <c r="E1409" s="77"/>
      <c r="F1409" s="185"/>
      <c r="G1409" s="35"/>
    </row>
    <row r="1410" spans="1:7" x14ac:dyDescent="0.2">
      <c r="A1410" s="364">
        <v>3</v>
      </c>
      <c r="B1410" s="75"/>
      <c r="C1410" s="365" t="s">
        <v>149</v>
      </c>
      <c r="D1410" s="366" t="s">
        <v>2226</v>
      </c>
      <c r="E1410" s="77">
        <v>150</v>
      </c>
      <c r="F1410" s="185">
        <v>200</v>
      </c>
      <c r="G1410" s="35">
        <f t="shared" ref="G1410" si="19">F1410*E1410</f>
        <v>30000</v>
      </c>
    </row>
    <row r="1411" spans="1:7" x14ac:dyDescent="0.2">
      <c r="A1411" s="29"/>
      <c r="B1411" s="75"/>
      <c r="C1411" s="183"/>
      <c r="D1411" s="366"/>
      <c r="E1411" s="77"/>
      <c r="F1411" s="185"/>
      <c r="G1411" s="35"/>
    </row>
    <row r="1412" spans="1:7" x14ac:dyDescent="0.2">
      <c r="A1412" s="29"/>
      <c r="B1412" s="75"/>
      <c r="C1412" s="183"/>
      <c r="D1412" s="184"/>
      <c r="E1412" s="77"/>
      <c r="F1412" s="185"/>
      <c r="G1412" s="35"/>
    </row>
    <row r="1413" spans="1:7" x14ac:dyDescent="0.2">
      <c r="A1413" s="29"/>
      <c r="B1413" s="75"/>
      <c r="C1413" s="41"/>
      <c r="D1413" s="184"/>
      <c r="E1413" s="77"/>
      <c r="F1413" s="185"/>
      <c r="G1413" s="35"/>
    </row>
    <row r="1414" spans="1:7" x14ac:dyDescent="0.2">
      <c r="A1414" s="29"/>
      <c r="B1414" s="75"/>
      <c r="C1414" s="41"/>
      <c r="D1414" s="184"/>
      <c r="E1414" s="77"/>
      <c r="F1414" s="185"/>
      <c r="G1414" s="35"/>
    </row>
    <row r="1415" spans="1:7" x14ac:dyDescent="0.2">
      <c r="A1415" s="29"/>
      <c r="B1415" s="186"/>
      <c r="C1415" s="41"/>
      <c r="D1415" s="184"/>
      <c r="E1415" s="77"/>
      <c r="F1415" s="185"/>
      <c r="G1415" s="35"/>
    </row>
    <row r="1416" spans="1:7" x14ac:dyDescent="0.2">
      <c r="A1416" s="29"/>
      <c r="B1416" s="74"/>
      <c r="C1416" s="31"/>
      <c r="D1416" s="184"/>
      <c r="E1416" s="77"/>
      <c r="F1416" s="185"/>
      <c r="G1416" s="35"/>
    </row>
    <row r="1417" spans="1:7" x14ac:dyDescent="0.2">
      <c r="A1417" s="29"/>
      <c r="B1417" s="74"/>
      <c r="C1417" s="41"/>
      <c r="D1417" s="187"/>
      <c r="E1417" s="84"/>
      <c r="F1417" s="163"/>
      <c r="G1417" s="35"/>
    </row>
    <row r="1418" spans="1:7" x14ac:dyDescent="0.2">
      <c r="A1418" s="29"/>
      <c r="B1418" s="74"/>
      <c r="C1418" s="41"/>
      <c r="D1418" s="187"/>
      <c r="E1418" s="84"/>
      <c r="F1418" s="163"/>
      <c r="G1418" s="35"/>
    </row>
    <row r="1419" spans="1:7" x14ac:dyDescent="0.2">
      <c r="A1419" s="29"/>
      <c r="B1419" s="75"/>
      <c r="C1419" s="41"/>
      <c r="D1419" s="187"/>
      <c r="E1419" s="84"/>
      <c r="F1419" s="172"/>
      <c r="G1419" s="35"/>
    </row>
    <row r="1420" spans="1:7" x14ac:dyDescent="0.2">
      <c r="A1420" s="29"/>
      <c r="B1420" s="75"/>
      <c r="C1420" s="41"/>
      <c r="D1420" s="187"/>
      <c r="E1420" s="84"/>
      <c r="F1420" s="173"/>
      <c r="G1420" s="35"/>
    </row>
    <row r="1421" spans="1:7" x14ac:dyDescent="0.2">
      <c r="A1421" s="29"/>
      <c r="B1421" s="75"/>
      <c r="C1421" s="183"/>
      <c r="D1421" s="187"/>
      <c r="E1421" s="77"/>
      <c r="F1421" s="185"/>
      <c r="G1421" s="35"/>
    </row>
    <row r="1422" spans="1:7" x14ac:dyDescent="0.2">
      <c r="A1422" s="29"/>
      <c r="B1422" s="75"/>
      <c r="C1422" s="183"/>
      <c r="D1422" s="187"/>
      <c r="E1422" s="77"/>
      <c r="F1422" s="185"/>
      <c r="G1422" s="35"/>
    </row>
    <row r="1423" spans="1:7" x14ac:dyDescent="0.2">
      <c r="A1423" s="29"/>
      <c r="B1423" s="75"/>
      <c r="C1423" s="183"/>
      <c r="D1423" s="184"/>
      <c r="E1423" s="77"/>
      <c r="F1423" s="185"/>
      <c r="G1423" s="35"/>
    </row>
    <row r="1424" spans="1:7" x14ac:dyDescent="0.2">
      <c r="A1424" s="29"/>
      <c r="B1424" s="75"/>
      <c r="C1424" s="183"/>
      <c r="D1424" s="184"/>
      <c r="E1424" s="77"/>
      <c r="F1424" s="185"/>
      <c r="G1424" s="35"/>
    </row>
    <row r="1425" spans="1:7" x14ac:dyDescent="0.2">
      <c r="A1425" s="29"/>
      <c r="B1425" s="75"/>
      <c r="C1425" s="183"/>
      <c r="D1425" s="184"/>
      <c r="E1425" s="77"/>
      <c r="F1425" s="185"/>
      <c r="G1425" s="35"/>
    </row>
    <row r="1426" spans="1:7" x14ac:dyDescent="0.2">
      <c r="A1426" s="29"/>
      <c r="B1426" s="75"/>
      <c r="C1426" s="41"/>
      <c r="D1426" s="184"/>
      <c r="E1426" s="84"/>
      <c r="F1426" s="163"/>
      <c r="G1426" s="35"/>
    </row>
    <row r="1427" spans="1:7" x14ac:dyDescent="0.2">
      <c r="A1427" s="29"/>
      <c r="B1427" s="75"/>
      <c r="C1427" s="41"/>
      <c r="D1427" s="184"/>
      <c r="E1427" s="84"/>
      <c r="F1427" s="163"/>
      <c r="G1427" s="35"/>
    </row>
    <row r="1428" spans="1:7" x14ac:dyDescent="0.2">
      <c r="A1428" s="29"/>
      <c r="B1428" s="75"/>
      <c r="C1428" s="41"/>
      <c r="D1428" s="187"/>
      <c r="E1428" s="84"/>
      <c r="F1428" s="163"/>
      <c r="G1428" s="35"/>
    </row>
    <row r="1429" spans="1:7" x14ac:dyDescent="0.2">
      <c r="A1429" s="29"/>
      <c r="B1429" s="75"/>
      <c r="C1429" s="41"/>
      <c r="D1429" s="187"/>
      <c r="E1429" s="84"/>
      <c r="F1429" s="163"/>
      <c r="G1429" s="35"/>
    </row>
    <row r="1430" spans="1:7" x14ac:dyDescent="0.2">
      <c r="A1430" s="29"/>
      <c r="B1430" s="75"/>
      <c r="C1430" s="41"/>
      <c r="D1430" s="187"/>
      <c r="E1430" s="84"/>
      <c r="F1430" s="163"/>
      <c r="G1430" s="35"/>
    </row>
    <row r="1431" spans="1:7" x14ac:dyDescent="0.2">
      <c r="A1431" s="29"/>
      <c r="B1431" s="75"/>
      <c r="C1431" s="41"/>
      <c r="D1431" s="187"/>
      <c r="E1431" s="84"/>
      <c r="F1431" s="163"/>
      <c r="G1431" s="35"/>
    </row>
    <row r="1432" spans="1:7" x14ac:dyDescent="0.2">
      <c r="A1432" s="29"/>
      <c r="B1432" s="75"/>
      <c r="C1432" s="41"/>
      <c r="D1432" s="187"/>
      <c r="E1432" s="84"/>
      <c r="F1432" s="163"/>
      <c r="G1432" s="35"/>
    </row>
    <row r="1433" spans="1:7" x14ac:dyDescent="0.2">
      <c r="A1433" s="29"/>
      <c r="B1433" s="75"/>
      <c r="C1433" s="41"/>
      <c r="D1433" s="187"/>
      <c r="E1433" s="84"/>
      <c r="F1433" s="163"/>
      <c r="G1433" s="35"/>
    </row>
    <row r="1434" spans="1:7" x14ac:dyDescent="0.2">
      <c r="A1434" s="29"/>
      <c r="B1434" s="75"/>
      <c r="C1434" s="41"/>
      <c r="D1434" s="187"/>
      <c r="E1434" s="84"/>
      <c r="F1434" s="163"/>
      <c r="G1434" s="35"/>
    </row>
    <row r="1435" spans="1:7" x14ac:dyDescent="0.2">
      <c r="A1435" s="29"/>
      <c r="B1435" s="75"/>
      <c r="C1435" s="41"/>
      <c r="D1435" s="187"/>
      <c r="E1435" s="84"/>
      <c r="F1435" s="163"/>
      <c r="G1435" s="35"/>
    </row>
    <row r="1436" spans="1:7" x14ac:dyDescent="0.2">
      <c r="A1436" s="29"/>
      <c r="B1436" s="75"/>
      <c r="C1436" s="41"/>
      <c r="D1436" s="187"/>
      <c r="E1436" s="84"/>
      <c r="F1436" s="163"/>
      <c r="G1436" s="35"/>
    </row>
    <row r="1437" spans="1:7" x14ac:dyDescent="0.2">
      <c r="A1437" s="29"/>
      <c r="B1437" s="75"/>
      <c r="C1437" s="41"/>
      <c r="D1437" s="187"/>
      <c r="E1437" s="84"/>
      <c r="F1437" s="163"/>
      <c r="G1437" s="35"/>
    </row>
    <row r="1438" spans="1:7" x14ac:dyDescent="0.2">
      <c r="A1438" s="29"/>
      <c r="B1438" s="75"/>
      <c r="C1438" s="41"/>
      <c r="D1438" s="187"/>
      <c r="E1438" s="84"/>
      <c r="F1438" s="172"/>
      <c r="G1438" s="35"/>
    </row>
    <row r="1439" spans="1:7" x14ac:dyDescent="0.2">
      <c r="A1439" s="29"/>
      <c r="B1439" s="75"/>
      <c r="C1439" s="41"/>
      <c r="D1439" s="187"/>
      <c r="E1439" s="84"/>
      <c r="F1439" s="173"/>
      <c r="G1439" s="35"/>
    </row>
    <row r="1440" spans="1:7" x14ac:dyDescent="0.2">
      <c r="A1440" s="29" t="s">
        <v>8</v>
      </c>
      <c r="B1440" s="75"/>
      <c r="C1440" s="41"/>
      <c r="D1440" s="187"/>
      <c r="E1440" s="84"/>
      <c r="F1440" s="173"/>
      <c r="G1440" s="35" t="s">
        <v>8</v>
      </c>
    </row>
    <row r="1441" spans="1:7" ht="13.5" thickBot="1" x14ac:dyDescent="0.25">
      <c r="A1441" s="45"/>
      <c r="B1441" s="188"/>
      <c r="C1441" s="47" t="s">
        <v>8</v>
      </c>
      <c r="D1441" s="66" t="s">
        <v>8</v>
      </c>
      <c r="E1441" s="188"/>
      <c r="F1441" s="49" t="s">
        <v>15</v>
      </c>
      <c r="G1441" s="50">
        <f>SUM(G1407:G1440)</f>
        <v>112500</v>
      </c>
    </row>
    <row r="1442" spans="1:7" ht="13.5" thickTop="1" x14ac:dyDescent="0.2">
      <c r="A1442" s="367" t="s">
        <v>2227</v>
      </c>
      <c r="B1442" s="190"/>
      <c r="C1442" s="191"/>
      <c r="D1442" s="192"/>
      <c r="E1442" s="190"/>
      <c r="F1442" s="193"/>
      <c r="G1442" s="194"/>
    </row>
    <row r="1443" spans="1:7" ht="13.5" thickBot="1" x14ac:dyDescent="0.25">
      <c r="A1443" s="195" t="s">
        <v>159</v>
      </c>
      <c r="B1443" s="196"/>
      <c r="C1443" s="368" t="s">
        <v>2228</v>
      </c>
      <c r="D1443" s="196"/>
      <c r="E1443" s="197"/>
      <c r="F1443" s="198"/>
      <c r="G1443" s="199"/>
    </row>
    <row r="1444" spans="1:7" ht="13.5" thickTop="1" x14ac:dyDescent="0.2">
      <c r="A1444" s="906" t="s">
        <v>8</v>
      </c>
      <c r="B1444" s="907"/>
      <c r="C1444" s="907"/>
      <c r="D1444" s="57" t="s">
        <v>11</v>
      </c>
      <c r="E1444" s="908" t="s">
        <v>12</v>
      </c>
      <c r="F1444" s="908"/>
      <c r="G1444" s="909"/>
    </row>
    <row r="1445" spans="1:7" x14ac:dyDescent="0.2">
      <c r="A1445" s="966" t="s">
        <v>17</v>
      </c>
      <c r="B1445" s="967"/>
      <c r="C1445" s="968"/>
      <c r="D1445" s="39"/>
      <c r="E1445" s="912"/>
      <c r="F1445" s="913"/>
      <c r="G1445" s="914"/>
    </row>
    <row r="1446" spans="1:7" x14ac:dyDescent="0.2">
      <c r="A1446" s="966" t="s">
        <v>38</v>
      </c>
      <c r="B1446" s="967"/>
      <c r="C1446" s="968"/>
      <c r="D1446" s="58" t="s">
        <v>308</v>
      </c>
      <c r="E1446" s="969" t="s">
        <v>142</v>
      </c>
      <c r="F1446" s="868"/>
      <c r="G1446" s="869"/>
    </row>
    <row r="1447" spans="1:7" ht="13.5" thickBot="1" x14ac:dyDescent="0.25">
      <c r="A1447" s="970" t="s">
        <v>39</v>
      </c>
      <c r="B1447" s="971"/>
      <c r="C1447" s="972"/>
      <c r="D1447" s="375" t="s">
        <v>1038</v>
      </c>
      <c r="E1447" s="904" t="s">
        <v>0</v>
      </c>
      <c r="F1447" s="904"/>
      <c r="G1447" s="905"/>
    </row>
    <row r="1448" spans="1:7" ht="16.5" x14ac:dyDescent="0.25">
      <c r="A1448" s="885" t="s">
        <v>29</v>
      </c>
      <c r="B1448" s="886"/>
      <c r="C1448" s="886"/>
      <c r="D1448" s="886"/>
      <c r="E1448" s="886"/>
      <c r="F1448" s="886"/>
      <c r="G1448" s="887"/>
    </row>
    <row r="1449" spans="1:7" x14ac:dyDescent="0.2">
      <c r="A1449" s="888" t="s">
        <v>48</v>
      </c>
      <c r="B1449" s="889"/>
      <c r="C1449" s="889"/>
      <c r="D1449" s="889"/>
      <c r="E1449" s="889"/>
      <c r="F1449" s="889"/>
      <c r="G1449" s="890"/>
    </row>
    <row r="1450" spans="1:7" x14ac:dyDescent="0.2">
      <c r="A1450" s="915" t="s">
        <v>49</v>
      </c>
      <c r="B1450" s="916"/>
      <c r="C1450" s="916"/>
      <c r="D1450" s="916"/>
      <c r="E1450" s="916"/>
      <c r="F1450" s="916"/>
      <c r="G1450" s="917"/>
    </row>
    <row r="1451" spans="1:7" x14ac:dyDescent="0.2">
      <c r="A1451" s="6"/>
      <c r="B1451" s="178"/>
      <c r="C1451" s="8"/>
      <c r="D1451" s="9"/>
      <c r="E1451" s="99"/>
      <c r="F1451" s="10"/>
      <c r="G1451" s="11" t="s">
        <v>8</v>
      </c>
    </row>
    <row r="1452" spans="1:7" x14ac:dyDescent="0.2">
      <c r="A1452" s="12" t="s">
        <v>1</v>
      </c>
      <c r="B1452" s="13"/>
      <c r="C1452" s="14" t="s">
        <v>5</v>
      </c>
      <c r="D1452" s="13"/>
      <c r="E1452" s="362" t="s">
        <v>2277</v>
      </c>
      <c r="F1452" s="60"/>
      <c r="G1452" s="363" t="s">
        <v>2163</v>
      </c>
    </row>
    <row r="1453" spans="1:7" x14ac:dyDescent="0.2">
      <c r="A1453" s="17" t="s">
        <v>8</v>
      </c>
      <c r="B1453" s="179"/>
      <c r="C1453" s="19"/>
      <c r="D1453" s="4"/>
      <c r="E1453" s="918"/>
      <c r="F1453" s="919"/>
      <c r="G1453" s="20"/>
    </row>
    <row r="1454" spans="1:7" x14ac:dyDescent="0.2">
      <c r="A1454" s="21" t="s">
        <v>37</v>
      </c>
      <c r="B1454" s="22"/>
      <c r="C1454" s="22"/>
      <c r="D1454" s="22"/>
      <c r="E1454" s="23" t="s">
        <v>46</v>
      </c>
      <c r="F1454" s="24"/>
      <c r="G1454" s="20" t="s">
        <v>50</v>
      </c>
    </row>
    <row r="1455" spans="1:7" x14ac:dyDescent="0.2">
      <c r="A1455" s="6"/>
      <c r="B1455" s="178"/>
      <c r="C1455" s="8"/>
      <c r="D1455" s="8"/>
      <c r="E1455" s="920"/>
      <c r="F1455" s="921"/>
      <c r="G1455" s="25"/>
    </row>
    <row r="1456" spans="1:7" ht="26.25" thickBot="1" x14ac:dyDescent="0.25">
      <c r="A1456" s="26" t="s">
        <v>47</v>
      </c>
      <c r="B1456" s="180" t="s">
        <v>23</v>
      </c>
      <c r="C1456" s="28" t="s">
        <v>34</v>
      </c>
      <c r="D1456" s="110" t="s">
        <v>53</v>
      </c>
      <c r="E1456" s="181" t="s">
        <v>54</v>
      </c>
      <c r="F1456" s="111" t="s">
        <v>55</v>
      </c>
      <c r="G1456" s="112" t="s">
        <v>35</v>
      </c>
    </row>
    <row r="1457" spans="1:12" ht="13.5" thickTop="1" x14ac:dyDescent="0.2">
      <c r="A1457" s="29">
        <v>1</v>
      </c>
      <c r="B1457" s="75"/>
      <c r="C1457" s="365" t="s">
        <v>149</v>
      </c>
      <c r="D1457" s="366" t="s">
        <v>1484</v>
      </c>
      <c r="E1457" s="77">
        <v>7</v>
      </c>
      <c r="F1457" s="185">
        <v>59.3</v>
      </c>
      <c r="G1457" s="35">
        <f>F1457*E1457</f>
        <v>415.09999999999997</v>
      </c>
      <c r="K1457" s="430" t="s">
        <v>2264</v>
      </c>
      <c r="L1457" s="430" t="s">
        <v>2265</v>
      </c>
    </row>
    <row r="1458" spans="1:12" x14ac:dyDescent="0.2">
      <c r="A1458" s="364">
        <f>A1457+1</f>
        <v>2</v>
      </c>
      <c r="B1458" s="75"/>
      <c r="C1458" s="371" t="s">
        <v>149</v>
      </c>
      <c r="D1458" s="366" t="s">
        <v>1485</v>
      </c>
      <c r="E1458" s="77">
        <v>8</v>
      </c>
      <c r="F1458" s="185">
        <v>135.75</v>
      </c>
      <c r="G1458" s="35">
        <f t="shared" ref="G1458:G1475" si="20">F1458*E1458</f>
        <v>1086</v>
      </c>
      <c r="K1458" s="430" t="s">
        <v>2266</v>
      </c>
    </row>
    <row r="1459" spans="1:12" x14ac:dyDescent="0.2">
      <c r="A1459" s="364">
        <f t="shared" ref="A1459:A1475" si="21">A1458+1</f>
        <v>3</v>
      </c>
      <c r="B1459" s="75"/>
      <c r="C1459" s="371" t="s">
        <v>149</v>
      </c>
      <c r="D1459" s="458" t="s">
        <v>1510</v>
      </c>
      <c r="E1459" s="77">
        <v>5</v>
      </c>
      <c r="F1459" s="185">
        <v>63.2</v>
      </c>
      <c r="G1459" s="35">
        <f t="shared" si="20"/>
        <v>316</v>
      </c>
      <c r="K1459" s="430" t="s">
        <v>2267</v>
      </c>
    </row>
    <row r="1460" spans="1:12" x14ac:dyDescent="0.2">
      <c r="A1460" s="364">
        <f t="shared" si="21"/>
        <v>4</v>
      </c>
      <c r="B1460" s="75"/>
      <c r="C1460" s="371" t="s">
        <v>149</v>
      </c>
      <c r="D1460" s="366" t="s">
        <v>1466</v>
      </c>
      <c r="E1460" s="77">
        <v>7</v>
      </c>
      <c r="F1460" s="185">
        <v>58.8</v>
      </c>
      <c r="G1460" s="35">
        <f t="shared" si="20"/>
        <v>411.59999999999997</v>
      </c>
      <c r="K1460" s="430" t="s">
        <v>2268</v>
      </c>
    </row>
    <row r="1461" spans="1:12" x14ac:dyDescent="0.2">
      <c r="A1461" s="364">
        <f t="shared" si="21"/>
        <v>5</v>
      </c>
      <c r="B1461" s="75"/>
      <c r="C1461" s="371" t="s">
        <v>149</v>
      </c>
      <c r="D1461" s="366" t="s">
        <v>2263</v>
      </c>
      <c r="E1461" s="77">
        <v>4</v>
      </c>
      <c r="F1461" s="185">
        <v>57.75</v>
      </c>
      <c r="G1461" s="35">
        <f t="shared" si="20"/>
        <v>231</v>
      </c>
      <c r="K1461" s="430" t="s">
        <v>2229</v>
      </c>
      <c r="L1461" s="430" t="s">
        <v>2230</v>
      </c>
    </row>
    <row r="1462" spans="1:12" x14ac:dyDescent="0.2">
      <c r="A1462" s="364">
        <f t="shared" si="21"/>
        <v>6</v>
      </c>
      <c r="B1462" s="75"/>
      <c r="C1462" s="371" t="s">
        <v>149</v>
      </c>
      <c r="D1462" s="366" t="s">
        <v>2231</v>
      </c>
      <c r="E1462" s="77">
        <v>1</v>
      </c>
      <c r="F1462" s="185">
        <v>334</v>
      </c>
      <c r="G1462" s="35">
        <f t="shared" si="20"/>
        <v>334</v>
      </c>
      <c r="K1462" s="430" t="s">
        <v>2232</v>
      </c>
      <c r="L1462" s="430" t="s">
        <v>2233</v>
      </c>
    </row>
    <row r="1463" spans="1:12" x14ac:dyDescent="0.2">
      <c r="A1463" s="364">
        <f t="shared" si="21"/>
        <v>7</v>
      </c>
      <c r="B1463" s="75"/>
      <c r="C1463" s="371" t="s">
        <v>149</v>
      </c>
      <c r="D1463" s="366" t="s">
        <v>2235</v>
      </c>
      <c r="E1463" s="77">
        <v>1</v>
      </c>
      <c r="F1463" s="185">
        <v>248</v>
      </c>
      <c r="G1463" s="35">
        <f t="shared" si="20"/>
        <v>248</v>
      </c>
      <c r="K1463" s="430" t="s">
        <v>2232</v>
      </c>
      <c r="L1463" s="430" t="s">
        <v>2234</v>
      </c>
    </row>
    <row r="1464" spans="1:12" x14ac:dyDescent="0.2">
      <c r="A1464" s="364">
        <f t="shared" si="21"/>
        <v>8</v>
      </c>
      <c r="B1464" s="75"/>
      <c r="C1464" s="371" t="s">
        <v>149</v>
      </c>
      <c r="D1464" s="366" t="s">
        <v>2237</v>
      </c>
      <c r="E1464" s="77">
        <v>2</v>
      </c>
      <c r="F1464" s="185">
        <v>139.5</v>
      </c>
      <c r="G1464" s="35">
        <f t="shared" si="20"/>
        <v>279</v>
      </c>
      <c r="K1464" s="430" t="s">
        <v>2236</v>
      </c>
      <c r="L1464" s="430" t="s">
        <v>2234</v>
      </c>
    </row>
    <row r="1465" spans="1:12" x14ac:dyDescent="0.2">
      <c r="A1465" s="364">
        <f t="shared" si="21"/>
        <v>9</v>
      </c>
      <c r="B1465" s="186"/>
      <c r="C1465" s="371" t="s">
        <v>149</v>
      </c>
      <c r="D1465" s="366" t="s">
        <v>2239</v>
      </c>
      <c r="E1465" s="77">
        <v>1</v>
      </c>
      <c r="F1465" s="185">
        <v>115</v>
      </c>
      <c r="G1465" s="35">
        <f t="shared" si="20"/>
        <v>115</v>
      </c>
      <c r="K1465" s="430" t="s">
        <v>2238</v>
      </c>
    </row>
    <row r="1466" spans="1:12" x14ac:dyDescent="0.2">
      <c r="A1466" s="364">
        <f t="shared" si="21"/>
        <v>10</v>
      </c>
      <c r="B1466" s="74"/>
      <c r="C1466" s="371" t="s">
        <v>149</v>
      </c>
      <c r="D1466" s="366" t="s">
        <v>2241</v>
      </c>
      <c r="E1466" s="77">
        <v>1</v>
      </c>
      <c r="F1466" s="185">
        <v>209.5</v>
      </c>
      <c r="G1466" s="35">
        <f t="shared" si="20"/>
        <v>209.5</v>
      </c>
      <c r="K1466" s="430" t="s">
        <v>2236</v>
      </c>
      <c r="L1466" s="430" t="s">
        <v>2240</v>
      </c>
    </row>
    <row r="1467" spans="1:12" x14ac:dyDescent="0.2">
      <c r="A1467" s="364">
        <f t="shared" si="21"/>
        <v>11</v>
      </c>
      <c r="B1467" s="74"/>
      <c r="C1467" s="371" t="s">
        <v>149</v>
      </c>
      <c r="D1467" s="454" t="s">
        <v>2243</v>
      </c>
      <c r="E1467" s="84">
        <v>1</v>
      </c>
      <c r="F1467" s="163">
        <v>139.5</v>
      </c>
      <c r="G1467" s="35">
        <f t="shared" si="20"/>
        <v>139.5</v>
      </c>
      <c r="K1467" s="430" t="s">
        <v>2236</v>
      </c>
      <c r="L1467" s="430" t="s">
        <v>2242</v>
      </c>
    </row>
    <row r="1468" spans="1:12" x14ac:dyDescent="0.2">
      <c r="A1468" s="364">
        <f t="shared" si="21"/>
        <v>12</v>
      </c>
      <c r="B1468" s="74"/>
      <c r="C1468" s="371" t="s">
        <v>149</v>
      </c>
      <c r="D1468" s="454" t="s">
        <v>2039</v>
      </c>
      <c r="E1468" s="84">
        <v>4</v>
      </c>
      <c r="F1468" s="163">
        <v>76</v>
      </c>
      <c r="G1468" s="35">
        <f t="shared" si="20"/>
        <v>304</v>
      </c>
      <c r="K1468" s="430" t="s">
        <v>2246</v>
      </c>
      <c r="L1468" s="430" t="s">
        <v>2247</v>
      </c>
    </row>
    <row r="1469" spans="1:12" x14ac:dyDescent="0.2">
      <c r="A1469" s="364">
        <f t="shared" si="21"/>
        <v>13</v>
      </c>
      <c r="B1469" s="75"/>
      <c r="C1469" s="371" t="s">
        <v>149</v>
      </c>
      <c r="D1469" s="454" t="s">
        <v>1489</v>
      </c>
      <c r="E1469" s="84">
        <v>7</v>
      </c>
      <c r="F1469" s="172">
        <v>36.5</v>
      </c>
      <c r="G1469" s="35">
        <f t="shared" si="20"/>
        <v>255.5</v>
      </c>
      <c r="K1469" s="430" t="s">
        <v>2244</v>
      </c>
      <c r="L1469" s="430" t="s">
        <v>2245</v>
      </c>
    </row>
    <row r="1470" spans="1:12" x14ac:dyDescent="0.2">
      <c r="A1470" s="364">
        <f t="shared" si="21"/>
        <v>14</v>
      </c>
      <c r="B1470" s="75"/>
      <c r="C1470" s="371" t="s">
        <v>149</v>
      </c>
      <c r="D1470" s="454" t="s">
        <v>2248</v>
      </c>
      <c r="E1470" s="84">
        <v>5</v>
      </c>
      <c r="F1470" s="173">
        <v>42.95</v>
      </c>
      <c r="G1470" s="35">
        <f t="shared" si="20"/>
        <v>214.75</v>
      </c>
      <c r="K1470" s="430" t="s">
        <v>2249</v>
      </c>
      <c r="L1470" s="430" t="s">
        <v>2250</v>
      </c>
    </row>
    <row r="1471" spans="1:12" x14ac:dyDescent="0.2">
      <c r="A1471" s="364">
        <f t="shared" si="21"/>
        <v>15</v>
      </c>
      <c r="B1471" s="75"/>
      <c r="C1471" s="371" t="s">
        <v>149</v>
      </c>
      <c r="D1471" s="454" t="s">
        <v>2254</v>
      </c>
      <c r="E1471" s="77">
        <v>2</v>
      </c>
      <c r="F1471" s="185">
        <v>41.9</v>
      </c>
      <c r="G1471" s="35">
        <f t="shared" si="20"/>
        <v>83.8</v>
      </c>
      <c r="K1471" s="430" t="s">
        <v>2251</v>
      </c>
      <c r="L1471" s="430" t="s">
        <v>2252</v>
      </c>
    </row>
    <row r="1472" spans="1:12" x14ac:dyDescent="0.2">
      <c r="A1472" s="364">
        <f t="shared" si="21"/>
        <v>16</v>
      </c>
      <c r="B1472" s="75"/>
      <c r="C1472" s="371" t="s">
        <v>149</v>
      </c>
      <c r="D1472" s="454" t="s">
        <v>2255</v>
      </c>
      <c r="E1472" s="77">
        <v>2</v>
      </c>
      <c r="F1472" s="185">
        <v>41.9</v>
      </c>
      <c r="G1472" s="35">
        <f t="shared" si="20"/>
        <v>83.8</v>
      </c>
      <c r="K1472" s="430" t="s">
        <v>2251</v>
      </c>
      <c r="L1472" s="430" t="s">
        <v>2253</v>
      </c>
    </row>
    <row r="1473" spans="1:12" x14ac:dyDescent="0.2">
      <c r="A1473" s="364">
        <f t="shared" si="21"/>
        <v>17</v>
      </c>
      <c r="B1473" s="75"/>
      <c r="C1473" s="371" t="s">
        <v>149</v>
      </c>
      <c r="D1473" s="366" t="s">
        <v>2256</v>
      </c>
      <c r="E1473" s="77">
        <v>2</v>
      </c>
      <c r="F1473" s="185">
        <v>41.9</v>
      </c>
      <c r="G1473" s="35">
        <f t="shared" si="20"/>
        <v>83.8</v>
      </c>
      <c r="K1473" s="430" t="s">
        <v>2251</v>
      </c>
      <c r="L1473" s="430" t="s">
        <v>2259</v>
      </c>
    </row>
    <row r="1474" spans="1:12" x14ac:dyDescent="0.2">
      <c r="A1474" s="364">
        <f t="shared" si="21"/>
        <v>18</v>
      </c>
      <c r="B1474" s="75"/>
      <c r="C1474" s="371" t="s">
        <v>149</v>
      </c>
      <c r="D1474" s="366" t="s">
        <v>2260</v>
      </c>
      <c r="E1474" s="77">
        <v>2</v>
      </c>
      <c r="F1474" s="185">
        <v>96.8</v>
      </c>
      <c r="G1474" s="35">
        <f t="shared" si="20"/>
        <v>193.6</v>
      </c>
      <c r="K1474" s="430" t="s">
        <v>2257</v>
      </c>
      <c r="L1474" s="430" t="s">
        <v>2258</v>
      </c>
    </row>
    <row r="1475" spans="1:12" x14ac:dyDescent="0.2">
      <c r="A1475" s="364">
        <f t="shared" si="21"/>
        <v>19</v>
      </c>
      <c r="B1475" s="75"/>
      <c r="C1475" s="371" t="s">
        <v>149</v>
      </c>
      <c r="D1475" s="366" t="s">
        <v>2261</v>
      </c>
      <c r="E1475" s="77">
        <v>3</v>
      </c>
      <c r="F1475" s="185">
        <v>48.4</v>
      </c>
      <c r="G1475" s="35">
        <f t="shared" si="20"/>
        <v>145.19999999999999</v>
      </c>
      <c r="K1475" s="430" t="s">
        <v>2052</v>
      </c>
      <c r="L1475" s="430" t="s">
        <v>2262</v>
      </c>
    </row>
    <row r="1476" spans="1:12" x14ac:dyDescent="0.2">
      <c r="A1476" s="29"/>
      <c r="B1476" s="75"/>
      <c r="C1476" s="41"/>
      <c r="D1476" s="184"/>
      <c r="E1476" s="84"/>
      <c r="F1476" s="163"/>
      <c r="G1476" s="35"/>
    </row>
    <row r="1477" spans="1:12" x14ac:dyDescent="0.2">
      <c r="A1477" s="29"/>
      <c r="B1477" s="75"/>
      <c r="C1477" s="41"/>
      <c r="D1477" s="184"/>
      <c r="E1477" s="84"/>
      <c r="F1477" s="163"/>
      <c r="G1477" s="35"/>
    </row>
    <row r="1478" spans="1:12" x14ac:dyDescent="0.2">
      <c r="A1478" s="29"/>
      <c r="B1478" s="75"/>
      <c r="C1478" s="41"/>
      <c r="D1478" s="187"/>
      <c r="E1478" s="84"/>
      <c r="F1478" s="163"/>
      <c r="G1478" s="35"/>
    </row>
    <row r="1479" spans="1:12" x14ac:dyDescent="0.2">
      <c r="A1479" s="29"/>
      <c r="B1479" s="75"/>
      <c r="C1479" s="41"/>
      <c r="D1479" s="187"/>
      <c r="E1479" s="84"/>
      <c r="F1479" s="163"/>
      <c r="G1479" s="35"/>
    </row>
    <row r="1480" spans="1:12" x14ac:dyDescent="0.2">
      <c r="A1480" s="29"/>
      <c r="B1480" s="75"/>
      <c r="C1480" s="41"/>
      <c r="D1480" s="187"/>
      <c r="E1480" s="84"/>
      <c r="F1480" s="163"/>
      <c r="G1480" s="35"/>
    </row>
    <row r="1481" spans="1:12" x14ac:dyDescent="0.2">
      <c r="A1481" s="29"/>
      <c r="B1481" s="75"/>
      <c r="C1481" s="41"/>
      <c r="D1481" s="187"/>
      <c r="E1481" s="84"/>
      <c r="F1481" s="163"/>
      <c r="G1481" s="35"/>
    </row>
    <row r="1482" spans="1:12" x14ac:dyDescent="0.2">
      <c r="A1482" s="29"/>
      <c r="B1482" s="75"/>
      <c r="C1482" s="41"/>
      <c r="D1482" s="187"/>
      <c r="E1482" s="84"/>
      <c r="F1482" s="163"/>
      <c r="G1482" s="35"/>
    </row>
    <row r="1483" spans="1:12" x14ac:dyDescent="0.2">
      <c r="A1483" s="29"/>
      <c r="B1483" s="75"/>
      <c r="C1483" s="41"/>
      <c r="D1483" s="187"/>
      <c r="E1483" s="84"/>
      <c r="F1483" s="163"/>
      <c r="G1483" s="35"/>
    </row>
    <row r="1484" spans="1:12" x14ac:dyDescent="0.2">
      <c r="A1484" s="29"/>
      <c r="B1484" s="75"/>
      <c r="C1484" s="41"/>
      <c r="D1484" s="187"/>
      <c r="E1484" s="84"/>
      <c r="F1484" s="163"/>
      <c r="G1484" s="35"/>
    </row>
    <row r="1485" spans="1:12" x14ac:dyDescent="0.2">
      <c r="A1485" s="29"/>
      <c r="B1485" s="75"/>
      <c r="C1485" s="41"/>
      <c r="D1485" s="187"/>
      <c r="E1485" s="84"/>
      <c r="F1485" s="163"/>
      <c r="G1485" s="35"/>
    </row>
    <row r="1486" spans="1:12" x14ac:dyDescent="0.2">
      <c r="A1486" s="29"/>
      <c r="B1486" s="75"/>
      <c r="C1486" s="41"/>
      <c r="D1486" s="187"/>
      <c r="E1486" s="84"/>
      <c r="F1486" s="163"/>
      <c r="G1486" s="35"/>
    </row>
    <row r="1487" spans="1:12" x14ac:dyDescent="0.2">
      <c r="A1487" s="29"/>
      <c r="B1487" s="75"/>
      <c r="C1487" s="41"/>
      <c r="D1487" s="187"/>
      <c r="E1487" s="84"/>
      <c r="F1487" s="163"/>
      <c r="G1487" s="35"/>
    </row>
    <row r="1488" spans="1:12" x14ac:dyDescent="0.2">
      <c r="A1488" s="29"/>
      <c r="B1488" s="75"/>
      <c r="C1488" s="41"/>
      <c r="D1488" s="187"/>
      <c r="E1488" s="84"/>
      <c r="F1488" s="172"/>
      <c r="G1488" s="35"/>
    </row>
    <row r="1489" spans="1:7" x14ac:dyDescent="0.2">
      <c r="A1489" s="29"/>
      <c r="B1489" s="75"/>
      <c r="C1489" s="41"/>
      <c r="D1489" s="187"/>
      <c r="E1489" s="84"/>
      <c r="F1489" s="173"/>
      <c r="G1489" s="35"/>
    </row>
    <row r="1490" spans="1:7" x14ac:dyDescent="0.2">
      <c r="A1490" s="29" t="s">
        <v>8</v>
      </c>
      <c r="B1490" s="75"/>
      <c r="C1490" s="41"/>
      <c r="D1490" s="187"/>
      <c r="E1490" s="84"/>
      <c r="F1490" s="173"/>
      <c r="G1490" s="35" t="s">
        <v>8</v>
      </c>
    </row>
    <row r="1491" spans="1:7" ht="13.5" thickBot="1" x14ac:dyDescent="0.25">
      <c r="A1491" s="45"/>
      <c r="B1491" s="188"/>
      <c r="C1491" s="47" t="s">
        <v>8</v>
      </c>
      <c r="D1491" s="66" t="s">
        <v>8</v>
      </c>
      <c r="E1491" s="188"/>
      <c r="F1491" s="49" t="s">
        <v>15</v>
      </c>
      <c r="G1491" s="50">
        <f>SUM(G1457:G1490)</f>
        <v>5149.1500000000005</v>
      </c>
    </row>
    <row r="1492" spans="1:7" ht="13.5" thickTop="1" x14ac:dyDescent="0.2">
      <c r="A1492" s="963" t="s">
        <v>2269</v>
      </c>
      <c r="B1492" s="964"/>
      <c r="C1492" s="964"/>
      <c r="D1492" s="964"/>
      <c r="E1492" s="964"/>
      <c r="F1492" s="964"/>
      <c r="G1492" s="965"/>
    </row>
    <row r="1493" spans="1:7" ht="13.5" thickBot="1" x14ac:dyDescent="0.25">
      <c r="A1493" s="378"/>
      <c r="B1493" s="374"/>
      <c r="C1493" s="374" t="s">
        <v>8</v>
      </c>
      <c r="D1493" s="379"/>
      <c r="E1493" s="374"/>
      <c r="F1493" s="380"/>
      <c r="G1493" s="381"/>
    </row>
    <row r="1494" spans="1:7" ht="13.5" thickTop="1" x14ac:dyDescent="0.2">
      <c r="A1494" s="906" t="s">
        <v>8</v>
      </c>
      <c r="B1494" s="907"/>
      <c r="C1494" s="907"/>
      <c r="D1494" s="57" t="s">
        <v>11</v>
      </c>
      <c r="E1494" s="908" t="s">
        <v>12</v>
      </c>
      <c r="F1494" s="908"/>
      <c r="G1494" s="909"/>
    </row>
    <row r="1495" spans="1:7" x14ac:dyDescent="0.2">
      <c r="A1495" s="966" t="s">
        <v>17</v>
      </c>
      <c r="B1495" s="967"/>
      <c r="C1495" s="968"/>
      <c r="D1495" s="39"/>
      <c r="E1495" s="912"/>
      <c r="F1495" s="913"/>
      <c r="G1495" s="914"/>
    </row>
    <row r="1496" spans="1:7" x14ac:dyDescent="0.2">
      <c r="A1496" s="966" t="s">
        <v>38</v>
      </c>
      <c r="B1496" s="967"/>
      <c r="C1496" s="968"/>
      <c r="D1496" s="58" t="s">
        <v>308</v>
      </c>
      <c r="E1496" s="969" t="s">
        <v>142</v>
      </c>
      <c r="F1496" s="868"/>
      <c r="G1496" s="869"/>
    </row>
    <row r="1497" spans="1:7" ht="13.5" thickBot="1" x14ac:dyDescent="0.25">
      <c r="A1497" s="970" t="s">
        <v>39</v>
      </c>
      <c r="B1497" s="971"/>
      <c r="C1497" s="972"/>
      <c r="D1497" s="375" t="s">
        <v>1038</v>
      </c>
      <c r="E1497" s="904" t="s">
        <v>0</v>
      </c>
      <c r="F1497" s="904"/>
      <c r="G1497" s="905"/>
    </row>
    <row r="1498" spans="1:7" ht="16.5" x14ac:dyDescent="0.25">
      <c r="A1498" s="885" t="s">
        <v>29</v>
      </c>
      <c r="B1498" s="886"/>
      <c r="C1498" s="886"/>
      <c r="D1498" s="886"/>
      <c r="E1498" s="886"/>
      <c r="F1498" s="886"/>
      <c r="G1498" s="887"/>
    </row>
    <row r="1499" spans="1:7" x14ac:dyDescent="0.2">
      <c r="A1499" s="888" t="s">
        <v>48</v>
      </c>
      <c r="B1499" s="889"/>
      <c r="C1499" s="889"/>
      <c r="D1499" s="889"/>
      <c r="E1499" s="889"/>
      <c r="F1499" s="889"/>
      <c r="G1499" s="890"/>
    </row>
    <row r="1500" spans="1:7" x14ac:dyDescent="0.2">
      <c r="A1500" s="915" t="s">
        <v>49</v>
      </c>
      <c r="B1500" s="916"/>
      <c r="C1500" s="916"/>
      <c r="D1500" s="916"/>
      <c r="E1500" s="916"/>
      <c r="F1500" s="916"/>
      <c r="G1500" s="917"/>
    </row>
    <row r="1501" spans="1:7" x14ac:dyDescent="0.2">
      <c r="A1501" s="6"/>
      <c r="B1501" s="178"/>
      <c r="C1501" s="8"/>
      <c r="D1501" s="9"/>
      <c r="E1501" s="99"/>
      <c r="F1501" s="10"/>
      <c r="G1501" s="11" t="s">
        <v>8</v>
      </c>
    </row>
    <row r="1502" spans="1:7" x14ac:dyDescent="0.2">
      <c r="A1502" s="12" t="s">
        <v>1</v>
      </c>
      <c r="B1502" s="13"/>
      <c r="C1502" s="14" t="s">
        <v>5</v>
      </c>
      <c r="D1502" s="13"/>
      <c r="E1502" s="362" t="s">
        <v>2368</v>
      </c>
      <c r="F1502" s="60"/>
      <c r="G1502" s="363" t="s">
        <v>2367</v>
      </c>
    </row>
    <row r="1503" spans="1:7" x14ac:dyDescent="0.2">
      <c r="A1503" s="17" t="s">
        <v>8</v>
      </c>
      <c r="B1503" s="179"/>
      <c r="C1503" s="19"/>
      <c r="D1503" s="4"/>
      <c r="E1503" s="918"/>
      <c r="F1503" s="919"/>
      <c r="G1503" s="20"/>
    </row>
    <row r="1504" spans="1:7" x14ac:dyDescent="0.2">
      <c r="A1504" s="21" t="s">
        <v>37</v>
      </c>
      <c r="B1504" s="22"/>
      <c r="C1504" s="22"/>
      <c r="D1504" s="22"/>
      <c r="E1504" s="23" t="s">
        <v>46</v>
      </c>
      <c r="F1504" s="24"/>
      <c r="G1504" s="20" t="s">
        <v>50</v>
      </c>
    </row>
    <row r="1505" spans="1:13" x14ac:dyDescent="0.2">
      <c r="A1505" s="6"/>
      <c r="B1505" s="178"/>
      <c r="C1505" s="8"/>
      <c r="D1505" s="8"/>
      <c r="E1505" s="920"/>
      <c r="F1505" s="921"/>
      <c r="G1505" s="25"/>
    </row>
    <row r="1506" spans="1:13" ht="26.25" thickBot="1" x14ac:dyDescent="0.25">
      <c r="A1506" s="26" t="s">
        <v>47</v>
      </c>
      <c r="B1506" s="180" t="s">
        <v>23</v>
      </c>
      <c r="C1506" s="28" t="s">
        <v>34</v>
      </c>
      <c r="D1506" s="110" t="s">
        <v>53</v>
      </c>
      <c r="E1506" s="181" t="s">
        <v>54</v>
      </c>
      <c r="F1506" s="111" t="s">
        <v>55</v>
      </c>
      <c r="G1506" s="112" t="s">
        <v>35</v>
      </c>
    </row>
    <row r="1507" spans="1:13" ht="13.5" thickTop="1" x14ac:dyDescent="0.2">
      <c r="A1507" s="29">
        <v>1</v>
      </c>
      <c r="B1507" s="75"/>
      <c r="C1507" s="365" t="s">
        <v>2008</v>
      </c>
      <c r="D1507" s="366" t="s">
        <v>2342</v>
      </c>
      <c r="E1507" s="77">
        <v>2</v>
      </c>
      <c r="F1507" s="185">
        <v>1350</v>
      </c>
      <c r="G1507" s="35">
        <f>F1507*E1507</f>
        <v>2700</v>
      </c>
      <c r="H1507" s="212">
        <f>G1507</f>
        <v>2700</v>
      </c>
      <c r="I1507" s="212"/>
      <c r="J1507" s="212"/>
    </row>
    <row r="1508" spans="1:13" x14ac:dyDescent="0.2">
      <c r="A1508" s="364">
        <f>A1507+1</f>
        <v>2</v>
      </c>
      <c r="B1508" s="75"/>
      <c r="C1508" s="371" t="s">
        <v>1923</v>
      </c>
      <c r="D1508" s="366" t="s">
        <v>1942</v>
      </c>
      <c r="E1508" s="77">
        <v>5.04</v>
      </c>
      <c r="F1508" s="185">
        <v>149.80158729999999</v>
      </c>
      <c r="G1508" s="35">
        <f t="shared" ref="G1508:G1519" si="22">F1508*E1508</f>
        <v>754.99999999199997</v>
      </c>
      <c r="M1508" s="2">
        <f>755/5.04</f>
        <v>149.80158730158729</v>
      </c>
    </row>
    <row r="1509" spans="1:13" x14ac:dyDescent="0.2">
      <c r="A1509" s="364">
        <f t="shared" ref="A1509:A1519" si="23">A1508+1</f>
        <v>3</v>
      </c>
      <c r="B1509" s="75"/>
      <c r="C1509" s="371" t="s">
        <v>1931</v>
      </c>
      <c r="D1509" s="458" t="s">
        <v>194</v>
      </c>
      <c r="E1509" s="77">
        <v>2</v>
      </c>
      <c r="F1509" s="185">
        <v>10</v>
      </c>
      <c r="G1509" s="35">
        <f t="shared" si="22"/>
        <v>20</v>
      </c>
    </row>
    <row r="1510" spans="1:13" x14ac:dyDescent="0.2">
      <c r="A1510" s="364">
        <f t="shared" si="23"/>
        <v>4</v>
      </c>
      <c r="B1510" s="75"/>
      <c r="C1510" s="371" t="s">
        <v>1931</v>
      </c>
      <c r="D1510" s="366" t="s">
        <v>2343</v>
      </c>
      <c r="E1510" s="77">
        <v>8</v>
      </c>
      <c r="F1510" s="5">
        <v>15</v>
      </c>
      <c r="G1510" s="35">
        <f t="shared" si="22"/>
        <v>120</v>
      </c>
      <c r="M1510" s="2">
        <f>120/8</f>
        <v>15</v>
      </c>
    </row>
    <row r="1511" spans="1:13" x14ac:dyDescent="0.2">
      <c r="A1511" s="364">
        <f t="shared" si="23"/>
        <v>5</v>
      </c>
      <c r="B1511" s="75"/>
      <c r="C1511" s="371"/>
      <c r="D1511" s="366" t="s">
        <v>2348</v>
      </c>
      <c r="E1511" s="77"/>
      <c r="F1511" s="185"/>
      <c r="G1511" s="35">
        <v>40</v>
      </c>
    </row>
    <row r="1512" spans="1:13" x14ac:dyDescent="0.2">
      <c r="A1512" s="364">
        <f t="shared" si="23"/>
        <v>6</v>
      </c>
      <c r="B1512" s="75"/>
      <c r="C1512" s="371" t="s">
        <v>1931</v>
      </c>
      <c r="D1512" s="366" t="s">
        <v>2344</v>
      </c>
      <c r="E1512" s="77">
        <v>4</v>
      </c>
      <c r="F1512" s="185">
        <v>20</v>
      </c>
      <c r="G1512" s="35">
        <f t="shared" si="22"/>
        <v>80</v>
      </c>
    </row>
    <row r="1513" spans="1:13" x14ac:dyDescent="0.2">
      <c r="A1513" s="364">
        <f t="shared" si="23"/>
        <v>7</v>
      </c>
      <c r="B1513" s="75"/>
      <c r="C1513" s="371" t="s">
        <v>1931</v>
      </c>
      <c r="D1513" s="366" t="s">
        <v>2345</v>
      </c>
      <c r="E1513" s="77">
        <v>2</v>
      </c>
      <c r="F1513" s="185">
        <v>40</v>
      </c>
      <c r="G1513" s="35">
        <f t="shared" si="22"/>
        <v>80</v>
      </c>
      <c r="H1513" s="164">
        <f>G1508+G1509+G1510+G1511+G1512+G1513</f>
        <v>1094.9999999920001</v>
      </c>
      <c r="I1513" s="164"/>
      <c r="J1513" s="164"/>
    </row>
    <row r="1514" spans="1:13" x14ac:dyDescent="0.2">
      <c r="A1514" s="364">
        <f t="shared" si="23"/>
        <v>8</v>
      </c>
      <c r="B1514" s="75"/>
      <c r="C1514" s="371" t="s">
        <v>1923</v>
      </c>
      <c r="D1514" s="366" t="s">
        <v>2020</v>
      </c>
      <c r="E1514" s="77">
        <v>4</v>
      </c>
      <c r="F1514" s="185">
        <v>120</v>
      </c>
      <c r="G1514" s="35">
        <f t="shared" si="22"/>
        <v>480</v>
      </c>
    </row>
    <row r="1515" spans="1:13" x14ac:dyDescent="0.2">
      <c r="A1515" s="364">
        <f t="shared" si="23"/>
        <v>9</v>
      </c>
      <c r="B1515" s="186"/>
      <c r="C1515" s="371" t="s">
        <v>1923</v>
      </c>
      <c r="D1515" s="366" t="s">
        <v>1974</v>
      </c>
      <c r="E1515" s="77">
        <v>0.75</v>
      </c>
      <c r="F1515" s="185">
        <v>164</v>
      </c>
      <c r="G1515" s="35">
        <f t="shared" si="22"/>
        <v>123</v>
      </c>
      <c r="M1515" s="2">
        <f>87/0.5</f>
        <v>174</v>
      </c>
    </row>
    <row r="1516" spans="1:13" x14ac:dyDescent="0.2">
      <c r="A1516" s="364">
        <f t="shared" si="23"/>
        <v>10</v>
      </c>
      <c r="B1516" s="74"/>
      <c r="C1516" s="371" t="s">
        <v>1923</v>
      </c>
      <c r="D1516" s="366" t="s">
        <v>193</v>
      </c>
      <c r="E1516" s="77">
        <v>0.5</v>
      </c>
      <c r="F1516" s="185">
        <v>174</v>
      </c>
      <c r="G1516" s="35">
        <f t="shared" si="22"/>
        <v>87</v>
      </c>
      <c r="H1516" s="164">
        <f>G1514+G1515+G1516</f>
        <v>690</v>
      </c>
      <c r="I1516" s="164"/>
      <c r="J1516" s="164"/>
    </row>
    <row r="1517" spans="1:13" x14ac:dyDescent="0.2">
      <c r="A1517" s="364">
        <f t="shared" si="23"/>
        <v>11</v>
      </c>
      <c r="B1517" s="74"/>
      <c r="C1517" s="371" t="s">
        <v>1923</v>
      </c>
      <c r="D1517" s="454" t="s">
        <v>2346</v>
      </c>
      <c r="E1517" s="84">
        <v>4</v>
      </c>
      <c r="F1517" s="163">
        <v>260</v>
      </c>
      <c r="G1517" s="35">
        <f t="shared" si="22"/>
        <v>1040</v>
      </c>
      <c r="H1517" s="212">
        <f>G1517</f>
        <v>1040</v>
      </c>
      <c r="I1517" s="212"/>
      <c r="J1517" s="212"/>
    </row>
    <row r="1518" spans="1:13" x14ac:dyDescent="0.2">
      <c r="A1518" s="364">
        <f t="shared" si="23"/>
        <v>12</v>
      </c>
      <c r="B1518" s="74"/>
      <c r="C1518" s="371" t="s">
        <v>832</v>
      </c>
      <c r="D1518" s="454" t="s">
        <v>2347</v>
      </c>
      <c r="E1518" s="84">
        <v>1</v>
      </c>
      <c r="F1518" s="163">
        <v>120</v>
      </c>
      <c r="G1518" s="35">
        <f t="shared" si="22"/>
        <v>120</v>
      </c>
      <c r="H1518" s="212">
        <f>G1518</f>
        <v>120</v>
      </c>
      <c r="I1518" s="212"/>
      <c r="J1518" s="212"/>
    </row>
    <row r="1519" spans="1:13" x14ac:dyDescent="0.2">
      <c r="A1519" s="364">
        <f t="shared" si="23"/>
        <v>13</v>
      </c>
      <c r="B1519" s="75"/>
      <c r="C1519" s="371" t="s">
        <v>1923</v>
      </c>
      <c r="D1519" s="454" t="s">
        <v>284</v>
      </c>
      <c r="E1519" s="84">
        <v>2</v>
      </c>
      <c r="F1519" s="172">
        <v>380</v>
      </c>
      <c r="G1519" s="35">
        <f t="shared" si="22"/>
        <v>760</v>
      </c>
      <c r="H1519" s="212">
        <f>G1519</f>
        <v>760</v>
      </c>
      <c r="I1519" s="212"/>
      <c r="J1519" s="212"/>
    </row>
    <row r="1520" spans="1:13" x14ac:dyDescent="0.2">
      <c r="A1520" s="364"/>
      <c r="B1520" s="75"/>
      <c r="C1520" s="371"/>
      <c r="D1520" s="454"/>
      <c r="E1520" s="84"/>
      <c r="F1520" s="173"/>
      <c r="G1520" s="35"/>
    </row>
    <row r="1521" spans="1:7" x14ac:dyDescent="0.2">
      <c r="A1521" s="364"/>
      <c r="B1521" s="75"/>
      <c r="C1521" s="371"/>
      <c r="D1521" s="454"/>
      <c r="E1521" s="77"/>
      <c r="F1521" s="185"/>
      <c r="G1521" s="35"/>
    </row>
    <row r="1522" spans="1:7" x14ac:dyDescent="0.2">
      <c r="A1522" s="364"/>
      <c r="B1522" s="75"/>
      <c r="C1522" s="371"/>
      <c r="D1522" s="454"/>
      <c r="E1522" s="77"/>
      <c r="F1522" s="185"/>
      <c r="G1522" s="35"/>
    </row>
    <row r="1523" spans="1:7" x14ac:dyDescent="0.2">
      <c r="A1523" s="364"/>
      <c r="B1523" s="75"/>
      <c r="C1523" s="371"/>
      <c r="D1523" s="366"/>
      <c r="E1523" s="77"/>
      <c r="F1523" s="185"/>
      <c r="G1523" s="35"/>
    </row>
    <row r="1524" spans="1:7" x14ac:dyDescent="0.2">
      <c r="A1524" s="364"/>
      <c r="B1524" s="75"/>
      <c r="C1524" s="371"/>
      <c r="D1524" s="366"/>
      <c r="E1524" s="77"/>
      <c r="F1524" s="185"/>
      <c r="G1524" s="35"/>
    </row>
    <row r="1525" spans="1:7" x14ac:dyDescent="0.2">
      <c r="A1525" s="364"/>
      <c r="B1525" s="75"/>
      <c r="C1525" s="371"/>
      <c r="D1525" s="366"/>
      <c r="E1525" s="77"/>
      <c r="F1525" s="185"/>
      <c r="G1525" s="35"/>
    </row>
    <row r="1526" spans="1:7" x14ac:dyDescent="0.2">
      <c r="A1526" s="29"/>
      <c r="B1526" s="75"/>
      <c r="C1526" s="41"/>
      <c r="D1526" s="184"/>
      <c r="E1526" s="84"/>
      <c r="F1526" s="163"/>
      <c r="G1526" s="35"/>
    </row>
    <row r="1527" spans="1:7" x14ac:dyDescent="0.2">
      <c r="A1527" s="29"/>
      <c r="B1527" s="75"/>
      <c r="C1527" s="41"/>
      <c r="D1527" s="184"/>
      <c r="E1527" s="84"/>
      <c r="F1527" s="163"/>
      <c r="G1527" s="35"/>
    </row>
    <row r="1528" spans="1:7" x14ac:dyDescent="0.2">
      <c r="A1528" s="29"/>
      <c r="B1528" s="75"/>
      <c r="C1528" s="41"/>
      <c r="D1528" s="187"/>
      <c r="E1528" s="84"/>
      <c r="F1528" s="163"/>
      <c r="G1528" s="35"/>
    </row>
    <row r="1529" spans="1:7" x14ac:dyDescent="0.2">
      <c r="A1529" s="29"/>
      <c r="B1529" s="75"/>
      <c r="C1529" s="41"/>
      <c r="D1529" s="187"/>
      <c r="E1529" s="84"/>
      <c r="F1529" s="163"/>
      <c r="G1529" s="35"/>
    </row>
    <row r="1530" spans="1:7" x14ac:dyDescent="0.2">
      <c r="A1530" s="29"/>
      <c r="B1530" s="75"/>
      <c r="C1530" s="41"/>
      <c r="D1530" s="187"/>
      <c r="E1530" s="84"/>
      <c r="F1530" s="163"/>
      <c r="G1530" s="35"/>
    </row>
    <row r="1531" spans="1:7" x14ac:dyDescent="0.2">
      <c r="A1531" s="29"/>
      <c r="B1531" s="75"/>
      <c r="C1531" s="41"/>
      <c r="D1531" s="187"/>
      <c r="E1531" s="84"/>
      <c r="F1531" s="163"/>
      <c r="G1531" s="35"/>
    </row>
    <row r="1532" spans="1:7" x14ac:dyDescent="0.2">
      <c r="A1532" s="29"/>
      <c r="B1532" s="75"/>
      <c r="C1532" s="41"/>
      <c r="D1532" s="187"/>
      <c r="E1532" s="84"/>
      <c r="F1532" s="163"/>
      <c r="G1532" s="35"/>
    </row>
    <row r="1533" spans="1:7" x14ac:dyDescent="0.2">
      <c r="A1533" s="29"/>
      <c r="B1533" s="75"/>
      <c r="C1533" s="41"/>
      <c r="D1533" s="187"/>
      <c r="E1533" s="84"/>
      <c r="F1533" s="163"/>
      <c r="G1533" s="35"/>
    </row>
    <row r="1534" spans="1:7" x14ac:dyDescent="0.2">
      <c r="A1534" s="29"/>
      <c r="B1534" s="75"/>
      <c r="C1534" s="41"/>
      <c r="D1534" s="187"/>
      <c r="E1534" s="84"/>
      <c r="F1534" s="163"/>
      <c r="G1534" s="35"/>
    </row>
    <row r="1535" spans="1:7" x14ac:dyDescent="0.2">
      <c r="A1535" s="29"/>
      <c r="B1535" s="75"/>
      <c r="C1535" s="41"/>
      <c r="D1535" s="187"/>
      <c r="E1535" s="84"/>
      <c r="F1535" s="163"/>
      <c r="G1535" s="35"/>
    </row>
    <row r="1536" spans="1:7" x14ac:dyDescent="0.2">
      <c r="A1536" s="29"/>
      <c r="B1536" s="75"/>
      <c r="C1536" s="41"/>
      <c r="D1536" s="187"/>
      <c r="E1536" s="84"/>
      <c r="F1536" s="163"/>
      <c r="G1536" s="35"/>
    </row>
    <row r="1537" spans="1:7" x14ac:dyDescent="0.2">
      <c r="A1537" s="29"/>
      <c r="B1537" s="75"/>
      <c r="C1537" s="41"/>
      <c r="D1537" s="187"/>
      <c r="E1537" s="84"/>
      <c r="F1537" s="163"/>
      <c r="G1537" s="35"/>
    </row>
    <row r="1538" spans="1:7" x14ac:dyDescent="0.2">
      <c r="A1538" s="29"/>
      <c r="B1538" s="75"/>
      <c r="C1538" s="41"/>
      <c r="D1538" s="187"/>
      <c r="E1538" s="84"/>
      <c r="F1538" s="172"/>
      <c r="G1538" s="35"/>
    </row>
    <row r="1539" spans="1:7" x14ac:dyDescent="0.2">
      <c r="A1539" s="29"/>
      <c r="B1539" s="75"/>
      <c r="C1539" s="41"/>
      <c r="D1539" s="187"/>
      <c r="E1539" s="84"/>
      <c r="F1539" s="173"/>
      <c r="G1539" s="35"/>
    </row>
    <row r="1540" spans="1:7" x14ac:dyDescent="0.2">
      <c r="A1540" s="29" t="s">
        <v>8</v>
      </c>
      <c r="B1540" s="75"/>
      <c r="C1540" s="41"/>
      <c r="D1540" s="187"/>
      <c r="E1540" s="84"/>
      <c r="F1540" s="173"/>
      <c r="G1540" s="35" t="s">
        <v>8</v>
      </c>
    </row>
    <row r="1541" spans="1:7" ht="13.5" thickBot="1" x14ac:dyDescent="0.25">
      <c r="A1541" s="45"/>
      <c r="B1541" s="188"/>
      <c r="C1541" s="47" t="s">
        <v>8</v>
      </c>
      <c r="D1541" s="66" t="s">
        <v>8</v>
      </c>
      <c r="E1541" s="188"/>
      <c r="F1541" s="49" t="s">
        <v>15</v>
      </c>
      <c r="G1541" s="50">
        <f>SUM(G1507:G1540)</f>
        <v>6404.9999999920001</v>
      </c>
    </row>
    <row r="1542" spans="1:7" ht="13.5" thickTop="1" x14ac:dyDescent="0.2">
      <c r="A1542" s="963" t="s">
        <v>2349</v>
      </c>
      <c r="B1542" s="964"/>
      <c r="C1542" s="964"/>
      <c r="D1542" s="964"/>
      <c r="E1542" s="964"/>
      <c r="F1542" s="964"/>
      <c r="G1542" s="965"/>
    </row>
    <row r="1543" spans="1:7" ht="13.5" thickBot="1" x14ac:dyDescent="0.25">
      <c r="A1543" s="378"/>
      <c r="B1543" s="374"/>
      <c r="C1543" s="374" t="s">
        <v>8</v>
      </c>
      <c r="D1543" s="379"/>
      <c r="E1543" s="374"/>
      <c r="F1543" s="380"/>
      <c r="G1543" s="381"/>
    </row>
    <row r="1544" spans="1:7" ht="13.5" thickTop="1" x14ac:dyDescent="0.2">
      <c r="A1544" s="906" t="s">
        <v>8</v>
      </c>
      <c r="B1544" s="907"/>
      <c r="C1544" s="907"/>
      <c r="D1544" s="57" t="s">
        <v>11</v>
      </c>
      <c r="E1544" s="908" t="s">
        <v>12</v>
      </c>
      <c r="F1544" s="908"/>
      <c r="G1544" s="909"/>
    </row>
    <row r="1545" spans="1:7" x14ac:dyDescent="0.2">
      <c r="A1545" s="966" t="s">
        <v>17</v>
      </c>
      <c r="B1545" s="967"/>
      <c r="C1545" s="968"/>
      <c r="D1545" s="39"/>
      <c r="E1545" s="912"/>
      <c r="F1545" s="913"/>
      <c r="G1545" s="914"/>
    </row>
    <row r="1546" spans="1:7" x14ac:dyDescent="0.2">
      <c r="A1546" s="966" t="s">
        <v>38</v>
      </c>
      <c r="B1546" s="967"/>
      <c r="C1546" s="968"/>
      <c r="D1546" s="58" t="s">
        <v>308</v>
      </c>
      <c r="E1546" s="969" t="s">
        <v>142</v>
      </c>
      <c r="F1546" s="868"/>
      <c r="G1546" s="869"/>
    </row>
    <row r="1547" spans="1:7" ht="13.5" thickBot="1" x14ac:dyDescent="0.25">
      <c r="A1547" s="970" t="s">
        <v>39</v>
      </c>
      <c r="B1547" s="971"/>
      <c r="C1547" s="972"/>
      <c r="D1547" s="375" t="s">
        <v>1038</v>
      </c>
      <c r="E1547" s="904" t="s">
        <v>0</v>
      </c>
      <c r="F1547" s="904"/>
      <c r="G1547" s="905"/>
    </row>
    <row r="1548" spans="1:7" ht="16.5" x14ac:dyDescent="0.25">
      <c r="A1548" s="885" t="s">
        <v>29</v>
      </c>
      <c r="B1548" s="886"/>
      <c r="C1548" s="886"/>
      <c r="D1548" s="886"/>
      <c r="E1548" s="886"/>
      <c r="F1548" s="886"/>
      <c r="G1548" s="887"/>
    </row>
    <row r="1549" spans="1:7" x14ac:dyDescent="0.2">
      <c r="A1549" s="888" t="s">
        <v>48</v>
      </c>
      <c r="B1549" s="889"/>
      <c r="C1549" s="889"/>
      <c r="D1549" s="889"/>
      <c r="E1549" s="889"/>
      <c r="F1549" s="889"/>
      <c r="G1549" s="890"/>
    </row>
    <row r="1550" spans="1:7" x14ac:dyDescent="0.2">
      <c r="A1550" s="915" t="s">
        <v>49</v>
      </c>
      <c r="B1550" s="916"/>
      <c r="C1550" s="916"/>
      <c r="D1550" s="916"/>
      <c r="E1550" s="916"/>
      <c r="F1550" s="916"/>
      <c r="G1550" s="917"/>
    </row>
    <row r="1551" spans="1:7" x14ac:dyDescent="0.2">
      <c r="A1551" s="6"/>
      <c r="B1551" s="178"/>
      <c r="C1551" s="8"/>
      <c r="D1551" s="9"/>
      <c r="E1551" s="99"/>
      <c r="F1551" s="10"/>
      <c r="G1551" s="11" t="s">
        <v>8</v>
      </c>
    </row>
    <row r="1552" spans="1:7" x14ac:dyDescent="0.2">
      <c r="A1552" s="12" t="s">
        <v>1</v>
      </c>
      <c r="B1552" s="13"/>
      <c r="C1552" s="14" t="s">
        <v>5</v>
      </c>
      <c r="D1552" s="13"/>
      <c r="E1552" s="362" t="s">
        <v>2395</v>
      </c>
      <c r="F1552" s="60"/>
      <c r="G1552" s="363" t="s">
        <v>2392</v>
      </c>
    </row>
    <row r="1553" spans="1:7" x14ac:dyDescent="0.2">
      <c r="A1553" s="17" t="s">
        <v>8</v>
      </c>
      <c r="B1553" s="179"/>
      <c r="C1553" s="19"/>
      <c r="D1553" s="4"/>
      <c r="E1553" s="918"/>
      <c r="F1553" s="919"/>
      <c r="G1553" s="20"/>
    </row>
    <row r="1554" spans="1:7" x14ac:dyDescent="0.2">
      <c r="A1554" s="21" t="s">
        <v>37</v>
      </c>
      <c r="B1554" s="22"/>
      <c r="C1554" s="22"/>
      <c r="D1554" s="22"/>
      <c r="E1554" s="23" t="s">
        <v>46</v>
      </c>
      <c r="F1554" s="24"/>
      <c r="G1554" s="20" t="s">
        <v>50</v>
      </c>
    </row>
    <row r="1555" spans="1:7" x14ac:dyDescent="0.2">
      <c r="A1555" s="6"/>
      <c r="B1555" s="178"/>
      <c r="C1555" s="8"/>
      <c r="D1555" s="8"/>
      <c r="E1555" s="920"/>
      <c r="F1555" s="921"/>
      <c r="G1555" s="25"/>
    </row>
    <row r="1556" spans="1:7" ht="26.25" thickBot="1" x14ac:dyDescent="0.25">
      <c r="A1556" s="26" t="s">
        <v>47</v>
      </c>
      <c r="B1556" s="180" t="s">
        <v>23</v>
      </c>
      <c r="C1556" s="28" t="s">
        <v>34</v>
      </c>
      <c r="D1556" s="110" t="s">
        <v>53</v>
      </c>
      <c r="E1556" s="181" t="s">
        <v>54</v>
      </c>
      <c r="F1556" s="111" t="s">
        <v>55</v>
      </c>
      <c r="G1556" s="112" t="s">
        <v>35</v>
      </c>
    </row>
    <row r="1557" spans="1:7" ht="13.5" thickTop="1" x14ac:dyDescent="0.2">
      <c r="A1557" s="364">
        <v>1</v>
      </c>
      <c r="B1557" s="75"/>
      <c r="C1557" s="365" t="s">
        <v>149</v>
      </c>
      <c r="D1557" s="366" t="s">
        <v>2396</v>
      </c>
      <c r="E1557" s="77">
        <v>39</v>
      </c>
      <c r="F1557" s="185">
        <v>124</v>
      </c>
      <c r="G1557" s="35">
        <f>F1557*E1557</f>
        <v>4836</v>
      </c>
    </row>
    <row r="1558" spans="1:7" x14ac:dyDescent="0.2">
      <c r="A1558" s="364"/>
      <c r="B1558" s="75"/>
      <c r="C1558" s="371"/>
      <c r="D1558" s="366"/>
      <c r="E1558" s="77"/>
      <c r="F1558" s="185"/>
      <c r="G1558" s="35"/>
    </row>
    <row r="1559" spans="1:7" x14ac:dyDescent="0.2">
      <c r="A1559" s="364"/>
      <c r="B1559" s="75"/>
      <c r="C1559" s="371"/>
      <c r="D1559" s="458"/>
      <c r="E1559" s="77"/>
      <c r="F1559" s="185"/>
      <c r="G1559" s="35"/>
    </row>
    <row r="1560" spans="1:7" x14ac:dyDescent="0.2">
      <c r="A1560" s="364"/>
      <c r="B1560" s="75"/>
      <c r="C1560" s="371"/>
      <c r="D1560" s="366"/>
      <c r="E1560" s="77"/>
      <c r="G1560" s="35"/>
    </row>
    <row r="1561" spans="1:7" x14ac:dyDescent="0.2">
      <c r="A1561" s="364"/>
      <c r="B1561" s="75"/>
      <c r="C1561" s="371"/>
      <c r="D1561" s="366"/>
      <c r="E1561" s="77"/>
      <c r="F1561" s="185"/>
      <c r="G1561" s="35"/>
    </row>
    <row r="1562" spans="1:7" x14ac:dyDescent="0.2">
      <c r="A1562" s="364"/>
      <c r="B1562" s="75"/>
      <c r="C1562" s="371"/>
      <c r="D1562" s="366"/>
      <c r="E1562" s="77"/>
      <c r="F1562" s="185"/>
      <c r="G1562" s="35"/>
    </row>
    <row r="1563" spans="1:7" x14ac:dyDescent="0.2">
      <c r="A1563" s="364"/>
      <c r="B1563" s="75"/>
      <c r="C1563" s="371"/>
      <c r="D1563" s="366"/>
      <c r="E1563" s="77"/>
      <c r="F1563" s="185"/>
      <c r="G1563" s="35"/>
    </row>
    <row r="1564" spans="1:7" x14ac:dyDescent="0.2">
      <c r="A1564" s="364"/>
      <c r="B1564" s="75"/>
      <c r="C1564" s="371"/>
      <c r="D1564" s="366"/>
      <c r="E1564" s="77"/>
      <c r="F1564" s="185"/>
      <c r="G1564" s="35"/>
    </row>
    <row r="1565" spans="1:7" x14ac:dyDescent="0.2">
      <c r="A1565" s="364"/>
      <c r="B1565" s="186"/>
      <c r="C1565" s="371"/>
      <c r="D1565" s="366"/>
      <c r="E1565" s="77"/>
      <c r="F1565" s="185"/>
      <c r="G1565" s="35"/>
    </row>
    <row r="1566" spans="1:7" x14ac:dyDescent="0.2">
      <c r="A1566" s="364"/>
      <c r="B1566" s="74"/>
      <c r="C1566" s="371"/>
      <c r="D1566" s="366"/>
      <c r="E1566" s="77"/>
      <c r="F1566" s="185"/>
      <c r="G1566" s="35"/>
    </row>
    <row r="1567" spans="1:7" x14ac:dyDescent="0.2">
      <c r="A1567" s="364"/>
      <c r="B1567" s="74"/>
      <c r="C1567" s="371"/>
      <c r="D1567" s="454"/>
      <c r="E1567" s="84"/>
      <c r="F1567" s="163"/>
      <c r="G1567" s="35"/>
    </row>
    <row r="1568" spans="1:7" x14ac:dyDescent="0.2">
      <c r="A1568" s="364"/>
      <c r="B1568" s="74"/>
      <c r="C1568" s="371"/>
      <c r="D1568" s="454"/>
      <c r="E1568" s="84"/>
      <c r="F1568" s="163"/>
      <c r="G1568" s="35"/>
    </row>
    <row r="1569" spans="1:7" x14ac:dyDescent="0.2">
      <c r="A1569" s="364"/>
      <c r="B1569" s="75"/>
      <c r="C1569" s="371"/>
      <c r="D1569" s="454"/>
      <c r="E1569" s="84"/>
      <c r="F1569" s="172"/>
      <c r="G1569" s="35"/>
    </row>
    <row r="1570" spans="1:7" x14ac:dyDescent="0.2">
      <c r="A1570" s="364"/>
      <c r="B1570" s="75"/>
      <c r="C1570" s="371"/>
      <c r="D1570" s="454"/>
      <c r="E1570" s="84"/>
      <c r="F1570" s="173"/>
      <c r="G1570" s="35"/>
    </row>
    <row r="1571" spans="1:7" x14ac:dyDescent="0.2">
      <c r="A1571" s="364"/>
      <c r="B1571" s="75"/>
      <c r="C1571" s="371"/>
      <c r="D1571" s="454"/>
      <c r="E1571" s="77"/>
      <c r="F1571" s="185"/>
      <c r="G1571" s="35"/>
    </row>
    <row r="1572" spans="1:7" x14ac:dyDescent="0.2">
      <c r="A1572" s="364"/>
      <c r="B1572" s="75"/>
      <c r="C1572" s="371"/>
      <c r="D1572" s="454"/>
      <c r="E1572" s="77"/>
      <c r="F1572" s="185"/>
      <c r="G1572" s="35"/>
    </row>
    <row r="1573" spans="1:7" x14ac:dyDescent="0.2">
      <c r="A1573" s="364"/>
      <c r="B1573" s="75"/>
      <c r="C1573" s="371"/>
      <c r="D1573" s="366"/>
      <c r="E1573" s="77"/>
      <c r="F1573" s="185"/>
      <c r="G1573" s="35"/>
    </row>
    <row r="1574" spans="1:7" x14ac:dyDescent="0.2">
      <c r="A1574" s="364"/>
      <c r="B1574" s="75"/>
      <c r="C1574" s="371"/>
      <c r="D1574" s="366"/>
      <c r="E1574" s="77"/>
      <c r="F1574" s="185"/>
      <c r="G1574" s="35"/>
    </row>
    <row r="1575" spans="1:7" x14ac:dyDescent="0.2">
      <c r="A1575" s="364"/>
      <c r="B1575" s="75"/>
      <c r="C1575" s="371"/>
      <c r="D1575" s="366"/>
      <c r="E1575" s="77"/>
      <c r="F1575" s="185"/>
      <c r="G1575" s="35"/>
    </row>
    <row r="1576" spans="1:7" x14ac:dyDescent="0.2">
      <c r="A1576" s="29"/>
      <c r="B1576" s="75"/>
      <c r="C1576" s="41"/>
      <c r="D1576" s="184"/>
      <c r="E1576" s="84"/>
      <c r="F1576" s="163"/>
      <c r="G1576" s="35"/>
    </row>
    <row r="1577" spans="1:7" x14ac:dyDescent="0.2">
      <c r="A1577" s="29"/>
      <c r="B1577" s="75"/>
      <c r="C1577" s="41"/>
      <c r="D1577" s="184"/>
      <c r="E1577" s="84"/>
      <c r="F1577" s="163"/>
      <c r="G1577" s="35"/>
    </row>
    <row r="1578" spans="1:7" x14ac:dyDescent="0.2">
      <c r="A1578" s="29"/>
      <c r="B1578" s="75"/>
      <c r="C1578" s="41"/>
      <c r="D1578" s="187"/>
      <c r="E1578" s="84"/>
      <c r="F1578" s="163"/>
      <c r="G1578" s="35"/>
    </row>
    <row r="1579" spans="1:7" x14ac:dyDescent="0.2">
      <c r="A1579" s="29"/>
      <c r="B1579" s="75"/>
      <c r="C1579" s="41"/>
      <c r="D1579" s="187"/>
      <c r="E1579" s="84"/>
      <c r="F1579" s="163"/>
      <c r="G1579" s="35"/>
    </row>
    <row r="1580" spans="1:7" x14ac:dyDescent="0.2">
      <c r="A1580" s="29"/>
      <c r="B1580" s="75"/>
      <c r="C1580" s="41"/>
      <c r="D1580" s="187"/>
      <c r="E1580" s="84"/>
      <c r="F1580" s="163"/>
      <c r="G1580" s="35"/>
    </row>
    <row r="1581" spans="1:7" x14ac:dyDescent="0.2">
      <c r="A1581" s="29"/>
      <c r="B1581" s="75"/>
      <c r="C1581" s="41"/>
      <c r="D1581" s="187"/>
      <c r="E1581" s="84"/>
      <c r="F1581" s="163"/>
      <c r="G1581" s="35"/>
    </row>
    <row r="1582" spans="1:7" x14ac:dyDescent="0.2">
      <c r="A1582" s="29"/>
      <c r="B1582" s="75"/>
      <c r="C1582" s="41"/>
      <c r="D1582" s="187"/>
      <c r="E1582" s="84"/>
      <c r="F1582" s="163"/>
      <c r="G1582" s="35"/>
    </row>
    <row r="1583" spans="1:7" x14ac:dyDescent="0.2">
      <c r="A1583" s="29"/>
      <c r="B1583" s="75"/>
      <c r="C1583" s="41"/>
      <c r="D1583" s="187"/>
      <c r="E1583" s="84"/>
      <c r="F1583" s="163"/>
      <c r="G1583" s="35"/>
    </row>
    <row r="1584" spans="1:7" x14ac:dyDescent="0.2">
      <c r="A1584" s="29"/>
      <c r="B1584" s="75"/>
      <c r="C1584" s="41"/>
      <c r="D1584" s="187"/>
      <c r="E1584" s="84"/>
      <c r="F1584" s="163"/>
      <c r="G1584" s="35"/>
    </row>
    <row r="1585" spans="1:7" x14ac:dyDescent="0.2">
      <c r="A1585" s="29"/>
      <c r="B1585" s="75"/>
      <c r="C1585" s="41"/>
      <c r="D1585" s="187"/>
      <c r="E1585" s="84"/>
      <c r="F1585" s="163"/>
      <c r="G1585" s="35"/>
    </row>
    <row r="1586" spans="1:7" x14ac:dyDescent="0.2">
      <c r="A1586" s="29"/>
      <c r="B1586" s="75"/>
      <c r="C1586" s="41"/>
      <c r="D1586" s="187"/>
      <c r="E1586" s="84"/>
      <c r="F1586" s="163"/>
      <c r="G1586" s="35"/>
    </row>
    <row r="1587" spans="1:7" x14ac:dyDescent="0.2">
      <c r="A1587" s="29"/>
      <c r="B1587" s="75"/>
      <c r="C1587" s="41"/>
      <c r="D1587" s="187"/>
      <c r="E1587" s="84"/>
      <c r="F1587" s="163"/>
      <c r="G1587" s="35"/>
    </row>
    <row r="1588" spans="1:7" x14ac:dyDescent="0.2">
      <c r="A1588" s="29"/>
      <c r="B1588" s="75"/>
      <c r="C1588" s="41"/>
      <c r="D1588" s="187"/>
      <c r="E1588" s="84"/>
      <c r="F1588" s="172"/>
      <c r="G1588" s="35"/>
    </row>
    <row r="1589" spans="1:7" x14ac:dyDescent="0.2">
      <c r="A1589" s="29"/>
      <c r="B1589" s="75"/>
      <c r="C1589" s="41"/>
      <c r="D1589" s="187"/>
      <c r="E1589" s="84"/>
      <c r="F1589" s="173"/>
      <c r="G1589" s="35"/>
    </row>
    <row r="1590" spans="1:7" x14ac:dyDescent="0.2">
      <c r="A1590" s="29" t="s">
        <v>8</v>
      </c>
      <c r="B1590" s="75"/>
      <c r="C1590" s="41"/>
      <c r="D1590" s="187"/>
      <c r="E1590" s="84"/>
      <c r="F1590" s="173"/>
      <c r="G1590" s="35" t="s">
        <v>8</v>
      </c>
    </row>
    <row r="1591" spans="1:7" ht="13.5" thickBot="1" x14ac:dyDescent="0.25">
      <c r="A1591" s="45"/>
      <c r="B1591" s="188"/>
      <c r="C1591" s="47" t="s">
        <v>8</v>
      </c>
      <c r="D1591" s="66" t="s">
        <v>8</v>
      </c>
      <c r="E1591" s="188"/>
      <c r="F1591" s="49" t="s">
        <v>15</v>
      </c>
      <c r="G1591" s="50">
        <f>SUM(G1557:G1590)</f>
        <v>4836</v>
      </c>
    </row>
    <row r="1592" spans="1:7" ht="13.5" thickTop="1" x14ac:dyDescent="0.2">
      <c r="A1592" s="963" t="s">
        <v>2397</v>
      </c>
      <c r="B1592" s="964"/>
      <c r="C1592" s="964"/>
      <c r="D1592" s="964"/>
      <c r="E1592" s="964"/>
      <c r="F1592" s="964"/>
      <c r="G1592" s="965"/>
    </row>
    <row r="1593" spans="1:7" ht="13.5" thickBot="1" x14ac:dyDescent="0.25">
      <c r="A1593" s="378"/>
      <c r="B1593" s="374"/>
      <c r="C1593" s="374" t="s">
        <v>2398</v>
      </c>
      <c r="D1593" s="379"/>
      <c r="E1593" s="374"/>
      <c r="F1593" s="380"/>
      <c r="G1593" s="381"/>
    </row>
    <row r="1594" spans="1:7" ht="13.5" thickTop="1" x14ac:dyDescent="0.2">
      <c r="A1594" s="906" t="s">
        <v>8</v>
      </c>
      <c r="B1594" s="907"/>
      <c r="C1594" s="907"/>
      <c r="D1594" s="57" t="s">
        <v>11</v>
      </c>
      <c r="E1594" s="908" t="s">
        <v>12</v>
      </c>
      <c r="F1594" s="908"/>
      <c r="G1594" s="909"/>
    </row>
    <row r="1595" spans="1:7" x14ac:dyDescent="0.2">
      <c r="A1595" s="966" t="s">
        <v>17</v>
      </c>
      <c r="B1595" s="967"/>
      <c r="C1595" s="968"/>
      <c r="D1595" s="39"/>
      <c r="E1595" s="912"/>
      <c r="F1595" s="913"/>
      <c r="G1595" s="914"/>
    </row>
    <row r="1596" spans="1:7" x14ac:dyDescent="0.2">
      <c r="A1596" s="966" t="s">
        <v>38</v>
      </c>
      <c r="B1596" s="967"/>
      <c r="C1596" s="968"/>
      <c r="D1596" s="58" t="s">
        <v>308</v>
      </c>
      <c r="E1596" s="969" t="s">
        <v>142</v>
      </c>
      <c r="F1596" s="868"/>
      <c r="G1596" s="869"/>
    </row>
    <row r="1597" spans="1:7" ht="13.5" thickBot="1" x14ac:dyDescent="0.25">
      <c r="A1597" s="970" t="s">
        <v>39</v>
      </c>
      <c r="B1597" s="971"/>
      <c r="C1597" s="972"/>
      <c r="D1597" s="375" t="s">
        <v>1038</v>
      </c>
      <c r="E1597" s="904" t="s">
        <v>0</v>
      </c>
      <c r="F1597" s="904"/>
      <c r="G1597" s="905"/>
    </row>
    <row r="1598" spans="1:7" ht="16.5" x14ac:dyDescent="0.25">
      <c r="A1598" s="885" t="s">
        <v>29</v>
      </c>
      <c r="B1598" s="886"/>
      <c r="C1598" s="886"/>
      <c r="D1598" s="886"/>
      <c r="E1598" s="886"/>
      <c r="F1598" s="886"/>
      <c r="G1598" s="887"/>
    </row>
    <row r="1599" spans="1:7" x14ac:dyDescent="0.2">
      <c r="A1599" s="888" t="s">
        <v>48</v>
      </c>
      <c r="B1599" s="889"/>
      <c r="C1599" s="889"/>
      <c r="D1599" s="889"/>
      <c r="E1599" s="889"/>
      <c r="F1599" s="889"/>
      <c r="G1599" s="890"/>
    </row>
    <row r="1600" spans="1:7" x14ac:dyDescent="0.2">
      <c r="A1600" s="915" t="s">
        <v>49</v>
      </c>
      <c r="B1600" s="916"/>
      <c r="C1600" s="916"/>
      <c r="D1600" s="916"/>
      <c r="E1600" s="916"/>
      <c r="F1600" s="916"/>
      <c r="G1600" s="917"/>
    </row>
    <row r="1601" spans="1:14" x14ac:dyDescent="0.2">
      <c r="A1601" s="6"/>
      <c r="B1601" s="178"/>
      <c r="C1601" s="8"/>
      <c r="D1601" s="9"/>
      <c r="E1601" s="99"/>
      <c r="F1601" s="10"/>
      <c r="G1601" s="11" t="s">
        <v>8</v>
      </c>
    </row>
    <row r="1602" spans="1:14" x14ac:dyDescent="0.2">
      <c r="A1602" s="12" t="s">
        <v>1</v>
      </c>
      <c r="B1602" s="13"/>
      <c r="C1602" s="14" t="s">
        <v>5</v>
      </c>
      <c r="D1602" s="13"/>
      <c r="E1602" s="362" t="s">
        <v>2407</v>
      </c>
      <c r="F1602" s="60"/>
      <c r="G1602" s="363" t="s">
        <v>2392</v>
      </c>
    </row>
    <row r="1603" spans="1:14" x14ac:dyDescent="0.2">
      <c r="A1603" s="17" t="s">
        <v>8</v>
      </c>
      <c r="B1603" s="179"/>
      <c r="C1603" s="19"/>
      <c r="D1603" s="4"/>
      <c r="E1603" s="918"/>
      <c r="F1603" s="919"/>
      <c r="G1603" s="20"/>
    </row>
    <row r="1604" spans="1:14" x14ac:dyDescent="0.2">
      <c r="A1604" s="21" t="s">
        <v>37</v>
      </c>
      <c r="B1604" s="22"/>
      <c r="C1604" s="22"/>
      <c r="D1604" s="22"/>
      <c r="E1604" s="23" t="s">
        <v>46</v>
      </c>
      <c r="F1604" s="24"/>
      <c r="G1604" s="20" t="s">
        <v>50</v>
      </c>
    </row>
    <row r="1605" spans="1:14" x14ac:dyDescent="0.2">
      <c r="A1605" s="6"/>
      <c r="B1605" s="178"/>
      <c r="C1605" s="8"/>
      <c r="D1605" s="8"/>
      <c r="E1605" s="920"/>
      <c r="F1605" s="921"/>
      <c r="G1605" s="25"/>
    </row>
    <row r="1606" spans="1:14" ht="26.25" thickBot="1" x14ac:dyDescent="0.25">
      <c r="A1606" s="26" t="s">
        <v>47</v>
      </c>
      <c r="B1606" s="180" t="s">
        <v>23</v>
      </c>
      <c r="C1606" s="28" t="s">
        <v>34</v>
      </c>
      <c r="D1606" s="110" t="s">
        <v>53</v>
      </c>
      <c r="E1606" s="181" t="s">
        <v>54</v>
      </c>
      <c r="F1606" s="111" t="s">
        <v>55</v>
      </c>
      <c r="G1606" s="112" t="s">
        <v>35</v>
      </c>
    </row>
    <row r="1607" spans="1:14" ht="13.5" thickTop="1" x14ac:dyDescent="0.2">
      <c r="A1607" s="364">
        <v>1</v>
      </c>
      <c r="B1607" s="75"/>
      <c r="C1607" s="365" t="s">
        <v>149</v>
      </c>
      <c r="D1607" s="366" t="s">
        <v>2408</v>
      </c>
      <c r="E1607" s="77">
        <v>75</v>
      </c>
      <c r="F1607" s="185">
        <v>99</v>
      </c>
      <c r="G1607" s="35">
        <f>F1607*E1607</f>
        <v>7425</v>
      </c>
    </row>
    <row r="1608" spans="1:14" x14ac:dyDescent="0.2">
      <c r="A1608" s="364">
        <v>2</v>
      </c>
      <c r="B1608" s="75"/>
      <c r="C1608" s="371" t="s">
        <v>185</v>
      </c>
      <c r="D1608" s="366" t="s">
        <v>2409</v>
      </c>
      <c r="E1608" s="77">
        <v>4</v>
      </c>
      <c r="F1608" s="185">
        <v>51</v>
      </c>
      <c r="G1608" s="35">
        <f>F1608*E1608</f>
        <v>204</v>
      </c>
    </row>
    <row r="1609" spans="1:14" x14ac:dyDescent="0.2">
      <c r="A1609" s="364"/>
      <c r="B1609" s="75"/>
      <c r="C1609" s="371"/>
      <c r="D1609" s="458"/>
      <c r="E1609" s="77"/>
      <c r="F1609" s="185"/>
      <c r="G1609" s="35"/>
    </row>
    <row r="1610" spans="1:14" x14ac:dyDescent="0.2">
      <c r="A1610" s="364"/>
      <c r="B1610" s="75"/>
      <c r="C1610" s="371"/>
      <c r="D1610" s="366"/>
      <c r="E1610" s="77"/>
      <c r="G1610" s="35"/>
      <c r="L1610" s="2">
        <v>180</v>
      </c>
      <c r="M1610" s="2">
        <v>250</v>
      </c>
      <c r="N1610" s="211">
        <f>M1610*L1610</f>
        <v>45000</v>
      </c>
    </row>
    <row r="1611" spans="1:14" x14ac:dyDescent="0.2">
      <c r="A1611" s="364"/>
      <c r="B1611" s="75"/>
      <c r="C1611" s="371"/>
      <c r="D1611" s="366"/>
      <c r="E1611" s="77"/>
      <c r="F1611" s="185"/>
      <c r="G1611" s="35"/>
    </row>
    <row r="1612" spans="1:14" x14ac:dyDescent="0.2">
      <c r="A1612" s="364"/>
      <c r="B1612" s="75"/>
      <c r="C1612" s="371"/>
      <c r="D1612" s="366"/>
      <c r="E1612" s="77"/>
      <c r="F1612" s="185"/>
      <c r="G1612" s="35"/>
    </row>
    <row r="1613" spans="1:14" x14ac:dyDescent="0.2">
      <c r="A1613" s="364"/>
      <c r="B1613" s="75"/>
      <c r="C1613" s="371"/>
      <c r="D1613" s="366"/>
      <c r="E1613" s="77"/>
      <c r="F1613" s="185"/>
      <c r="G1613" s="35"/>
    </row>
    <row r="1614" spans="1:14" x14ac:dyDescent="0.2">
      <c r="A1614" s="364"/>
      <c r="B1614" s="75"/>
      <c r="C1614" s="371"/>
      <c r="D1614" s="366"/>
      <c r="E1614" s="77"/>
      <c r="F1614" s="185"/>
      <c r="G1614" s="35"/>
    </row>
    <row r="1615" spans="1:14" x14ac:dyDescent="0.2">
      <c r="A1615" s="364"/>
      <c r="B1615" s="186"/>
      <c r="C1615" s="371"/>
      <c r="D1615" s="366"/>
      <c r="E1615" s="77"/>
      <c r="F1615" s="185"/>
      <c r="G1615" s="35"/>
    </row>
    <row r="1616" spans="1:14" x14ac:dyDescent="0.2">
      <c r="A1616" s="364"/>
      <c r="B1616" s="74"/>
      <c r="C1616" s="371"/>
      <c r="D1616" s="366"/>
      <c r="E1616" s="77"/>
      <c r="F1616" s="185"/>
      <c r="G1616" s="35"/>
    </row>
    <row r="1617" spans="1:7" x14ac:dyDescent="0.2">
      <c r="A1617" s="364"/>
      <c r="B1617" s="74"/>
      <c r="C1617" s="371"/>
      <c r="D1617" s="454"/>
      <c r="E1617" s="84"/>
      <c r="F1617" s="163"/>
      <c r="G1617" s="35"/>
    </row>
    <row r="1618" spans="1:7" x14ac:dyDescent="0.2">
      <c r="A1618" s="364"/>
      <c r="B1618" s="74"/>
      <c r="C1618" s="371"/>
      <c r="D1618" s="454"/>
      <c r="E1618" s="84"/>
      <c r="F1618" s="163"/>
      <c r="G1618" s="35"/>
    </row>
    <row r="1619" spans="1:7" x14ac:dyDescent="0.2">
      <c r="A1619" s="364"/>
      <c r="B1619" s="75"/>
      <c r="C1619" s="371"/>
      <c r="D1619" s="454"/>
      <c r="E1619" s="84"/>
      <c r="F1619" s="172"/>
      <c r="G1619" s="35"/>
    </row>
    <row r="1620" spans="1:7" x14ac:dyDescent="0.2">
      <c r="A1620" s="364"/>
      <c r="B1620" s="75"/>
      <c r="C1620" s="371"/>
      <c r="D1620" s="454"/>
      <c r="E1620" s="84"/>
      <c r="F1620" s="173"/>
      <c r="G1620" s="35"/>
    </row>
    <row r="1621" spans="1:7" x14ac:dyDescent="0.2">
      <c r="A1621" s="364"/>
      <c r="B1621" s="75"/>
      <c r="C1621" s="371"/>
      <c r="D1621" s="454"/>
      <c r="E1621" s="77"/>
      <c r="F1621" s="185"/>
      <c r="G1621" s="35"/>
    </row>
    <row r="1622" spans="1:7" x14ac:dyDescent="0.2">
      <c r="A1622" s="364"/>
      <c r="B1622" s="75"/>
      <c r="C1622" s="371"/>
      <c r="D1622" s="454"/>
      <c r="E1622" s="77"/>
      <c r="F1622" s="185"/>
      <c r="G1622" s="35"/>
    </row>
    <row r="1623" spans="1:7" x14ac:dyDescent="0.2">
      <c r="A1623" s="364"/>
      <c r="B1623" s="75"/>
      <c r="C1623" s="371"/>
      <c r="D1623" s="366"/>
      <c r="E1623" s="77"/>
      <c r="F1623" s="185"/>
      <c r="G1623" s="35"/>
    </row>
    <row r="1624" spans="1:7" x14ac:dyDescent="0.2">
      <c r="A1624" s="364"/>
      <c r="B1624" s="75"/>
      <c r="C1624" s="371"/>
      <c r="D1624" s="366"/>
      <c r="E1624" s="77"/>
      <c r="F1624" s="185"/>
      <c r="G1624" s="35"/>
    </row>
    <row r="1625" spans="1:7" x14ac:dyDescent="0.2">
      <c r="A1625" s="364"/>
      <c r="B1625" s="75"/>
      <c r="C1625" s="371"/>
      <c r="D1625" s="366"/>
      <c r="E1625" s="77"/>
      <c r="F1625" s="185"/>
      <c r="G1625" s="35"/>
    </row>
    <row r="1626" spans="1:7" x14ac:dyDescent="0.2">
      <c r="A1626" s="29"/>
      <c r="B1626" s="75"/>
      <c r="C1626" s="41"/>
      <c r="D1626" s="184"/>
      <c r="E1626" s="84"/>
      <c r="F1626" s="163"/>
      <c r="G1626" s="35"/>
    </row>
    <row r="1627" spans="1:7" x14ac:dyDescent="0.2">
      <c r="A1627" s="29"/>
      <c r="B1627" s="75"/>
      <c r="C1627" s="41"/>
      <c r="D1627" s="184"/>
      <c r="E1627" s="84"/>
      <c r="F1627" s="163"/>
      <c r="G1627" s="35"/>
    </row>
    <row r="1628" spans="1:7" x14ac:dyDescent="0.2">
      <c r="A1628" s="29"/>
      <c r="B1628" s="75"/>
      <c r="C1628" s="41"/>
      <c r="D1628" s="187"/>
      <c r="E1628" s="84"/>
      <c r="F1628" s="163"/>
      <c r="G1628" s="35"/>
    </row>
    <row r="1629" spans="1:7" x14ac:dyDescent="0.2">
      <c r="A1629" s="29"/>
      <c r="B1629" s="75"/>
      <c r="C1629" s="41"/>
      <c r="D1629" s="187"/>
      <c r="E1629" s="84"/>
      <c r="F1629" s="163"/>
      <c r="G1629" s="35"/>
    </row>
    <row r="1630" spans="1:7" x14ac:dyDescent="0.2">
      <c r="A1630" s="29"/>
      <c r="B1630" s="75"/>
      <c r="C1630" s="41"/>
      <c r="D1630" s="187"/>
      <c r="E1630" s="84"/>
      <c r="F1630" s="163"/>
      <c r="G1630" s="35"/>
    </row>
    <row r="1631" spans="1:7" x14ac:dyDescent="0.2">
      <c r="A1631" s="29"/>
      <c r="B1631" s="75"/>
      <c r="C1631" s="41"/>
      <c r="D1631" s="187"/>
      <c r="E1631" s="84"/>
      <c r="F1631" s="163"/>
      <c r="G1631" s="35"/>
    </row>
    <row r="1632" spans="1:7" x14ac:dyDescent="0.2">
      <c r="A1632" s="29"/>
      <c r="B1632" s="75"/>
      <c r="C1632" s="41"/>
      <c r="D1632" s="187"/>
      <c r="E1632" s="84"/>
      <c r="F1632" s="163"/>
      <c r="G1632" s="35"/>
    </row>
    <row r="1633" spans="1:7" x14ac:dyDescent="0.2">
      <c r="A1633" s="29"/>
      <c r="B1633" s="75"/>
      <c r="C1633" s="41"/>
      <c r="D1633" s="187"/>
      <c r="E1633" s="84"/>
      <c r="F1633" s="163"/>
      <c r="G1633" s="35"/>
    </row>
    <row r="1634" spans="1:7" x14ac:dyDescent="0.2">
      <c r="A1634" s="29"/>
      <c r="B1634" s="75"/>
      <c r="C1634" s="41"/>
      <c r="D1634" s="187"/>
      <c r="E1634" s="84"/>
      <c r="F1634" s="163"/>
      <c r="G1634" s="35"/>
    </row>
    <row r="1635" spans="1:7" x14ac:dyDescent="0.2">
      <c r="A1635" s="29"/>
      <c r="B1635" s="75"/>
      <c r="C1635" s="41"/>
      <c r="D1635" s="187"/>
      <c r="E1635" s="84"/>
      <c r="F1635" s="163"/>
      <c r="G1635" s="35"/>
    </row>
    <row r="1636" spans="1:7" x14ac:dyDescent="0.2">
      <c r="A1636" s="29"/>
      <c r="B1636" s="75"/>
      <c r="C1636" s="41"/>
      <c r="D1636" s="187"/>
      <c r="E1636" s="84"/>
      <c r="F1636" s="163"/>
      <c r="G1636" s="35"/>
    </row>
    <row r="1637" spans="1:7" x14ac:dyDescent="0.2">
      <c r="A1637" s="29"/>
      <c r="B1637" s="75"/>
      <c r="C1637" s="41"/>
      <c r="D1637" s="187"/>
      <c r="E1637" s="84"/>
      <c r="F1637" s="163"/>
      <c r="G1637" s="35"/>
    </row>
    <row r="1638" spans="1:7" x14ac:dyDescent="0.2">
      <c r="A1638" s="29"/>
      <c r="B1638" s="75"/>
      <c r="C1638" s="41"/>
      <c r="D1638" s="187"/>
      <c r="E1638" s="84"/>
      <c r="F1638" s="172"/>
      <c r="G1638" s="35"/>
    </row>
    <row r="1639" spans="1:7" x14ac:dyDescent="0.2">
      <c r="A1639" s="29"/>
      <c r="B1639" s="75"/>
      <c r="C1639" s="41"/>
      <c r="D1639" s="187"/>
      <c r="E1639" s="84"/>
      <c r="F1639" s="173"/>
      <c r="G1639" s="35"/>
    </row>
    <row r="1640" spans="1:7" x14ac:dyDescent="0.2">
      <c r="A1640" s="29" t="s">
        <v>8</v>
      </c>
      <c r="B1640" s="75"/>
      <c r="C1640" s="41"/>
      <c r="D1640" s="187"/>
      <c r="E1640" s="84"/>
      <c r="F1640" s="173"/>
      <c r="G1640" s="35" t="s">
        <v>8</v>
      </c>
    </row>
    <row r="1641" spans="1:7" ht="13.5" thickBot="1" x14ac:dyDescent="0.25">
      <c r="A1641" s="45"/>
      <c r="B1641" s="188"/>
      <c r="C1641" s="47" t="s">
        <v>8</v>
      </c>
      <c r="D1641" s="66" t="s">
        <v>8</v>
      </c>
      <c r="E1641" s="188"/>
      <c r="F1641" s="49" t="s">
        <v>15</v>
      </c>
      <c r="G1641" s="50">
        <f>SUM(G1607:G1640)</f>
        <v>7629</v>
      </c>
    </row>
    <row r="1642" spans="1:7" ht="13.5" thickTop="1" x14ac:dyDescent="0.2">
      <c r="A1642" s="963" t="s">
        <v>2410</v>
      </c>
      <c r="B1642" s="964"/>
      <c r="C1642" s="964"/>
      <c r="D1642" s="964"/>
      <c r="E1642" s="964"/>
      <c r="F1642" s="964"/>
      <c r="G1642" s="965"/>
    </row>
    <row r="1643" spans="1:7" ht="13.5" thickBot="1" x14ac:dyDescent="0.25">
      <c r="A1643" s="378"/>
      <c r="B1643" s="374"/>
      <c r="C1643" s="374" t="s">
        <v>2411</v>
      </c>
      <c r="D1643" s="379"/>
      <c r="E1643" s="374"/>
      <c r="F1643" s="380"/>
      <c r="G1643" s="381"/>
    </row>
    <row r="1644" spans="1:7" ht="13.5" thickTop="1" x14ac:dyDescent="0.2">
      <c r="A1644" s="906" t="s">
        <v>8</v>
      </c>
      <c r="B1644" s="907"/>
      <c r="C1644" s="907"/>
      <c r="D1644" s="57" t="s">
        <v>11</v>
      </c>
      <c r="E1644" s="908" t="s">
        <v>12</v>
      </c>
      <c r="F1644" s="908"/>
      <c r="G1644" s="909"/>
    </row>
    <row r="1645" spans="1:7" x14ac:dyDescent="0.2">
      <c r="A1645" s="966" t="s">
        <v>17</v>
      </c>
      <c r="B1645" s="967"/>
      <c r="C1645" s="968"/>
      <c r="D1645" s="39"/>
      <c r="E1645" s="912"/>
      <c r="F1645" s="913"/>
      <c r="G1645" s="914"/>
    </row>
    <row r="1646" spans="1:7" x14ac:dyDescent="0.2">
      <c r="A1646" s="966" t="s">
        <v>38</v>
      </c>
      <c r="B1646" s="967"/>
      <c r="C1646" s="968"/>
      <c r="D1646" s="58" t="s">
        <v>308</v>
      </c>
      <c r="E1646" s="969" t="s">
        <v>142</v>
      </c>
      <c r="F1646" s="868"/>
      <c r="G1646" s="869"/>
    </row>
    <row r="1647" spans="1:7" ht="13.5" thickBot="1" x14ac:dyDescent="0.25">
      <c r="A1647" s="970" t="s">
        <v>39</v>
      </c>
      <c r="B1647" s="971"/>
      <c r="C1647" s="972"/>
      <c r="D1647" s="375" t="s">
        <v>1038</v>
      </c>
      <c r="E1647" s="904" t="s">
        <v>0</v>
      </c>
      <c r="F1647" s="904"/>
      <c r="G1647" s="905"/>
    </row>
    <row r="1648" spans="1:7" ht="16.5" x14ac:dyDescent="0.25">
      <c r="A1648" s="885" t="s">
        <v>29</v>
      </c>
      <c r="B1648" s="886"/>
      <c r="C1648" s="886"/>
      <c r="D1648" s="886"/>
      <c r="E1648" s="886"/>
      <c r="F1648" s="886"/>
      <c r="G1648" s="887"/>
    </row>
    <row r="1649" spans="1:7" x14ac:dyDescent="0.2">
      <c r="A1649" s="888" t="s">
        <v>48</v>
      </c>
      <c r="B1649" s="889"/>
      <c r="C1649" s="889"/>
      <c r="D1649" s="889"/>
      <c r="E1649" s="889"/>
      <c r="F1649" s="889"/>
      <c r="G1649" s="890"/>
    </row>
    <row r="1650" spans="1:7" x14ac:dyDescent="0.2">
      <c r="A1650" s="891" t="s">
        <v>49</v>
      </c>
      <c r="B1650" s="892"/>
      <c r="C1650" s="892"/>
      <c r="D1650" s="892"/>
      <c r="E1650" s="892"/>
      <c r="F1650" s="892"/>
      <c r="G1650" s="893"/>
    </row>
    <row r="1651" spans="1:7" x14ac:dyDescent="0.2">
      <c r="A1651" s="387"/>
      <c r="B1651" s="592"/>
      <c r="C1651" s="389"/>
      <c r="D1651" s="390"/>
      <c r="E1651" s="388"/>
      <c r="F1651" s="391"/>
      <c r="G1651" s="392" t="s">
        <v>8</v>
      </c>
    </row>
    <row r="1652" spans="1:7" x14ac:dyDescent="0.2">
      <c r="A1652" s="393" t="s">
        <v>1</v>
      </c>
      <c r="B1652" s="394"/>
      <c r="C1652" s="14" t="s">
        <v>5</v>
      </c>
      <c r="D1652" s="394"/>
      <c r="E1652" s="241" t="s">
        <v>2403</v>
      </c>
      <c r="F1652" s="593"/>
      <c r="G1652" s="242" t="s">
        <v>2406</v>
      </c>
    </row>
    <row r="1653" spans="1:7" x14ac:dyDescent="0.2">
      <c r="A1653" s="361" t="s">
        <v>8</v>
      </c>
      <c r="B1653" s="594"/>
      <c r="C1653" s="19"/>
      <c r="D1653" s="386"/>
      <c r="E1653" s="894"/>
      <c r="F1653" s="895"/>
      <c r="G1653" s="397"/>
    </row>
    <row r="1654" spans="1:7" x14ac:dyDescent="0.2">
      <c r="A1654" s="373" t="s">
        <v>37</v>
      </c>
      <c r="B1654" s="377"/>
      <c r="C1654" s="377"/>
      <c r="D1654" s="377"/>
      <c r="E1654" s="398" t="s">
        <v>46</v>
      </c>
      <c r="F1654" s="399"/>
      <c r="G1654" s="397" t="s">
        <v>50</v>
      </c>
    </row>
    <row r="1655" spans="1:7" x14ac:dyDescent="0.2">
      <c r="A1655" s="387"/>
      <c r="B1655" s="592"/>
      <c r="C1655" s="389"/>
      <c r="D1655" s="389"/>
      <c r="E1655" s="896"/>
      <c r="F1655" s="897"/>
      <c r="G1655" s="400"/>
    </row>
    <row r="1656" spans="1:7" ht="26.25" thickBot="1" x14ac:dyDescent="0.25">
      <c r="A1656" s="26" t="s">
        <v>47</v>
      </c>
      <c r="B1656" s="180" t="s">
        <v>23</v>
      </c>
      <c r="C1656" s="28" t="s">
        <v>34</v>
      </c>
      <c r="D1656" s="110" t="s">
        <v>53</v>
      </c>
      <c r="E1656" s="181" t="s">
        <v>54</v>
      </c>
      <c r="F1656" s="111" t="s">
        <v>55</v>
      </c>
      <c r="G1656" s="112" t="s">
        <v>35</v>
      </c>
    </row>
    <row r="1657" spans="1:7" ht="13.5" thickTop="1" x14ac:dyDescent="0.2">
      <c r="A1657" s="364">
        <v>1</v>
      </c>
      <c r="B1657" s="595"/>
      <c r="C1657" s="365" t="s">
        <v>149</v>
      </c>
      <c r="D1657" s="366" t="s">
        <v>2412</v>
      </c>
      <c r="E1657" s="596">
        <v>180</v>
      </c>
      <c r="F1657" s="456">
        <v>250</v>
      </c>
      <c r="G1657" s="372">
        <f>F1657*E1657</f>
        <v>45000</v>
      </c>
    </row>
    <row r="1658" spans="1:7" x14ac:dyDescent="0.2">
      <c r="A1658" s="364"/>
      <c r="B1658" s="595"/>
      <c r="C1658" s="365"/>
      <c r="D1658" s="458" t="s">
        <v>1036</v>
      </c>
      <c r="E1658" s="596"/>
      <c r="F1658" s="456"/>
      <c r="G1658" s="372"/>
    </row>
    <row r="1659" spans="1:7" x14ac:dyDescent="0.2">
      <c r="A1659" s="364"/>
      <c r="B1659" s="595"/>
      <c r="C1659" s="365"/>
      <c r="D1659" s="458"/>
      <c r="E1659" s="596"/>
      <c r="F1659" s="456"/>
      <c r="G1659" s="372"/>
    </row>
    <row r="1660" spans="1:7" x14ac:dyDescent="0.2">
      <c r="A1660" s="364"/>
      <c r="B1660" s="595"/>
      <c r="C1660" s="365"/>
      <c r="D1660" s="458"/>
      <c r="E1660" s="596"/>
      <c r="F1660" s="456"/>
      <c r="G1660" s="372"/>
    </row>
    <row r="1661" spans="1:7" x14ac:dyDescent="0.2">
      <c r="A1661" s="364"/>
      <c r="B1661" s="595"/>
      <c r="C1661" s="245"/>
      <c r="D1661" s="458"/>
      <c r="E1661" s="457"/>
      <c r="F1661" s="456"/>
      <c r="G1661" s="372"/>
    </row>
    <row r="1662" spans="1:7" x14ac:dyDescent="0.2">
      <c r="A1662" s="364"/>
      <c r="B1662" s="595"/>
      <c r="C1662" s="268"/>
      <c r="D1662" s="458"/>
      <c r="E1662" s="457"/>
      <c r="F1662" s="456"/>
      <c r="G1662" s="372"/>
    </row>
    <row r="1663" spans="1:7" x14ac:dyDescent="0.2">
      <c r="A1663" s="364"/>
      <c r="B1663" s="595"/>
      <c r="C1663" s="365"/>
      <c r="D1663" s="366"/>
      <c r="E1663" s="596"/>
      <c r="F1663" s="456"/>
      <c r="G1663" s="372"/>
    </row>
    <row r="1664" spans="1:7" x14ac:dyDescent="0.2">
      <c r="A1664" s="364"/>
      <c r="B1664" s="595"/>
      <c r="C1664" s="371"/>
      <c r="D1664" s="458"/>
      <c r="E1664" s="539"/>
      <c r="F1664" s="587"/>
      <c r="G1664" s="372"/>
    </row>
    <row r="1665" spans="1:7" x14ac:dyDescent="0.2">
      <c r="A1665" s="364"/>
      <c r="B1665" s="595"/>
      <c r="C1665" s="422"/>
      <c r="D1665" s="458"/>
      <c r="E1665" s="457"/>
      <c r="F1665" s="456"/>
      <c r="G1665" s="372"/>
    </row>
    <row r="1666" spans="1:7" x14ac:dyDescent="0.2">
      <c r="A1666" s="364"/>
      <c r="B1666" s="598"/>
      <c r="C1666" s="371"/>
      <c r="D1666" s="458"/>
      <c r="E1666" s="457"/>
      <c r="F1666" s="456"/>
      <c r="G1666" s="372"/>
    </row>
    <row r="1667" spans="1:7" x14ac:dyDescent="0.2">
      <c r="A1667" s="364"/>
      <c r="B1667" s="600"/>
      <c r="C1667" s="365"/>
      <c r="D1667" s="366"/>
      <c r="E1667" s="596"/>
      <c r="F1667" s="456"/>
      <c r="G1667" s="372"/>
    </row>
    <row r="1668" spans="1:7" x14ac:dyDescent="0.2">
      <c r="A1668" s="364"/>
      <c r="B1668" s="600"/>
      <c r="C1668" s="371"/>
      <c r="D1668" s="597"/>
      <c r="E1668" s="539"/>
      <c r="F1668" s="587"/>
      <c r="G1668" s="372"/>
    </row>
    <row r="1669" spans="1:7" x14ac:dyDescent="0.2">
      <c r="A1669" s="364"/>
      <c r="B1669" s="600"/>
      <c r="C1669" s="422"/>
      <c r="D1669" s="366"/>
      <c r="E1669" s="457"/>
      <c r="F1669" s="456"/>
      <c r="G1669" s="372"/>
    </row>
    <row r="1670" spans="1:7" x14ac:dyDescent="0.2">
      <c r="A1670" s="364"/>
      <c r="B1670" s="600"/>
      <c r="C1670" s="371"/>
      <c r="D1670" s="599"/>
      <c r="E1670" s="457"/>
      <c r="F1670" s="456"/>
      <c r="G1670" s="372"/>
    </row>
    <row r="1671" spans="1:7" x14ac:dyDescent="0.2">
      <c r="A1671" s="364"/>
      <c r="B1671" s="595"/>
      <c r="C1671" s="371"/>
      <c r="D1671" s="366"/>
      <c r="E1671" s="539"/>
      <c r="F1671" s="587"/>
      <c r="G1671" s="372"/>
    </row>
    <row r="1672" spans="1:7" x14ac:dyDescent="0.2">
      <c r="A1672" s="364"/>
      <c r="B1672" s="595"/>
      <c r="C1672" s="371"/>
      <c r="D1672" s="602"/>
      <c r="E1672" s="457"/>
      <c r="F1672" s="456"/>
      <c r="G1672" s="372"/>
    </row>
    <row r="1673" spans="1:7" x14ac:dyDescent="0.2">
      <c r="A1673" s="364"/>
      <c r="B1673" s="595"/>
      <c r="C1673" s="365"/>
      <c r="D1673" s="366"/>
      <c r="E1673" s="596"/>
      <c r="F1673" s="456"/>
      <c r="G1673" s="372"/>
    </row>
    <row r="1674" spans="1:7" x14ac:dyDescent="0.2">
      <c r="A1674" s="364"/>
      <c r="B1674" s="595"/>
      <c r="C1674" s="371"/>
      <c r="D1674" s="597"/>
      <c r="E1674" s="539"/>
      <c r="F1674" s="587"/>
      <c r="G1674" s="372"/>
    </row>
    <row r="1675" spans="1:7" x14ac:dyDescent="0.2">
      <c r="A1675" s="364"/>
      <c r="B1675" s="595"/>
      <c r="C1675" s="422"/>
      <c r="D1675" s="366"/>
      <c r="E1675" s="457"/>
      <c r="F1675" s="456"/>
      <c r="G1675" s="372"/>
    </row>
    <row r="1676" spans="1:7" x14ac:dyDescent="0.2">
      <c r="A1676" s="364"/>
      <c r="B1676" s="595"/>
      <c r="C1676" s="371"/>
      <c r="D1676" s="599"/>
      <c r="E1676" s="457"/>
      <c r="F1676" s="456"/>
      <c r="G1676" s="372"/>
    </row>
    <row r="1677" spans="1:7" x14ac:dyDescent="0.2">
      <c r="A1677" s="364"/>
      <c r="B1677" s="595"/>
      <c r="C1677" s="371"/>
      <c r="D1677" s="366"/>
      <c r="E1677" s="539"/>
      <c r="F1677" s="587"/>
      <c r="G1677" s="372"/>
    </row>
    <row r="1678" spans="1:7" x14ac:dyDescent="0.2">
      <c r="A1678" s="364"/>
      <c r="B1678" s="595"/>
      <c r="C1678" s="365"/>
      <c r="D1678" s="603"/>
      <c r="E1678" s="604"/>
      <c r="F1678" s="605"/>
      <c r="G1678" s="372"/>
    </row>
    <row r="1679" spans="1:7" x14ac:dyDescent="0.2">
      <c r="A1679" s="364"/>
      <c r="B1679" s="595"/>
      <c r="C1679" s="365"/>
      <c r="D1679" s="366"/>
      <c r="E1679" s="601"/>
      <c r="F1679" s="587"/>
      <c r="G1679" s="372"/>
    </row>
    <row r="1680" spans="1:7" x14ac:dyDescent="0.2">
      <c r="A1680" s="364"/>
      <c r="B1680" s="595"/>
      <c r="C1680" s="422"/>
      <c r="D1680" s="366"/>
      <c r="E1680" s="457"/>
      <c r="F1680" s="456"/>
      <c r="G1680" s="372"/>
    </row>
    <row r="1681" spans="1:7" x14ac:dyDescent="0.2">
      <c r="A1681" s="364"/>
      <c r="B1681" s="595"/>
      <c r="C1681" s="422"/>
      <c r="D1681" s="366"/>
      <c r="E1681" s="457"/>
      <c r="F1681" s="456"/>
      <c r="G1681" s="372"/>
    </row>
    <row r="1682" spans="1:7" x14ac:dyDescent="0.2">
      <c r="A1682" s="364"/>
      <c r="B1682" s="595"/>
      <c r="C1682" s="371"/>
      <c r="D1682" s="366"/>
      <c r="E1682" s="457"/>
      <c r="F1682" s="456"/>
      <c r="G1682" s="372"/>
    </row>
    <row r="1683" spans="1:7" x14ac:dyDescent="0.2">
      <c r="A1683" s="364"/>
      <c r="B1683" s="595"/>
      <c r="C1683" s="371"/>
      <c r="D1683" s="602"/>
      <c r="E1683" s="457"/>
      <c r="F1683" s="456"/>
      <c r="G1683" s="372"/>
    </row>
    <row r="1684" spans="1:7" x14ac:dyDescent="0.2">
      <c r="A1684" s="364"/>
      <c r="B1684" s="595"/>
      <c r="C1684" s="365"/>
      <c r="D1684" s="615"/>
      <c r="E1684" s="457"/>
      <c r="F1684" s="456"/>
      <c r="G1684" s="372"/>
    </row>
    <row r="1685" spans="1:7" x14ac:dyDescent="0.2">
      <c r="A1685" s="364"/>
      <c r="B1685" s="595"/>
      <c r="C1685" s="365"/>
      <c r="D1685" s="366"/>
      <c r="E1685" s="601"/>
      <c r="F1685" s="587"/>
      <c r="G1685" s="372"/>
    </row>
    <row r="1686" spans="1:7" x14ac:dyDescent="0.2">
      <c r="A1686" s="364"/>
      <c r="B1686" s="595"/>
      <c r="C1686" s="422"/>
      <c r="D1686" s="366"/>
      <c r="E1686" s="457"/>
      <c r="F1686" s="456"/>
      <c r="G1686" s="372"/>
    </row>
    <row r="1687" spans="1:7" x14ac:dyDescent="0.2">
      <c r="A1687" s="364"/>
      <c r="B1687" s="595"/>
      <c r="C1687" s="422"/>
      <c r="D1687" s="366"/>
      <c r="E1687" s="457"/>
      <c r="F1687" s="456"/>
      <c r="G1687" s="372"/>
    </row>
    <row r="1688" spans="1:7" x14ac:dyDescent="0.2">
      <c r="A1688" s="364"/>
      <c r="B1688" s="595"/>
      <c r="C1688" s="371"/>
      <c r="D1688" s="458"/>
      <c r="E1688" s="596"/>
      <c r="F1688" s="456"/>
      <c r="G1688" s="372"/>
    </row>
    <row r="1689" spans="1:7" x14ac:dyDescent="0.2">
      <c r="A1689" s="364"/>
      <c r="B1689" s="595"/>
      <c r="C1689" s="365"/>
      <c r="D1689" s="603"/>
      <c r="E1689" s="604"/>
      <c r="F1689" s="605"/>
      <c r="G1689" s="372"/>
    </row>
    <row r="1690" spans="1:7" x14ac:dyDescent="0.2">
      <c r="A1690" s="616"/>
      <c r="B1690" s="617"/>
      <c r="C1690" s="618"/>
      <c r="D1690" s="619"/>
      <c r="E1690" s="620"/>
      <c r="F1690" s="456"/>
      <c r="G1690" s="621"/>
    </row>
    <row r="1691" spans="1:7" ht="13.5" thickBot="1" x14ac:dyDescent="0.25">
      <c r="A1691" s="426"/>
      <c r="B1691" s="606"/>
      <c r="C1691" s="607"/>
      <c r="D1691" s="66" t="s">
        <v>8</v>
      </c>
      <c r="E1691" s="606"/>
      <c r="F1691" s="49" t="s">
        <v>15</v>
      </c>
      <c r="G1691" s="50">
        <f>SUM(G1657:G1689)</f>
        <v>45000</v>
      </c>
    </row>
    <row r="1692" spans="1:7" ht="13.5" thickTop="1" x14ac:dyDescent="0.2">
      <c r="A1692" s="367" t="s">
        <v>2404</v>
      </c>
      <c r="B1692" s="608"/>
      <c r="C1692" s="609"/>
      <c r="D1692" s="610"/>
      <c r="E1692" s="608"/>
      <c r="F1692" s="611"/>
      <c r="G1692" s="612"/>
    </row>
    <row r="1693" spans="1:7" ht="13.5" thickBot="1" x14ac:dyDescent="0.25">
      <c r="A1693" s="589" t="s">
        <v>159</v>
      </c>
      <c r="B1693" s="368"/>
      <c r="C1693" s="368" t="s">
        <v>2405</v>
      </c>
      <c r="D1693" s="368"/>
      <c r="E1693" s="613"/>
      <c r="F1693" s="614"/>
      <c r="G1693" s="590"/>
    </row>
    <row r="1694" spans="1:7" ht="13.5" thickTop="1" x14ac:dyDescent="0.2">
      <c r="A1694" s="878" t="s">
        <v>8</v>
      </c>
      <c r="B1694" s="879"/>
      <c r="C1694" s="879"/>
      <c r="D1694" s="433" t="s">
        <v>11</v>
      </c>
      <c r="E1694" s="880" t="s">
        <v>12</v>
      </c>
      <c r="F1694" s="880"/>
      <c r="G1694" s="881"/>
    </row>
    <row r="1695" spans="1:7" x14ac:dyDescent="0.2">
      <c r="A1695" s="973" t="s">
        <v>17</v>
      </c>
      <c r="B1695" s="974"/>
      <c r="C1695" s="975"/>
      <c r="D1695" s="434"/>
      <c r="E1695" s="882"/>
      <c r="F1695" s="883"/>
      <c r="G1695" s="884"/>
    </row>
    <row r="1696" spans="1:7" x14ac:dyDescent="0.2">
      <c r="A1696" s="973" t="s">
        <v>38</v>
      </c>
      <c r="B1696" s="974"/>
      <c r="C1696" s="975"/>
      <c r="D1696" s="58" t="s">
        <v>308</v>
      </c>
      <c r="E1696" s="969" t="s">
        <v>142</v>
      </c>
      <c r="F1696" s="868"/>
      <c r="G1696" s="869"/>
    </row>
    <row r="1697" spans="1:7" ht="13.5" thickBot="1" x14ac:dyDescent="0.25">
      <c r="A1697" s="976" t="s">
        <v>39</v>
      </c>
      <c r="B1697" s="977"/>
      <c r="C1697" s="978"/>
      <c r="D1697" s="375" t="s">
        <v>1038</v>
      </c>
      <c r="E1697" s="873" t="s">
        <v>0</v>
      </c>
      <c r="F1697" s="873"/>
      <c r="G1697" s="874"/>
    </row>
    <row r="1698" spans="1:7" ht="16.5" x14ac:dyDescent="0.25">
      <c r="A1698" s="885" t="s">
        <v>29</v>
      </c>
      <c r="B1698" s="886"/>
      <c r="C1698" s="886"/>
      <c r="D1698" s="886"/>
      <c r="E1698" s="886"/>
      <c r="F1698" s="886"/>
      <c r="G1698" s="887"/>
    </row>
    <row r="1699" spans="1:7" x14ac:dyDescent="0.2">
      <c r="A1699" s="888" t="s">
        <v>48</v>
      </c>
      <c r="B1699" s="889"/>
      <c r="C1699" s="889"/>
      <c r="D1699" s="889"/>
      <c r="E1699" s="889"/>
      <c r="F1699" s="889"/>
      <c r="G1699" s="890"/>
    </row>
    <row r="1700" spans="1:7" x14ac:dyDescent="0.2">
      <c r="A1700" s="915" t="s">
        <v>49</v>
      </c>
      <c r="B1700" s="916"/>
      <c r="C1700" s="916"/>
      <c r="D1700" s="916"/>
      <c r="E1700" s="916"/>
      <c r="F1700" s="916"/>
      <c r="G1700" s="917"/>
    </row>
    <row r="1701" spans="1:7" x14ac:dyDescent="0.2">
      <c r="A1701" s="6"/>
      <c r="B1701" s="178"/>
      <c r="C1701" s="8"/>
      <c r="D1701" s="9"/>
      <c r="E1701" s="99"/>
      <c r="F1701" s="10"/>
      <c r="G1701" s="11" t="s">
        <v>8</v>
      </c>
    </row>
    <row r="1702" spans="1:7" x14ac:dyDescent="0.2">
      <c r="A1702" s="12" t="s">
        <v>1</v>
      </c>
      <c r="B1702" s="13"/>
      <c r="C1702" s="14" t="s">
        <v>5</v>
      </c>
      <c r="D1702" s="13"/>
      <c r="E1702" s="362" t="s">
        <v>2399</v>
      </c>
      <c r="F1702" s="60"/>
      <c r="G1702" s="363" t="s">
        <v>2392</v>
      </c>
    </row>
    <row r="1703" spans="1:7" x14ac:dyDescent="0.2">
      <c r="A1703" s="17" t="s">
        <v>8</v>
      </c>
      <c r="B1703" s="179"/>
      <c r="C1703" s="19"/>
      <c r="D1703" s="4"/>
      <c r="E1703" s="918"/>
      <c r="F1703" s="919"/>
      <c r="G1703" s="20"/>
    </row>
    <row r="1704" spans="1:7" x14ac:dyDescent="0.2">
      <c r="A1704" s="21" t="s">
        <v>37</v>
      </c>
      <c r="B1704" s="22"/>
      <c r="C1704" s="22"/>
      <c r="D1704" s="22"/>
      <c r="E1704" s="23" t="s">
        <v>46</v>
      </c>
      <c r="F1704" s="24"/>
      <c r="G1704" s="20" t="s">
        <v>50</v>
      </c>
    </row>
    <row r="1705" spans="1:7" x14ac:dyDescent="0.2">
      <c r="A1705" s="6"/>
      <c r="B1705" s="178"/>
      <c r="C1705" s="8"/>
      <c r="D1705" s="8"/>
      <c r="E1705" s="920"/>
      <c r="F1705" s="921"/>
      <c r="G1705" s="25"/>
    </row>
    <row r="1706" spans="1:7" ht="26.25" thickBot="1" x14ac:dyDescent="0.25">
      <c r="A1706" s="26" t="s">
        <v>47</v>
      </c>
      <c r="B1706" s="180" t="s">
        <v>23</v>
      </c>
      <c r="C1706" s="28" t="s">
        <v>34</v>
      </c>
      <c r="D1706" s="110" t="s">
        <v>53</v>
      </c>
      <c r="E1706" s="181" t="s">
        <v>54</v>
      </c>
      <c r="F1706" s="111" t="s">
        <v>55</v>
      </c>
      <c r="G1706" s="112" t="s">
        <v>35</v>
      </c>
    </row>
    <row r="1707" spans="1:7" ht="13.5" thickTop="1" x14ac:dyDescent="0.2">
      <c r="A1707" s="364">
        <v>1</v>
      </c>
      <c r="B1707" s="75"/>
      <c r="C1707" s="365" t="s">
        <v>149</v>
      </c>
      <c r="D1707" s="366" t="s">
        <v>2396</v>
      </c>
      <c r="E1707" s="77">
        <v>75</v>
      </c>
      <c r="F1707" s="185">
        <v>99</v>
      </c>
      <c r="G1707" s="35">
        <f>F1707*E1707</f>
        <v>7425</v>
      </c>
    </row>
    <row r="1708" spans="1:7" x14ac:dyDescent="0.2">
      <c r="A1708" s="364"/>
      <c r="B1708" s="75"/>
      <c r="C1708" s="371"/>
      <c r="D1708" s="366"/>
      <c r="E1708" s="77"/>
      <c r="F1708" s="185"/>
      <c r="G1708" s="35"/>
    </row>
    <row r="1709" spans="1:7" x14ac:dyDescent="0.2">
      <c r="A1709" s="364"/>
      <c r="B1709" s="75"/>
      <c r="C1709" s="371"/>
      <c r="D1709" s="458"/>
      <c r="E1709" s="77"/>
      <c r="F1709" s="185"/>
      <c r="G1709" s="35"/>
    </row>
    <row r="1710" spans="1:7" x14ac:dyDescent="0.2">
      <c r="A1710" s="364"/>
      <c r="B1710" s="75"/>
      <c r="C1710" s="371"/>
      <c r="D1710" s="366"/>
      <c r="E1710" s="77"/>
      <c r="G1710" s="35"/>
    </row>
    <row r="1711" spans="1:7" x14ac:dyDescent="0.2">
      <c r="A1711" s="364"/>
      <c r="B1711" s="75"/>
      <c r="C1711" s="371"/>
      <c r="D1711" s="366"/>
      <c r="E1711" s="77"/>
      <c r="F1711" s="185"/>
      <c r="G1711" s="35"/>
    </row>
    <row r="1712" spans="1:7" x14ac:dyDescent="0.2">
      <c r="A1712" s="364"/>
      <c r="B1712" s="75"/>
      <c r="C1712" s="371"/>
      <c r="D1712" s="366"/>
      <c r="E1712" s="77"/>
      <c r="F1712" s="185"/>
      <c r="G1712" s="35"/>
    </row>
    <row r="1713" spans="1:7" x14ac:dyDescent="0.2">
      <c r="A1713" s="364"/>
      <c r="B1713" s="75"/>
      <c r="C1713" s="371"/>
      <c r="D1713" s="366"/>
      <c r="E1713" s="77"/>
      <c r="F1713" s="185"/>
      <c r="G1713" s="35"/>
    </row>
    <row r="1714" spans="1:7" x14ac:dyDescent="0.2">
      <c r="A1714" s="364"/>
      <c r="B1714" s="75"/>
      <c r="C1714" s="371"/>
      <c r="D1714" s="366"/>
      <c r="E1714" s="77"/>
      <c r="F1714" s="185"/>
      <c r="G1714" s="35"/>
    </row>
    <row r="1715" spans="1:7" x14ac:dyDescent="0.2">
      <c r="A1715" s="364"/>
      <c r="B1715" s="186"/>
      <c r="C1715" s="371"/>
      <c r="D1715" s="366"/>
      <c r="E1715" s="77"/>
      <c r="F1715" s="185"/>
      <c r="G1715" s="35"/>
    </row>
    <row r="1716" spans="1:7" x14ac:dyDescent="0.2">
      <c r="A1716" s="364"/>
      <c r="B1716" s="74"/>
      <c r="C1716" s="371"/>
      <c r="D1716" s="366"/>
      <c r="E1716" s="77"/>
      <c r="F1716" s="185"/>
      <c r="G1716" s="35"/>
    </row>
    <row r="1717" spans="1:7" x14ac:dyDescent="0.2">
      <c r="A1717" s="364"/>
      <c r="B1717" s="74"/>
      <c r="C1717" s="371"/>
      <c r="D1717" s="454"/>
      <c r="E1717" s="84"/>
      <c r="F1717" s="163"/>
      <c r="G1717" s="35"/>
    </row>
    <row r="1718" spans="1:7" x14ac:dyDescent="0.2">
      <c r="A1718" s="364"/>
      <c r="B1718" s="74"/>
      <c r="C1718" s="371"/>
      <c r="D1718" s="454"/>
      <c r="E1718" s="84"/>
      <c r="F1718" s="163"/>
      <c r="G1718" s="35"/>
    </row>
    <row r="1719" spans="1:7" x14ac:dyDescent="0.2">
      <c r="A1719" s="364"/>
      <c r="B1719" s="75"/>
      <c r="C1719" s="371"/>
      <c r="D1719" s="454"/>
      <c r="E1719" s="84"/>
      <c r="F1719" s="172"/>
      <c r="G1719" s="35"/>
    </row>
    <row r="1720" spans="1:7" x14ac:dyDescent="0.2">
      <c r="A1720" s="364"/>
      <c r="B1720" s="75"/>
      <c r="C1720" s="371"/>
      <c r="D1720" s="454"/>
      <c r="E1720" s="84"/>
      <c r="F1720" s="173"/>
      <c r="G1720" s="35"/>
    </row>
    <row r="1721" spans="1:7" x14ac:dyDescent="0.2">
      <c r="A1721" s="364"/>
      <c r="B1721" s="75"/>
      <c r="C1721" s="371"/>
      <c r="D1721" s="454"/>
      <c r="E1721" s="77"/>
      <c r="F1721" s="185"/>
      <c r="G1721" s="35"/>
    </row>
    <row r="1722" spans="1:7" x14ac:dyDescent="0.2">
      <c r="A1722" s="364"/>
      <c r="B1722" s="75"/>
      <c r="C1722" s="371"/>
      <c r="D1722" s="454"/>
      <c r="E1722" s="77"/>
      <c r="F1722" s="185"/>
      <c r="G1722" s="35"/>
    </row>
    <row r="1723" spans="1:7" x14ac:dyDescent="0.2">
      <c r="A1723" s="364"/>
      <c r="B1723" s="75"/>
      <c r="C1723" s="371"/>
      <c r="D1723" s="366"/>
      <c r="E1723" s="77"/>
      <c r="F1723" s="185"/>
      <c r="G1723" s="35"/>
    </row>
    <row r="1724" spans="1:7" x14ac:dyDescent="0.2">
      <c r="A1724" s="364"/>
      <c r="B1724" s="75"/>
      <c r="C1724" s="371"/>
      <c r="D1724" s="366"/>
      <c r="E1724" s="77"/>
      <c r="F1724" s="185"/>
      <c r="G1724" s="35"/>
    </row>
    <row r="1725" spans="1:7" x14ac:dyDescent="0.2">
      <c r="A1725" s="364"/>
      <c r="B1725" s="75"/>
      <c r="C1725" s="371"/>
      <c r="D1725" s="366"/>
      <c r="E1725" s="77"/>
      <c r="F1725" s="185"/>
      <c r="G1725" s="35"/>
    </row>
    <row r="1726" spans="1:7" x14ac:dyDescent="0.2">
      <c r="A1726" s="29"/>
      <c r="B1726" s="75"/>
      <c r="C1726" s="41"/>
      <c r="D1726" s="184"/>
      <c r="E1726" s="84"/>
      <c r="F1726" s="163"/>
      <c r="G1726" s="35"/>
    </row>
    <row r="1727" spans="1:7" x14ac:dyDescent="0.2">
      <c r="A1727" s="29"/>
      <c r="B1727" s="75"/>
      <c r="C1727" s="41"/>
      <c r="D1727" s="184"/>
      <c r="E1727" s="84"/>
      <c r="F1727" s="163"/>
      <c r="G1727" s="35"/>
    </row>
    <row r="1728" spans="1:7" x14ac:dyDescent="0.2">
      <c r="A1728" s="29"/>
      <c r="B1728" s="75"/>
      <c r="C1728" s="41"/>
      <c r="D1728" s="187"/>
      <c r="E1728" s="84"/>
      <c r="F1728" s="163"/>
      <c r="G1728" s="35"/>
    </row>
    <row r="1729" spans="1:7" x14ac:dyDescent="0.2">
      <c r="A1729" s="29"/>
      <c r="B1729" s="75"/>
      <c r="C1729" s="41"/>
      <c r="D1729" s="187"/>
      <c r="E1729" s="84"/>
      <c r="F1729" s="163"/>
      <c r="G1729" s="35"/>
    </row>
    <row r="1730" spans="1:7" x14ac:dyDescent="0.2">
      <c r="A1730" s="29"/>
      <c r="B1730" s="75"/>
      <c r="C1730" s="41"/>
      <c r="D1730" s="187"/>
      <c r="E1730" s="84"/>
      <c r="F1730" s="163"/>
      <c r="G1730" s="35"/>
    </row>
    <row r="1731" spans="1:7" x14ac:dyDescent="0.2">
      <c r="A1731" s="29"/>
      <c r="B1731" s="75"/>
      <c r="C1731" s="41"/>
      <c r="D1731" s="187"/>
      <c r="E1731" s="84"/>
      <c r="F1731" s="163"/>
      <c r="G1731" s="35"/>
    </row>
    <row r="1732" spans="1:7" x14ac:dyDescent="0.2">
      <c r="A1732" s="29"/>
      <c r="B1732" s="75"/>
      <c r="C1732" s="41"/>
      <c r="D1732" s="187"/>
      <c r="E1732" s="84"/>
      <c r="F1732" s="163"/>
      <c r="G1732" s="35"/>
    </row>
    <row r="1733" spans="1:7" x14ac:dyDescent="0.2">
      <c r="A1733" s="29"/>
      <c r="B1733" s="75"/>
      <c r="C1733" s="41"/>
      <c r="D1733" s="187"/>
      <c r="E1733" s="84"/>
      <c r="F1733" s="163"/>
      <c r="G1733" s="35"/>
    </row>
    <row r="1734" spans="1:7" x14ac:dyDescent="0.2">
      <c r="A1734" s="29"/>
      <c r="B1734" s="75"/>
      <c r="C1734" s="41"/>
      <c r="D1734" s="187"/>
      <c r="E1734" s="84"/>
      <c r="F1734" s="163"/>
      <c r="G1734" s="35"/>
    </row>
    <row r="1735" spans="1:7" x14ac:dyDescent="0.2">
      <c r="A1735" s="29"/>
      <c r="B1735" s="75"/>
      <c r="C1735" s="41"/>
      <c r="D1735" s="187"/>
      <c r="E1735" s="84"/>
      <c r="F1735" s="163"/>
      <c r="G1735" s="35"/>
    </row>
    <row r="1736" spans="1:7" x14ac:dyDescent="0.2">
      <c r="A1736" s="29"/>
      <c r="B1736" s="75"/>
      <c r="C1736" s="41"/>
      <c r="D1736" s="187"/>
      <c r="E1736" s="84"/>
      <c r="F1736" s="163"/>
      <c r="G1736" s="35"/>
    </row>
    <row r="1737" spans="1:7" x14ac:dyDescent="0.2">
      <c r="A1737" s="29"/>
      <c r="B1737" s="75"/>
      <c r="C1737" s="41"/>
      <c r="D1737" s="187"/>
      <c r="E1737" s="84"/>
      <c r="F1737" s="163"/>
      <c r="G1737" s="35"/>
    </row>
    <row r="1738" spans="1:7" x14ac:dyDescent="0.2">
      <c r="A1738" s="29"/>
      <c r="B1738" s="75"/>
      <c r="C1738" s="41"/>
      <c r="D1738" s="187"/>
      <c r="E1738" s="84"/>
      <c r="F1738" s="172"/>
      <c r="G1738" s="35"/>
    </row>
    <row r="1739" spans="1:7" x14ac:dyDescent="0.2">
      <c r="A1739" s="29"/>
      <c r="B1739" s="75"/>
      <c r="C1739" s="41"/>
      <c r="D1739" s="187"/>
      <c r="E1739" s="84"/>
      <c r="F1739" s="173"/>
      <c r="G1739" s="35"/>
    </row>
    <row r="1740" spans="1:7" x14ac:dyDescent="0.2">
      <c r="A1740" s="29" t="s">
        <v>8</v>
      </c>
      <c r="B1740" s="75"/>
      <c r="C1740" s="41"/>
      <c r="D1740" s="187"/>
      <c r="E1740" s="84"/>
      <c r="F1740" s="173"/>
      <c r="G1740" s="35" t="s">
        <v>8</v>
      </c>
    </row>
    <row r="1741" spans="1:7" ht="13.5" thickBot="1" x14ac:dyDescent="0.25">
      <c r="A1741" s="45"/>
      <c r="B1741" s="188"/>
      <c r="C1741" s="47" t="s">
        <v>8</v>
      </c>
      <c r="D1741" s="66" t="s">
        <v>8</v>
      </c>
      <c r="E1741" s="188"/>
      <c r="F1741" s="49" t="s">
        <v>15</v>
      </c>
      <c r="G1741" s="50">
        <f>SUM(G1707:G1740)</f>
        <v>7425</v>
      </c>
    </row>
    <row r="1742" spans="1:7" ht="13.5" thickTop="1" x14ac:dyDescent="0.2">
      <c r="A1742" s="963" t="s">
        <v>2397</v>
      </c>
      <c r="B1742" s="964"/>
      <c r="C1742" s="964"/>
      <c r="D1742" s="964"/>
      <c r="E1742" s="964"/>
      <c r="F1742" s="964"/>
      <c r="G1742" s="965"/>
    </row>
    <row r="1743" spans="1:7" ht="13.5" thickBot="1" x14ac:dyDescent="0.25">
      <c r="A1743" s="378"/>
      <c r="B1743" s="374"/>
      <c r="C1743" s="374" t="s">
        <v>2398</v>
      </c>
      <c r="D1743" s="379"/>
      <c r="E1743" s="374"/>
      <c r="F1743" s="380"/>
      <c r="G1743" s="381"/>
    </row>
    <row r="1744" spans="1:7" ht="13.5" thickTop="1" x14ac:dyDescent="0.2">
      <c r="A1744" s="906" t="s">
        <v>8</v>
      </c>
      <c r="B1744" s="907"/>
      <c r="C1744" s="907"/>
      <c r="D1744" s="57" t="s">
        <v>11</v>
      </c>
      <c r="E1744" s="908" t="s">
        <v>12</v>
      </c>
      <c r="F1744" s="908"/>
      <c r="G1744" s="909"/>
    </row>
    <row r="1745" spans="1:11" x14ac:dyDescent="0.2">
      <c r="A1745" s="966" t="s">
        <v>17</v>
      </c>
      <c r="B1745" s="967"/>
      <c r="C1745" s="968"/>
      <c r="D1745" s="39"/>
      <c r="E1745" s="912"/>
      <c r="F1745" s="913"/>
      <c r="G1745" s="914"/>
    </row>
    <row r="1746" spans="1:11" x14ac:dyDescent="0.2">
      <c r="A1746" s="966" t="s">
        <v>38</v>
      </c>
      <c r="B1746" s="967"/>
      <c r="C1746" s="968"/>
      <c r="D1746" s="58" t="s">
        <v>308</v>
      </c>
      <c r="E1746" s="969" t="s">
        <v>142</v>
      </c>
      <c r="F1746" s="868"/>
      <c r="G1746" s="869"/>
    </row>
    <row r="1747" spans="1:11" ht="13.5" thickBot="1" x14ac:dyDescent="0.25">
      <c r="A1747" s="970" t="s">
        <v>39</v>
      </c>
      <c r="B1747" s="971"/>
      <c r="C1747" s="972"/>
      <c r="D1747" s="375" t="s">
        <v>1038</v>
      </c>
      <c r="E1747" s="904" t="s">
        <v>0</v>
      </c>
      <c r="F1747" s="904"/>
      <c r="G1747" s="905"/>
    </row>
    <row r="1748" spans="1:11" ht="16.5" x14ac:dyDescent="0.25">
      <c r="A1748" s="885" t="s">
        <v>29</v>
      </c>
      <c r="B1748" s="886"/>
      <c r="C1748" s="886"/>
      <c r="D1748" s="886"/>
      <c r="E1748" s="886"/>
      <c r="F1748" s="886"/>
      <c r="G1748" s="887"/>
    </row>
    <row r="1749" spans="1:11" x14ac:dyDescent="0.2">
      <c r="A1749" s="888" t="s">
        <v>48</v>
      </c>
      <c r="B1749" s="889"/>
      <c r="C1749" s="889"/>
      <c r="D1749" s="889"/>
      <c r="E1749" s="889"/>
      <c r="F1749" s="889"/>
      <c r="G1749" s="890"/>
    </row>
    <row r="1750" spans="1:11" x14ac:dyDescent="0.2">
      <c r="A1750" s="915" t="s">
        <v>49</v>
      </c>
      <c r="B1750" s="916"/>
      <c r="C1750" s="916"/>
      <c r="D1750" s="916"/>
      <c r="E1750" s="916"/>
      <c r="F1750" s="916"/>
      <c r="G1750" s="917"/>
    </row>
    <row r="1751" spans="1:11" x14ac:dyDescent="0.2">
      <c r="A1751" s="6"/>
      <c r="B1751" s="178"/>
      <c r="C1751" s="8"/>
      <c r="D1751" s="9"/>
      <c r="E1751" s="99"/>
      <c r="F1751" s="10"/>
      <c r="G1751" s="11" t="s">
        <v>8</v>
      </c>
    </row>
    <row r="1752" spans="1:11" x14ac:dyDescent="0.2">
      <c r="A1752" s="12" t="s">
        <v>1</v>
      </c>
      <c r="B1752" s="13"/>
      <c r="C1752" s="14" t="s">
        <v>5</v>
      </c>
      <c r="D1752" s="13"/>
      <c r="E1752" s="362" t="s">
        <v>2429</v>
      </c>
      <c r="F1752" s="60"/>
      <c r="G1752" s="363" t="s">
        <v>2420</v>
      </c>
    </row>
    <row r="1753" spans="1:11" x14ac:dyDescent="0.2">
      <c r="A1753" s="17" t="s">
        <v>8</v>
      </c>
      <c r="B1753" s="179"/>
      <c r="C1753" s="19"/>
      <c r="D1753" s="4"/>
      <c r="E1753" s="918"/>
      <c r="F1753" s="919"/>
      <c r="G1753" s="20"/>
    </row>
    <row r="1754" spans="1:11" x14ac:dyDescent="0.2">
      <c r="A1754" s="21" t="s">
        <v>37</v>
      </c>
      <c r="B1754" s="22"/>
      <c r="C1754" s="22"/>
      <c r="D1754" s="22"/>
      <c r="E1754" s="23" t="s">
        <v>46</v>
      </c>
      <c r="F1754" s="24"/>
      <c r="G1754" s="20" t="s">
        <v>50</v>
      </c>
    </row>
    <row r="1755" spans="1:11" x14ac:dyDescent="0.2">
      <c r="A1755" s="6"/>
      <c r="B1755" s="178"/>
      <c r="C1755" s="8"/>
      <c r="D1755" s="8"/>
      <c r="E1755" s="920"/>
      <c r="F1755" s="921"/>
      <c r="G1755" s="25"/>
    </row>
    <row r="1756" spans="1:11" ht="26.25" thickBot="1" x14ac:dyDescent="0.25">
      <c r="A1756" s="26" t="s">
        <v>47</v>
      </c>
      <c r="B1756" s="180" t="s">
        <v>23</v>
      </c>
      <c r="C1756" s="28" t="s">
        <v>34</v>
      </c>
      <c r="D1756" s="110" t="s">
        <v>53</v>
      </c>
      <c r="E1756" s="181" t="s">
        <v>54</v>
      </c>
      <c r="F1756" s="111" t="s">
        <v>55</v>
      </c>
      <c r="G1756" s="112" t="s">
        <v>35</v>
      </c>
    </row>
    <row r="1757" spans="1:11" ht="13.5" thickTop="1" x14ac:dyDescent="0.2">
      <c r="A1757" s="364">
        <v>1</v>
      </c>
      <c r="B1757" s="75"/>
      <c r="C1757" s="365" t="s">
        <v>149</v>
      </c>
      <c r="D1757" s="366" t="s">
        <v>2421</v>
      </c>
      <c r="E1757" s="457">
        <v>20</v>
      </c>
      <c r="F1757" s="456">
        <v>121</v>
      </c>
      <c r="G1757" s="35">
        <f>F1757*E1757</f>
        <v>2420</v>
      </c>
      <c r="K1757" s="430" t="s">
        <v>8</v>
      </c>
    </row>
    <row r="1758" spans="1:11" x14ac:dyDescent="0.2">
      <c r="A1758" s="364"/>
      <c r="B1758" s="75"/>
      <c r="C1758" s="371"/>
      <c r="D1758" s="366"/>
      <c r="E1758" s="77"/>
      <c r="F1758" s="185"/>
      <c r="G1758" s="35"/>
    </row>
    <row r="1759" spans="1:11" x14ac:dyDescent="0.2">
      <c r="A1759" s="364"/>
      <c r="B1759" s="75"/>
      <c r="C1759" s="371"/>
      <c r="D1759" s="458"/>
      <c r="E1759" s="77"/>
      <c r="F1759" s="185"/>
      <c r="G1759" s="35"/>
    </row>
    <row r="1760" spans="1:11" x14ac:dyDescent="0.2">
      <c r="A1760" s="364"/>
      <c r="B1760" s="75"/>
      <c r="C1760" s="371"/>
      <c r="D1760" s="366"/>
      <c r="E1760" s="77"/>
      <c r="G1760" s="35"/>
    </row>
    <row r="1761" spans="1:7" x14ac:dyDescent="0.2">
      <c r="A1761" s="364"/>
      <c r="B1761" s="75"/>
      <c r="C1761" s="371"/>
      <c r="D1761" s="366"/>
      <c r="E1761" s="77"/>
      <c r="F1761" s="185"/>
      <c r="G1761" s="35"/>
    </row>
    <row r="1762" spans="1:7" x14ac:dyDescent="0.2">
      <c r="A1762" s="364"/>
      <c r="B1762" s="75"/>
      <c r="C1762" s="371"/>
      <c r="D1762" s="366"/>
      <c r="E1762" s="77"/>
      <c r="F1762" s="185"/>
      <c r="G1762" s="35"/>
    </row>
    <row r="1763" spans="1:7" x14ac:dyDescent="0.2">
      <c r="A1763" s="364"/>
      <c r="B1763" s="75"/>
      <c r="C1763" s="371"/>
      <c r="D1763" s="366"/>
      <c r="E1763" s="77"/>
      <c r="F1763" s="185"/>
      <c r="G1763" s="35"/>
    </row>
    <row r="1764" spans="1:7" x14ac:dyDescent="0.2">
      <c r="A1764" s="364"/>
      <c r="B1764" s="75"/>
      <c r="C1764" s="371"/>
      <c r="D1764" s="366"/>
      <c r="E1764" s="77"/>
      <c r="F1764" s="185"/>
      <c r="G1764" s="35"/>
    </row>
    <row r="1765" spans="1:7" x14ac:dyDescent="0.2">
      <c r="A1765" s="364"/>
      <c r="B1765" s="186"/>
      <c r="C1765" s="371"/>
      <c r="D1765" s="366"/>
      <c r="E1765" s="77"/>
      <c r="F1765" s="185"/>
      <c r="G1765" s="35"/>
    </row>
    <row r="1766" spans="1:7" x14ac:dyDescent="0.2">
      <c r="A1766" s="364"/>
      <c r="B1766" s="74"/>
      <c r="C1766" s="371"/>
      <c r="D1766" s="366"/>
      <c r="E1766" s="77"/>
      <c r="F1766" s="185"/>
      <c r="G1766" s="35"/>
    </row>
    <row r="1767" spans="1:7" x14ac:dyDescent="0.2">
      <c r="A1767" s="364"/>
      <c r="B1767" s="74"/>
      <c r="C1767" s="371"/>
      <c r="D1767" s="454"/>
      <c r="E1767" s="84"/>
      <c r="F1767" s="163"/>
      <c r="G1767" s="35"/>
    </row>
    <row r="1768" spans="1:7" x14ac:dyDescent="0.2">
      <c r="A1768" s="364"/>
      <c r="B1768" s="74"/>
      <c r="C1768" s="371"/>
      <c r="D1768" s="454"/>
      <c r="E1768" s="84"/>
      <c r="F1768" s="163"/>
      <c r="G1768" s="35"/>
    </row>
    <row r="1769" spans="1:7" x14ac:dyDescent="0.2">
      <c r="A1769" s="364"/>
      <c r="B1769" s="75"/>
      <c r="C1769" s="371"/>
      <c r="D1769" s="454"/>
      <c r="E1769" s="84"/>
      <c r="F1769" s="172"/>
      <c r="G1769" s="35"/>
    </row>
    <row r="1770" spans="1:7" x14ac:dyDescent="0.2">
      <c r="A1770" s="364"/>
      <c r="B1770" s="75"/>
      <c r="C1770" s="371"/>
      <c r="D1770" s="454"/>
      <c r="E1770" s="84"/>
      <c r="F1770" s="173"/>
      <c r="G1770" s="35"/>
    </row>
    <row r="1771" spans="1:7" x14ac:dyDescent="0.2">
      <c r="A1771" s="364"/>
      <c r="B1771" s="75"/>
      <c r="C1771" s="371"/>
      <c r="D1771" s="454"/>
      <c r="E1771" s="77"/>
      <c r="F1771" s="185"/>
      <c r="G1771" s="35"/>
    </row>
    <row r="1772" spans="1:7" x14ac:dyDescent="0.2">
      <c r="A1772" s="364"/>
      <c r="B1772" s="75"/>
      <c r="C1772" s="371"/>
      <c r="D1772" s="454"/>
      <c r="E1772" s="77"/>
      <c r="F1772" s="185"/>
      <c r="G1772" s="35"/>
    </row>
    <row r="1773" spans="1:7" x14ac:dyDescent="0.2">
      <c r="A1773" s="364"/>
      <c r="B1773" s="75"/>
      <c r="C1773" s="371"/>
      <c r="D1773" s="366"/>
      <c r="E1773" s="77"/>
      <c r="F1773" s="185"/>
      <c r="G1773" s="35"/>
    </row>
    <row r="1774" spans="1:7" x14ac:dyDescent="0.2">
      <c r="A1774" s="364"/>
      <c r="B1774" s="75"/>
      <c r="C1774" s="371"/>
      <c r="D1774" s="366"/>
      <c r="E1774" s="77"/>
      <c r="F1774" s="185"/>
      <c r="G1774" s="35"/>
    </row>
    <row r="1775" spans="1:7" x14ac:dyDescent="0.2">
      <c r="A1775" s="364"/>
      <c r="B1775" s="75"/>
      <c r="C1775" s="371"/>
      <c r="D1775" s="366"/>
      <c r="E1775" s="77"/>
      <c r="F1775" s="185"/>
      <c r="G1775" s="35"/>
    </row>
    <row r="1776" spans="1:7" x14ac:dyDescent="0.2">
      <c r="A1776" s="29"/>
      <c r="B1776" s="75"/>
      <c r="C1776" s="41"/>
      <c r="D1776" s="184"/>
      <c r="E1776" s="84"/>
      <c r="F1776" s="163"/>
      <c r="G1776" s="35"/>
    </row>
    <row r="1777" spans="1:7" x14ac:dyDescent="0.2">
      <c r="A1777" s="29"/>
      <c r="B1777" s="75"/>
      <c r="C1777" s="41"/>
      <c r="D1777" s="184"/>
      <c r="E1777" s="84"/>
      <c r="F1777" s="163"/>
      <c r="G1777" s="35"/>
    </row>
    <row r="1778" spans="1:7" x14ac:dyDescent="0.2">
      <c r="A1778" s="29"/>
      <c r="B1778" s="75"/>
      <c r="C1778" s="41"/>
      <c r="D1778" s="187"/>
      <c r="E1778" s="84"/>
      <c r="F1778" s="163"/>
      <c r="G1778" s="35"/>
    </row>
    <row r="1779" spans="1:7" x14ac:dyDescent="0.2">
      <c r="A1779" s="29"/>
      <c r="B1779" s="75"/>
      <c r="C1779" s="41"/>
      <c r="D1779" s="187"/>
      <c r="E1779" s="84"/>
      <c r="F1779" s="163"/>
      <c r="G1779" s="35"/>
    </row>
    <row r="1780" spans="1:7" x14ac:dyDescent="0.2">
      <c r="A1780" s="29"/>
      <c r="B1780" s="75"/>
      <c r="C1780" s="41"/>
      <c r="D1780" s="187"/>
      <c r="E1780" s="84"/>
      <c r="F1780" s="163"/>
      <c r="G1780" s="35"/>
    </row>
    <row r="1781" spans="1:7" x14ac:dyDescent="0.2">
      <c r="A1781" s="29"/>
      <c r="B1781" s="75"/>
      <c r="C1781" s="41"/>
      <c r="D1781" s="187"/>
      <c r="E1781" s="84"/>
      <c r="F1781" s="163"/>
      <c r="G1781" s="35"/>
    </row>
    <row r="1782" spans="1:7" x14ac:dyDescent="0.2">
      <c r="A1782" s="29"/>
      <c r="B1782" s="75"/>
      <c r="C1782" s="41"/>
      <c r="D1782" s="187"/>
      <c r="E1782" s="84"/>
      <c r="F1782" s="163"/>
      <c r="G1782" s="35"/>
    </row>
    <row r="1783" spans="1:7" x14ac:dyDescent="0.2">
      <c r="A1783" s="29"/>
      <c r="B1783" s="75"/>
      <c r="C1783" s="41"/>
      <c r="D1783" s="187"/>
      <c r="E1783" s="84"/>
      <c r="F1783" s="163"/>
      <c r="G1783" s="35"/>
    </row>
    <row r="1784" spans="1:7" x14ac:dyDescent="0.2">
      <c r="A1784" s="29"/>
      <c r="B1784" s="75"/>
      <c r="C1784" s="41"/>
      <c r="D1784" s="187"/>
      <c r="E1784" s="84"/>
      <c r="F1784" s="163"/>
      <c r="G1784" s="35"/>
    </row>
    <row r="1785" spans="1:7" x14ac:dyDescent="0.2">
      <c r="A1785" s="29"/>
      <c r="B1785" s="75"/>
      <c r="C1785" s="41"/>
      <c r="D1785" s="187"/>
      <c r="E1785" s="84"/>
      <c r="F1785" s="163"/>
      <c r="G1785" s="35"/>
    </row>
    <row r="1786" spans="1:7" x14ac:dyDescent="0.2">
      <c r="A1786" s="29"/>
      <c r="B1786" s="75"/>
      <c r="C1786" s="41"/>
      <c r="D1786" s="187"/>
      <c r="E1786" s="84"/>
      <c r="F1786" s="163"/>
      <c r="G1786" s="35"/>
    </row>
    <row r="1787" spans="1:7" x14ac:dyDescent="0.2">
      <c r="A1787" s="29"/>
      <c r="B1787" s="75"/>
      <c r="C1787" s="41"/>
      <c r="D1787" s="187"/>
      <c r="E1787" s="84"/>
      <c r="F1787" s="163"/>
      <c r="G1787" s="35"/>
    </row>
    <row r="1788" spans="1:7" x14ac:dyDescent="0.2">
      <c r="A1788" s="29"/>
      <c r="B1788" s="75"/>
      <c r="C1788" s="41"/>
      <c r="D1788" s="187"/>
      <c r="E1788" s="84"/>
      <c r="F1788" s="172"/>
      <c r="G1788" s="35"/>
    </row>
    <row r="1789" spans="1:7" x14ac:dyDescent="0.2">
      <c r="A1789" s="29"/>
      <c r="B1789" s="75"/>
      <c r="C1789" s="41"/>
      <c r="D1789" s="187"/>
      <c r="E1789" s="84"/>
      <c r="F1789" s="173"/>
      <c r="G1789" s="35"/>
    </row>
    <row r="1790" spans="1:7" x14ac:dyDescent="0.2">
      <c r="A1790" s="29" t="s">
        <v>8</v>
      </c>
      <c r="B1790" s="75"/>
      <c r="C1790" s="41"/>
      <c r="D1790" s="187"/>
      <c r="E1790" s="84"/>
      <c r="F1790" s="173"/>
      <c r="G1790" s="35" t="s">
        <v>8</v>
      </c>
    </row>
    <row r="1791" spans="1:7" ht="13.5" thickBot="1" x14ac:dyDescent="0.25">
      <c r="A1791" s="45"/>
      <c r="B1791" s="188"/>
      <c r="C1791" s="47" t="s">
        <v>8</v>
      </c>
      <c r="D1791" s="66" t="s">
        <v>8</v>
      </c>
      <c r="E1791" s="188"/>
      <c r="F1791" s="49" t="s">
        <v>15</v>
      </c>
      <c r="G1791" s="50">
        <f>SUM(G1757:G1790)</f>
        <v>2420</v>
      </c>
    </row>
    <row r="1792" spans="1:7" ht="13.5" thickTop="1" x14ac:dyDescent="0.2">
      <c r="A1792" s="963" t="s">
        <v>2422</v>
      </c>
      <c r="B1792" s="964"/>
      <c r="C1792" s="964"/>
      <c r="D1792" s="964"/>
      <c r="E1792" s="964"/>
      <c r="F1792" s="964"/>
      <c r="G1792" s="965"/>
    </row>
    <row r="1793" spans="1:12" ht="13.5" thickBot="1" x14ac:dyDescent="0.25">
      <c r="A1793" s="378"/>
      <c r="B1793" s="374"/>
      <c r="C1793" s="374" t="s">
        <v>8</v>
      </c>
      <c r="D1793" s="379"/>
      <c r="E1793" s="374"/>
      <c r="F1793" s="380"/>
      <c r="G1793" s="381"/>
    </row>
    <row r="1794" spans="1:12" ht="13.5" thickTop="1" x14ac:dyDescent="0.2">
      <c r="A1794" s="906" t="s">
        <v>8</v>
      </c>
      <c r="B1794" s="907"/>
      <c r="C1794" s="907"/>
      <c r="D1794" s="57" t="s">
        <v>11</v>
      </c>
      <c r="E1794" s="908" t="s">
        <v>12</v>
      </c>
      <c r="F1794" s="908"/>
      <c r="G1794" s="909"/>
    </row>
    <row r="1795" spans="1:12" x14ac:dyDescent="0.2">
      <c r="A1795" s="966" t="s">
        <v>17</v>
      </c>
      <c r="B1795" s="967"/>
      <c r="C1795" s="968"/>
      <c r="D1795" s="39"/>
      <c r="E1795" s="912"/>
      <c r="F1795" s="913"/>
      <c r="G1795" s="914"/>
    </row>
    <row r="1796" spans="1:12" x14ac:dyDescent="0.2">
      <c r="A1796" s="966" t="s">
        <v>38</v>
      </c>
      <c r="B1796" s="967"/>
      <c r="C1796" s="968"/>
      <c r="D1796" s="58" t="s">
        <v>308</v>
      </c>
      <c r="E1796" s="969" t="s">
        <v>142</v>
      </c>
      <c r="F1796" s="868"/>
      <c r="G1796" s="869"/>
    </row>
    <row r="1797" spans="1:12" ht="13.5" thickBot="1" x14ac:dyDescent="0.25">
      <c r="A1797" s="970" t="s">
        <v>39</v>
      </c>
      <c r="B1797" s="971"/>
      <c r="C1797" s="972"/>
      <c r="D1797" s="375" t="s">
        <v>1038</v>
      </c>
      <c r="E1797" s="904" t="s">
        <v>0</v>
      </c>
      <c r="F1797" s="904"/>
      <c r="G1797" s="905"/>
    </row>
    <row r="1798" spans="1:12" ht="16.5" x14ac:dyDescent="0.25">
      <c r="A1798" s="885" t="s">
        <v>29</v>
      </c>
      <c r="B1798" s="886"/>
      <c r="C1798" s="886"/>
      <c r="D1798" s="886"/>
      <c r="E1798" s="886"/>
      <c r="F1798" s="886"/>
      <c r="G1798" s="887"/>
    </row>
    <row r="1799" spans="1:12" x14ac:dyDescent="0.2">
      <c r="A1799" s="888" t="s">
        <v>48</v>
      </c>
      <c r="B1799" s="889"/>
      <c r="C1799" s="889"/>
      <c r="D1799" s="889"/>
      <c r="E1799" s="889"/>
      <c r="F1799" s="889"/>
      <c r="G1799" s="890"/>
    </row>
    <row r="1800" spans="1:12" x14ac:dyDescent="0.2">
      <c r="A1800" s="915" t="s">
        <v>49</v>
      </c>
      <c r="B1800" s="916"/>
      <c r="C1800" s="916"/>
      <c r="D1800" s="916"/>
      <c r="E1800" s="916"/>
      <c r="F1800" s="916"/>
      <c r="G1800" s="917"/>
    </row>
    <row r="1801" spans="1:12" x14ac:dyDescent="0.2">
      <c r="A1801" s="6"/>
      <c r="B1801" s="178"/>
      <c r="C1801" s="8"/>
      <c r="D1801" s="9"/>
      <c r="E1801" s="99"/>
      <c r="F1801" s="10"/>
      <c r="G1801" s="11" t="s">
        <v>8</v>
      </c>
    </row>
    <row r="1802" spans="1:12" x14ac:dyDescent="0.2">
      <c r="A1802" s="12" t="s">
        <v>1</v>
      </c>
      <c r="B1802" s="13"/>
      <c r="C1802" s="14" t="s">
        <v>5</v>
      </c>
      <c r="D1802" s="13"/>
      <c r="E1802" s="362" t="s">
        <v>2430</v>
      </c>
      <c r="F1802" s="60"/>
      <c r="G1802" s="363" t="s">
        <v>2420</v>
      </c>
    </row>
    <row r="1803" spans="1:12" x14ac:dyDescent="0.2">
      <c r="A1803" s="17" t="s">
        <v>8</v>
      </c>
      <c r="B1803" s="179"/>
      <c r="C1803" s="19"/>
      <c r="D1803" s="4"/>
      <c r="E1803" s="918"/>
      <c r="F1803" s="919"/>
      <c r="G1803" s="20"/>
    </row>
    <row r="1804" spans="1:12" x14ac:dyDescent="0.2">
      <c r="A1804" s="21" t="s">
        <v>37</v>
      </c>
      <c r="B1804" s="22"/>
      <c r="C1804" s="22"/>
      <c r="D1804" s="22"/>
      <c r="E1804" s="23" t="s">
        <v>46</v>
      </c>
      <c r="F1804" s="24"/>
      <c r="G1804" s="20" t="s">
        <v>50</v>
      </c>
    </row>
    <row r="1805" spans="1:12" x14ac:dyDescent="0.2">
      <c r="A1805" s="6"/>
      <c r="B1805" s="178"/>
      <c r="C1805" s="8"/>
      <c r="D1805" s="8"/>
      <c r="E1805" s="920"/>
      <c r="F1805" s="921"/>
      <c r="G1805" s="25"/>
    </row>
    <row r="1806" spans="1:12" ht="26.25" thickBot="1" x14ac:dyDescent="0.25">
      <c r="A1806" s="26" t="s">
        <v>47</v>
      </c>
      <c r="B1806" s="180" t="s">
        <v>23</v>
      </c>
      <c r="C1806" s="28" t="s">
        <v>34</v>
      </c>
      <c r="D1806" s="110" t="s">
        <v>53</v>
      </c>
      <c r="E1806" s="181" t="s">
        <v>54</v>
      </c>
      <c r="F1806" s="111" t="s">
        <v>55</v>
      </c>
      <c r="G1806" s="112" t="s">
        <v>35</v>
      </c>
    </row>
    <row r="1807" spans="1:12" ht="13.5" thickTop="1" x14ac:dyDescent="0.2">
      <c r="A1807" s="364">
        <v>1</v>
      </c>
      <c r="B1807" s="75"/>
      <c r="C1807" s="365" t="s">
        <v>149</v>
      </c>
      <c r="D1807" s="366" t="s">
        <v>2423</v>
      </c>
      <c r="E1807" s="457">
        <v>75</v>
      </c>
      <c r="F1807" s="551">
        <v>70</v>
      </c>
      <c r="G1807" s="35">
        <f>F1807*E1807</f>
        <v>5250</v>
      </c>
      <c r="L1807" s="2">
        <f>5250/75</f>
        <v>70</v>
      </c>
    </row>
    <row r="1808" spans="1:12" x14ac:dyDescent="0.2">
      <c r="A1808" s="364">
        <v>2</v>
      </c>
      <c r="B1808" s="75"/>
      <c r="C1808" s="371" t="s">
        <v>2427</v>
      </c>
      <c r="D1808" s="366" t="s">
        <v>2424</v>
      </c>
      <c r="E1808" s="77">
        <v>24</v>
      </c>
      <c r="F1808" s="267">
        <v>75</v>
      </c>
      <c r="G1808" s="35">
        <f t="shared" ref="G1808:G1811" si="24">F1808*E1808</f>
        <v>1800</v>
      </c>
    </row>
    <row r="1809" spans="1:10" x14ac:dyDescent="0.2">
      <c r="A1809" s="364">
        <v>3</v>
      </c>
      <c r="B1809" s="75"/>
      <c r="C1809" s="371" t="s">
        <v>2427</v>
      </c>
      <c r="D1809" s="458" t="s">
        <v>2425</v>
      </c>
      <c r="E1809" s="77">
        <v>3</v>
      </c>
      <c r="F1809" s="267">
        <v>100</v>
      </c>
      <c r="G1809" s="35">
        <f t="shared" si="24"/>
        <v>300</v>
      </c>
    </row>
    <row r="1810" spans="1:10" x14ac:dyDescent="0.2">
      <c r="A1810" s="364">
        <v>4</v>
      </c>
      <c r="B1810" s="75"/>
      <c r="C1810" s="371" t="s">
        <v>2427</v>
      </c>
      <c r="D1810" s="366" t="s">
        <v>237</v>
      </c>
      <c r="E1810" s="77">
        <v>27</v>
      </c>
      <c r="F1810" s="211">
        <v>15</v>
      </c>
      <c r="G1810" s="35">
        <f t="shared" si="24"/>
        <v>405</v>
      </c>
    </row>
    <row r="1811" spans="1:10" x14ac:dyDescent="0.2">
      <c r="A1811" s="364">
        <v>5</v>
      </c>
      <c r="B1811" s="75"/>
      <c r="C1811" s="371" t="s">
        <v>185</v>
      </c>
      <c r="D1811" s="366" t="s">
        <v>2426</v>
      </c>
      <c r="E1811" s="77">
        <v>3</v>
      </c>
      <c r="F1811" s="267">
        <v>80</v>
      </c>
      <c r="G1811" s="35">
        <f t="shared" si="24"/>
        <v>240</v>
      </c>
      <c r="H1811" s="164">
        <f>G1808+G1809+G1810+G1811</f>
        <v>2745</v>
      </c>
      <c r="I1811" s="164"/>
      <c r="J1811" s="164"/>
    </row>
    <row r="1812" spans="1:10" x14ac:dyDescent="0.2">
      <c r="A1812" s="364"/>
      <c r="B1812" s="75"/>
      <c r="C1812" s="371"/>
      <c r="D1812" s="366"/>
      <c r="E1812" s="77"/>
      <c r="F1812" s="185"/>
      <c r="G1812" s="35"/>
    </row>
    <row r="1813" spans="1:10" x14ac:dyDescent="0.2">
      <c r="A1813" s="364"/>
      <c r="B1813" s="75"/>
      <c r="C1813" s="371"/>
      <c r="D1813" s="366"/>
      <c r="E1813" s="77"/>
      <c r="F1813" s="185"/>
      <c r="G1813" s="35"/>
    </row>
    <row r="1814" spans="1:10" x14ac:dyDescent="0.2">
      <c r="A1814" s="364"/>
      <c r="B1814" s="75"/>
      <c r="C1814" s="371"/>
      <c r="D1814" s="366"/>
      <c r="E1814" s="77"/>
      <c r="F1814" s="185"/>
      <c r="G1814" s="35"/>
    </row>
    <row r="1815" spans="1:10" x14ac:dyDescent="0.2">
      <c r="A1815" s="364"/>
      <c r="B1815" s="186"/>
      <c r="C1815" s="371"/>
      <c r="D1815" s="366"/>
      <c r="E1815" s="77"/>
      <c r="F1815" s="185"/>
      <c r="G1815" s="35"/>
    </row>
    <row r="1816" spans="1:10" x14ac:dyDescent="0.2">
      <c r="A1816" s="364"/>
      <c r="B1816" s="74"/>
      <c r="C1816" s="371"/>
      <c r="D1816" s="366"/>
      <c r="E1816" s="77"/>
      <c r="F1816" s="185"/>
      <c r="G1816" s="35"/>
    </row>
    <row r="1817" spans="1:10" x14ac:dyDescent="0.2">
      <c r="A1817" s="364"/>
      <c r="B1817" s="74"/>
      <c r="C1817" s="371"/>
      <c r="D1817" s="454"/>
      <c r="E1817" s="84"/>
      <c r="F1817" s="163"/>
      <c r="G1817" s="35"/>
    </row>
    <row r="1818" spans="1:10" x14ac:dyDescent="0.2">
      <c r="A1818" s="364"/>
      <c r="B1818" s="74"/>
      <c r="C1818" s="371"/>
      <c r="D1818" s="454"/>
      <c r="E1818" s="84"/>
      <c r="F1818" s="163"/>
      <c r="G1818" s="35"/>
    </row>
    <row r="1819" spans="1:10" x14ac:dyDescent="0.2">
      <c r="A1819" s="364"/>
      <c r="B1819" s="75"/>
      <c r="C1819" s="371"/>
      <c r="D1819" s="454"/>
      <c r="E1819" s="84"/>
      <c r="F1819" s="172"/>
      <c r="G1819" s="35"/>
    </row>
    <row r="1820" spans="1:10" x14ac:dyDescent="0.2">
      <c r="A1820" s="364"/>
      <c r="B1820" s="75"/>
      <c r="C1820" s="371"/>
      <c r="D1820" s="454"/>
      <c r="E1820" s="84"/>
      <c r="F1820" s="173"/>
      <c r="G1820" s="35"/>
    </row>
    <row r="1821" spans="1:10" x14ac:dyDescent="0.2">
      <c r="A1821" s="364"/>
      <c r="B1821" s="75"/>
      <c r="C1821" s="371"/>
      <c r="D1821" s="454"/>
      <c r="E1821" s="77"/>
      <c r="F1821" s="185"/>
      <c r="G1821" s="35"/>
    </row>
    <row r="1822" spans="1:10" x14ac:dyDescent="0.2">
      <c r="A1822" s="364"/>
      <c r="B1822" s="75"/>
      <c r="C1822" s="371"/>
      <c r="D1822" s="454"/>
      <c r="E1822" s="77"/>
      <c r="F1822" s="185"/>
      <c r="G1822" s="35"/>
    </row>
    <row r="1823" spans="1:10" x14ac:dyDescent="0.2">
      <c r="A1823" s="364"/>
      <c r="B1823" s="75"/>
      <c r="C1823" s="371"/>
      <c r="D1823" s="366"/>
      <c r="E1823" s="77"/>
      <c r="F1823" s="185"/>
      <c r="G1823" s="35"/>
    </row>
    <row r="1824" spans="1:10" x14ac:dyDescent="0.2">
      <c r="A1824" s="364"/>
      <c r="B1824" s="75"/>
      <c r="C1824" s="371"/>
      <c r="D1824" s="366"/>
      <c r="E1824" s="77"/>
      <c r="F1824" s="185"/>
      <c r="G1824" s="35"/>
    </row>
    <row r="1825" spans="1:7" x14ac:dyDescent="0.2">
      <c r="A1825" s="364"/>
      <c r="B1825" s="75"/>
      <c r="C1825" s="371"/>
      <c r="D1825" s="366"/>
      <c r="E1825" s="77"/>
      <c r="F1825" s="185"/>
      <c r="G1825" s="35"/>
    </row>
    <row r="1826" spans="1:7" x14ac:dyDescent="0.2">
      <c r="A1826" s="29"/>
      <c r="B1826" s="75"/>
      <c r="C1826" s="41"/>
      <c r="D1826" s="184"/>
      <c r="E1826" s="84"/>
      <c r="F1826" s="163"/>
      <c r="G1826" s="35"/>
    </row>
    <row r="1827" spans="1:7" x14ac:dyDescent="0.2">
      <c r="A1827" s="29"/>
      <c r="B1827" s="75"/>
      <c r="C1827" s="41"/>
      <c r="D1827" s="184"/>
      <c r="E1827" s="84"/>
      <c r="F1827" s="163"/>
      <c r="G1827" s="35"/>
    </row>
    <row r="1828" spans="1:7" x14ac:dyDescent="0.2">
      <c r="A1828" s="29"/>
      <c r="B1828" s="75"/>
      <c r="C1828" s="41"/>
      <c r="D1828" s="187"/>
      <c r="E1828" s="84"/>
      <c r="F1828" s="163"/>
      <c r="G1828" s="35"/>
    </row>
    <row r="1829" spans="1:7" x14ac:dyDescent="0.2">
      <c r="A1829" s="29"/>
      <c r="B1829" s="75"/>
      <c r="C1829" s="41"/>
      <c r="D1829" s="187"/>
      <c r="E1829" s="84"/>
      <c r="F1829" s="163"/>
      <c r="G1829" s="35"/>
    </row>
    <row r="1830" spans="1:7" x14ac:dyDescent="0.2">
      <c r="A1830" s="29"/>
      <c r="B1830" s="75"/>
      <c r="C1830" s="41"/>
      <c r="D1830" s="187"/>
      <c r="E1830" s="84"/>
      <c r="F1830" s="163"/>
      <c r="G1830" s="35"/>
    </row>
    <row r="1831" spans="1:7" x14ac:dyDescent="0.2">
      <c r="A1831" s="29"/>
      <c r="B1831" s="75"/>
      <c r="C1831" s="41"/>
      <c r="D1831" s="187"/>
      <c r="E1831" s="84"/>
      <c r="F1831" s="163"/>
      <c r="G1831" s="35"/>
    </row>
    <row r="1832" spans="1:7" x14ac:dyDescent="0.2">
      <c r="A1832" s="29"/>
      <c r="B1832" s="75"/>
      <c r="C1832" s="41"/>
      <c r="D1832" s="187"/>
      <c r="E1832" s="84"/>
      <c r="F1832" s="163"/>
      <c r="G1832" s="35"/>
    </row>
    <row r="1833" spans="1:7" x14ac:dyDescent="0.2">
      <c r="A1833" s="29"/>
      <c r="B1833" s="75"/>
      <c r="C1833" s="41"/>
      <c r="D1833" s="187"/>
      <c r="E1833" s="84"/>
      <c r="F1833" s="163"/>
      <c r="G1833" s="35"/>
    </row>
    <row r="1834" spans="1:7" x14ac:dyDescent="0.2">
      <c r="A1834" s="29"/>
      <c r="B1834" s="75"/>
      <c r="C1834" s="41"/>
      <c r="D1834" s="187"/>
      <c r="E1834" s="84"/>
      <c r="F1834" s="163"/>
      <c r="G1834" s="35"/>
    </row>
    <row r="1835" spans="1:7" x14ac:dyDescent="0.2">
      <c r="A1835" s="29"/>
      <c r="B1835" s="75"/>
      <c r="C1835" s="41"/>
      <c r="D1835" s="187"/>
      <c r="E1835" s="84"/>
      <c r="F1835" s="163"/>
      <c r="G1835" s="35"/>
    </row>
    <row r="1836" spans="1:7" x14ac:dyDescent="0.2">
      <c r="A1836" s="29"/>
      <c r="B1836" s="75"/>
      <c r="C1836" s="41"/>
      <c r="D1836" s="187"/>
      <c r="E1836" s="84"/>
      <c r="F1836" s="163"/>
      <c r="G1836" s="35"/>
    </row>
    <row r="1837" spans="1:7" x14ac:dyDescent="0.2">
      <c r="A1837" s="29"/>
      <c r="B1837" s="75"/>
      <c r="C1837" s="41"/>
      <c r="D1837" s="187"/>
      <c r="E1837" s="84"/>
      <c r="F1837" s="163"/>
      <c r="G1837" s="35"/>
    </row>
    <row r="1838" spans="1:7" x14ac:dyDescent="0.2">
      <c r="A1838" s="29"/>
      <c r="B1838" s="75"/>
      <c r="C1838" s="41"/>
      <c r="D1838" s="187"/>
      <c r="E1838" s="84"/>
      <c r="F1838" s="172"/>
      <c r="G1838" s="35"/>
    </row>
    <row r="1839" spans="1:7" x14ac:dyDescent="0.2">
      <c r="A1839" s="29"/>
      <c r="B1839" s="75"/>
      <c r="C1839" s="41"/>
      <c r="D1839" s="187"/>
      <c r="E1839" s="84"/>
      <c r="F1839" s="173"/>
      <c r="G1839" s="35"/>
    </row>
    <row r="1840" spans="1:7" x14ac:dyDescent="0.2">
      <c r="A1840" s="29" t="s">
        <v>8</v>
      </c>
      <c r="B1840" s="75"/>
      <c r="C1840" s="41"/>
      <c r="D1840" s="187"/>
      <c r="E1840" s="84"/>
      <c r="F1840" s="173"/>
      <c r="G1840" s="35" t="s">
        <v>8</v>
      </c>
    </row>
    <row r="1841" spans="1:7" ht="13.5" thickBot="1" x14ac:dyDescent="0.25">
      <c r="A1841" s="45"/>
      <c r="B1841" s="188"/>
      <c r="C1841" s="47" t="s">
        <v>8</v>
      </c>
      <c r="D1841" s="66" t="s">
        <v>8</v>
      </c>
      <c r="E1841" s="188"/>
      <c r="F1841" s="49" t="s">
        <v>15</v>
      </c>
      <c r="G1841" s="50">
        <f>SUM(G1807:G1840)</f>
        <v>7995</v>
      </c>
    </row>
    <row r="1842" spans="1:7" ht="13.5" thickTop="1" x14ac:dyDescent="0.2">
      <c r="A1842" s="963" t="s">
        <v>2437</v>
      </c>
      <c r="B1842" s="964"/>
      <c r="C1842" s="964"/>
      <c r="D1842" s="964"/>
      <c r="E1842" s="964"/>
      <c r="F1842" s="964"/>
      <c r="G1842" s="965"/>
    </row>
    <row r="1843" spans="1:7" ht="13.5" thickBot="1" x14ac:dyDescent="0.25">
      <c r="A1843" s="378"/>
      <c r="B1843" s="374"/>
      <c r="C1843" s="374" t="s">
        <v>2428</v>
      </c>
      <c r="D1843" s="379"/>
      <c r="E1843" s="374"/>
      <c r="F1843" s="380"/>
      <c r="G1843" s="381"/>
    </row>
    <row r="1844" spans="1:7" ht="13.5" thickTop="1" x14ac:dyDescent="0.2">
      <c r="A1844" s="906" t="s">
        <v>8</v>
      </c>
      <c r="B1844" s="907"/>
      <c r="C1844" s="907"/>
      <c r="D1844" s="57" t="s">
        <v>11</v>
      </c>
      <c r="E1844" s="908" t="s">
        <v>12</v>
      </c>
      <c r="F1844" s="908"/>
      <c r="G1844" s="909"/>
    </row>
    <row r="1845" spans="1:7" x14ac:dyDescent="0.2">
      <c r="A1845" s="966" t="s">
        <v>17</v>
      </c>
      <c r="B1845" s="967"/>
      <c r="C1845" s="968"/>
      <c r="D1845" s="39"/>
      <c r="E1845" s="912"/>
      <c r="F1845" s="913"/>
      <c r="G1845" s="914"/>
    </row>
    <row r="1846" spans="1:7" x14ac:dyDescent="0.2">
      <c r="A1846" s="966" t="s">
        <v>38</v>
      </c>
      <c r="B1846" s="967"/>
      <c r="C1846" s="968"/>
      <c r="D1846" s="58" t="s">
        <v>308</v>
      </c>
      <c r="E1846" s="969" t="s">
        <v>142</v>
      </c>
      <c r="F1846" s="868"/>
      <c r="G1846" s="869"/>
    </row>
    <row r="1847" spans="1:7" ht="13.5" thickBot="1" x14ac:dyDescent="0.25">
      <c r="A1847" s="970" t="s">
        <v>39</v>
      </c>
      <c r="B1847" s="971"/>
      <c r="C1847" s="972"/>
      <c r="D1847" s="375" t="s">
        <v>1038</v>
      </c>
      <c r="E1847" s="904" t="s">
        <v>0</v>
      </c>
      <c r="F1847" s="904"/>
      <c r="G1847" s="905"/>
    </row>
    <row r="1848" spans="1:7" ht="16.5" x14ac:dyDescent="0.25">
      <c r="A1848" s="885" t="s">
        <v>29</v>
      </c>
      <c r="B1848" s="886"/>
      <c r="C1848" s="886"/>
      <c r="D1848" s="886"/>
      <c r="E1848" s="886"/>
      <c r="F1848" s="886"/>
      <c r="G1848" s="887"/>
    </row>
    <row r="1849" spans="1:7" x14ac:dyDescent="0.2">
      <c r="A1849" s="888" t="s">
        <v>48</v>
      </c>
      <c r="B1849" s="889"/>
      <c r="C1849" s="889"/>
      <c r="D1849" s="889"/>
      <c r="E1849" s="889"/>
      <c r="F1849" s="889"/>
      <c r="G1849" s="890"/>
    </row>
    <row r="1850" spans="1:7" x14ac:dyDescent="0.2">
      <c r="A1850" s="915" t="s">
        <v>49</v>
      </c>
      <c r="B1850" s="916"/>
      <c r="C1850" s="916"/>
      <c r="D1850" s="916"/>
      <c r="E1850" s="916"/>
      <c r="F1850" s="916"/>
      <c r="G1850" s="917"/>
    </row>
    <row r="1851" spans="1:7" x14ac:dyDescent="0.2">
      <c r="A1851" s="6"/>
      <c r="B1851" s="178"/>
      <c r="C1851" s="8"/>
      <c r="D1851" s="9"/>
      <c r="E1851" s="99"/>
      <c r="F1851" s="10"/>
      <c r="G1851" s="11" t="s">
        <v>8</v>
      </c>
    </row>
    <row r="1852" spans="1:7" x14ac:dyDescent="0.2">
      <c r="A1852" s="12" t="s">
        <v>1</v>
      </c>
      <c r="B1852" s="13"/>
      <c r="C1852" s="14" t="s">
        <v>5</v>
      </c>
      <c r="D1852" s="13"/>
      <c r="E1852" s="362" t="s">
        <v>2528</v>
      </c>
      <c r="F1852" s="60"/>
      <c r="G1852" s="363" t="s">
        <v>2527</v>
      </c>
    </row>
    <row r="1853" spans="1:7" x14ac:dyDescent="0.2">
      <c r="A1853" s="17" t="s">
        <v>8</v>
      </c>
      <c r="B1853" s="179"/>
      <c r="C1853" s="19"/>
      <c r="D1853" s="4"/>
      <c r="E1853" s="918"/>
      <c r="F1853" s="919"/>
      <c r="G1853" s="20"/>
    </row>
    <row r="1854" spans="1:7" x14ac:dyDescent="0.2">
      <c r="A1854" s="21" t="s">
        <v>37</v>
      </c>
      <c r="B1854" s="22"/>
      <c r="C1854" s="22"/>
      <c r="D1854" s="22"/>
      <c r="E1854" s="23" t="s">
        <v>46</v>
      </c>
      <c r="F1854" s="24"/>
      <c r="G1854" s="20" t="s">
        <v>50</v>
      </c>
    </row>
    <row r="1855" spans="1:7" x14ac:dyDescent="0.2">
      <c r="A1855" s="6"/>
      <c r="B1855" s="178"/>
      <c r="C1855" s="8"/>
      <c r="D1855" s="8"/>
      <c r="E1855" s="920"/>
      <c r="F1855" s="921"/>
      <c r="G1855" s="25"/>
    </row>
    <row r="1856" spans="1:7" ht="26.25" thickBot="1" x14ac:dyDescent="0.25">
      <c r="A1856" s="26" t="s">
        <v>47</v>
      </c>
      <c r="B1856" s="180" t="s">
        <v>23</v>
      </c>
      <c r="C1856" s="28" t="s">
        <v>34</v>
      </c>
      <c r="D1856" s="110" t="s">
        <v>53</v>
      </c>
      <c r="E1856" s="181" t="s">
        <v>54</v>
      </c>
      <c r="F1856" s="111" t="s">
        <v>55</v>
      </c>
      <c r="G1856" s="112" t="s">
        <v>35</v>
      </c>
    </row>
    <row r="1857" spans="1:10" ht="13.5" thickTop="1" x14ac:dyDescent="0.2">
      <c r="A1857" s="29">
        <v>1</v>
      </c>
      <c r="B1857" s="75"/>
      <c r="C1857" s="365" t="s">
        <v>2008</v>
      </c>
      <c r="D1857" s="366" t="s">
        <v>2026</v>
      </c>
      <c r="E1857" s="77">
        <v>1</v>
      </c>
      <c r="F1857" s="267">
        <v>1400</v>
      </c>
      <c r="G1857" s="644">
        <f>F1857*E1857</f>
        <v>1400</v>
      </c>
      <c r="H1857" s="212">
        <f>G1857</f>
        <v>1400</v>
      </c>
      <c r="I1857" s="212"/>
      <c r="J1857" s="212"/>
    </row>
    <row r="1858" spans="1:10" x14ac:dyDescent="0.2">
      <c r="A1858" s="364">
        <f>A1857+1</f>
        <v>2</v>
      </c>
      <c r="B1858" s="75"/>
      <c r="C1858" s="371" t="s">
        <v>185</v>
      </c>
      <c r="D1858" s="366" t="s">
        <v>2140</v>
      </c>
      <c r="E1858" s="77">
        <v>72</v>
      </c>
      <c r="F1858" s="267">
        <v>4.5</v>
      </c>
      <c r="G1858" s="644">
        <f t="shared" ref="G1858:G1880" si="25">F1858*E1858</f>
        <v>324</v>
      </c>
      <c r="H1858" s="212">
        <f>G1858</f>
        <v>324</v>
      </c>
      <c r="I1858" s="212"/>
      <c r="J1858" s="212"/>
    </row>
    <row r="1859" spans="1:10" x14ac:dyDescent="0.2">
      <c r="A1859" s="364">
        <f t="shared" ref="A1859:A1880" si="26">A1858+1</f>
        <v>3</v>
      </c>
      <c r="B1859" s="75"/>
      <c r="C1859" s="371" t="s">
        <v>153</v>
      </c>
      <c r="D1859" s="458" t="s">
        <v>2469</v>
      </c>
      <c r="E1859" s="77">
        <v>10</v>
      </c>
      <c r="F1859" s="267">
        <v>95</v>
      </c>
      <c r="G1859" s="644">
        <f t="shared" si="25"/>
        <v>950</v>
      </c>
      <c r="H1859" s="212">
        <f>G1859</f>
        <v>950</v>
      </c>
      <c r="I1859" s="212"/>
      <c r="J1859" s="212"/>
    </row>
    <row r="1860" spans="1:10" x14ac:dyDescent="0.2">
      <c r="A1860" s="364">
        <f t="shared" si="26"/>
        <v>4</v>
      </c>
      <c r="B1860" s="75"/>
      <c r="C1860" s="371" t="s">
        <v>177</v>
      </c>
      <c r="D1860" s="366" t="s">
        <v>2470</v>
      </c>
      <c r="E1860" s="77">
        <v>1</v>
      </c>
      <c r="F1860" s="211">
        <v>680</v>
      </c>
      <c r="G1860" s="644">
        <f t="shared" si="25"/>
        <v>680</v>
      </c>
    </row>
    <row r="1861" spans="1:10" x14ac:dyDescent="0.2">
      <c r="A1861" s="364">
        <f t="shared" si="26"/>
        <v>5</v>
      </c>
      <c r="B1861" s="75"/>
      <c r="C1861" s="371" t="s">
        <v>177</v>
      </c>
      <c r="D1861" s="366" t="s">
        <v>2471</v>
      </c>
      <c r="E1861" s="77">
        <v>1</v>
      </c>
      <c r="F1861" s="267">
        <v>475</v>
      </c>
      <c r="G1861" s="644">
        <f t="shared" si="25"/>
        <v>475</v>
      </c>
      <c r="H1861" s="164">
        <f>G1860+G1861</f>
        <v>1155</v>
      </c>
      <c r="I1861" s="164"/>
      <c r="J1861" s="164"/>
    </row>
    <row r="1862" spans="1:10" x14ac:dyDescent="0.2">
      <c r="A1862" s="364">
        <f t="shared" si="26"/>
        <v>6</v>
      </c>
      <c r="B1862" s="75"/>
      <c r="C1862" s="371" t="s">
        <v>149</v>
      </c>
      <c r="D1862" s="366" t="s">
        <v>2296</v>
      </c>
      <c r="E1862" s="77">
        <v>2</v>
      </c>
      <c r="F1862" s="267">
        <v>24.75</v>
      </c>
      <c r="G1862" s="644">
        <f t="shared" si="25"/>
        <v>49.5</v>
      </c>
    </row>
    <row r="1863" spans="1:10" x14ac:dyDescent="0.2">
      <c r="A1863" s="364">
        <f t="shared" si="26"/>
        <v>7</v>
      </c>
      <c r="B1863" s="75"/>
      <c r="C1863" s="371" t="s">
        <v>149</v>
      </c>
      <c r="D1863" s="366" t="s">
        <v>2472</v>
      </c>
      <c r="E1863" s="77">
        <v>1</v>
      </c>
      <c r="F1863" s="267">
        <v>41</v>
      </c>
      <c r="G1863" s="644">
        <f t="shared" si="25"/>
        <v>41</v>
      </c>
    </row>
    <row r="1864" spans="1:10" x14ac:dyDescent="0.2">
      <c r="A1864" s="364">
        <f t="shared" si="26"/>
        <v>8</v>
      </c>
      <c r="B1864" s="75"/>
      <c r="C1864" s="371" t="s">
        <v>149</v>
      </c>
      <c r="D1864" s="366" t="s">
        <v>2141</v>
      </c>
      <c r="E1864" s="77">
        <v>4</v>
      </c>
      <c r="F1864" s="267">
        <v>198.5</v>
      </c>
      <c r="G1864" s="644">
        <f t="shared" si="25"/>
        <v>794</v>
      </c>
    </row>
    <row r="1865" spans="1:10" x14ac:dyDescent="0.2">
      <c r="A1865" s="364">
        <f t="shared" si="26"/>
        <v>9</v>
      </c>
      <c r="B1865" s="186"/>
      <c r="C1865" s="371" t="s">
        <v>149</v>
      </c>
      <c r="D1865" s="366" t="s">
        <v>2473</v>
      </c>
      <c r="E1865" s="77">
        <v>2</v>
      </c>
      <c r="F1865" s="267">
        <v>80</v>
      </c>
      <c r="G1865" s="644">
        <f t="shared" si="25"/>
        <v>160</v>
      </c>
    </row>
    <row r="1866" spans="1:10" x14ac:dyDescent="0.2">
      <c r="A1866" s="364">
        <f t="shared" si="26"/>
        <v>10</v>
      </c>
      <c r="B1866" s="74"/>
      <c r="C1866" s="371" t="s">
        <v>149</v>
      </c>
      <c r="D1866" s="366" t="s">
        <v>2474</v>
      </c>
      <c r="E1866" s="77">
        <v>1</v>
      </c>
      <c r="F1866" s="267">
        <v>45</v>
      </c>
      <c r="G1866" s="644">
        <f t="shared" si="25"/>
        <v>45</v>
      </c>
    </row>
    <row r="1867" spans="1:10" x14ac:dyDescent="0.2">
      <c r="A1867" s="364">
        <f t="shared" si="26"/>
        <v>11</v>
      </c>
      <c r="B1867" s="74"/>
      <c r="C1867" s="371" t="s">
        <v>1923</v>
      </c>
      <c r="D1867" s="454" t="s">
        <v>2475</v>
      </c>
      <c r="E1867" s="84">
        <v>0.33500000000000002</v>
      </c>
      <c r="F1867" s="70">
        <v>300</v>
      </c>
      <c r="G1867" s="644">
        <f t="shared" si="25"/>
        <v>100.5</v>
      </c>
    </row>
    <row r="1868" spans="1:10" x14ac:dyDescent="0.2">
      <c r="A1868" s="364">
        <f t="shared" si="26"/>
        <v>12</v>
      </c>
      <c r="B1868" s="74"/>
      <c r="C1868" s="371" t="s">
        <v>1923</v>
      </c>
      <c r="D1868" s="454" t="s">
        <v>2475</v>
      </c>
      <c r="E1868" s="84">
        <v>0.23499999999999999</v>
      </c>
      <c r="F1868" s="70">
        <v>300</v>
      </c>
      <c r="G1868" s="644">
        <f t="shared" si="25"/>
        <v>70.5</v>
      </c>
    </row>
    <row r="1869" spans="1:10" x14ac:dyDescent="0.2">
      <c r="A1869" s="364">
        <f t="shared" si="26"/>
        <v>13</v>
      </c>
      <c r="B1869" s="75"/>
      <c r="C1869" s="371" t="s">
        <v>1923</v>
      </c>
      <c r="D1869" s="454" t="s">
        <v>2475</v>
      </c>
      <c r="E1869" s="84">
        <v>0.30499999999999999</v>
      </c>
      <c r="F1869" s="88">
        <v>300</v>
      </c>
      <c r="G1869" s="644">
        <f t="shared" si="25"/>
        <v>91.5</v>
      </c>
    </row>
    <row r="1870" spans="1:10" x14ac:dyDescent="0.2">
      <c r="A1870" s="364">
        <f t="shared" si="26"/>
        <v>14</v>
      </c>
      <c r="B1870" s="75"/>
      <c r="C1870" s="371" t="s">
        <v>1923</v>
      </c>
      <c r="D1870" s="454" t="s">
        <v>2476</v>
      </c>
      <c r="E1870" s="84">
        <v>6.07</v>
      </c>
      <c r="F1870" s="89">
        <v>84</v>
      </c>
      <c r="G1870" s="644">
        <f t="shared" si="25"/>
        <v>509.88</v>
      </c>
    </row>
    <row r="1871" spans="1:10" x14ac:dyDescent="0.2">
      <c r="A1871" s="364">
        <f t="shared" si="26"/>
        <v>15</v>
      </c>
      <c r="B1871" s="75"/>
      <c r="C1871" s="371" t="s">
        <v>1923</v>
      </c>
      <c r="D1871" s="366" t="s">
        <v>2477</v>
      </c>
      <c r="E1871" s="77">
        <v>0.38500000000000001</v>
      </c>
      <c r="F1871" s="267">
        <v>65</v>
      </c>
      <c r="G1871" s="644">
        <f t="shared" si="25"/>
        <v>25.025000000000002</v>
      </c>
    </row>
    <row r="1872" spans="1:10" x14ac:dyDescent="0.2">
      <c r="A1872" s="364">
        <f t="shared" si="26"/>
        <v>16</v>
      </c>
      <c r="B1872" s="75"/>
      <c r="C1872" s="371" t="s">
        <v>1923</v>
      </c>
      <c r="D1872" s="454" t="s">
        <v>2476</v>
      </c>
      <c r="E1872" s="77">
        <v>5.8650000000000002</v>
      </c>
      <c r="F1872" s="267">
        <v>84</v>
      </c>
      <c r="G1872" s="644">
        <f t="shared" si="25"/>
        <v>492.66</v>
      </c>
    </row>
    <row r="1873" spans="1:16" x14ac:dyDescent="0.2">
      <c r="A1873" s="364">
        <f t="shared" si="26"/>
        <v>17</v>
      </c>
      <c r="B1873" s="75"/>
      <c r="C1873" s="371" t="s">
        <v>153</v>
      </c>
      <c r="D1873" s="366" t="s">
        <v>2525</v>
      </c>
      <c r="E1873" s="77">
        <v>3</v>
      </c>
      <c r="F1873" s="267">
        <v>150</v>
      </c>
      <c r="G1873" s="644">
        <f t="shared" si="25"/>
        <v>450</v>
      </c>
      <c r="K1873" s="430" t="s">
        <v>2505</v>
      </c>
    </row>
    <row r="1874" spans="1:16" x14ac:dyDescent="0.2">
      <c r="A1874" s="364">
        <f t="shared" si="26"/>
        <v>18</v>
      </c>
      <c r="B1874" s="75"/>
      <c r="C1874" s="371" t="s">
        <v>1923</v>
      </c>
      <c r="D1874" s="366" t="s">
        <v>2477</v>
      </c>
      <c r="E1874" s="77">
        <v>0.38500000000000001</v>
      </c>
      <c r="F1874" s="267">
        <v>65</v>
      </c>
      <c r="G1874" s="644">
        <f t="shared" si="25"/>
        <v>25.025000000000002</v>
      </c>
      <c r="K1874" s="430"/>
    </row>
    <row r="1875" spans="1:16" x14ac:dyDescent="0.2">
      <c r="A1875" s="364">
        <f t="shared" si="26"/>
        <v>19</v>
      </c>
      <c r="B1875" s="75"/>
      <c r="C1875" s="371" t="s">
        <v>1923</v>
      </c>
      <c r="D1875" s="366" t="s">
        <v>2477</v>
      </c>
      <c r="E1875" s="77">
        <v>0.39500000000000002</v>
      </c>
      <c r="F1875" s="163">
        <v>65</v>
      </c>
      <c r="G1875" s="644">
        <f t="shared" si="25"/>
        <v>25.675000000000001</v>
      </c>
      <c r="P1875" s="211">
        <v>1400</v>
      </c>
    </row>
    <row r="1876" spans="1:16" x14ac:dyDescent="0.2">
      <c r="A1876" s="364">
        <f t="shared" si="26"/>
        <v>20</v>
      </c>
      <c r="B1876" s="75"/>
      <c r="C1876" s="371" t="s">
        <v>1923</v>
      </c>
      <c r="D1876" s="366" t="s">
        <v>2478</v>
      </c>
      <c r="E1876" s="77">
        <v>0.59</v>
      </c>
      <c r="F1876" s="163">
        <v>142</v>
      </c>
      <c r="G1876" s="644">
        <f t="shared" si="25"/>
        <v>83.78</v>
      </c>
      <c r="P1876" s="211">
        <v>324</v>
      </c>
    </row>
    <row r="1877" spans="1:16" x14ac:dyDescent="0.2">
      <c r="A1877" s="364">
        <f t="shared" si="26"/>
        <v>21</v>
      </c>
      <c r="B1877" s="75"/>
      <c r="C1877" s="371" t="s">
        <v>1923</v>
      </c>
      <c r="D1877" s="366" t="s">
        <v>2123</v>
      </c>
      <c r="E1877" s="77">
        <v>0.28999999999999998</v>
      </c>
      <c r="F1877" s="163">
        <v>195</v>
      </c>
      <c r="G1877" s="644">
        <f t="shared" si="25"/>
        <v>56.55</v>
      </c>
      <c r="P1877" s="211">
        <v>950</v>
      </c>
    </row>
    <row r="1878" spans="1:16" x14ac:dyDescent="0.2">
      <c r="A1878" s="364">
        <f t="shared" si="26"/>
        <v>22</v>
      </c>
      <c r="B1878" s="75"/>
      <c r="C1878" s="371" t="s">
        <v>1923</v>
      </c>
      <c r="D1878" s="366" t="s">
        <v>2123</v>
      </c>
      <c r="E1878" s="84">
        <v>0.28499999999999998</v>
      </c>
      <c r="F1878" s="163">
        <v>195</v>
      </c>
      <c r="G1878" s="644">
        <f t="shared" si="25"/>
        <v>55.574999999999996</v>
      </c>
      <c r="P1878" s="211">
        <v>1155</v>
      </c>
    </row>
    <row r="1879" spans="1:16" x14ac:dyDescent="0.2">
      <c r="A1879" s="364">
        <f t="shared" si="26"/>
        <v>23</v>
      </c>
      <c r="B1879" s="75"/>
      <c r="C1879" s="371" t="s">
        <v>1923</v>
      </c>
      <c r="D1879" s="366" t="s">
        <v>2479</v>
      </c>
      <c r="E1879" s="84">
        <v>4.4999999999999998E-2</v>
      </c>
      <c r="F1879" s="163">
        <v>226</v>
      </c>
      <c r="G1879" s="644">
        <f t="shared" si="25"/>
        <v>10.17</v>
      </c>
      <c r="P1879" s="211">
        <v>4261.05</v>
      </c>
    </row>
    <row r="1880" spans="1:16" x14ac:dyDescent="0.2">
      <c r="A1880" s="364">
        <f t="shared" si="26"/>
        <v>24</v>
      </c>
      <c r="B1880" s="75"/>
      <c r="C1880" s="371" t="s">
        <v>1923</v>
      </c>
      <c r="D1880" s="454" t="s">
        <v>2478</v>
      </c>
      <c r="E1880" s="84">
        <v>0.52500000000000002</v>
      </c>
      <c r="F1880" s="163">
        <v>142</v>
      </c>
      <c r="G1880" s="644">
        <f t="shared" si="25"/>
        <v>74.55</v>
      </c>
      <c r="H1880" s="212">
        <f>SUM(G1862:G1880)</f>
        <v>3160.8900000000008</v>
      </c>
      <c r="I1880" s="212"/>
      <c r="J1880" s="212"/>
      <c r="M1880" s="164">
        <f>4261.05-H1880</f>
        <v>1100.1599999999994</v>
      </c>
      <c r="N1880" s="164">
        <f>M1880-99-265.5-38-697.64</f>
        <v>1.9999999999413376E-2</v>
      </c>
      <c r="P1880" s="211">
        <f>SUM(P1875:P1879)</f>
        <v>8090.05</v>
      </c>
    </row>
    <row r="1881" spans="1:16" x14ac:dyDescent="0.2">
      <c r="A1881" s="364"/>
      <c r="B1881" s="75"/>
      <c r="C1881" s="41"/>
      <c r="D1881" s="187"/>
      <c r="E1881" s="84"/>
      <c r="F1881" s="163"/>
      <c r="G1881" s="372"/>
      <c r="P1881" s="211"/>
    </row>
    <row r="1882" spans="1:16" x14ac:dyDescent="0.2">
      <c r="A1882" s="364"/>
      <c r="B1882" s="75"/>
      <c r="C1882" s="41"/>
      <c r="D1882" s="187"/>
      <c r="E1882" s="84"/>
      <c r="F1882" s="163"/>
      <c r="G1882" s="35"/>
      <c r="P1882" s="211"/>
    </row>
    <row r="1883" spans="1:16" x14ac:dyDescent="0.2">
      <c r="A1883" s="364"/>
      <c r="B1883" s="75"/>
      <c r="C1883" s="41"/>
      <c r="D1883" s="187"/>
      <c r="E1883" s="84"/>
      <c r="F1883" s="163"/>
      <c r="G1883" s="35"/>
      <c r="P1883" s="211"/>
    </row>
    <row r="1884" spans="1:16" x14ac:dyDescent="0.2">
      <c r="A1884" s="364"/>
      <c r="B1884" s="75"/>
      <c r="C1884" s="41"/>
      <c r="D1884" s="187"/>
      <c r="E1884" s="84"/>
      <c r="F1884" s="163"/>
      <c r="G1884" s="35"/>
      <c r="P1884" s="211"/>
    </row>
    <row r="1885" spans="1:16" x14ac:dyDescent="0.2">
      <c r="A1885" s="29"/>
      <c r="B1885" s="75"/>
      <c r="C1885" s="41"/>
      <c r="D1885" s="187"/>
      <c r="E1885" s="84"/>
      <c r="F1885" s="163"/>
      <c r="G1885" s="35"/>
      <c r="P1885" s="211"/>
    </row>
    <row r="1886" spans="1:16" x14ac:dyDescent="0.2">
      <c r="A1886" s="29"/>
      <c r="B1886" s="75"/>
      <c r="C1886" s="41"/>
      <c r="D1886" s="187"/>
      <c r="E1886" s="84"/>
      <c r="F1886" s="163"/>
      <c r="G1886" s="35"/>
      <c r="P1886" s="211"/>
    </row>
    <row r="1887" spans="1:16" x14ac:dyDescent="0.2">
      <c r="A1887" s="29"/>
      <c r="B1887" s="75"/>
      <c r="C1887" s="41"/>
      <c r="D1887" s="187"/>
      <c r="E1887" s="84"/>
      <c r="F1887" s="163"/>
      <c r="G1887" s="35"/>
      <c r="P1887" s="211"/>
    </row>
    <row r="1888" spans="1:16" x14ac:dyDescent="0.2">
      <c r="A1888" s="29"/>
      <c r="B1888" s="75"/>
      <c r="C1888" s="41"/>
      <c r="D1888" s="187"/>
      <c r="E1888" s="84"/>
      <c r="F1888" s="172"/>
      <c r="G1888" s="35"/>
    </row>
    <row r="1889" spans="1:7" x14ac:dyDescent="0.2">
      <c r="A1889" s="29"/>
      <c r="B1889" s="75"/>
      <c r="C1889" s="41"/>
      <c r="D1889" s="187"/>
      <c r="E1889" s="84"/>
      <c r="F1889" s="173"/>
      <c r="G1889" s="35"/>
    </row>
    <row r="1890" spans="1:7" x14ac:dyDescent="0.2">
      <c r="A1890" s="29" t="s">
        <v>8</v>
      </c>
      <c r="B1890" s="75"/>
      <c r="C1890" s="41"/>
      <c r="D1890" s="187"/>
      <c r="E1890" s="84"/>
      <c r="F1890" s="173"/>
      <c r="G1890" s="35" t="s">
        <v>8</v>
      </c>
    </row>
    <row r="1891" spans="1:7" ht="13.5" thickBot="1" x14ac:dyDescent="0.25">
      <c r="A1891" s="45"/>
      <c r="B1891" s="188"/>
      <c r="C1891" s="47" t="s">
        <v>8</v>
      </c>
      <c r="D1891" s="66" t="s">
        <v>8</v>
      </c>
      <c r="E1891" s="188"/>
      <c r="F1891" s="49" t="s">
        <v>15</v>
      </c>
      <c r="G1891" s="50">
        <f>SUM(G1857:G1890)</f>
        <v>6989.8899999999994</v>
      </c>
    </row>
    <row r="1892" spans="1:7" ht="13.5" thickTop="1" x14ac:dyDescent="0.2">
      <c r="A1892" s="963" t="s">
        <v>2526</v>
      </c>
      <c r="B1892" s="964"/>
      <c r="C1892" s="964"/>
      <c r="D1892" s="964"/>
      <c r="E1892" s="964"/>
      <c r="F1892" s="964"/>
      <c r="G1892" s="965"/>
    </row>
    <row r="1893" spans="1:7" ht="13.5" thickBot="1" x14ac:dyDescent="0.25">
      <c r="A1893" s="378"/>
      <c r="B1893" s="374"/>
      <c r="C1893" s="374" t="s">
        <v>8</v>
      </c>
      <c r="D1893" s="379"/>
      <c r="E1893" s="374"/>
      <c r="F1893" s="380"/>
      <c r="G1893" s="381"/>
    </row>
    <row r="1894" spans="1:7" ht="13.5" thickTop="1" x14ac:dyDescent="0.2">
      <c r="A1894" s="906" t="s">
        <v>8</v>
      </c>
      <c r="B1894" s="907"/>
      <c r="C1894" s="907"/>
      <c r="D1894" s="57" t="s">
        <v>11</v>
      </c>
      <c r="E1894" s="908" t="s">
        <v>12</v>
      </c>
      <c r="F1894" s="908"/>
      <c r="G1894" s="909"/>
    </row>
    <row r="1895" spans="1:7" x14ac:dyDescent="0.2">
      <c r="A1895" s="966" t="s">
        <v>17</v>
      </c>
      <c r="B1895" s="967"/>
      <c r="C1895" s="968"/>
      <c r="D1895" s="39"/>
      <c r="E1895" s="912"/>
      <c r="F1895" s="913"/>
      <c r="G1895" s="914"/>
    </row>
    <row r="1896" spans="1:7" x14ac:dyDescent="0.2">
      <c r="A1896" s="966" t="s">
        <v>38</v>
      </c>
      <c r="B1896" s="967"/>
      <c r="C1896" s="968"/>
      <c r="D1896" s="58" t="s">
        <v>308</v>
      </c>
      <c r="E1896" s="969" t="s">
        <v>142</v>
      </c>
      <c r="F1896" s="868"/>
      <c r="G1896" s="869"/>
    </row>
    <row r="1897" spans="1:7" ht="13.5" thickBot="1" x14ac:dyDescent="0.25">
      <c r="A1897" s="970" t="s">
        <v>39</v>
      </c>
      <c r="B1897" s="971"/>
      <c r="C1897" s="972"/>
      <c r="D1897" s="375" t="s">
        <v>1038</v>
      </c>
      <c r="E1897" s="904" t="s">
        <v>0</v>
      </c>
      <c r="F1897" s="904"/>
      <c r="G1897" s="905"/>
    </row>
    <row r="1898" spans="1:7" ht="16.5" x14ac:dyDescent="0.25">
      <c r="A1898" s="885" t="s">
        <v>29</v>
      </c>
      <c r="B1898" s="886"/>
      <c r="C1898" s="886"/>
      <c r="D1898" s="886"/>
      <c r="E1898" s="886"/>
      <c r="F1898" s="886"/>
      <c r="G1898" s="887"/>
    </row>
    <row r="1899" spans="1:7" x14ac:dyDescent="0.2">
      <c r="A1899" s="888" t="s">
        <v>48</v>
      </c>
      <c r="B1899" s="889"/>
      <c r="C1899" s="889"/>
      <c r="D1899" s="889"/>
      <c r="E1899" s="889"/>
      <c r="F1899" s="889"/>
      <c r="G1899" s="890"/>
    </row>
    <row r="1900" spans="1:7" x14ac:dyDescent="0.2">
      <c r="A1900" s="915" t="s">
        <v>49</v>
      </c>
      <c r="B1900" s="916"/>
      <c r="C1900" s="916"/>
      <c r="D1900" s="916"/>
      <c r="E1900" s="916"/>
      <c r="F1900" s="916"/>
      <c r="G1900" s="917"/>
    </row>
    <row r="1901" spans="1:7" x14ac:dyDescent="0.2">
      <c r="A1901" s="6"/>
      <c r="B1901" s="178"/>
      <c r="C1901" s="8"/>
      <c r="D1901" s="9"/>
      <c r="E1901" s="99"/>
      <c r="F1901" s="10"/>
      <c r="G1901" s="11" t="s">
        <v>8</v>
      </c>
    </row>
    <row r="1902" spans="1:7" x14ac:dyDescent="0.2">
      <c r="A1902" s="12" t="s">
        <v>1</v>
      </c>
      <c r="B1902" s="13"/>
      <c r="C1902" s="14" t="s">
        <v>5</v>
      </c>
      <c r="D1902" s="13"/>
      <c r="E1902" s="362" t="s">
        <v>2441</v>
      </c>
      <c r="F1902" s="60"/>
      <c r="G1902" s="363" t="s">
        <v>2466</v>
      </c>
    </row>
    <row r="1903" spans="1:7" x14ac:dyDescent="0.2">
      <c r="A1903" s="17" t="s">
        <v>8</v>
      </c>
      <c r="B1903" s="179"/>
      <c r="C1903" s="19"/>
      <c r="D1903" s="4"/>
      <c r="E1903" s="918"/>
      <c r="F1903" s="919"/>
      <c r="G1903" s="20"/>
    </row>
    <row r="1904" spans="1:7" x14ac:dyDescent="0.2">
      <c r="A1904" s="21" t="s">
        <v>37</v>
      </c>
      <c r="B1904" s="22"/>
      <c r="C1904" s="22"/>
      <c r="D1904" s="22"/>
      <c r="E1904" s="23" t="s">
        <v>46</v>
      </c>
      <c r="F1904" s="24"/>
      <c r="G1904" s="20" t="s">
        <v>50</v>
      </c>
    </row>
    <row r="1905" spans="1:12" x14ac:dyDescent="0.2">
      <c r="A1905" s="6"/>
      <c r="B1905" s="178"/>
      <c r="C1905" s="8"/>
      <c r="D1905" s="8"/>
      <c r="E1905" s="920"/>
      <c r="F1905" s="921"/>
      <c r="G1905" s="25"/>
    </row>
    <row r="1906" spans="1:12" ht="26.25" thickBot="1" x14ac:dyDescent="0.25">
      <c r="A1906" s="26" t="s">
        <v>47</v>
      </c>
      <c r="B1906" s="180" t="s">
        <v>23</v>
      </c>
      <c r="C1906" s="28" t="s">
        <v>34</v>
      </c>
      <c r="D1906" s="110" t="s">
        <v>53</v>
      </c>
      <c r="E1906" s="181" t="s">
        <v>54</v>
      </c>
      <c r="F1906" s="111" t="s">
        <v>55</v>
      </c>
      <c r="G1906" s="112" t="s">
        <v>35</v>
      </c>
    </row>
    <row r="1907" spans="1:12" ht="13.5" thickTop="1" x14ac:dyDescent="0.2">
      <c r="A1907" s="29">
        <v>1</v>
      </c>
      <c r="B1907" s="75"/>
      <c r="C1907" s="365" t="s">
        <v>185</v>
      </c>
      <c r="D1907" s="366" t="s">
        <v>2480</v>
      </c>
      <c r="E1907" s="77">
        <v>1</v>
      </c>
      <c r="F1907" s="267">
        <v>293.5</v>
      </c>
      <c r="G1907" s="35">
        <f>F1907*E1907</f>
        <v>293.5</v>
      </c>
    </row>
    <row r="1908" spans="1:12" x14ac:dyDescent="0.2">
      <c r="A1908" s="364">
        <f>A1907+1</f>
        <v>2</v>
      </c>
      <c r="B1908" s="75"/>
      <c r="C1908" s="371" t="s">
        <v>149</v>
      </c>
      <c r="D1908" s="366" t="s">
        <v>2482</v>
      </c>
      <c r="E1908" s="77">
        <v>3</v>
      </c>
      <c r="F1908" s="267">
        <v>96.5</v>
      </c>
      <c r="G1908" s="35">
        <f t="shared" ref="G1908:G1938" si="27">F1908*E1908</f>
        <v>289.5</v>
      </c>
    </row>
    <row r="1909" spans="1:12" x14ac:dyDescent="0.2">
      <c r="A1909" s="364">
        <f t="shared" ref="A1909:A1938" si="28">A1908+1</f>
        <v>3</v>
      </c>
      <c r="B1909" s="75"/>
      <c r="C1909" s="371" t="s">
        <v>1923</v>
      </c>
      <c r="D1909" s="458" t="s">
        <v>2481</v>
      </c>
      <c r="E1909" s="77">
        <v>0.4</v>
      </c>
      <c r="F1909" s="267">
        <v>779</v>
      </c>
      <c r="G1909" s="35">
        <f t="shared" si="27"/>
        <v>311.60000000000002</v>
      </c>
      <c r="K1909" s="2">
        <v>0.2</v>
      </c>
      <c r="L1909" s="2">
        <v>155.80000000000001</v>
      </c>
    </row>
    <row r="1910" spans="1:12" x14ac:dyDescent="0.2">
      <c r="A1910" s="364">
        <f t="shared" si="28"/>
        <v>4</v>
      </c>
      <c r="B1910" s="75"/>
      <c r="C1910" s="371" t="s">
        <v>2502</v>
      </c>
      <c r="D1910" s="366" t="s">
        <v>2296</v>
      </c>
      <c r="E1910" s="77">
        <v>3</v>
      </c>
      <c r="F1910" s="211">
        <v>24.75</v>
      </c>
      <c r="G1910" s="35">
        <f t="shared" si="27"/>
        <v>74.25</v>
      </c>
      <c r="K1910" s="2">
        <v>0.2</v>
      </c>
      <c r="L1910" s="2">
        <v>155.80000000000001</v>
      </c>
    </row>
    <row r="1911" spans="1:12" x14ac:dyDescent="0.2">
      <c r="A1911" s="364">
        <f t="shared" si="28"/>
        <v>5</v>
      </c>
      <c r="B1911" s="75"/>
      <c r="C1911" s="371" t="s">
        <v>149</v>
      </c>
      <c r="D1911" s="366" t="s">
        <v>2483</v>
      </c>
      <c r="E1911" s="77">
        <v>1</v>
      </c>
      <c r="F1911" s="267">
        <v>80</v>
      </c>
      <c r="G1911" s="35">
        <f t="shared" si="27"/>
        <v>80</v>
      </c>
      <c r="K1911" s="2">
        <f>SUM(K1909:K1910)</f>
        <v>0.4</v>
      </c>
      <c r="L1911" s="2">
        <f>SUM(L1909:L1910)</f>
        <v>311.60000000000002</v>
      </c>
    </row>
    <row r="1912" spans="1:12" x14ac:dyDescent="0.2">
      <c r="A1912" s="364">
        <f t="shared" si="28"/>
        <v>6</v>
      </c>
      <c r="B1912" s="75"/>
      <c r="C1912" s="371" t="s">
        <v>2502</v>
      </c>
      <c r="D1912" s="366" t="s">
        <v>2484</v>
      </c>
      <c r="E1912" s="77">
        <v>1</v>
      </c>
      <c r="F1912" s="267">
        <v>20.5</v>
      </c>
      <c r="G1912" s="35">
        <f t="shared" si="27"/>
        <v>20.5</v>
      </c>
    </row>
    <row r="1913" spans="1:12" x14ac:dyDescent="0.2">
      <c r="A1913" s="364">
        <f t="shared" si="28"/>
        <v>7</v>
      </c>
      <c r="B1913" s="75"/>
      <c r="C1913" s="371" t="s">
        <v>185</v>
      </c>
      <c r="D1913" s="366" t="s">
        <v>2485</v>
      </c>
      <c r="E1913" s="77">
        <v>1</v>
      </c>
      <c r="F1913" s="267">
        <v>412.5</v>
      </c>
      <c r="G1913" s="35">
        <f t="shared" si="27"/>
        <v>412.5</v>
      </c>
    </row>
    <row r="1914" spans="1:12" x14ac:dyDescent="0.2">
      <c r="A1914" s="364">
        <f t="shared" si="28"/>
        <v>8</v>
      </c>
      <c r="B1914" s="75"/>
      <c r="C1914" s="371" t="s">
        <v>1930</v>
      </c>
      <c r="D1914" s="366" t="s">
        <v>2486</v>
      </c>
      <c r="E1914" s="77">
        <v>1</v>
      </c>
      <c r="F1914" s="267">
        <v>70</v>
      </c>
      <c r="G1914" s="35">
        <f t="shared" si="27"/>
        <v>70</v>
      </c>
    </row>
    <row r="1915" spans="1:12" x14ac:dyDescent="0.2">
      <c r="A1915" s="364">
        <f t="shared" si="28"/>
        <v>9</v>
      </c>
      <c r="B1915" s="186"/>
      <c r="C1915" s="371" t="s">
        <v>1930</v>
      </c>
      <c r="D1915" s="366" t="s">
        <v>2487</v>
      </c>
      <c r="E1915" s="77">
        <v>3</v>
      </c>
      <c r="F1915" s="267">
        <v>37.5</v>
      </c>
      <c r="G1915" s="35">
        <f t="shared" si="27"/>
        <v>112.5</v>
      </c>
    </row>
    <row r="1916" spans="1:12" x14ac:dyDescent="0.2">
      <c r="A1916" s="364">
        <f t="shared" si="28"/>
        <v>10</v>
      </c>
      <c r="B1916" s="74"/>
      <c r="C1916" s="371" t="s">
        <v>1930</v>
      </c>
      <c r="D1916" s="366" t="s">
        <v>2488</v>
      </c>
      <c r="E1916" s="77">
        <v>1</v>
      </c>
      <c r="F1916" s="267">
        <v>25</v>
      </c>
      <c r="G1916" s="35">
        <f t="shared" si="27"/>
        <v>25</v>
      </c>
    </row>
    <row r="1917" spans="1:12" x14ac:dyDescent="0.2">
      <c r="A1917" s="364">
        <f t="shared" si="28"/>
        <v>11</v>
      </c>
      <c r="B1917" s="74"/>
      <c r="C1917" s="371" t="s">
        <v>177</v>
      </c>
      <c r="D1917" s="454" t="s">
        <v>2489</v>
      </c>
      <c r="E1917" s="84">
        <v>1</v>
      </c>
      <c r="F1917" s="70">
        <v>68.5</v>
      </c>
      <c r="G1917" s="35">
        <f t="shared" si="27"/>
        <v>68.5</v>
      </c>
    </row>
    <row r="1918" spans="1:12" x14ac:dyDescent="0.2">
      <c r="A1918" s="364">
        <f t="shared" si="28"/>
        <v>12</v>
      </c>
      <c r="B1918" s="74"/>
      <c r="C1918" s="371" t="s">
        <v>177</v>
      </c>
      <c r="D1918" s="454" t="s">
        <v>2490</v>
      </c>
      <c r="E1918" s="84">
        <v>1</v>
      </c>
      <c r="F1918" s="70">
        <v>68.5</v>
      </c>
      <c r="G1918" s="35">
        <f t="shared" si="27"/>
        <v>68.5</v>
      </c>
    </row>
    <row r="1919" spans="1:12" x14ac:dyDescent="0.2">
      <c r="A1919" s="364">
        <f t="shared" si="28"/>
        <v>13</v>
      </c>
      <c r="B1919" s="75"/>
      <c r="C1919" s="371" t="s">
        <v>832</v>
      </c>
      <c r="D1919" s="454" t="s">
        <v>2491</v>
      </c>
      <c r="E1919" s="84">
        <v>1</v>
      </c>
      <c r="F1919" s="88">
        <v>61</v>
      </c>
      <c r="G1919" s="35">
        <f t="shared" si="27"/>
        <v>61</v>
      </c>
    </row>
    <row r="1920" spans="1:12" x14ac:dyDescent="0.2">
      <c r="A1920" s="364">
        <f t="shared" si="28"/>
        <v>14</v>
      </c>
      <c r="B1920" s="75"/>
      <c r="C1920" s="371" t="s">
        <v>1923</v>
      </c>
      <c r="D1920" s="454" t="s">
        <v>2492</v>
      </c>
      <c r="E1920" s="84">
        <v>0.11</v>
      </c>
      <c r="F1920" s="89">
        <v>173</v>
      </c>
      <c r="G1920" s="35">
        <f t="shared" si="27"/>
        <v>19.03</v>
      </c>
    </row>
    <row r="1921" spans="1:7" x14ac:dyDescent="0.2">
      <c r="A1921" s="364">
        <f t="shared" si="28"/>
        <v>15</v>
      </c>
      <c r="B1921" s="75"/>
      <c r="C1921" s="371" t="s">
        <v>1923</v>
      </c>
      <c r="D1921" s="454" t="s">
        <v>2493</v>
      </c>
      <c r="E1921" s="77">
        <v>0.51</v>
      </c>
      <c r="F1921" s="267">
        <v>135</v>
      </c>
      <c r="G1921" s="35">
        <f t="shared" si="27"/>
        <v>68.849999999999994</v>
      </c>
    </row>
    <row r="1922" spans="1:7" x14ac:dyDescent="0.2">
      <c r="A1922" s="364">
        <f t="shared" si="28"/>
        <v>16</v>
      </c>
      <c r="B1922" s="75"/>
      <c r="C1922" s="371" t="s">
        <v>1923</v>
      </c>
      <c r="D1922" s="454" t="s">
        <v>2493</v>
      </c>
      <c r="E1922" s="84">
        <v>0.40500000000000003</v>
      </c>
      <c r="F1922" s="267">
        <v>135</v>
      </c>
      <c r="G1922" s="35">
        <f t="shared" si="27"/>
        <v>54.675000000000004</v>
      </c>
    </row>
    <row r="1923" spans="1:7" x14ac:dyDescent="0.2">
      <c r="A1923" s="364">
        <f t="shared" si="28"/>
        <v>17</v>
      </c>
      <c r="B1923" s="75"/>
      <c r="C1923" s="371" t="s">
        <v>185</v>
      </c>
      <c r="D1923" s="366" t="s">
        <v>2494</v>
      </c>
      <c r="E1923" s="457">
        <v>1</v>
      </c>
      <c r="F1923" s="551">
        <v>72.5</v>
      </c>
      <c r="G1923" s="372">
        <f t="shared" si="27"/>
        <v>72.5</v>
      </c>
    </row>
    <row r="1924" spans="1:7" x14ac:dyDescent="0.2">
      <c r="A1924" s="364">
        <f t="shared" si="28"/>
        <v>18</v>
      </c>
      <c r="B1924" s="75"/>
      <c r="C1924" s="371" t="s">
        <v>1923</v>
      </c>
      <c r="D1924" s="366" t="s">
        <v>2495</v>
      </c>
      <c r="E1924" s="457">
        <v>0.08</v>
      </c>
      <c r="F1924" s="551">
        <v>200</v>
      </c>
      <c r="G1924" s="372">
        <f t="shared" si="27"/>
        <v>16</v>
      </c>
    </row>
    <row r="1925" spans="1:7" x14ac:dyDescent="0.2">
      <c r="A1925" s="364">
        <f t="shared" si="28"/>
        <v>19</v>
      </c>
      <c r="B1925" s="75"/>
      <c r="C1925" s="371" t="s">
        <v>1923</v>
      </c>
      <c r="D1925" s="366" t="s">
        <v>2493</v>
      </c>
      <c r="E1925" s="457">
        <v>0.42499999999999999</v>
      </c>
      <c r="F1925" s="587">
        <v>135</v>
      </c>
      <c r="G1925" s="372">
        <f t="shared" si="27"/>
        <v>57.375</v>
      </c>
    </row>
    <row r="1926" spans="1:7" x14ac:dyDescent="0.2">
      <c r="A1926" s="364">
        <f t="shared" si="28"/>
        <v>20</v>
      </c>
      <c r="B1926" s="75"/>
      <c r="C1926" s="371" t="s">
        <v>1923</v>
      </c>
      <c r="D1926" s="366" t="s">
        <v>2493</v>
      </c>
      <c r="E1926" s="457">
        <v>0.51500000000000001</v>
      </c>
      <c r="F1926" s="587">
        <v>135</v>
      </c>
      <c r="G1926" s="372">
        <f t="shared" si="27"/>
        <v>69.525000000000006</v>
      </c>
    </row>
    <row r="1927" spans="1:7" x14ac:dyDescent="0.2">
      <c r="A1927" s="364">
        <f t="shared" si="28"/>
        <v>21</v>
      </c>
      <c r="B1927" s="75"/>
      <c r="C1927" s="371" t="s">
        <v>1923</v>
      </c>
      <c r="D1927" s="366" t="s">
        <v>2496</v>
      </c>
      <c r="E1927" s="457">
        <v>0.34</v>
      </c>
      <c r="F1927" s="587">
        <v>125</v>
      </c>
      <c r="G1927" s="372">
        <f t="shared" si="27"/>
        <v>42.5</v>
      </c>
    </row>
    <row r="1928" spans="1:7" x14ac:dyDescent="0.2">
      <c r="A1928" s="364">
        <f t="shared" si="28"/>
        <v>22</v>
      </c>
      <c r="B1928" s="75"/>
      <c r="C1928" s="371" t="s">
        <v>1923</v>
      </c>
      <c r="D1928" s="366" t="s">
        <v>2496</v>
      </c>
      <c r="E1928" s="539">
        <v>0.34499999999999997</v>
      </c>
      <c r="F1928" s="587">
        <v>125</v>
      </c>
      <c r="G1928" s="372">
        <f t="shared" si="27"/>
        <v>43.125</v>
      </c>
    </row>
    <row r="1929" spans="1:7" x14ac:dyDescent="0.2">
      <c r="A1929" s="364">
        <f t="shared" si="28"/>
        <v>23</v>
      </c>
      <c r="B1929" s="75"/>
      <c r="C1929" s="371" t="s">
        <v>1923</v>
      </c>
      <c r="D1929" s="366" t="s">
        <v>2496</v>
      </c>
      <c r="E1929" s="539">
        <v>0.34</v>
      </c>
      <c r="F1929" s="587">
        <v>125</v>
      </c>
      <c r="G1929" s="372">
        <f t="shared" si="27"/>
        <v>42.5</v>
      </c>
    </row>
    <row r="1930" spans="1:7" x14ac:dyDescent="0.2">
      <c r="A1930" s="364">
        <f t="shared" si="28"/>
        <v>24</v>
      </c>
      <c r="B1930" s="75"/>
      <c r="C1930" s="371" t="s">
        <v>1923</v>
      </c>
      <c r="D1930" s="454" t="s">
        <v>2497</v>
      </c>
      <c r="E1930" s="539">
        <v>0.52500000000000002</v>
      </c>
      <c r="F1930" s="587">
        <v>159</v>
      </c>
      <c r="G1930" s="372">
        <f t="shared" si="27"/>
        <v>83.475000000000009</v>
      </c>
    </row>
    <row r="1931" spans="1:7" x14ac:dyDescent="0.2">
      <c r="A1931" s="364">
        <f t="shared" si="28"/>
        <v>25</v>
      </c>
      <c r="B1931" s="75"/>
      <c r="C1931" s="371" t="s">
        <v>1923</v>
      </c>
      <c r="D1931" s="454" t="s">
        <v>2497</v>
      </c>
      <c r="E1931" s="84">
        <v>0.495</v>
      </c>
      <c r="F1931" s="163">
        <v>159</v>
      </c>
      <c r="G1931" s="372">
        <f t="shared" si="27"/>
        <v>78.704999999999998</v>
      </c>
    </row>
    <row r="1932" spans="1:7" x14ac:dyDescent="0.2">
      <c r="A1932" s="364">
        <f t="shared" si="28"/>
        <v>26</v>
      </c>
      <c r="B1932" s="75"/>
      <c r="C1932" s="371" t="s">
        <v>1923</v>
      </c>
      <c r="D1932" s="454" t="s">
        <v>2497</v>
      </c>
      <c r="E1932" s="84">
        <v>0.42499999999999999</v>
      </c>
      <c r="F1932" s="163">
        <v>159</v>
      </c>
      <c r="G1932" s="372">
        <f t="shared" si="27"/>
        <v>67.575000000000003</v>
      </c>
    </row>
    <row r="1933" spans="1:7" x14ac:dyDescent="0.2">
      <c r="A1933" s="364">
        <f t="shared" si="28"/>
        <v>27</v>
      </c>
      <c r="B1933" s="75"/>
      <c r="C1933" s="371" t="s">
        <v>1923</v>
      </c>
      <c r="D1933" s="454" t="s">
        <v>2498</v>
      </c>
      <c r="E1933" s="84">
        <v>0.28499999999999998</v>
      </c>
      <c r="F1933" s="163">
        <v>236</v>
      </c>
      <c r="G1933" s="372">
        <f t="shared" si="27"/>
        <v>67.259999999999991</v>
      </c>
    </row>
    <row r="1934" spans="1:7" x14ac:dyDescent="0.2">
      <c r="A1934" s="364">
        <f t="shared" si="28"/>
        <v>28</v>
      </c>
      <c r="B1934" s="75"/>
      <c r="C1934" s="371" t="s">
        <v>1923</v>
      </c>
      <c r="D1934" s="454" t="s">
        <v>2498</v>
      </c>
      <c r="E1934" s="84">
        <v>0.255</v>
      </c>
      <c r="F1934" s="163">
        <v>236</v>
      </c>
      <c r="G1934" s="372">
        <f t="shared" si="27"/>
        <v>60.18</v>
      </c>
    </row>
    <row r="1935" spans="1:7" x14ac:dyDescent="0.2">
      <c r="A1935" s="364">
        <f t="shared" si="28"/>
        <v>29</v>
      </c>
      <c r="B1935" s="75"/>
      <c r="C1935" s="371" t="s">
        <v>1923</v>
      </c>
      <c r="D1935" s="454" t="s">
        <v>2498</v>
      </c>
      <c r="E1935" s="84">
        <v>0.26</v>
      </c>
      <c r="F1935" s="163">
        <v>236</v>
      </c>
      <c r="G1935" s="372">
        <f t="shared" si="27"/>
        <v>61.36</v>
      </c>
    </row>
    <row r="1936" spans="1:7" x14ac:dyDescent="0.2">
      <c r="A1936" s="364">
        <f t="shared" si="28"/>
        <v>30</v>
      </c>
      <c r="B1936" s="75"/>
      <c r="C1936" s="371" t="s">
        <v>1923</v>
      </c>
      <c r="D1936" s="454" t="s">
        <v>2496</v>
      </c>
      <c r="E1936" s="84">
        <v>0.34499999999999997</v>
      </c>
      <c r="F1936" s="163">
        <v>183</v>
      </c>
      <c r="G1936" s="372">
        <f t="shared" si="27"/>
        <v>63.134999999999998</v>
      </c>
    </row>
    <row r="1937" spans="1:12" x14ac:dyDescent="0.2">
      <c r="A1937" s="364">
        <f t="shared" si="28"/>
        <v>31</v>
      </c>
      <c r="B1937" s="75"/>
      <c r="C1937" s="371" t="s">
        <v>1923</v>
      </c>
      <c r="D1937" s="454" t="s">
        <v>2499</v>
      </c>
      <c r="E1937" s="84">
        <v>0.85</v>
      </c>
      <c r="F1937" s="163">
        <v>62</v>
      </c>
      <c r="G1937" s="372">
        <f t="shared" si="27"/>
        <v>52.699999999999996</v>
      </c>
      <c r="H1937" s="212">
        <f>SUM(G1907:G1937)</f>
        <v>2907.8199999999997</v>
      </c>
      <c r="I1937" s="212"/>
      <c r="J1937" s="212"/>
    </row>
    <row r="1938" spans="1:12" x14ac:dyDescent="0.2">
      <c r="A1938" s="364">
        <f t="shared" si="28"/>
        <v>32</v>
      </c>
      <c r="B1938" s="75"/>
      <c r="C1938" s="371" t="s">
        <v>1923</v>
      </c>
      <c r="D1938" s="454" t="s">
        <v>2499</v>
      </c>
      <c r="E1938" s="84">
        <v>1.165</v>
      </c>
      <c r="F1938" s="172">
        <v>62</v>
      </c>
      <c r="G1938" s="372">
        <f t="shared" si="27"/>
        <v>72.23</v>
      </c>
      <c r="H1938" s="164">
        <f>H1937+G1938</f>
        <v>2980.0499999999997</v>
      </c>
      <c r="I1938" s="164"/>
      <c r="J1938" s="164"/>
      <c r="K1938" s="164">
        <f>3393.84-H1938</f>
        <v>413.79000000000042</v>
      </c>
      <c r="L1938" s="164">
        <f>K1938-345</f>
        <v>68.790000000000418</v>
      </c>
    </row>
    <row r="1939" spans="1:12" x14ac:dyDescent="0.2">
      <c r="A1939" s="29"/>
      <c r="B1939" s="75"/>
      <c r="C1939" s="41"/>
      <c r="D1939" s="187"/>
      <c r="E1939" s="84"/>
      <c r="F1939" s="173"/>
      <c r="G1939" s="372"/>
    </row>
    <row r="1940" spans="1:12" x14ac:dyDescent="0.2">
      <c r="A1940" s="29" t="s">
        <v>8</v>
      </c>
      <c r="B1940" s="75"/>
      <c r="C1940" s="41"/>
      <c r="D1940" s="187"/>
      <c r="E1940" s="84"/>
      <c r="F1940" s="173"/>
      <c r="G1940" s="372"/>
    </row>
    <row r="1941" spans="1:12" ht="13.5" thickBot="1" x14ac:dyDescent="0.25">
      <c r="A1941" s="45"/>
      <c r="B1941" s="188"/>
      <c r="C1941" s="47" t="s">
        <v>8</v>
      </c>
      <c r="D1941" s="66" t="s">
        <v>8</v>
      </c>
      <c r="E1941" s="188"/>
      <c r="F1941" s="49" t="s">
        <v>158</v>
      </c>
      <c r="G1941" s="50">
        <f>SUM(G1907:G1940)</f>
        <v>2980.0499999999997</v>
      </c>
    </row>
    <row r="1942" spans="1:12" ht="13.5" thickTop="1" x14ac:dyDescent="0.2">
      <c r="A1942" s="963" t="s">
        <v>2349</v>
      </c>
      <c r="B1942" s="964"/>
      <c r="C1942" s="964"/>
      <c r="D1942" s="964"/>
      <c r="E1942" s="964"/>
      <c r="F1942" s="964"/>
      <c r="G1942" s="965"/>
    </row>
    <row r="1943" spans="1:12" ht="13.5" thickBot="1" x14ac:dyDescent="0.25">
      <c r="A1943" s="378"/>
      <c r="B1943" s="374"/>
      <c r="C1943" s="374" t="s">
        <v>8</v>
      </c>
      <c r="D1943" s="379"/>
      <c r="E1943" s="374"/>
      <c r="F1943" s="380"/>
      <c r="G1943" s="381"/>
    </row>
    <row r="1944" spans="1:12" ht="13.5" thickTop="1" x14ac:dyDescent="0.2">
      <c r="A1944" s="906" t="s">
        <v>8</v>
      </c>
      <c r="B1944" s="907"/>
      <c r="C1944" s="907"/>
      <c r="D1944" s="57" t="s">
        <v>11</v>
      </c>
      <c r="E1944" s="908" t="s">
        <v>12</v>
      </c>
      <c r="F1944" s="908"/>
      <c r="G1944" s="909"/>
    </row>
    <row r="1945" spans="1:12" x14ac:dyDescent="0.2">
      <c r="A1945" s="966" t="s">
        <v>17</v>
      </c>
      <c r="B1945" s="967"/>
      <c r="C1945" s="968"/>
      <c r="D1945" s="39"/>
      <c r="E1945" s="912"/>
      <c r="F1945" s="913"/>
      <c r="G1945" s="914"/>
    </row>
    <row r="1946" spans="1:12" x14ac:dyDescent="0.2">
      <c r="A1946" s="966" t="s">
        <v>38</v>
      </c>
      <c r="B1946" s="967"/>
      <c r="C1946" s="968"/>
      <c r="D1946" s="58" t="s">
        <v>308</v>
      </c>
      <c r="E1946" s="969" t="s">
        <v>142</v>
      </c>
      <c r="F1946" s="868"/>
      <c r="G1946" s="869"/>
    </row>
    <row r="1947" spans="1:12" ht="13.5" thickBot="1" x14ac:dyDescent="0.25">
      <c r="A1947" s="970" t="s">
        <v>39</v>
      </c>
      <c r="B1947" s="971"/>
      <c r="C1947" s="972"/>
      <c r="D1947" s="375" t="s">
        <v>1038</v>
      </c>
      <c r="E1947" s="904" t="s">
        <v>0</v>
      </c>
      <c r="F1947" s="904"/>
      <c r="G1947" s="905"/>
    </row>
    <row r="1948" spans="1:12" ht="16.5" x14ac:dyDescent="0.25">
      <c r="A1948" s="885" t="s">
        <v>29</v>
      </c>
      <c r="B1948" s="886"/>
      <c r="C1948" s="886"/>
      <c r="D1948" s="886"/>
      <c r="E1948" s="886"/>
      <c r="F1948" s="886"/>
      <c r="G1948" s="887"/>
    </row>
    <row r="1949" spans="1:12" x14ac:dyDescent="0.2">
      <c r="A1949" s="888" t="s">
        <v>48</v>
      </c>
      <c r="B1949" s="889"/>
      <c r="C1949" s="889"/>
      <c r="D1949" s="889"/>
      <c r="E1949" s="889"/>
      <c r="F1949" s="889"/>
      <c r="G1949" s="890"/>
    </row>
    <row r="1950" spans="1:12" x14ac:dyDescent="0.2">
      <c r="A1950" s="915" t="s">
        <v>49</v>
      </c>
      <c r="B1950" s="916"/>
      <c r="C1950" s="916"/>
      <c r="D1950" s="916"/>
      <c r="E1950" s="916"/>
      <c r="F1950" s="916"/>
      <c r="G1950" s="917"/>
    </row>
    <row r="1951" spans="1:12" x14ac:dyDescent="0.2">
      <c r="A1951" s="6"/>
      <c r="B1951" s="178"/>
      <c r="C1951" s="8"/>
      <c r="D1951" s="9"/>
      <c r="E1951" s="99"/>
      <c r="F1951" s="10"/>
      <c r="G1951" s="11" t="s">
        <v>8</v>
      </c>
    </row>
    <row r="1952" spans="1:12" x14ac:dyDescent="0.2">
      <c r="A1952" s="12" t="s">
        <v>1</v>
      </c>
      <c r="B1952" s="13"/>
      <c r="C1952" s="14" t="s">
        <v>5</v>
      </c>
      <c r="D1952" s="13"/>
      <c r="E1952" s="362" t="s">
        <v>2441</v>
      </c>
      <c r="F1952" s="60"/>
      <c r="G1952" s="363" t="s">
        <v>2466</v>
      </c>
    </row>
    <row r="1953" spans="1:11" x14ac:dyDescent="0.2">
      <c r="A1953" s="17" t="s">
        <v>8</v>
      </c>
      <c r="B1953" s="179"/>
      <c r="C1953" s="19"/>
      <c r="D1953" s="4"/>
      <c r="E1953" s="918"/>
      <c r="F1953" s="919"/>
      <c r="G1953" s="20"/>
    </row>
    <row r="1954" spans="1:11" x14ac:dyDescent="0.2">
      <c r="A1954" s="21" t="s">
        <v>37</v>
      </c>
      <c r="B1954" s="22"/>
      <c r="C1954" s="22"/>
      <c r="D1954" s="22"/>
      <c r="E1954" s="23" t="s">
        <v>46</v>
      </c>
      <c r="F1954" s="24"/>
      <c r="G1954" s="20" t="s">
        <v>50</v>
      </c>
    </row>
    <row r="1955" spans="1:11" x14ac:dyDescent="0.2">
      <c r="A1955" s="6"/>
      <c r="B1955" s="178"/>
      <c r="C1955" s="8"/>
      <c r="D1955" s="8"/>
      <c r="E1955" s="920"/>
      <c r="F1955" s="921"/>
      <c r="G1955" s="25"/>
    </row>
    <row r="1956" spans="1:11" ht="26.25" thickBot="1" x14ac:dyDescent="0.25">
      <c r="A1956" s="26" t="s">
        <v>47</v>
      </c>
      <c r="B1956" s="180" t="s">
        <v>23</v>
      </c>
      <c r="C1956" s="28" t="s">
        <v>34</v>
      </c>
      <c r="D1956" s="110" t="s">
        <v>53</v>
      </c>
      <c r="E1956" s="181" t="s">
        <v>54</v>
      </c>
      <c r="F1956" s="111" t="s">
        <v>55</v>
      </c>
      <c r="G1956" s="112" t="s">
        <v>35</v>
      </c>
    </row>
    <row r="1957" spans="1:11" ht="13.5" thickTop="1" x14ac:dyDescent="0.2">
      <c r="A1957" s="364" t="s">
        <v>8</v>
      </c>
      <c r="B1957" s="75"/>
      <c r="C1957" s="365"/>
      <c r="D1957" s="455" t="s">
        <v>160</v>
      </c>
      <c r="E1957" s="77"/>
      <c r="F1957" s="267"/>
      <c r="G1957" s="200">
        <f>G1941</f>
        <v>2980.0499999999997</v>
      </c>
    </row>
    <row r="1958" spans="1:11" x14ac:dyDescent="0.2">
      <c r="A1958" s="364">
        <v>33</v>
      </c>
      <c r="B1958" s="75"/>
      <c r="C1958" s="371" t="s">
        <v>1923</v>
      </c>
      <c r="D1958" s="366" t="s">
        <v>2500</v>
      </c>
      <c r="E1958" s="77">
        <v>2</v>
      </c>
      <c r="F1958" s="267">
        <v>240</v>
      </c>
      <c r="G1958" s="35">
        <f t="shared" ref="G1958:G1963" si="29">F1958*E1958</f>
        <v>480</v>
      </c>
    </row>
    <row r="1959" spans="1:11" x14ac:dyDescent="0.2">
      <c r="A1959" s="364">
        <f t="shared" ref="A1959:A1963" si="30">A1958+1</f>
        <v>34</v>
      </c>
      <c r="B1959" s="75"/>
      <c r="C1959" s="371" t="s">
        <v>1931</v>
      </c>
      <c r="D1959" s="458" t="s">
        <v>2125</v>
      </c>
      <c r="E1959" s="77">
        <v>15</v>
      </c>
      <c r="F1959" s="267">
        <v>20</v>
      </c>
      <c r="G1959" s="35">
        <f t="shared" si="29"/>
        <v>300</v>
      </c>
    </row>
    <row r="1960" spans="1:11" x14ac:dyDescent="0.2">
      <c r="A1960" s="364">
        <f t="shared" si="30"/>
        <v>35</v>
      </c>
      <c r="B1960" s="75"/>
      <c r="C1960" s="371" t="s">
        <v>1923</v>
      </c>
      <c r="D1960" s="366" t="s">
        <v>1940</v>
      </c>
      <c r="E1960" s="77">
        <v>0.5</v>
      </c>
      <c r="F1960" s="211">
        <v>26</v>
      </c>
      <c r="G1960" s="35">
        <f t="shared" si="29"/>
        <v>13</v>
      </c>
      <c r="K1960" s="2">
        <f>13/0.5</f>
        <v>26</v>
      </c>
    </row>
    <row r="1961" spans="1:11" x14ac:dyDescent="0.2">
      <c r="A1961" s="364">
        <f t="shared" si="30"/>
        <v>36</v>
      </c>
      <c r="B1961" s="75"/>
      <c r="C1961" s="371" t="s">
        <v>1923</v>
      </c>
      <c r="D1961" s="366" t="s">
        <v>1974</v>
      </c>
      <c r="E1961" s="77">
        <v>0.75</v>
      </c>
      <c r="F1961" s="267">
        <v>96</v>
      </c>
      <c r="G1961" s="35">
        <f t="shared" si="29"/>
        <v>72</v>
      </c>
      <c r="H1961" s="164">
        <f>G1959+G1960+G1961</f>
        <v>385</v>
      </c>
      <c r="I1961" s="164"/>
      <c r="J1961" s="164"/>
      <c r="K1961" s="2">
        <f>72/0.75</f>
        <v>96</v>
      </c>
    </row>
    <row r="1962" spans="1:11" x14ac:dyDescent="0.2">
      <c r="A1962" s="364">
        <f t="shared" si="30"/>
        <v>37</v>
      </c>
      <c r="B1962" s="75"/>
      <c r="C1962" s="371" t="s">
        <v>153</v>
      </c>
      <c r="D1962" s="366" t="s">
        <v>2501</v>
      </c>
      <c r="E1962" s="77">
        <v>5</v>
      </c>
      <c r="F1962" s="267">
        <v>15</v>
      </c>
      <c r="G1962" s="35">
        <f t="shared" si="29"/>
        <v>75</v>
      </c>
      <c r="K1962" s="2">
        <f>75/5</f>
        <v>15</v>
      </c>
    </row>
    <row r="1963" spans="1:11" x14ac:dyDescent="0.2">
      <c r="A1963" s="364">
        <f t="shared" si="30"/>
        <v>38</v>
      </c>
      <c r="B1963" s="75"/>
      <c r="C1963" s="371" t="s">
        <v>185</v>
      </c>
      <c r="D1963" s="366" t="s">
        <v>2137</v>
      </c>
      <c r="E1963" s="77">
        <v>1</v>
      </c>
      <c r="F1963" s="267">
        <v>130</v>
      </c>
      <c r="G1963" s="35">
        <f t="shared" si="29"/>
        <v>130</v>
      </c>
    </row>
    <row r="1964" spans="1:11" x14ac:dyDescent="0.2">
      <c r="A1964" s="364"/>
      <c r="B1964" s="75"/>
      <c r="C1964" s="371"/>
      <c r="D1964" s="366"/>
      <c r="E1964" s="77"/>
      <c r="F1964" s="267"/>
      <c r="G1964" s="35"/>
    </row>
    <row r="1965" spans="1:11" x14ac:dyDescent="0.2">
      <c r="A1965" s="364"/>
      <c r="B1965" s="186"/>
      <c r="C1965" s="371"/>
      <c r="D1965" s="366"/>
      <c r="E1965" s="77"/>
      <c r="F1965" s="267"/>
      <c r="G1965" s="35"/>
    </row>
    <row r="1966" spans="1:11" x14ac:dyDescent="0.2">
      <c r="A1966" s="364"/>
      <c r="B1966" s="74"/>
      <c r="C1966" s="371"/>
      <c r="D1966" s="366"/>
      <c r="E1966" s="77"/>
      <c r="F1966" s="267"/>
      <c r="G1966" s="35"/>
    </row>
    <row r="1967" spans="1:11" x14ac:dyDescent="0.2">
      <c r="A1967" s="364"/>
      <c r="B1967" s="74"/>
      <c r="C1967" s="371"/>
      <c r="D1967" s="454"/>
      <c r="E1967" s="84"/>
      <c r="F1967" s="70"/>
      <c r="G1967" s="35"/>
    </row>
    <row r="1968" spans="1:11" x14ac:dyDescent="0.2">
      <c r="A1968" s="364"/>
      <c r="B1968" s="74"/>
      <c r="C1968" s="371"/>
      <c r="D1968" s="454"/>
      <c r="E1968" s="84"/>
      <c r="F1968" s="70"/>
      <c r="G1968" s="35"/>
    </row>
    <row r="1969" spans="1:13" x14ac:dyDescent="0.2">
      <c r="A1969" s="364"/>
      <c r="B1969" s="75"/>
      <c r="C1969" s="371"/>
      <c r="D1969" s="454"/>
      <c r="E1969" s="84"/>
      <c r="F1969" s="88"/>
      <c r="G1969" s="35"/>
    </row>
    <row r="1970" spans="1:13" x14ac:dyDescent="0.2">
      <c r="A1970" s="364"/>
      <c r="B1970" s="75"/>
      <c r="C1970" s="371"/>
      <c r="D1970" s="454"/>
      <c r="E1970" s="84"/>
      <c r="F1970" s="89"/>
      <c r="G1970" s="35"/>
    </row>
    <row r="1971" spans="1:13" x14ac:dyDescent="0.2">
      <c r="A1971" s="364"/>
      <c r="B1971" s="75"/>
      <c r="C1971" s="371"/>
      <c r="D1971" s="454"/>
      <c r="E1971" s="77"/>
      <c r="F1971" s="267"/>
      <c r="G1971" s="35"/>
    </row>
    <row r="1972" spans="1:13" x14ac:dyDescent="0.2">
      <c r="A1972" s="364"/>
      <c r="B1972" s="75"/>
      <c r="C1972" s="371"/>
      <c r="D1972" s="454"/>
      <c r="E1972" s="84"/>
      <c r="F1972" s="267"/>
      <c r="G1972" s="35"/>
    </row>
    <row r="1973" spans="1:13" x14ac:dyDescent="0.2">
      <c r="A1973" s="364"/>
      <c r="B1973" s="75"/>
      <c r="C1973" s="371"/>
      <c r="D1973" s="366"/>
      <c r="E1973" s="457"/>
      <c r="F1973" s="551"/>
      <c r="G1973" s="372"/>
    </row>
    <row r="1974" spans="1:13" x14ac:dyDescent="0.2">
      <c r="A1974" s="364"/>
      <c r="B1974" s="75"/>
      <c r="C1974" s="371"/>
      <c r="D1974" s="366"/>
      <c r="E1974" s="457"/>
      <c r="F1974" s="551"/>
      <c r="G1974" s="372"/>
    </row>
    <row r="1975" spans="1:13" x14ac:dyDescent="0.2">
      <c r="A1975" s="364"/>
      <c r="B1975" s="75"/>
      <c r="C1975" s="371"/>
      <c r="D1975" s="366"/>
      <c r="E1975" s="457"/>
      <c r="F1975" s="587"/>
      <c r="G1975" s="372"/>
      <c r="M1975" s="211">
        <v>3393.84</v>
      </c>
    </row>
    <row r="1976" spans="1:13" x14ac:dyDescent="0.2">
      <c r="A1976" s="364"/>
      <c r="B1976" s="75"/>
      <c r="C1976" s="371"/>
      <c r="D1976" s="366"/>
      <c r="E1976" s="457"/>
      <c r="F1976" s="587"/>
      <c r="G1976" s="372"/>
      <c r="M1976" s="211">
        <v>480</v>
      </c>
    </row>
    <row r="1977" spans="1:13" x14ac:dyDescent="0.2">
      <c r="A1977" s="364"/>
      <c r="B1977" s="75"/>
      <c r="C1977" s="371"/>
      <c r="D1977" s="366"/>
      <c r="E1977" s="457"/>
      <c r="F1977" s="587"/>
      <c r="G1977" s="372"/>
      <c r="M1977" s="211">
        <v>385</v>
      </c>
    </row>
    <row r="1978" spans="1:13" x14ac:dyDescent="0.2">
      <c r="A1978" s="364"/>
      <c r="B1978" s="75"/>
      <c r="C1978" s="371"/>
      <c r="D1978" s="366"/>
      <c r="E1978" s="539"/>
      <c r="F1978" s="587"/>
      <c r="G1978" s="372"/>
      <c r="M1978" s="437">
        <v>75</v>
      </c>
    </row>
    <row r="1979" spans="1:13" x14ac:dyDescent="0.2">
      <c r="A1979" s="364"/>
      <c r="B1979" s="75"/>
      <c r="C1979" s="371"/>
      <c r="D1979" s="366"/>
      <c r="E1979" s="539"/>
      <c r="F1979" s="587"/>
      <c r="G1979" s="372"/>
      <c r="M1979" s="437">
        <v>130</v>
      </c>
    </row>
    <row r="1980" spans="1:13" x14ac:dyDescent="0.2">
      <c r="A1980" s="364"/>
      <c r="B1980" s="75"/>
      <c r="C1980" s="371"/>
      <c r="D1980" s="454"/>
      <c r="E1980" s="539"/>
      <c r="F1980" s="587"/>
      <c r="G1980" s="372"/>
    </row>
    <row r="1981" spans="1:13" x14ac:dyDescent="0.2">
      <c r="A1981" s="364"/>
      <c r="B1981" s="75"/>
      <c r="C1981" s="41"/>
      <c r="D1981" s="454"/>
      <c r="E1981" s="84"/>
      <c r="F1981" s="163"/>
      <c r="G1981" s="372"/>
      <c r="M1981" s="212">
        <f>SUM(M1975:M1980)</f>
        <v>4463.84</v>
      </c>
    </row>
    <row r="1982" spans="1:13" x14ac:dyDescent="0.2">
      <c r="A1982" s="364"/>
      <c r="B1982" s="75"/>
      <c r="C1982" s="41"/>
      <c r="D1982" s="454"/>
      <c r="E1982" s="84"/>
      <c r="F1982" s="163"/>
      <c r="G1982" s="372"/>
    </row>
    <row r="1983" spans="1:13" x14ac:dyDescent="0.2">
      <c r="A1983" s="364"/>
      <c r="B1983" s="75"/>
      <c r="C1983" s="41"/>
      <c r="D1983" s="454"/>
      <c r="E1983" s="84"/>
      <c r="F1983" s="163"/>
      <c r="G1983" s="372"/>
    </row>
    <row r="1984" spans="1:13" x14ac:dyDescent="0.2">
      <c r="A1984" s="364"/>
      <c r="B1984" s="75"/>
      <c r="C1984" s="41"/>
      <c r="D1984" s="454"/>
      <c r="E1984" s="84"/>
      <c r="F1984" s="163"/>
      <c r="G1984" s="372"/>
    </row>
    <row r="1985" spans="1:7" x14ac:dyDescent="0.2">
      <c r="A1985" s="364"/>
      <c r="B1985" s="75"/>
      <c r="C1985" s="41"/>
      <c r="D1985" s="454"/>
      <c r="E1985" s="84"/>
      <c r="F1985" s="163"/>
      <c r="G1985" s="372"/>
    </row>
    <row r="1986" spans="1:7" x14ac:dyDescent="0.2">
      <c r="A1986" s="364"/>
      <c r="B1986" s="75"/>
      <c r="C1986" s="41"/>
      <c r="D1986" s="454"/>
      <c r="E1986" s="84"/>
      <c r="F1986" s="163"/>
      <c r="G1986" s="372"/>
    </row>
    <row r="1987" spans="1:7" x14ac:dyDescent="0.2">
      <c r="A1987" s="364"/>
      <c r="B1987" s="75"/>
      <c r="C1987" s="41"/>
      <c r="D1987" s="454"/>
      <c r="E1987" s="84"/>
      <c r="F1987" s="163"/>
      <c r="G1987" s="372"/>
    </row>
    <row r="1988" spans="1:7" x14ac:dyDescent="0.2">
      <c r="A1988" s="364"/>
      <c r="B1988" s="75"/>
      <c r="C1988" s="41"/>
      <c r="D1988" s="454"/>
      <c r="E1988" s="84"/>
      <c r="F1988" s="172"/>
      <c r="G1988" s="372"/>
    </row>
    <row r="1989" spans="1:7" x14ac:dyDescent="0.2">
      <c r="A1989" s="29"/>
      <c r="B1989" s="75"/>
      <c r="C1989" s="41"/>
      <c r="D1989" s="187"/>
      <c r="E1989" s="84"/>
      <c r="F1989" s="173"/>
      <c r="G1989" s="372"/>
    </row>
    <row r="1990" spans="1:7" x14ac:dyDescent="0.2">
      <c r="A1990" s="29"/>
      <c r="B1990" s="75"/>
      <c r="C1990" s="41"/>
      <c r="D1990" s="187"/>
      <c r="E1990" s="84"/>
      <c r="F1990" s="173"/>
      <c r="G1990" s="372"/>
    </row>
    <row r="1991" spans="1:7" ht="13.5" thickBot="1" x14ac:dyDescent="0.25">
      <c r="A1991" s="45"/>
      <c r="B1991" s="188"/>
      <c r="C1991" s="47" t="s">
        <v>8</v>
      </c>
      <c r="D1991" s="66" t="s">
        <v>8</v>
      </c>
      <c r="E1991" s="188"/>
      <c r="F1991" s="49" t="s">
        <v>15</v>
      </c>
      <c r="G1991" s="50">
        <f>SUM(G1957:G1990)</f>
        <v>4050.0499999999997</v>
      </c>
    </row>
    <row r="1992" spans="1:7" ht="13.5" thickTop="1" x14ac:dyDescent="0.2">
      <c r="A1992" s="963" t="s">
        <v>2349</v>
      </c>
      <c r="B1992" s="964"/>
      <c r="C1992" s="964"/>
      <c r="D1992" s="964"/>
      <c r="E1992" s="964"/>
      <c r="F1992" s="964"/>
      <c r="G1992" s="965"/>
    </row>
    <row r="1993" spans="1:7" ht="13.5" thickBot="1" x14ac:dyDescent="0.25">
      <c r="A1993" s="378"/>
      <c r="B1993" s="374"/>
      <c r="C1993" s="374" t="s">
        <v>8</v>
      </c>
      <c r="D1993" s="379"/>
      <c r="E1993" s="374"/>
      <c r="F1993" s="380"/>
      <c r="G1993" s="381"/>
    </row>
    <row r="1994" spans="1:7" ht="13.5" thickTop="1" x14ac:dyDescent="0.2">
      <c r="A1994" s="906" t="s">
        <v>8</v>
      </c>
      <c r="B1994" s="907"/>
      <c r="C1994" s="907"/>
      <c r="D1994" s="57" t="s">
        <v>11</v>
      </c>
      <c r="E1994" s="908" t="s">
        <v>12</v>
      </c>
      <c r="F1994" s="908"/>
      <c r="G1994" s="909"/>
    </row>
    <row r="1995" spans="1:7" x14ac:dyDescent="0.2">
      <c r="A1995" s="966" t="s">
        <v>17</v>
      </c>
      <c r="B1995" s="967"/>
      <c r="C1995" s="968"/>
      <c r="D1995" s="39"/>
      <c r="E1995" s="912"/>
      <c r="F1995" s="913"/>
      <c r="G1995" s="914"/>
    </row>
    <row r="1996" spans="1:7" x14ac:dyDescent="0.2">
      <c r="A1996" s="966" t="s">
        <v>38</v>
      </c>
      <c r="B1996" s="967"/>
      <c r="C1996" s="968"/>
      <c r="D1996" s="58" t="s">
        <v>308</v>
      </c>
      <c r="E1996" s="969" t="s">
        <v>142</v>
      </c>
      <c r="F1996" s="868"/>
      <c r="G1996" s="869"/>
    </row>
    <row r="1997" spans="1:7" ht="13.5" thickBot="1" x14ac:dyDescent="0.25">
      <c r="A1997" s="970" t="s">
        <v>39</v>
      </c>
      <c r="B1997" s="971"/>
      <c r="C1997" s="972"/>
      <c r="D1997" s="375" t="s">
        <v>1038</v>
      </c>
      <c r="E1997" s="904" t="s">
        <v>0</v>
      </c>
      <c r="F1997" s="904"/>
      <c r="G1997" s="905"/>
    </row>
    <row r="1998" spans="1:7" ht="16.5" x14ac:dyDescent="0.25">
      <c r="A1998" s="885" t="s">
        <v>29</v>
      </c>
      <c r="B1998" s="886"/>
      <c r="C1998" s="886"/>
      <c r="D1998" s="886"/>
      <c r="E1998" s="886"/>
      <c r="F1998" s="886"/>
      <c r="G1998" s="887"/>
    </row>
    <row r="1999" spans="1:7" x14ac:dyDescent="0.2">
      <c r="A1999" s="888" t="s">
        <v>48</v>
      </c>
      <c r="B1999" s="889"/>
      <c r="C1999" s="889"/>
      <c r="D1999" s="889"/>
      <c r="E1999" s="889"/>
      <c r="F1999" s="889"/>
      <c r="G1999" s="890"/>
    </row>
    <row r="2000" spans="1:7" x14ac:dyDescent="0.2">
      <c r="A2000" s="915" t="s">
        <v>49</v>
      </c>
      <c r="B2000" s="916"/>
      <c r="C2000" s="916"/>
      <c r="D2000" s="916"/>
      <c r="E2000" s="916"/>
      <c r="F2000" s="916"/>
      <c r="G2000" s="917"/>
    </row>
    <row r="2001" spans="1:12" x14ac:dyDescent="0.2">
      <c r="A2001" s="6"/>
      <c r="B2001" s="178"/>
      <c r="C2001" s="8"/>
      <c r="D2001" s="9"/>
      <c r="E2001" s="99"/>
      <c r="F2001" s="10"/>
      <c r="G2001" s="11" t="s">
        <v>8</v>
      </c>
    </row>
    <row r="2002" spans="1:12" x14ac:dyDescent="0.2">
      <c r="A2002" s="12" t="s">
        <v>1</v>
      </c>
      <c r="B2002" s="13"/>
      <c r="C2002" s="14" t="s">
        <v>5</v>
      </c>
      <c r="D2002" s="13"/>
      <c r="E2002" s="362" t="s">
        <v>2524</v>
      </c>
      <c r="F2002" s="60"/>
      <c r="G2002" s="363" t="s">
        <v>2466</v>
      </c>
    </row>
    <row r="2003" spans="1:12" x14ac:dyDescent="0.2">
      <c r="A2003" s="17" t="s">
        <v>8</v>
      </c>
      <c r="B2003" s="179"/>
      <c r="C2003" s="19"/>
      <c r="D2003" s="4"/>
      <c r="E2003" s="918"/>
      <c r="F2003" s="919"/>
      <c r="G2003" s="20"/>
    </row>
    <row r="2004" spans="1:12" x14ac:dyDescent="0.2">
      <c r="A2004" s="21" t="s">
        <v>37</v>
      </c>
      <c r="B2004" s="22"/>
      <c r="C2004" s="22"/>
      <c r="D2004" s="22"/>
      <c r="E2004" s="23" t="s">
        <v>46</v>
      </c>
      <c r="F2004" s="24"/>
      <c r="G2004" s="20" t="s">
        <v>50</v>
      </c>
    </row>
    <row r="2005" spans="1:12" x14ac:dyDescent="0.2">
      <c r="A2005" s="6"/>
      <c r="B2005" s="178"/>
      <c r="C2005" s="8"/>
      <c r="D2005" s="8"/>
      <c r="E2005" s="920"/>
      <c r="F2005" s="921"/>
      <c r="G2005" s="25"/>
    </row>
    <row r="2006" spans="1:12" ht="26.25" thickBot="1" x14ac:dyDescent="0.25">
      <c r="A2006" s="26" t="s">
        <v>47</v>
      </c>
      <c r="B2006" s="180" t="s">
        <v>23</v>
      </c>
      <c r="C2006" s="28" t="s">
        <v>34</v>
      </c>
      <c r="D2006" s="110" t="s">
        <v>53</v>
      </c>
      <c r="E2006" s="181" t="s">
        <v>54</v>
      </c>
      <c r="F2006" s="111" t="s">
        <v>55</v>
      </c>
      <c r="G2006" s="112" t="s">
        <v>35</v>
      </c>
    </row>
    <row r="2007" spans="1:12" ht="13.5" thickTop="1" x14ac:dyDescent="0.2">
      <c r="A2007" s="364">
        <v>1</v>
      </c>
      <c r="B2007" s="75"/>
      <c r="C2007" s="365" t="s">
        <v>149</v>
      </c>
      <c r="D2007" s="366" t="s">
        <v>2423</v>
      </c>
      <c r="E2007" s="457">
        <v>75</v>
      </c>
      <c r="F2007" s="456">
        <v>70</v>
      </c>
      <c r="G2007" s="35">
        <f>F2007*E2007</f>
        <v>5250</v>
      </c>
      <c r="L2007" s="2">
        <f>5250/75</f>
        <v>70</v>
      </c>
    </row>
    <row r="2008" spans="1:12" x14ac:dyDescent="0.2">
      <c r="A2008" s="364">
        <v>2</v>
      </c>
      <c r="B2008" s="75"/>
      <c r="C2008" s="371" t="s">
        <v>149</v>
      </c>
      <c r="D2008" s="366" t="s">
        <v>2507</v>
      </c>
      <c r="E2008" s="77">
        <v>25</v>
      </c>
      <c r="F2008" s="185">
        <v>99</v>
      </c>
      <c r="G2008" s="35">
        <f>F2008*E2008</f>
        <v>2475</v>
      </c>
    </row>
    <row r="2009" spans="1:12" x14ac:dyDescent="0.2">
      <c r="A2009" s="364">
        <v>3</v>
      </c>
      <c r="B2009" s="75"/>
      <c r="C2009" s="371" t="s">
        <v>153</v>
      </c>
      <c r="D2009" s="458" t="s">
        <v>2508</v>
      </c>
      <c r="E2009" s="77">
        <v>24</v>
      </c>
      <c r="F2009" s="185">
        <v>25</v>
      </c>
      <c r="G2009" s="35">
        <f>F2009*E2009</f>
        <v>600</v>
      </c>
    </row>
    <row r="2010" spans="1:12" x14ac:dyDescent="0.2">
      <c r="A2010" s="364"/>
      <c r="B2010" s="75"/>
      <c r="C2010" s="371"/>
      <c r="D2010" s="366"/>
      <c r="E2010" s="77"/>
      <c r="G2010" s="35"/>
    </row>
    <row r="2011" spans="1:12" x14ac:dyDescent="0.2">
      <c r="A2011" s="364"/>
      <c r="B2011" s="75"/>
      <c r="C2011" s="371"/>
      <c r="D2011" s="366"/>
      <c r="E2011" s="77"/>
      <c r="F2011" s="185"/>
      <c r="G2011" s="35"/>
    </row>
    <row r="2012" spans="1:12" x14ac:dyDescent="0.2">
      <c r="A2012" s="364"/>
      <c r="B2012" s="75"/>
      <c r="C2012" s="371"/>
      <c r="D2012" s="366"/>
      <c r="E2012" s="77"/>
      <c r="F2012" s="185"/>
      <c r="G2012" s="35"/>
    </row>
    <row r="2013" spans="1:12" x14ac:dyDescent="0.2">
      <c r="A2013" s="364"/>
      <c r="B2013" s="75"/>
      <c r="C2013" s="371"/>
      <c r="D2013" s="366"/>
      <c r="E2013" s="77"/>
      <c r="F2013" s="185"/>
      <c r="G2013" s="35"/>
    </row>
    <row r="2014" spans="1:12" x14ac:dyDescent="0.2">
      <c r="A2014" s="364"/>
      <c r="B2014" s="75"/>
      <c r="C2014" s="371"/>
      <c r="D2014" s="366"/>
      <c r="E2014" s="77"/>
      <c r="F2014" s="185"/>
      <c r="G2014" s="35"/>
    </row>
    <row r="2015" spans="1:12" x14ac:dyDescent="0.2">
      <c r="A2015" s="364"/>
      <c r="B2015" s="186"/>
      <c r="C2015" s="371"/>
      <c r="D2015" s="366"/>
      <c r="E2015" s="77"/>
      <c r="F2015" s="185"/>
      <c r="G2015" s="35"/>
    </row>
    <row r="2016" spans="1:12" x14ac:dyDescent="0.2">
      <c r="A2016" s="364"/>
      <c r="B2016" s="74"/>
      <c r="C2016" s="371"/>
      <c r="D2016" s="366"/>
      <c r="E2016" s="77"/>
      <c r="F2016" s="185"/>
      <c r="G2016" s="35"/>
    </row>
    <row r="2017" spans="1:7" x14ac:dyDescent="0.2">
      <c r="A2017" s="364"/>
      <c r="B2017" s="74"/>
      <c r="C2017" s="371"/>
      <c r="D2017" s="454"/>
      <c r="E2017" s="84"/>
      <c r="F2017" s="163"/>
      <c r="G2017" s="35"/>
    </row>
    <row r="2018" spans="1:7" x14ac:dyDescent="0.2">
      <c r="A2018" s="364"/>
      <c r="B2018" s="74"/>
      <c r="C2018" s="371"/>
      <c r="D2018" s="454"/>
      <c r="E2018" s="84"/>
      <c r="F2018" s="163"/>
      <c r="G2018" s="35"/>
    </row>
    <row r="2019" spans="1:7" x14ac:dyDescent="0.2">
      <c r="A2019" s="364"/>
      <c r="B2019" s="75"/>
      <c r="C2019" s="371"/>
      <c r="D2019" s="454"/>
      <c r="E2019" s="84"/>
      <c r="F2019" s="172"/>
      <c r="G2019" s="35"/>
    </row>
    <row r="2020" spans="1:7" x14ac:dyDescent="0.2">
      <c r="A2020" s="364"/>
      <c r="B2020" s="75"/>
      <c r="C2020" s="371"/>
      <c r="D2020" s="454"/>
      <c r="E2020" s="84"/>
      <c r="F2020" s="173"/>
      <c r="G2020" s="35"/>
    </row>
    <row r="2021" spans="1:7" x14ac:dyDescent="0.2">
      <c r="A2021" s="364"/>
      <c r="B2021" s="75"/>
      <c r="C2021" s="371"/>
      <c r="D2021" s="454"/>
      <c r="E2021" s="77"/>
      <c r="F2021" s="185"/>
      <c r="G2021" s="35"/>
    </row>
    <row r="2022" spans="1:7" x14ac:dyDescent="0.2">
      <c r="A2022" s="364"/>
      <c r="B2022" s="75"/>
      <c r="C2022" s="371"/>
      <c r="D2022" s="454"/>
      <c r="E2022" s="77"/>
      <c r="F2022" s="185"/>
      <c r="G2022" s="35"/>
    </row>
    <row r="2023" spans="1:7" x14ac:dyDescent="0.2">
      <c r="A2023" s="364"/>
      <c r="B2023" s="75"/>
      <c r="C2023" s="371"/>
      <c r="D2023" s="366"/>
      <c r="E2023" s="77"/>
      <c r="F2023" s="185"/>
      <c r="G2023" s="35"/>
    </row>
    <row r="2024" spans="1:7" x14ac:dyDescent="0.2">
      <c r="A2024" s="364"/>
      <c r="B2024" s="75"/>
      <c r="C2024" s="371"/>
      <c r="D2024" s="366"/>
      <c r="E2024" s="77"/>
      <c r="F2024" s="185"/>
      <c r="G2024" s="35"/>
    </row>
    <row r="2025" spans="1:7" x14ac:dyDescent="0.2">
      <c r="A2025" s="364"/>
      <c r="B2025" s="75"/>
      <c r="C2025" s="371"/>
      <c r="D2025" s="366"/>
      <c r="E2025" s="77"/>
      <c r="F2025" s="185"/>
      <c r="G2025" s="35"/>
    </row>
    <row r="2026" spans="1:7" x14ac:dyDescent="0.2">
      <c r="A2026" s="29"/>
      <c r="B2026" s="75"/>
      <c r="C2026" s="41"/>
      <c r="D2026" s="184"/>
      <c r="E2026" s="84"/>
      <c r="F2026" s="163"/>
      <c r="G2026" s="35"/>
    </row>
    <row r="2027" spans="1:7" x14ac:dyDescent="0.2">
      <c r="A2027" s="29"/>
      <c r="B2027" s="75"/>
      <c r="C2027" s="41"/>
      <c r="D2027" s="184"/>
      <c r="E2027" s="84"/>
      <c r="F2027" s="163"/>
      <c r="G2027" s="35"/>
    </row>
    <row r="2028" spans="1:7" x14ac:dyDescent="0.2">
      <c r="A2028" s="29"/>
      <c r="B2028" s="75"/>
      <c r="C2028" s="41"/>
      <c r="D2028" s="187"/>
      <c r="E2028" s="84"/>
      <c r="F2028" s="163"/>
      <c r="G2028" s="35"/>
    </row>
    <row r="2029" spans="1:7" x14ac:dyDescent="0.2">
      <c r="A2029" s="29"/>
      <c r="B2029" s="75"/>
      <c r="C2029" s="41"/>
      <c r="D2029" s="187"/>
      <c r="E2029" s="84"/>
      <c r="F2029" s="163"/>
      <c r="G2029" s="35"/>
    </row>
    <row r="2030" spans="1:7" x14ac:dyDescent="0.2">
      <c r="A2030" s="29"/>
      <c r="B2030" s="75"/>
      <c r="C2030" s="41"/>
      <c r="D2030" s="187"/>
      <c r="E2030" s="84"/>
      <c r="F2030" s="163"/>
      <c r="G2030" s="35"/>
    </row>
    <row r="2031" spans="1:7" x14ac:dyDescent="0.2">
      <c r="A2031" s="29"/>
      <c r="B2031" s="75"/>
      <c r="C2031" s="41"/>
      <c r="D2031" s="187"/>
      <c r="E2031" s="84"/>
      <c r="F2031" s="163"/>
      <c r="G2031" s="35"/>
    </row>
    <row r="2032" spans="1:7" x14ac:dyDescent="0.2">
      <c r="A2032" s="29"/>
      <c r="B2032" s="75"/>
      <c r="C2032" s="41"/>
      <c r="D2032" s="187"/>
      <c r="E2032" s="84"/>
      <c r="F2032" s="163"/>
      <c r="G2032" s="35"/>
    </row>
    <row r="2033" spans="1:7" x14ac:dyDescent="0.2">
      <c r="A2033" s="29"/>
      <c r="B2033" s="75"/>
      <c r="C2033" s="41"/>
      <c r="D2033" s="187"/>
      <c r="E2033" s="84"/>
      <c r="F2033" s="163"/>
      <c r="G2033" s="35"/>
    </row>
    <row r="2034" spans="1:7" x14ac:dyDescent="0.2">
      <c r="A2034" s="29"/>
      <c r="B2034" s="75"/>
      <c r="C2034" s="41"/>
      <c r="D2034" s="187"/>
      <c r="E2034" s="84"/>
      <c r="F2034" s="163"/>
      <c r="G2034" s="35"/>
    </row>
    <row r="2035" spans="1:7" x14ac:dyDescent="0.2">
      <c r="A2035" s="29"/>
      <c r="B2035" s="75"/>
      <c r="C2035" s="41"/>
      <c r="D2035" s="187"/>
      <c r="E2035" s="84"/>
      <c r="F2035" s="163"/>
      <c r="G2035" s="35"/>
    </row>
    <row r="2036" spans="1:7" x14ac:dyDescent="0.2">
      <c r="A2036" s="29"/>
      <c r="B2036" s="75"/>
      <c r="C2036" s="41"/>
      <c r="D2036" s="187"/>
      <c r="E2036" s="84"/>
      <c r="F2036" s="163"/>
      <c r="G2036" s="35"/>
    </row>
    <row r="2037" spans="1:7" x14ac:dyDescent="0.2">
      <c r="A2037" s="29"/>
      <c r="B2037" s="75"/>
      <c r="C2037" s="41"/>
      <c r="D2037" s="187"/>
      <c r="E2037" s="84"/>
      <c r="F2037" s="163"/>
      <c r="G2037" s="35"/>
    </row>
    <row r="2038" spans="1:7" x14ac:dyDescent="0.2">
      <c r="A2038" s="29"/>
      <c r="B2038" s="75"/>
      <c r="C2038" s="41"/>
      <c r="D2038" s="187"/>
      <c r="E2038" s="84"/>
      <c r="F2038" s="172"/>
      <c r="G2038" s="35"/>
    </row>
    <row r="2039" spans="1:7" x14ac:dyDescent="0.2">
      <c r="A2039" s="29"/>
      <c r="B2039" s="75"/>
      <c r="C2039" s="41"/>
      <c r="D2039" s="187"/>
      <c r="E2039" s="84"/>
      <c r="F2039" s="173"/>
      <c r="G2039" s="35"/>
    </row>
    <row r="2040" spans="1:7" x14ac:dyDescent="0.2">
      <c r="A2040" s="29" t="s">
        <v>8</v>
      </c>
      <c r="B2040" s="75"/>
      <c r="C2040" s="41"/>
      <c r="D2040" s="187"/>
      <c r="E2040" s="84"/>
      <c r="F2040" s="173"/>
      <c r="G2040" s="35" t="s">
        <v>8</v>
      </c>
    </row>
    <row r="2041" spans="1:7" ht="13.5" thickBot="1" x14ac:dyDescent="0.25">
      <c r="A2041" s="45"/>
      <c r="B2041" s="188"/>
      <c r="C2041" s="47" t="s">
        <v>8</v>
      </c>
      <c r="D2041" s="66" t="s">
        <v>8</v>
      </c>
      <c r="E2041" s="188"/>
      <c r="F2041" s="49" t="s">
        <v>15</v>
      </c>
      <c r="G2041" s="50">
        <f>SUM(G2007:G2040)</f>
        <v>8325</v>
      </c>
    </row>
    <row r="2042" spans="1:7" ht="13.5" thickTop="1" x14ac:dyDescent="0.2">
      <c r="A2042" s="963" t="s">
        <v>2510</v>
      </c>
      <c r="B2042" s="964"/>
      <c r="C2042" s="964"/>
      <c r="D2042" s="964"/>
      <c r="E2042" s="964"/>
      <c r="F2042" s="964"/>
      <c r="G2042" s="965"/>
    </row>
    <row r="2043" spans="1:7" ht="13.5" thickBot="1" x14ac:dyDescent="0.25">
      <c r="A2043" s="378"/>
      <c r="B2043" s="374"/>
      <c r="C2043" s="374" t="s">
        <v>2509</v>
      </c>
      <c r="D2043" s="379"/>
      <c r="E2043" s="374"/>
      <c r="F2043" s="380"/>
      <c r="G2043" s="381"/>
    </row>
    <row r="2044" spans="1:7" ht="13.5" thickTop="1" x14ac:dyDescent="0.2">
      <c r="A2044" s="906" t="s">
        <v>8</v>
      </c>
      <c r="B2044" s="907"/>
      <c r="C2044" s="907"/>
      <c r="D2044" s="57" t="s">
        <v>11</v>
      </c>
      <c r="E2044" s="908" t="s">
        <v>12</v>
      </c>
      <c r="F2044" s="908"/>
      <c r="G2044" s="909"/>
    </row>
    <row r="2045" spans="1:7" x14ac:dyDescent="0.2">
      <c r="A2045" s="966" t="s">
        <v>17</v>
      </c>
      <c r="B2045" s="967"/>
      <c r="C2045" s="968"/>
      <c r="D2045" s="39"/>
      <c r="E2045" s="912"/>
      <c r="F2045" s="913"/>
      <c r="G2045" s="914"/>
    </row>
    <row r="2046" spans="1:7" x14ac:dyDescent="0.2">
      <c r="A2046" s="966" t="s">
        <v>38</v>
      </c>
      <c r="B2046" s="967"/>
      <c r="C2046" s="968"/>
      <c r="D2046" s="58" t="s">
        <v>308</v>
      </c>
      <c r="E2046" s="969" t="s">
        <v>142</v>
      </c>
      <c r="F2046" s="868"/>
      <c r="G2046" s="869"/>
    </row>
    <row r="2047" spans="1:7" ht="13.5" thickBot="1" x14ac:dyDescent="0.25">
      <c r="A2047" s="970" t="s">
        <v>39</v>
      </c>
      <c r="B2047" s="971"/>
      <c r="C2047" s="972"/>
      <c r="D2047" s="375" t="s">
        <v>1038</v>
      </c>
      <c r="E2047" s="904" t="s">
        <v>0</v>
      </c>
      <c r="F2047" s="904"/>
      <c r="G2047" s="905"/>
    </row>
    <row r="2048" spans="1:7" ht="16.5" x14ac:dyDescent="0.25">
      <c r="A2048" s="885" t="s">
        <v>29</v>
      </c>
      <c r="B2048" s="886"/>
      <c r="C2048" s="886"/>
      <c r="D2048" s="886"/>
      <c r="E2048" s="886"/>
      <c r="F2048" s="886"/>
      <c r="G2048" s="887"/>
    </row>
    <row r="2049" spans="1:12" x14ac:dyDescent="0.2">
      <c r="A2049" s="888" t="s">
        <v>48</v>
      </c>
      <c r="B2049" s="889"/>
      <c r="C2049" s="889"/>
      <c r="D2049" s="889"/>
      <c r="E2049" s="889"/>
      <c r="F2049" s="889"/>
      <c r="G2049" s="890"/>
    </row>
    <row r="2050" spans="1:12" x14ac:dyDescent="0.2">
      <c r="A2050" s="915" t="s">
        <v>49</v>
      </c>
      <c r="B2050" s="916"/>
      <c r="C2050" s="916"/>
      <c r="D2050" s="916"/>
      <c r="E2050" s="916"/>
      <c r="F2050" s="916"/>
      <c r="G2050" s="917"/>
    </row>
    <row r="2051" spans="1:12" x14ac:dyDescent="0.2">
      <c r="A2051" s="6"/>
      <c r="B2051" s="178"/>
      <c r="C2051" s="8"/>
      <c r="D2051" s="9"/>
      <c r="E2051" s="99"/>
      <c r="F2051" s="10"/>
      <c r="G2051" s="11" t="s">
        <v>8</v>
      </c>
    </row>
    <row r="2052" spans="1:12" x14ac:dyDescent="0.2">
      <c r="A2052" s="12" t="s">
        <v>1</v>
      </c>
      <c r="B2052" s="13"/>
      <c r="C2052" s="14" t="s">
        <v>5</v>
      </c>
      <c r="D2052" s="13"/>
      <c r="E2052" s="362" t="s">
        <v>2599</v>
      </c>
      <c r="F2052" s="60"/>
      <c r="G2052" s="363" t="s">
        <v>2568</v>
      </c>
    </row>
    <row r="2053" spans="1:12" x14ac:dyDescent="0.2">
      <c r="A2053" s="17" t="s">
        <v>8</v>
      </c>
      <c r="B2053" s="179"/>
      <c r="C2053" s="19"/>
      <c r="D2053" s="4"/>
      <c r="E2053" s="918"/>
      <c r="F2053" s="919"/>
      <c r="G2053" s="20"/>
    </row>
    <row r="2054" spans="1:12" x14ac:dyDescent="0.2">
      <c r="A2054" s="21" t="s">
        <v>37</v>
      </c>
      <c r="B2054" s="22"/>
      <c r="C2054" s="22"/>
      <c r="D2054" s="22"/>
      <c r="E2054" s="23" t="s">
        <v>46</v>
      </c>
      <c r="F2054" s="24"/>
      <c r="G2054" s="20" t="s">
        <v>50</v>
      </c>
    </row>
    <row r="2055" spans="1:12" x14ac:dyDescent="0.2">
      <c r="A2055" s="6"/>
      <c r="B2055" s="178"/>
      <c r="C2055" s="8"/>
      <c r="D2055" s="8"/>
      <c r="E2055" s="920"/>
      <c r="F2055" s="921"/>
      <c r="G2055" s="25"/>
    </row>
    <row r="2056" spans="1:12" ht="26.25" thickBot="1" x14ac:dyDescent="0.25">
      <c r="A2056" s="26" t="s">
        <v>47</v>
      </c>
      <c r="B2056" s="180" t="s">
        <v>23</v>
      </c>
      <c r="C2056" s="28" t="s">
        <v>34</v>
      </c>
      <c r="D2056" s="110" t="s">
        <v>53</v>
      </c>
      <c r="E2056" s="181" t="s">
        <v>54</v>
      </c>
      <c r="F2056" s="111" t="s">
        <v>55</v>
      </c>
      <c r="G2056" s="112" t="s">
        <v>35</v>
      </c>
    </row>
    <row r="2057" spans="1:12" ht="13.5" thickTop="1" x14ac:dyDescent="0.2">
      <c r="A2057" s="364">
        <v>1</v>
      </c>
      <c r="B2057" s="75"/>
      <c r="C2057" s="365" t="s">
        <v>1930</v>
      </c>
      <c r="D2057" s="366" t="s">
        <v>2578</v>
      </c>
      <c r="E2057" s="457">
        <v>2</v>
      </c>
      <c r="F2057" s="456">
        <v>68.5</v>
      </c>
      <c r="G2057" s="35">
        <f>F2057*E2057</f>
        <v>137</v>
      </c>
      <c r="L2057" s="2">
        <f>5250/75</f>
        <v>70</v>
      </c>
    </row>
    <row r="2058" spans="1:12" x14ac:dyDescent="0.2">
      <c r="A2058" s="364">
        <v>2</v>
      </c>
      <c r="B2058" s="75"/>
      <c r="C2058" s="371" t="s">
        <v>1930</v>
      </c>
      <c r="D2058" s="366" t="s">
        <v>2579</v>
      </c>
      <c r="E2058" s="77">
        <v>2</v>
      </c>
      <c r="F2058" s="185">
        <v>54.5</v>
      </c>
      <c r="G2058" s="35">
        <f t="shared" ref="G2058:G2065" si="31">F2058*E2058</f>
        <v>109</v>
      </c>
    </row>
    <row r="2059" spans="1:12" x14ac:dyDescent="0.2">
      <c r="A2059" s="364">
        <v>3</v>
      </c>
      <c r="B2059" s="75"/>
      <c r="C2059" s="371" t="s">
        <v>153</v>
      </c>
      <c r="D2059" s="458" t="s">
        <v>2580</v>
      </c>
      <c r="E2059" s="77">
        <v>3</v>
      </c>
      <c r="F2059" s="185">
        <v>280.5</v>
      </c>
      <c r="G2059" s="35">
        <f t="shared" si="31"/>
        <v>841.5</v>
      </c>
    </row>
    <row r="2060" spans="1:12" x14ac:dyDescent="0.2">
      <c r="A2060" s="364">
        <v>4</v>
      </c>
      <c r="B2060" s="75"/>
      <c r="C2060" s="371" t="s">
        <v>177</v>
      </c>
      <c r="D2060" s="366" t="s">
        <v>2581</v>
      </c>
      <c r="E2060" s="77">
        <v>5</v>
      </c>
      <c r="F2060" s="5">
        <v>225</v>
      </c>
      <c r="G2060" s="35">
        <f t="shared" si="31"/>
        <v>1125</v>
      </c>
    </row>
    <row r="2061" spans="1:12" x14ac:dyDescent="0.2">
      <c r="A2061" s="364">
        <v>5</v>
      </c>
      <c r="B2061" s="75"/>
      <c r="C2061" s="371" t="s">
        <v>176</v>
      </c>
      <c r="D2061" s="366" t="s">
        <v>157</v>
      </c>
      <c r="E2061" s="77">
        <v>1</v>
      </c>
      <c r="F2061" s="185">
        <v>1168.5</v>
      </c>
      <c r="G2061" s="35">
        <f t="shared" si="31"/>
        <v>1168.5</v>
      </c>
    </row>
    <row r="2062" spans="1:12" x14ac:dyDescent="0.2">
      <c r="A2062" s="364">
        <v>6</v>
      </c>
      <c r="B2062" s="75"/>
      <c r="C2062" s="371" t="s">
        <v>1923</v>
      </c>
      <c r="D2062" s="366" t="s">
        <v>2582</v>
      </c>
      <c r="E2062" s="77">
        <v>1.145</v>
      </c>
      <c r="F2062" s="185">
        <v>338</v>
      </c>
      <c r="G2062" s="35">
        <f t="shared" si="31"/>
        <v>387.01</v>
      </c>
    </row>
    <row r="2063" spans="1:12" x14ac:dyDescent="0.2">
      <c r="A2063" s="364">
        <v>7</v>
      </c>
      <c r="B2063" s="75"/>
      <c r="C2063" s="371" t="s">
        <v>1923</v>
      </c>
      <c r="D2063" s="366" t="s">
        <v>2019</v>
      </c>
      <c r="E2063" s="77">
        <v>2.1349999999999998</v>
      </c>
      <c r="F2063" s="185">
        <v>280</v>
      </c>
      <c r="G2063" s="35">
        <f t="shared" si="31"/>
        <v>597.79999999999995</v>
      </c>
    </row>
    <row r="2064" spans="1:12" x14ac:dyDescent="0.2">
      <c r="A2064" s="364">
        <v>8</v>
      </c>
      <c r="B2064" s="75"/>
      <c r="C2064" s="371" t="s">
        <v>149</v>
      </c>
      <c r="D2064" s="366" t="s">
        <v>2583</v>
      </c>
      <c r="E2064" s="77">
        <v>7</v>
      </c>
      <c r="F2064" s="185">
        <v>385</v>
      </c>
      <c r="G2064" s="35">
        <f t="shared" si="31"/>
        <v>2695</v>
      </c>
    </row>
    <row r="2065" spans="1:7" x14ac:dyDescent="0.2">
      <c r="A2065" s="364">
        <v>9</v>
      </c>
      <c r="B2065" s="186"/>
      <c r="C2065" s="371" t="s">
        <v>1923</v>
      </c>
      <c r="D2065" s="366" t="s">
        <v>2019</v>
      </c>
      <c r="E2065" s="457">
        <v>7.1849999999999996</v>
      </c>
      <c r="F2065" s="185">
        <v>280</v>
      </c>
      <c r="G2065" s="35">
        <f t="shared" si="31"/>
        <v>2011.8</v>
      </c>
    </row>
    <row r="2066" spans="1:7" x14ac:dyDescent="0.2">
      <c r="A2066" s="364"/>
      <c r="B2066" s="74"/>
      <c r="C2066" s="371"/>
      <c r="D2066" s="366"/>
      <c r="E2066" s="77"/>
      <c r="F2066" s="185"/>
      <c r="G2066" s="35"/>
    </row>
    <row r="2067" spans="1:7" x14ac:dyDescent="0.2">
      <c r="A2067" s="364"/>
      <c r="B2067" s="74"/>
      <c r="C2067" s="371"/>
      <c r="D2067" s="454"/>
      <c r="E2067" s="84"/>
      <c r="F2067" s="163"/>
      <c r="G2067" s="35"/>
    </row>
    <row r="2068" spans="1:7" x14ac:dyDescent="0.2">
      <c r="A2068" s="364"/>
      <c r="B2068" s="74"/>
      <c r="C2068" s="371"/>
      <c r="D2068" s="454"/>
      <c r="E2068" s="84"/>
      <c r="F2068" s="163"/>
      <c r="G2068" s="35"/>
    </row>
    <row r="2069" spans="1:7" x14ac:dyDescent="0.2">
      <c r="A2069" s="364"/>
      <c r="B2069" s="75"/>
      <c r="C2069" s="371"/>
      <c r="D2069" s="454"/>
      <c r="E2069" s="84"/>
      <c r="F2069" s="172"/>
      <c r="G2069" s="35"/>
    </row>
    <row r="2070" spans="1:7" x14ac:dyDescent="0.2">
      <c r="A2070" s="364"/>
      <c r="B2070" s="75"/>
      <c r="C2070" s="371"/>
      <c r="D2070" s="454"/>
      <c r="E2070" s="84"/>
      <c r="F2070" s="173"/>
      <c r="G2070" s="35"/>
    </row>
    <row r="2071" spans="1:7" x14ac:dyDescent="0.2">
      <c r="A2071" s="364"/>
      <c r="B2071" s="75"/>
      <c r="C2071" s="371"/>
      <c r="D2071" s="454"/>
      <c r="E2071" s="77"/>
      <c r="F2071" s="185"/>
      <c r="G2071" s="35"/>
    </row>
    <row r="2072" spans="1:7" x14ac:dyDescent="0.2">
      <c r="A2072" s="364"/>
      <c r="B2072" s="75"/>
      <c r="C2072" s="371"/>
      <c r="D2072" s="454"/>
      <c r="E2072" s="77"/>
      <c r="F2072" s="185"/>
      <c r="G2072" s="35"/>
    </row>
    <row r="2073" spans="1:7" x14ac:dyDescent="0.2">
      <c r="A2073" s="364"/>
      <c r="B2073" s="75"/>
      <c r="C2073" s="371"/>
      <c r="D2073" s="366"/>
      <c r="E2073" s="77"/>
      <c r="F2073" s="185"/>
      <c r="G2073" s="35"/>
    </row>
    <row r="2074" spans="1:7" x14ac:dyDescent="0.2">
      <c r="A2074" s="364"/>
      <c r="B2074" s="75"/>
      <c r="C2074" s="371"/>
      <c r="D2074" s="366"/>
      <c r="E2074" s="77"/>
      <c r="F2074" s="185"/>
      <c r="G2074" s="35"/>
    </row>
    <row r="2075" spans="1:7" x14ac:dyDescent="0.2">
      <c r="A2075" s="364"/>
      <c r="B2075" s="75"/>
      <c r="C2075" s="371"/>
      <c r="D2075" s="366"/>
      <c r="E2075" s="77"/>
      <c r="F2075" s="185"/>
      <c r="G2075" s="35"/>
    </row>
    <row r="2076" spans="1:7" x14ac:dyDescent="0.2">
      <c r="A2076" s="29"/>
      <c r="B2076" s="75"/>
      <c r="C2076" s="41"/>
      <c r="D2076" s="184"/>
      <c r="E2076" s="84"/>
      <c r="F2076" s="163"/>
      <c r="G2076" s="35"/>
    </row>
    <row r="2077" spans="1:7" x14ac:dyDescent="0.2">
      <c r="A2077" s="29"/>
      <c r="B2077" s="75"/>
      <c r="C2077" s="41"/>
      <c r="D2077" s="184"/>
      <c r="E2077" s="84"/>
      <c r="F2077" s="163"/>
      <c r="G2077" s="35"/>
    </row>
    <row r="2078" spans="1:7" x14ac:dyDescent="0.2">
      <c r="A2078" s="29"/>
      <c r="B2078" s="75"/>
      <c r="C2078" s="41"/>
      <c r="D2078" s="187"/>
      <c r="E2078" s="84"/>
      <c r="F2078" s="163"/>
      <c r="G2078" s="35"/>
    </row>
    <row r="2079" spans="1:7" x14ac:dyDescent="0.2">
      <c r="A2079" s="29"/>
      <c r="B2079" s="75"/>
      <c r="C2079" s="41"/>
      <c r="D2079" s="187"/>
      <c r="E2079" s="84"/>
      <c r="F2079" s="163"/>
      <c r="G2079" s="35"/>
    </row>
    <row r="2080" spans="1:7" x14ac:dyDescent="0.2">
      <c r="A2080" s="29"/>
      <c r="B2080" s="75"/>
      <c r="C2080" s="41"/>
      <c r="D2080" s="187"/>
      <c r="E2080" s="84"/>
      <c r="F2080" s="163"/>
      <c r="G2080" s="35"/>
    </row>
    <row r="2081" spans="1:7" x14ac:dyDescent="0.2">
      <c r="A2081" s="29"/>
      <c r="B2081" s="75"/>
      <c r="C2081" s="41"/>
      <c r="D2081" s="187"/>
      <c r="E2081" s="84"/>
      <c r="F2081" s="163"/>
      <c r="G2081" s="35"/>
    </row>
    <row r="2082" spans="1:7" x14ac:dyDescent="0.2">
      <c r="A2082" s="29"/>
      <c r="B2082" s="75"/>
      <c r="C2082" s="41"/>
      <c r="D2082" s="187"/>
      <c r="E2082" s="84"/>
      <c r="F2082" s="163"/>
      <c r="G2082" s="35"/>
    </row>
    <row r="2083" spans="1:7" x14ac:dyDescent="0.2">
      <c r="A2083" s="29"/>
      <c r="B2083" s="75"/>
      <c r="C2083" s="41"/>
      <c r="D2083" s="187"/>
      <c r="E2083" s="84"/>
      <c r="F2083" s="163"/>
      <c r="G2083" s="35"/>
    </row>
    <row r="2084" spans="1:7" x14ac:dyDescent="0.2">
      <c r="A2084" s="29"/>
      <c r="B2084" s="75"/>
      <c r="C2084" s="41"/>
      <c r="D2084" s="187"/>
      <c r="E2084" s="84"/>
      <c r="F2084" s="163"/>
      <c r="G2084" s="35"/>
    </row>
    <row r="2085" spans="1:7" x14ac:dyDescent="0.2">
      <c r="A2085" s="29"/>
      <c r="B2085" s="75"/>
      <c r="C2085" s="41"/>
      <c r="D2085" s="187"/>
      <c r="E2085" s="84"/>
      <c r="F2085" s="163"/>
      <c r="G2085" s="35"/>
    </row>
    <row r="2086" spans="1:7" x14ac:dyDescent="0.2">
      <c r="A2086" s="29"/>
      <c r="B2086" s="75"/>
      <c r="C2086" s="41"/>
      <c r="D2086" s="187"/>
      <c r="E2086" s="84"/>
      <c r="F2086" s="163"/>
      <c r="G2086" s="35"/>
    </row>
    <row r="2087" spans="1:7" x14ac:dyDescent="0.2">
      <c r="A2087" s="29"/>
      <c r="B2087" s="75"/>
      <c r="C2087" s="41"/>
      <c r="D2087" s="187"/>
      <c r="E2087" s="84"/>
      <c r="F2087" s="163"/>
      <c r="G2087" s="35"/>
    </row>
    <row r="2088" spans="1:7" x14ac:dyDescent="0.2">
      <c r="A2088" s="29"/>
      <c r="B2088" s="75"/>
      <c r="C2088" s="41"/>
      <c r="D2088" s="187"/>
      <c r="E2088" s="84"/>
      <c r="F2088" s="172"/>
      <c r="G2088" s="35"/>
    </row>
    <row r="2089" spans="1:7" x14ac:dyDescent="0.2">
      <c r="A2089" s="29"/>
      <c r="B2089" s="75"/>
      <c r="C2089" s="41"/>
      <c r="D2089" s="187"/>
      <c r="E2089" s="84"/>
      <c r="F2089" s="173"/>
      <c r="G2089" s="35"/>
    </row>
    <row r="2090" spans="1:7" x14ac:dyDescent="0.2">
      <c r="A2090" s="29" t="s">
        <v>8</v>
      </c>
      <c r="B2090" s="75"/>
      <c r="C2090" s="41"/>
      <c r="D2090" s="187"/>
      <c r="E2090" s="84"/>
      <c r="F2090" s="173"/>
      <c r="G2090" s="35" t="s">
        <v>8</v>
      </c>
    </row>
    <row r="2091" spans="1:7" ht="13.5" thickBot="1" x14ac:dyDescent="0.25">
      <c r="A2091" s="45"/>
      <c r="B2091" s="188"/>
      <c r="C2091" s="47" t="s">
        <v>8</v>
      </c>
      <c r="D2091" s="66" t="s">
        <v>8</v>
      </c>
      <c r="E2091" s="188"/>
      <c r="F2091" s="49" t="s">
        <v>15</v>
      </c>
      <c r="G2091" s="50">
        <f>SUM(G2057:G2090)</f>
        <v>9072.61</v>
      </c>
    </row>
    <row r="2092" spans="1:7" ht="13.5" thickTop="1" x14ac:dyDescent="0.2">
      <c r="A2092" s="963" t="s">
        <v>2584</v>
      </c>
      <c r="B2092" s="964"/>
      <c r="C2092" s="964"/>
      <c r="D2092" s="964"/>
      <c r="E2092" s="964"/>
      <c r="F2092" s="964"/>
      <c r="G2092" s="965"/>
    </row>
    <row r="2093" spans="1:7" ht="13.5" thickBot="1" x14ac:dyDescent="0.25">
      <c r="A2093" s="378"/>
      <c r="B2093" s="374"/>
      <c r="C2093" s="374"/>
      <c r="D2093" s="379"/>
      <c r="E2093" s="374"/>
      <c r="F2093" s="380"/>
      <c r="G2093" s="381"/>
    </row>
    <row r="2094" spans="1:7" ht="13.5" thickTop="1" x14ac:dyDescent="0.2">
      <c r="A2094" s="906" t="s">
        <v>8</v>
      </c>
      <c r="B2094" s="907"/>
      <c r="C2094" s="907"/>
      <c r="D2094" s="57" t="s">
        <v>11</v>
      </c>
      <c r="E2094" s="908" t="s">
        <v>12</v>
      </c>
      <c r="F2094" s="908"/>
      <c r="G2094" s="909"/>
    </row>
    <row r="2095" spans="1:7" x14ac:dyDescent="0.2">
      <c r="A2095" s="966" t="s">
        <v>17</v>
      </c>
      <c r="B2095" s="967"/>
      <c r="C2095" s="968"/>
      <c r="D2095" s="39"/>
      <c r="E2095" s="912"/>
      <c r="F2095" s="913"/>
      <c r="G2095" s="914"/>
    </row>
    <row r="2096" spans="1:7" x14ac:dyDescent="0.2">
      <c r="A2096" s="966" t="s">
        <v>38</v>
      </c>
      <c r="B2096" s="967"/>
      <c r="C2096" s="968"/>
      <c r="D2096" s="58" t="s">
        <v>308</v>
      </c>
      <c r="E2096" s="969" t="s">
        <v>142</v>
      </c>
      <c r="F2096" s="868"/>
      <c r="G2096" s="869"/>
    </row>
    <row r="2097" spans="1:13" ht="13.5" thickBot="1" x14ac:dyDescent="0.25">
      <c r="A2097" s="970" t="s">
        <v>39</v>
      </c>
      <c r="B2097" s="971"/>
      <c r="C2097" s="972"/>
      <c r="D2097" s="375" t="s">
        <v>1038</v>
      </c>
      <c r="E2097" s="904" t="s">
        <v>0</v>
      </c>
      <c r="F2097" s="904"/>
      <c r="G2097" s="905"/>
    </row>
    <row r="2098" spans="1:13" ht="16.5" x14ac:dyDescent="0.25">
      <c r="A2098" s="885" t="s">
        <v>29</v>
      </c>
      <c r="B2098" s="886"/>
      <c r="C2098" s="886"/>
      <c r="D2098" s="886"/>
      <c r="E2098" s="886"/>
      <c r="F2098" s="886"/>
      <c r="G2098" s="887"/>
    </row>
    <row r="2099" spans="1:13" x14ac:dyDescent="0.2">
      <c r="A2099" s="888" t="s">
        <v>48</v>
      </c>
      <c r="B2099" s="889"/>
      <c r="C2099" s="889"/>
      <c r="D2099" s="889"/>
      <c r="E2099" s="889"/>
      <c r="F2099" s="889"/>
      <c r="G2099" s="890"/>
    </row>
    <row r="2100" spans="1:13" x14ac:dyDescent="0.2">
      <c r="A2100" s="915" t="s">
        <v>49</v>
      </c>
      <c r="B2100" s="916"/>
      <c r="C2100" s="916"/>
      <c r="D2100" s="916"/>
      <c r="E2100" s="916"/>
      <c r="F2100" s="916"/>
      <c r="G2100" s="917"/>
    </row>
    <row r="2101" spans="1:13" x14ac:dyDescent="0.2">
      <c r="A2101" s="6"/>
      <c r="B2101" s="178"/>
      <c r="C2101" s="8"/>
      <c r="D2101" s="9"/>
      <c r="E2101" s="99"/>
      <c r="F2101" s="10"/>
      <c r="G2101" s="392" t="s">
        <v>334</v>
      </c>
    </row>
    <row r="2102" spans="1:13" x14ac:dyDescent="0.2">
      <c r="A2102" s="12" t="s">
        <v>1</v>
      </c>
      <c r="B2102" s="13"/>
      <c r="C2102" s="14" t="s">
        <v>5</v>
      </c>
      <c r="D2102" s="13"/>
      <c r="E2102" s="362" t="s">
        <v>2623</v>
      </c>
      <c r="F2102" s="60"/>
      <c r="G2102" s="363" t="s">
        <v>2600</v>
      </c>
    </row>
    <row r="2103" spans="1:13" x14ac:dyDescent="0.2">
      <c r="A2103" s="17" t="s">
        <v>8</v>
      </c>
      <c r="B2103" s="179"/>
      <c r="C2103" s="19"/>
      <c r="D2103" s="4"/>
      <c r="E2103" s="918"/>
      <c r="F2103" s="919"/>
      <c r="G2103" s="20"/>
    </row>
    <row r="2104" spans="1:13" x14ac:dyDescent="0.2">
      <c r="A2104" s="21" t="s">
        <v>37</v>
      </c>
      <c r="B2104" s="22"/>
      <c r="C2104" s="22"/>
      <c r="D2104" s="22"/>
      <c r="E2104" s="23" t="s">
        <v>46</v>
      </c>
      <c r="F2104" s="24"/>
      <c r="G2104" s="20" t="s">
        <v>50</v>
      </c>
    </row>
    <row r="2105" spans="1:13" x14ac:dyDescent="0.2">
      <c r="A2105" s="6"/>
      <c r="B2105" s="178"/>
      <c r="C2105" s="8"/>
      <c r="D2105" s="8"/>
      <c r="E2105" s="920"/>
      <c r="F2105" s="921"/>
      <c r="G2105" s="25"/>
    </row>
    <row r="2106" spans="1:13" ht="26.25" thickBot="1" x14ac:dyDescent="0.25">
      <c r="A2106" s="26" t="s">
        <v>47</v>
      </c>
      <c r="B2106" s="180" t="s">
        <v>23</v>
      </c>
      <c r="C2106" s="28" t="s">
        <v>34</v>
      </c>
      <c r="D2106" s="110" t="s">
        <v>53</v>
      </c>
      <c r="E2106" s="181" t="s">
        <v>54</v>
      </c>
      <c r="F2106" s="111" t="s">
        <v>55</v>
      </c>
      <c r="G2106" s="112" t="s">
        <v>35</v>
      </c>
    </row>
    <row r="2107" spans="1:13" ht="13.5" thickTop="1" x14ac:dyDescent="0.2">
      <c r="A2107" s="364">
        <v>1</v>
      </c>
      <c r="B2107" s="75"/>
      <c r="C2107" s="365" t="s">
        <v>1923</v>
      </c>
      <c r="D2107" s="366" t="s">
        <v>1943</v>
      </c>
      <c r="E2107" s="457">
        <v>0.53</v>
      </c>
      <c r="F2107" s="456">
        <v>165</v>
      </c>
      <c r="G2107" s="35">
        <f>F2107*E2107</f>
        <v>87.45</v>
      </c>
    </row>
    <row r="2108" spans="1:13" x14ac:dyDescent="0.2">
      <c r="A2108" s="364">
        <v>2</v>
      </c>
      <c r="B2108" s="75"/>
      <c r="C2108" s="371" t="s">
        <v>1923</v>
      </c>
      <c r="D2108" s="366" t="s">
        <v>2478</v>
      </c>
      <c r="E2108" s="653">
        <v>0.69499999999999995</v>
      </c>
      <c r="F2108" s="185">
        <v>142</v>
      </c>
      <c r="G2108" s="35">
        <f t="shared" ref="G2108:G2140" si="32">F2108*E2108</f>
        <v>98.69</v>
      </c>
    </row>
    <row r="2109" spans="1:13" x14ac:dyDescent="0.2">
      <c r="A2109" s="364">
        <v>3</v>
      </c>
      <c r="B2109" s="75"/>
      <c r="C2109" s="371" t="s">
        <v>1923</v>
      </c>
      <c r="D2109" s="458" t="s">
        <v>1943</v>
      </c>
      <c r="E2109" s="653">
        <v>0.55500000000000005</v>
      </c>
      <c r="F2109" s="185">
        <v>165</v>
      </c>
      <c r="G2109" s="35">
        <f t="shared" si="32"/>
        <v>91.575000000000003</v>
      </c>
    </row>
    <row r="2110" spans="1:13" x14ac:dyDescent="0.2">
      <c r="A2110" s="364">
        <v>4</v>
      </c>
      <c r="B2110" s="75"/>
      <c r="C2110" s="371" t="s">
        <v>1923</v>
      </c>
      <c r="D2110" s="366" t="s">
        <v>2601</v>
      </c>
      <c r="E2110" s="653">
        <v>2.0649999999999999</v>
      </c>
      <c r="F2110" s="5">
        <v>340</v>
      </c>
      <c r="G2110" s="35">
        <f t="shared" si="32"/>
        <v>702.1</v>
      </c>
      <c r="K2110" s="211">
        <v>979.82</v>
      </c>
      <c r="M2110" s="211">
        <v>979.82</v>
      </c>
    </row>
    <row r="2111" spans="1:13" x14ac:dyDescent="0.2">
      <c r="A2111" s="364">
        <v>5</v>
      </c>
      <c r="B2111" s="75"/>
      <c r="C2111" s="371" t="s">
        <v>149</v>
      </c>
      <c r="D2111" s="366" t="s">
        <v>2602</v>
      </c>
      <c r="E2111" s="77">
        <v>5</v>
      </c>
      <c r="F2111" s="185">
        <v>85</v>
      </c>
      <c r="G2111" s="35">
        <f t="shared" si="32"/>
        <v>425</v>
      </c>
      <c r="M2111" s="211">
        <v>2883.05</v>
      </c>
    </row>
    <row r="2112" spans="1:13" x14ac:dyDescent="0.2">
      <c r="A2112" s="364">
        <v>6</v>
      </c>
      <c r="B2112" s="75"/>
      <c r="C2112" s="371" t="s">
        <v>1923</v>
      </c>
      <c r="D2112" s="366" t="s">
        <v>2603</v>
      </c>
      <c r="E2112" s="77">
        <v>0.18</v>
      </c>
      <c r="F2112" s="185">
        <v>95</v>
      </c>
      <c r="G2112" s="35">
        <f t="shared" si="32"/>
        <v>17.099999999999998</v>
      </c>
      <c r="M2112" s="211">
        <v>2890.63</v>
      </c>
    </row>
    <row r="2113" spans="1:13" x14ac:dyDescent="0.2">
      <c r="A2113" s="364">
        <v>7</v>
      </c>
      <c r="B2113" s="75"/>
      <c r="C2113" s="371" t="s">
        <v>1923</v>
      </c>
      <c r="D2113" s="366" t="s">
        <v>2603</v>
      </c>
      <c r="E2113" s="77">
        <v>0.19</v>
      </c>
      <c r="F2113" s="185">
        <v>95</v>
      </c>
      <c r="G2113" s="35">
        <f t="shared" si="32"/>
        <v>18.05</v>
      </c>
      <c r="M2113" s="437">
        <v>282</v>
      </c>
    </row>
    <row r="2114" spans="1:13" x14ac:dyDescent="0.2">
      <c r="A2114" s="364">
        <v>8</v>
      </c>
      <c r="B2114" s="75"/>
      <c r="C2114" s="371" t="s">
        <v>1923</v>
      </c>
      <c r="D2114" s="366" t="s">
        <v>2603</v>
      </c>
      <c r="E2114" s="653">
        <v>0.23499999999999999</v>
      </c>
      <c r="F2114" s="185">
        <v>95</v>
      </c>
      <c r="G2114" s="35">
        <f t="shared" si="32"/>
        <v>22.324999999999999</v>
      </c>
      <c r="M2114" s="437">
        <v>216</v>
      </c>
    </row>
    <row r="2115" spans="1:13" x14ac:dyDescent="0.2">
      <c r="A2115" s="364">
        <v>9</v>
      </c>
      <c r="B2115" s="186"/>
      <c r="C2115" s="371" t="s">
        <v>1923</v>
      </c>
      <c r="D2115" s="366" t="s">
        <v>2604</v>
      </c>
      <c r="E2115" s="457">
        <v>0.08</v>
      </c>
      <c r="F2115" s="185">
        <v>635</v>
      </c>
      <c r="G2115" s="35">
        <f t="shared" si="32"/>
        <v>50.800000000000004</v>
      </c>
      <c r="M2115" s="437">
        <v>92</v>
      </c>
    </row>
    <row r="2116" spans="1:13" x14ac:dyDescent="0.2">
      <c r="A2116" s="364">
        <v>10</v>
      </c>
      <c r="B2116" s="74"/>
      <c r="C2116" s="371" t="s">
        <v>1923</v>
      </c>
      <c r="D2116" s="366" t="s">
        <v>2605</v>
      </c>
      <c r="E2116" s="653">
        <v>0.55500000000000005</v>
      </c>
      <c r="F2116" s="185">
        <v>55</v>
      </c>
      <c r="G2116" s="35">
        <f t="shared" si="32"/>
        <v>30.525000000000002</v>
      </c>
      <c r="M2116" s="437">
        <v>85</v>
      </c>
    </row>
    <row r="2117" spans="1:13" x14ac:dyDescent="0.2">
      <c r="A2117" s="364">
        <v>11</v>
      </c>
      <c r="B2117" s="74"/>
      <c r="C2117" s="371" t="s">
        <v>1923</v>
      </c>
      <c r="D2117" s="454" t="s">
        <v>2605</v>
      </c>
      <c r="E2117" s="84">
        <v>0.5</v>
      </c>
      <c r="F2117" s="163">
        <v>55</v>
      </c>
      <c r="G2117" s="35">
        <f t="shared" si="32"/>
        <v>27.5</v>
      </c>
      <c r="M2117" s="243">
        <f>SUM(M2110:M2116)</f>
        <v>7428.5</v>
      </c>
    </row>
    <row r="2118" spans="1:13" x14ac:dyDescent="0.2">
      <c r="A2118" s="364">
        <v>12</v>
      </c>
      <c r="B2118" s="74"/>
      <c r="C2118" s="371" t="s">
        <v>1923</v>
      </c>
      <c r="D2118" s="454" t="s">
        <v>2498</v>
      </c>
      <c r="E2118" s="84">
        <v>0.28999999999999998</v>
      </c>
      <c r="F2118" s="163">
        <v>162</v>
      </c>
      <c r="G2118" s="35">
        <f t="shared" si="32"/>
        <v>46.98</v>
      </c>
    </row>
    <row r="2119" spans="1:13" x14ac:dyDescent="0.2">
      <c r="A2119" s="364">
        <v>13</v>
      </c>
      <c r="B2119" s="75"/>
      <c r="C2119" s="371" t="s">
        <v>1923</v>
      </c>
      <c r="D2119" s="454" t="s">
        <v>2606</v>
      </c>
      <c r="E2119" s="84">
        <v>0.72</v>
      </c>
      <c r="F2119" s="172">
        <v>100</v>
      </c>
      <c r="G2119" s="35">
        <f t="shared" si="32"/>
        <v>72</v>
      </c>
    </row>
    <row r="2120" spans="1:13" x14ac:dyDescent="0.2">
      <c r="A2120" s="364">
        <v>14</v>
      </c>
      <c r="B2120" s="75"/>
      <c r="C2120" s="371" t="s">
        <v>1923</v>
      </c>
      <c r="D2120" s="454" t="s">
        <v>2606</v>
      </c>
      <c r="E2120" s="654">
        <v>0.53500000000000003</v>
      </c>
      <c r="F2120" s="173">
        <v>100</v>
      </c>
      <c r="G2120" s="35">
        <f t="shared" si="32"/>
        <v>53.5</v>
      </c>
    </row>
    <row r="2121" spans="1:13" x14ac:dyDescent="0.2">
      <c r="A2121" s="364">
        <v>15</v>
      </c>
      <c r="B2121" s="75"/>
      <c r="C2121" s="371" t="s">
        <v>1923</v>
      </c>
      <c r="D2121" s="454" t="s">
        <v>2607</v>
      </c>
      <c r="E2121" s="653">
        <v>0.42499999999999999</v>
      </c>
      <c r="F2121" s="185">
        <v>114</v>
      </c>
      <c r="G2121" s="35">
        <f t="shared" si="32"/>
        <v>48.449999999999996</v>
      </c>
    </row>
    <row r="2122" spans="1:13" x14ac:dyDescent="0.2">
      <c r="A2122" s="364">
        <v>16</v>
      </c>
      <c r="B2122" s="75"/>
      <c r="C2122" s="371" t="s">
        <v>1923</v>
      </c>
      <c r="D2122" s="454" t="s">
        <v>2607</v>
      </c>
      <c r="E2122" s="653">
        <v>0.435</v>
      </c>
      <c r="F2122" s="185">
        <v>114</v>
      </c>
      <c r="G2122" s="35">
        <f t="shared" si="32"/>
        <v>49.589999999999996</v>
      </c>
    </row>
    <row r="2123" spans="1:13" x14ac:dyDescent="0.2">
      <c r="A2123" s="364">
        <v>17</v>
      </c>
      <c r="B2123" s="75"/>
      <c r="C2123" s="371" t="s">
        <v>1930</v>
      </c>
      <c r="D2123" s="366" t="s">
        <v>2608</v>
      </c>
      <c r="E2123" s="77">
        <v>2</v>
      </c>
      <c r="F2123" s="185">
        <v>114</v>
      </c>
      <c r="G2123" s="35">
        <f t="shared" si="32"/>
        <v>228</v>
      </c>
    </row>
    <row r="2124" spans="1:13" x14ac:dyDescent="0.2">
      <c r="A2124" s="364">
        <v>18</v>
      </c>
      <c r="B2124" s="75"/>
      <c r="C2124" s="371" t="s">
        <v>1923</v>
      </c>
      <c r="D2124" s="366" t="s">
        <v>2609</v>
      </c>
      <c r="E2124" s="653">
        <v>1.3560000000000001</v>
      </c>
      <c r="F2124" s="185">
        <v>478</v>
      </c>
      <c r="G2124" s="35">
        <f t="shared" si="32"/>
        <v>648.16800000000001</v>
      </c>
    </row>
    <row r="2125" spans="1:13" x14ac:dyDescent="0.2">
      <c r="A2125" s="364">
        <v>19</v>
      </c>
      <c r="B2125" s="75"/>
      <c r="C2125" s="371" t="s">
        <v>149</v>
      </c>
      <c r="D2125" s="366" t="s">
        <v>2612</v>
      </c>
      <c r="E2125" s="77">
        <v>2</v>
      </c>
      <c r="F2125" s="185">
        <v>120</v>
      </c>
      <c r="G2125" s="35">
        <f t="shared" si="32"/>
        <v>240</v>
      </c>
    </row>
    <row r="2126" spans="1:13" x14ac:dyDescent="0.2">
      <c r="A2126" s="364">
        <v>20</v>
      </c>
      <c r="B2126" s="75"/>
      <c r="C2126" s="371" t="s">
        <v>1923</v>
      </c>
      <c r="D2126" s="366" t="s">
        <v>2610</v>
      </c>
      <c r="E2126" s="84">
        <v>1.4</v>
      </c>
      <c r="F2126" s="163">
        <v>230</v>
      </c>
      <c r="G2126" s="35">
        <f t="shared" si="32"/>
        <v>322</v>
      </c>
    </row>
    <row r="2127" spans="1:13" x14ac:dyDescent="0.2">
      <c r="A2127" s="364">
        <v>21</v>
      </c>
      <c r="B2127" s="75"/>
      <c r="C2127" s="371" t="s">
        <v>149</v>
      </c>
      <c r="D2127" s="366" t="s">
        <v>2611</v>
      </c>
      <c r="E2127" s="84">
        <v>2</v>
      </c>
      <c r="F2127" s="163">
        <v>138</v>
      </c>
      <c r="G2127" s="35">
        <f t="shared" si="32"/>
        <v>276</v>
      </c>
    </row>
    <row r="2128" spans="1:13" x14ac:dyDescent="0.2">
      <c r="A2128" s="364">
        <v>22</v>
      </c>
      <c r="B2128" s="75"/>
      <c r="C2128" s="371" t="s">
        <v>1923</v>
      </c>
      <c r="D2128" s="454" t="s">
        <v>2610</v>
      </c>
      <c r="E2128" s="654">
        <v>1.335</v>
      </c>
      <c r="F2128" s="163">
        <v>230</v>
      </c>
      <c r="G2128" s="35">
        <f t="shared" si="32"/>
        <v>307.05</v>
      </c>
      <c r="K2128" s="211">
        <v>2883.05</v>
      </c>
    </row>
    <row r="2129" spans="1:11" x14ac:dyDescent="0.2">
      <c r="A2129" s="364">
        <v>23</v>
      </c>
      <c r="B2129" s="75"/>
      <c r="C2129" s="371" t="s">
        <v>1923</v>
      </c>
      <c r="D2129" s="454" t="s">
        <v>2604</v>
      </c>
      <c r="E2129" s="654">
        <v>8.5000000000000006E-2</v>
      </c>
      <c r="F2129" s="163">
        <v>208</v>
      </c>
      <c r="G2129" s="35">
        <f t="shared" si="32"/>
        <v>17.68</v>
      </c>
    </row>
    <row r="2130" spans="1:11" x14ac:dyDescent="0.2">
      <c r="A2130" s="364">
        <v>24</v>
      </c>
      <c r="B2130" s="75"/>
      <c r="C2130" s="371" t="s">
        <v>1923</v>
      </c>
      <c r="D2130" s="454" t="s">
        <v>2604</v>
      </c>
      <c r="E2130" s="654">
        <v>8.5000000000000006E-2</v>
      </c>
      <c r="F2130" s="163">
        <v>208</v>
      </c>
      <c r="G2130" s="35">
        <f t="shared" si="32"/>
        <v>17.68</v>
      </c>
    </row>
    <row r="2131" spans="1:11" x14ac:dyDescent="0.2">
      <c r="A2131" s="364">
        <v>25</v>
      </c>
      <c r="B2131" s="75"/>
      <c r="C2131" s="371" t="s">
        <v>1923</v>
      </c>
      <c r="D2131" s="454" t="s">
        <v>2604</v>
      </c>
      <c r="E2131" s="654">
        <v>8.5000000000000006E-2</v>
      </c>
      <c r="F2131" s="163">
        <v>208</v>
      </c>
      <c r="G2131" s="35">
        <f t="shared" si="32"/>
        <v>17.68</v>
      </c>
    </row>
    <row r="2132" spans="1:11" x14ac:dyDescent="0.2">
      <c r="A2132" s="364">
        <v>26</v>
      </c>
      <c r="B2132" s="75"/>
      <c r="C2132" s="371" t="s">
        <v>153</v>
      </c>
      <c r="D2132" s="454" t="s">
        <v>2612</v>
      </c>
      <c r="E2132" s="84">
        <v>3</v>
      </c>
      <c r="F2132" s="163">
        <v>120</v>
      </c>
      <c r="G2132" s="35">
        <f t="shared" si="32"/>
        <v>360</v>
      </c>
    </row>
    <row r="2133" spans="1:11" x14ac:dyDescent="0.2">
      <c r="A2133" s="364">
        <v>27</v>
      </c>
      <c r="B2133" s="75"/>
      <c r="C2133" s="371" t="s">
        <v>149</v>
      </c>
      <c r="D2133" s="454" t="s">
        <v>2613</v>
      </c>
      <c r="E2133" s="84">
        <v>1</v>
      </c>
      <c r="F2133" s="163">
        <v>100</v>
      </c>
      <c r="G2133" s="35">
        <f t="shared" si="32"/>
        <v>100</v>
      </c>
    </row>
    <row r="2134" spans="1:11" x14ac:dyDescent="0.2">
      <c r="A2134" s="364">
        <v>28</v>
      </c>
      <c r="B2134" s="75"/>
      <c r="C2134" s="371" t="s">
        <v>149</v>
      </c>
      <c r="D2134" s="454" t="s">
        <v>2621</v>
      </c>
      <c r="E2134" s="84">
        <v>3</v>
      </c>
      <c r="F2134" s="163">
        <v>100</v>
      </c>
      <c r="G2134" s="35">
        <f t="shared" si="32"/>
        <v>300</v>
      </c>
    </row>
    <row r="2135" spans="1:11" x14ac:dyDescent="0.2">
      <c r="A2135" s="364">
        <v>29</v>
      </c>
      <c r="B2135" s="75"/>
      <c r="C2135" s="371" t="s">
        <v>185</v>
      </c>
      <c r="D2135" s="454" t="s">
        <v>2614</v>
      </c>
      <c r="E2135" s="84">
        <v>2</v>
      </c>
      <c r="F2135" s="163">
        <v>288.5</v>
      </c>
      <c r="G2135" s="35">
        <f t="shared" si="32"/>
        <v>577</v>
      </c>
    </row>
    <row r="2136" spans="1:11" x14ac:dyDescent="0.2">
      <c r="A2136" s="364">
        <v>30</v>
      </c>
      <c r="B2136" s="75"/>
      <c r="C2136" s="371" t="s">
        <v>1923</v>
      </c>
      <c r="D2136" s="454" t="s">
        <v>2478</v>
      </c>
      <c r="E2136" s="84">
        <v>0.81</v>
      </c>
      <c r="F2136" s="163">
        <v>142</v>
      </c>
      <c r="G2136" s="35">
        <f t="shared" si="32"/>
        <v>115.02000000000001</v>
      </c>
    </row>
    <row r="2137" spans="1:11" x14ac:dyDescent="0.2">
      <c r="A2137" s="364">
        <v>31</v>
      </c>
      <c r="B2137" s="75"/>
      <c r="C2137" s="371" t="s">
        <v>1923</v>
      </c>
      <c r="D2137" s="454" t="s">
        <v>2478</v>
      </c>
      <c r="E2137" s="654">
        <v>0.58499999999999996</v>
      </c>
      <c r="F2137" s="163">
        <v>142</v>
      </c>
      <c r="G2137" s="35">
        <f t="shared" si="32"/>
        <v>83.07</v>
      </c>
    </row>
    <row r="2138" spans="1:11" x14ac:dyDescent="0.2">
      <c r="A2138" s="364">
        <v>32</v>
      </c>
      <c r="B2138" s="75"/>
      <c r="C2138" s="371" t="s">
        <v>149</v>
      </c>
      <c r="D2138" s="454" t="s">
        <v>2615</v>
      </c>
      <c r="E2138" s="84">
        <v>2</v>
      </c>
      <c r="F2138" s="172">
        <v>107</v>
      </c>
      <c r="G2138" s="35">
        <f t="shared" si="32"/>
        <v>214</v>
      </c>
    </row>
    <row r="2139" spans="1:11" x14ac:dyDescent="0.2">
      <c r="A2139" s="364">
        <v>33</v>
      </c>
      <c r="B2139" s="75"/>
      <c r="C2139" s="371" t="s">
        <v>149</v>
      </c>
      <c r="D2139" s="454" t="s">
        <v>2622</v>
      </c>
      <c r="E2139" s="84">
        <v>1</v>
      </c>
      <c r="F2139" s="173">
        <v>134.5</v>
      </c>
      <c r="G2139" s="35">
        <f t="shared" si="32"/>
        <v>134.5</v>
      </c>
    </row>
    <row r="2140" spans="1:11" x14ac:dyDescent="0.2">
      <c r="A2140" s="364">
        <v>34</v>
      </c>
      <c r="B2140" s="75"/>
      <c r="C2140" s="371" t="s">
        <v>1923</v>
      </c>
      <c r="D2140" s="454" t="s">
        <v>2616</v>
      </c>
      <c r="E2140" s="84">
        <v>3</v>
      </c>
      <c r="F2140" s="173">
        <v>84</v>
      </c>
      <c r="G2140" s="35">
        <f t="shared" si="32"/>
        <v>252</v>
      </c>
    </row>
    <row r="2141" spans="1:11" ht="13.5" thickBot="1" x14ac:dyDescent="0.25">
      <c r="A2141" s="45"/>
      <c r="B2141" s="188"/>
      <c r="C2141" s="47" t="s">
        <v>8</v>
      </c>
      <c r="D2141" s="66" t="s">
        <v>8</v>
      </c>
      <c r="E2141" s="188"/>
      <c r="F2141" s="49" t="s">
        <v>158</v>
      </c>
      <c r="G2141" s="50">
        <v>6051.5</v>
      </c>
      <c r="K2141" s="2">
        <v>6051.48</v>
      </c>
    </row>
    <row r="2142" spans="1:11" ht="13.5" thickTop="1" x14ac:dyDescent="0.2">
      <c r="A2142" s="963" t="s">
        <v>2624</v>
      </c>
      <c r="B2142" s="964"/>
      <c r="C2142" s="964"/>
      <c r="D2142" s="964"/>
      <c r="E2142" s="964"/>
      <c r="F2142" s="964"/>
      <c r="G2142" s="965"/>
    </row>
    <row r="2143" spans="1:11" ht="13.5" thickBot="1" x14ac:dyDescent="0.25">
      <c r="A2143" s="378"/>
      <c r="B2143" s="374"/>
      <c r="C2143" s="374" t="s">
        <v>2625</v>
      </c>
      <c r="D2143" s="379"/>
      <c r="E2143" s="374"/>
      <c r="F2143" s="380"/>
      <c r="G2143" s="381"/>
    </row>
    <row r="2144" spans="1:11" ht="13.5" thickTop="1" x14ac:dyDescent="0.2">
      <c r="A2144" s="906" t="s">
        <v>8</v>
      </c>
      <c r="B2144" s="907"/>
      <c r="C2144" s="907"/>
      <c r="D2144" s="57" t="s">
        <v>11</v>
      </c>
      <c r="E2144" s="908" t="s">
        <v>12</v>
      </c>
      <c r="F2144" s="908"/>
      <c r="G2144" s="909"/>
    </row>
    <row r="2145" spans="1:11" x14ac:dyDescent="0.2">
      <c r="A2145" s="966" t="s">
        <v>17</v>
      </c>
      <c r="B2145" s="967"/>
      <c r="C2145" s="968"/>
      <c r="D2145" s="39"/>
      <c r="E2145" s="912"/>
      <c r="F2145" s="913"/>
      <c r="G2145" s="914"/>
    </row>
    <row r="2146" spans="1:11" x14ac:dyDescent="0.2">
      <c r="A2146" s="966" t="s">
        <v>38</v>
      </c>
      <c r="B2146" s="967"/>
      <c r="C2146" s="968"/>
      <c r="D2146" s="58" t="s">
        <v>308</v>
      </c>
      <c r="E2146" s="969" t="s">
        <v>142</v>
      </c>
      <c r="F2146" s="868"/>
      <c r="G2146" s="869"/>
    </row>
    <row r="2147" spans="1:11" ht="13.5" thickBot="1" x14ac:dyDescent="0.25">
      <c r="A2147" s="970" t="s">
        <v>39</v>
      </c>
      <c r="B2147" s="971"/>
      <c r="C2147" s="972"/>
      <c r="D2147" s="375" t="s">
        <v>1038</v>
      </c>
      <c r="E2147" s="904" t="s">
        <v>0</v>
      </c>
      <c r="F2147" s="904"/>
      <c r="G2147" s="905"/>
    </row>
    <row r="2148" spans="1:11" ht="16.5" x14ac:dyDescent="0.25">
      <c r="A2148" s="885" t="s">
        <v>29</v>
      </c>
      <c r="B2148" s="886"/>
      <c r="C2148" s="886"/>
      <c r="D2148" s="886"/>
      <c r="E2148" s="886"/>
      <c r="F2148" s="886"/>
      <c r="G2148" s="887"/>
    </row>
    <row r="2149" spans="1:11" x14ac:dyDescent="0.2">
      <c r="A2149" s="888" t="s">
        <v>48</v>
      </c>
      <c r="B2149" s="889"/>
      <c r="C2149" s="889"/>
      <c r="D2149" s="889"/>
      <c r="E2149" s="889"/>
      <c r="F2149" s="889"/>
      <c r="G2149" s="890"/>
    </row>
    <row r="2150" spans="1:11" x14ac:dyDescent="0.2">
      <c r="A2150" s="915" t="s">
        <v>49</v>
      </c>
      <c r="B2150" s="916"/>
      <c r="C2150" s="916"/>
      <c r="D2150" s="916"/>
      <c r="E2150" s="916"/>
      <c r="F2150" s="916"/>
      <c r="G2150" s="917"/>
    </row>
    <row r="2151" spans="1:11" x14ac:dyDescent="0.2">
      <c r="A2151" s="6"/>
      <c r="B2151" s="178"/>
      <c r="C2151" s="8"/>
      <c r="D2151" s="9"/>
      <c r="E2151" s="99"/>
      <c r="F2151" s="10"/>
      <c r="G2151" s="392" t="s">
        <v>335</v>
      </c>
    </row>
    <row r="2152" spans="1:11" x14ac:dyDescent="0.2">
      <c r="A2152" s="12" t="s">
        <v>1</v>
      </c>
      <c r="B2152" s="13"/>
      <c r="C2152" s="14" t="s">
        <v>5</v>
      </c>
      <c r="D2152" s="13"/>
      <c r="E2152" s="362" t="s">
        <v>2623</v>
      </c>
      <c r="F2152" s="60"/>
      <c r="G2152" s="363" t="s">
        <v>2600</v>
      </c>
    </row>
    <row r="2153" spans="1:11" x14ac:dyDescent="0.2">
      <c r="A2153" s="17" t="s">
        <v>8</v>
      </c>
      <c r="B2153" s="179"/>
      <c r="C2153" s="19"/>
      <c r="D2153" s="4"/>
      <c r="E2153" s="918"/>
      <c r="F2153" s="919"/>
      <c r="G2153" s="20"/>
    </row>
    <row r="2154" spans="1:11" x14ac:dyDescent="0.2">
      <c r="A2154" s="21" t="s">
        <v>37</v>
      </c>
      <c r="B2154" s="22"/>
      <c r="C2154" s="22"/>
      <c r="D2154" s="22"/>
      <c r="E2154" s="23" t="s">
        <v>46</v>
      </c>
      <c r="F2154" s="24"/>
      <c r="G2154" s="20" t="s">
        <v>50</v>
      </c>
    </row>
    <row r="2155" spans="1:11" x14ac:dyDescent="0.2">
      <c r="A2155" s="6"/>
      <c r="B2155" s="178"/>
      <c r="C2155" s="8"/>
      <c r="D2155" s="8"/>
      <c r="E2155" s="920"/>
      <c r="F2155" s="921"/>
      <c r="G2155" s="25"/>
    </row>
    <row r="2156" spans="1:11" ht="26.25" thickBot="1" x14ac:dyDescent="0.25">
      <c r="A2156" s="26" t="s">
        <v>47</v>
      </c>
      <c r="B2156" s="180" t="s">
        <v>23</v>
      </c>
      <c r="C2156" s="28" t="s">
        <v>34</v>
      </c>
      <c r="D2156" s="110" t="s">
        <v>53</v>
      </c>
      <c r="E2156" s="181" t="s">
        <v>54</v>
      </c>
      <c r="F2156" s="111" t="s">
        <v>55</v>
      </c>
      <c r="G2156" s="112" t="s">
        <v>35</v>
      </c>
    </row>
    <row r="2157" spans="1:11" ht="13.5" thickTop="1" x14ac:dyDescent="0.2">
      <c r="A2157" s="364"/>
      <c r="B2157" s="650"/>
      <c r="C2157" s="365"/>
      <c r="D2157" s="455" t="s">
        <v>160</v>
      </c>
      <c r="E2157" s="457"/>
      <c r="F2157" s="456"/>
      <c r="G2157" s="200">
        <f>G2141</f>
        <v>6051.5</v>
      </c>
    </row>
    <row r="2158" spans="1:11" x14ac:dyDescent="0.2">
      <c r="A2158" s="364">
        <v>35</v>
      </c>
      <c r="B2158" s="650"/>
      <c r="C2158" s="371" t="s">
        <v>1938</v>
      </c>
      <c r="D2158" s="366" t="s">
        <v>2617</v>
      </c>
      <c r="E2158" s="77">
        <v>6</v>
      </c>
      <c r="F2158" s="185">
        <v>117</v>
      </c>
      <c r="G2158" s="35">
        <f t="shared" ref="G2158:G2162" si="33">F2158*E2158</f>
        <v>702</v>
      </c>
      <c r="K2158" s="211">
        <v>2890.63</v>
      </c>
    </row>
    <row r="2159" spans="1:11" x14ac:dyDescent="0.2">
      <c r="A2159" s="364">
        <v>36</v>
      </c>
      <c r="B2159" s="650"/>
      <c r="C2159" s="371" t="s">
        <v>149</v>
      </c>
      <c r="D2159" s="458" t="s">
        <v>2618</v>
      </c>
      <c r="E2159" s="77">
        <v>3</v>
      </c>
      <c r="F2159" s="185">
        <v>94</v>
      </c>
      <c r="G2159" s="35">
        <f t="shared" si="33"/>
        <v>282</v>
      </c>
      <c r="K2159" s="211">
        <v>282</v>
      </c>
    </row>
    <row r="2160" spans="1:11" x14ac:dyDescent="0.2">
      <c r="A2160" s="364">
        <v>37</v>
      </c>
      <c r="B2160" s="650"/>
      <c r="C2160" s="371" t="s">
        <v>185</v>
      </c>
      <c r="D2160" s="366" t="s">
        <v>2619</v>
      </c>
      <c r="E2160" s="77">
        <v>48</v>
      </c>
      <c r="F2160" s="5">
        <v>4.5</v>
      </c>
      <c r="G2160" s="35">
        <f t="shared" si="33"/>
        <v>216</v>
      </c>
      <c r="K2160" s="211">
        <v>216</v>
      </c>
    </row>
    <row r="2161" spans="1:11" x14ac:dyDescent="0.2">
      <c r="A2161" s="364">
        <v>38</v>
      </c>
      <c r="B2161" s="650"/>
      <c r="C2161" s="371" t="s">
        <v>185</v>
      </c>
      <c r="D2161" s="366" t="s">
        <v>2620</v>
      </c>
      <c r="E2161" s="77">
        <v>4</v>
      </c>
      <c r="F2161" s="185">
        <v>23</v>
      </c>
      <c r="G2161" s="35">
        <f t="shared" si="33"/>
        <v>92</v>
      </c>
      <c r="K2161" s="437">
        <v>92</v>
      </c>
    </row>
    <row r="2162" spans="1:11" x14ac:dyDescent="0.2">
      <c r="A2162" s="364">
        <v>39</v>
      </c>
      <c r="B2162" s="650"/>
      <c r="C2162" s="371" t="s">
        <v>149</v>
      </c>
      <c r="D2162" s="366" t="s">
        <v>2618</v>
      </c>
      <c r="E2162" s="77">
        <v>1</v>
      </c>
      <c r="F2162" s="185">
        <v>85</v>
      </c>
      <c r="G2162" s="35">
        <f t="shared" si="33"/>
        <v>85</v>
      </c>
      <c r="K2162" s="437">
        <v>85</v>
      </c>
    </row>
    <row r="2163" spans="1:11" x14ac:dyDescent="0.2">
      <c r="A2163" s="364"/>
      <c r="B2163" s="650"/>
      <c r="C2163" s="371"/>
      <c r="D2163" s="366"/>
      <c r="E2163" s="77"/>
      <c r="F2163" s="185"/>
      <c r="G2163" s="35"/>
    </row>
    <row r="2164" spans="1:11" x14ac:dyDescent="0.2">
      <c r="A2164" s="364"/>
      <c r="B2164" s="650"/>
      <c r="C2164" s="371"/>
      <c r="D2164" s="366"/>
      <c r="E2164" s="77"/>
      <c r="F2164" s="185"/>
      <c r="G2164" s="35"/>
    </row>
    <row r="2165" spans="1:11" x14ac:dyDescent="0.2">
      <c r="A2165" s="364"/>
      <c r="B2165" s="651"/>
      <c r="C2165" s="371"/>
      <c r="D2165" s="366"/>
      <c r="E2165" s="457"/>
      <c r="F2165" s="185"/>
      <c r="G2165" s="35"/>
    </row>
    <row r="2166" spans="1:11" x14ac:dyDescent="0.2">
      <c r="A2166" s="364"/>
      <c r="B2166" s="652"/>
      <c r="C2166" s="371"/>
      <c r="D2166" s="366"/>
      <c r="E2166" s="77"/>
      <c r="F2166" s="185"/>
      <c r="G2166" s="35"/>
    </row>
    <row r="2167" spans="1:11" x14ac:dyDescent="0.2">
      <c r="A2167" s="364"/>
      <c r="B2167" s="652"/>
      <c r="C2167" s="371"/>
      <c r="D2167" s="454"/>
      <c r="E2167" s="77"/>
      <c r="F2167" s="163"/>
      <c r="G2167" s="35"/>
    </row>
    <row r="2168" spans="1:11" x14ac:dyDescent="0.2">
      <c r="A2168" s="364"/>
      <c r="B2168" s="652"/>
      <c r="C2168" s="371"/>
      <c r="D2168" s="454"/>
      <c r="E2168" s="77"/>
      <c r="F2168" s="163"/>
      <c r="G2168" s="35"/>
    </row>
    <row r="2169" spans="1:11" x14ac:dyDescent="0.2">
      <c r="A2169" s="364"/>
      <c r="B2169" s="650"/>
      <c r="C2169" s="371"/>
      <c r="D2169" s="454"/>
      <c r="E2169" s="77"/>
      <c r="F2169" s="172"/>
      <c r="G2169" s="35"/>
    </row>
    <row r="2170" spans="1:11" x14ac:dyDescent="0.2">
      <c r="A2170" s="364"/>
      <c r="B2170" s="650"/>
      <c r="C2170" s="371"/>
      <c r="D2170" s="454"/>
      <c r="E2170" s="77"/>
      <c r="F2170" s="173"/>
      <c r="G2170" s="35"/>
    </row>
    <row r="2171" spans="1:11" x14ac:dyDescent="0.2">
      <c r="A2171" s="364"/>
      <c r="B2171" s="650"/>
      <c r="C2171" s="371"/>
      <c r="D2171" s="454"/>
      <c r="E2171" s="77"/>
      <c r="F2171" s="185"/>
      <c r="G2171" s="35"/>
    </row>
    <row r="2172" spans="1:11" x14ac:dyDescent="0.2">
      <c r="A2172" s="364"/>
      <c r="B2172" s="650"/>
      <c r="C2172" s="371"/>
      <c r="D2172" s="454"/>
      <c r="E2172" s="77"/>
      <c r="F2172" s="185"/>
      <c r="G2172" s="35"/>
    </row>
    <row r="2173" spans="1:11" x14ac:dyDescent="0.2">
      <c r="A2173" s="364"/>
      <c r="B2173" s="650"/>
      <c r="C2173" s="371"/>
      <c r="D2173" s="366"/>
      <c r="E2173" s="77"/>
      <c r="F2173" s="185"/>
      <c r="G2173" s="35"/>
    </row>
    <row r="2174" spans="1:11" x14ac:dyDescent="0.2">
      <c r="A2174" s="364"/>
      <c r="B2174" s="650"/>
      <c r="C2174" s="371"/>
      <c r="D2174" s="366"/>
      <c r="E2174" s="77"/>
      <c r="F2174" s="185"/>
      <c r="G2174" s="35"/>
    </row>
    <row r="2175" spans="1:11" x14ac:dyDescent="0.2">
      <c r="A2175" s="364"/>
      <c r="B2175" s="650"/>
      <c r="C2175" s="371"/>
      <c r="D2175" s="366"/>
      <c r="E2175" s="77"/>
      <c r="F2175" s="185"/>
      <c r="G2175" s="35"/>
    </row>
    <row r="2176" spans="1:11" x14ac:dyDescent="0.2">
      <c r="A2176" s="29"/>
      <c r="B2176" s="650"/>
      <c r="C2176" s="41"/>
      <c r="D2176" s="366"/>
      <c r="E2176" s="77"/>
      <c r="F2176" s="163"/>
      <c r="G2176" s="35"/>
    </row>
    <row r="2177" spans="1:7" x14ac:dyDescent="0.2">
      <c r="A2177" s="29"/>
      <c r="B2177" s="650"/>
      <c r="C2177" s="41"/>
      <c r="D2177" s="366"/>
      <c r="E2177" s="77"/>
      <c r="F2177" s="163"/>
      <c r="G2177" s="35"/>
    </row>
    <row r="2178" spans="1:7" x14ac:dyDescent="0.2">
      <c r="A2178" s="29"/>
      <c r="B2178" s="650"/>
      <c r="C2178" s="41"/>
      <c r="D2178" s="454"/>
      <c r="E2178" s="77"/>
      <c r="F2178" s="163"/>
      <c r="G2178" s="35"/>
    </row>
    <row r="2179" spans="1:7" x14ac:dyDescent="0.2">
      <c r="A2179" s="29"/>
      <c r="B2179" s="650"/>
      <c r="C2179" s="41"/>
      <c r="D2179" s="454"/>
      <c r="E2179" s="77"/>
      <c r="F2179" s="163"/>
      <c r="G2179" s="35"/>
    </row>
    <row r="2180" spans="1:7" x14ac:dyDescent="0.2">
      <c r="A2180" s="29"/>
      <c r="B2180" s="650"/>
      <c r="C2180" s="41"/>
      <c r="D2180" s="454"/>
      <c r="E2180" s="77"/>
      <c r="F2180" s="163"/>
      <c r="G2180" s="35"/>
    </row>
    <row r="2181" spans="1:7" x14ac:dyDescent="0.2">
      <c r="A2181" s="29"/>
      <c r="B2181" s="650"/>
      <c r="C2181" s="41"/>
      <c r="D2181" s="454"/>
      <c r="E2181" s="77"/>
      <c r="F2181" s="163"/>
      <c r="G2181" s="35"/>
    </row>
    <row r="2182" spans="1:7" x14ac:dyDescent="0.2">
      <c r="A2182" s="29"/>
      <c r="B2182" s="650"/>
      <c r="C2182" s="41"/>
      <c r="D2182" s="454"/>
      <c r="E2182" s="77"/>
      <c r="F2182" s="163"/>
      <c r="G2182" s="35"/>
    </row>
    <row r="2183" spans="1:7" x14ac:dyDescent="0.2">
      <c r="A2183" s="29"/>
      <c r="B2183" s="650"/>
      <c r="C2183" s="41"/>
      <c r="D2183" s="454"/>
      <c r="E2183" s="77"/>
      <c r="F2183" s="163"/>
      <c r="G2183" s="35"/>
    </row>
    <row r="2184" spans="1:7" x14ac:dyDescent="0.2">
      <c r="A2184" s="29"/>
      <c r="B2184" s="650"/>
      <c r="C2184" s="41"/>
      <c r="D2184" s="454"/>
      <c r="E2184" s="77"/>
      <c r="F2184" s="163"/>
      <c r="G2184" s="35"/>
    </row>
    <row r="2185" spans="1:7" x14ac:dyDescent="0.2">
      <c r="A2185" s="29"/>
      <c r="B2185" s="650"/>
      <c r="C2185" s="41"/>
      <c r="D2185" s="454"/>
      <c r="E2185" s="77"/>
      <c r="F2185" s="163"/>
      <c r="G2185" s="35"/>
    </row>
    <row r="2186" spans="1:7" x14ac:dyDescent="0.2">
      <c r="A2186" s="29"/>
      <c r="B2186" s="650"/>
      <c r="C2186" s="41"/>
      <c r="D2186" s="454"/>
      <c r="E2186" s="77"/>
      <c r="F2186" s="163"/>
      <c r="G2186" s="35"/>
    </row>
    <row r="2187" spans="1:7" x14ac:dyDescent="0.2">
      <c r="A2187" s="29"/>
      <c r="B2187" s="650"/>
      <c r="C2187" s="41"/>
      <c r="D2187" s="454"/>
      <c r="E2187" s="77"/>
      <c r="F2187" s="163"/>
      <c r="G2187" s="35"/>
    </row>
    <row r="2188" spans="1:7" x14ac:dyDescent="0.2">
      <c r="A2188" s="29"/>
      <c r="B2188" s="650"/>
      <c r="C2188" s="41"/>
      <c r="D2188" s="454"/>
      <c r="E2188" s="77"/>
      <c r="F2188" s="172"/>
      <c r="G2188" s="35"/>
    </row>
    <row r="2189" spans="1:7" x14ac:dyDescent="0.2">
      <c r="A2189" s="29"/>
      <c r="B2189" s="650"/>
      <c r="C2189" s="41"/>
      <c r="D2189" s="454"/>
      <c r="E2189" s="77"/>
      <c r="F2189" s="173"/>
      <c r="G2189" s="35"/>
    </row>
    <row r="2190" spans="1:7" x14ac:dyDescent="0.2">
      <c r="A2190" s="29"/>
      <c r="B2190" s="650"/>
      <c r="C2190" s="41"/>
      <c r="D2190" s="454"/>
      <c r="E2190" s="77"/>
      <c r="F2190" s="173"/>
      <c r="G2190" s="35" t="s">
        <v>8</v>
      </c>
    </row>
    <row r="2191" spans="1:7" ht="13.5" thickBot="1" x14ac:dyDescent="0.25">
      <c r="A2191" s="45"/>
      <c r="B2191" s="188"/>
      <c r="C2191" s="47" t="s">
        <v>8</v>
      </c>
      <c r="D2191" s="66" t="s">
        <v>8</v>
      </c>
      <c r="E2191" s="188"/>
      <c r="F2191" s="49" t="s">
        <v>15</v>
      </c>
      <c r="G2191" s="50">
        <f>SUM(G2157:G2190)</f>
        <v>7428.5</v>
      </c>
    </row>
    <row r="2192" spans="1:7" ht="13.5" thickTop="1" x14ac:dyDescent="0.2">
      <c r="A2192" s="963" t="s">
        <v>2624</v>
      </c>
      <c r="B2192" s="964"/>
      <c r="C2192" s="964"/>
      <c r="D2192" s="964"/>
      <c r="E2192" s="964"/>
      <c r="F2192" s="964"/>
      <c r="G2192" s="965"/>
    </row>
    <row r="2193" spans="1:13" ht="13.5" thickBot="1" x14ac:dyDescent="0.25">
      <c r="A2193" s="378"/>
      <c r="B2193" s="374"/>
      <c r="C2193" s="374" t="s">
        <v>2625</v>
      </c>
      <c r="D2193" s="379"/>
      <c r="E2193" s="374"/>
      <c r="F2193" s="380"/>
      <c r="G2193" s="381"/>
    </row>
    <row r="2194" spans="1:13" ht="13.5" thickTop="1" x14ac:dyDescent="0.2">
      <c r="A2194" s="906" t="s">
        <v>8</v>
      </c>
      <c r="B2194" s="907"/>
      <c r="C2194" s="907"/>
      <c r="D2194" s="57" t="s">
        <v>11</v>
      </c>
      <c r="E2194" s="908" t="s">
        <v>12</v>
      </c>
      <c r="F2194" s="908"/>
      <c r="G2194" s="909"/>
    </row>
    <row r="2195" spans="1:13" x14ac:dyDescent="0.2">
      <c r="A2195" s="966" t="s">
        <v>17</v>
      </c>
      <c r="B2195" s="967"/>
      <c r="C2195" s="968"/>
      <c r="D2195" s="39"/>
      <c r="E2195" s="912"/>
      <c r="F2195" s="913"/>
      <c r="G2195" s="914"/>
    </row>
    <row r="2196" spans="1:13" x14ac:dyDescent="0.2">
      <c r="A2196" s="966" t="s">
        <v>38</v>
      </c>
      <c r="B2196" s="967"/>
      <c r="C2196" s="968"/>
      <c r="D2196" s="58" t="s">
        <v>308</v>
      </c>
      <c r="E2196" s="969" t="s">
        <v>142</v>
      </c>
      <c r="F2196" s="868"/>
      <c r="G2196" s="869"/>
    </row>
    <row r="2197" spans="1:13" ht="13.5" thickBot="1" x14ac:dyDescent="0.25">
      <c r="A2197" s="970" t="s">
        <v>39</v>
      </c>
      <c r="B2197" s="971"/>
      <c r="C2197" s="972"/>
      <c r="D2197" s="375" t="s">
        <v>1038</v>
      </c>
      <c r="E2197" s="904" t="s">
        <v>0</v>
      </c>
      <c r="F2197" s="904"/>
      <c r="G2197" s="905"/>
    </row>
    <row r="2198" spans="1:13" ht="16.5" x14ac:dyDescent="0.25">
      <c r="A2198" s="885" t="s">
        <v>29</v>
      </c>
      <c r="B2198" s="886"/>
      <c r="C2198" s="886"/>
      <c r="D2198" s="886"/>
      <c r="E2198" s="886"/>
      <c r="F2198" s="886"/>
      <c r="G2198" s="887"/>
    </row>
    <row r="2199" spans="1:13" x14ac:dyDescent="0.2">
      <c r="A2199" s="888" t="s">
        <v>48</v>
      </c>
      <c r="B2199" s="889"/>
      <c r="C2199" s="889"/>
      <c r="D2199" s="889"/>
      <c r="E2199" s="889"/>
      <c r="F2199" s="889"/>
      <c r="G2199" s="890"/>
    </row>
    <row r="2200" spans="1:13" x14ac:dyDescent="0.2">
      <c r="A2200" s="915" t="s">
        <v>49</v>
      </c>
      <c r="B2200" s="916"/>
      <c r="C2200" s="916"/>
      <c r="D2200" s="916"/>
      <c r="E2200" s="916"/>
      <c r="F2200" s="916"/>
      <c r="G2200" s="917"/>
    </row>
    <row r="2201" spans="1:13" x14ac:dyDescent="0.2">
      <c r="A2201" s="6"/>
      <c r="B2201" s="178"/>
      <c r="C2201" s="8"/>
      <c r="D2201" s="9"/>
      <c r="E2201" s="99"/>
      <c r="F2201" s="10"/>
      <c r="G2201" s="392" t="s">
        <v>20</v>
      </c>
    </row>
    <row r="2202" spans="1:13" x14ac:dyDescent="0.2">
      <c r="A2202" s="12" t="s">
        <v>1</v>
      </c>
      <c r="B2202" s="13"/>
      <c r="C2202" s="14" t="s">
        <v>5</v>
      </c>
      <c r="D2202" s="13"/>
      <c r="E2202" s="362" t="s">
        <v>2655</v>
      </c>
      <c r="F2202" s="60"/>
      <c r="G2202" s="363" t="s">
        <v>2644</v>
      </c>
    </row>
    <row r="2203" spans="1:13" x14ac:dyDescent="0.2">
      <c r="A2203" s="17" t="s">
        <v>8</v>
      </c>
      <c r="B2203" s="179"/>
      <c r="C2203" s="19"/>
      <c r="D2203" s="4"/>
      <c r="E2203" s="918"/>
      <c r="F2203" s="919"/>
      <c r="G2203" s="20"/>
    </row>
    <row r="2204" spans="1:13" x14ac:dyDescent="0.2">
      <c r="A2204" s="21" t="s">
        <v>37</v>
      </c>
      <c r="B2204" s="22"/>
      <c r="C2204" s="22"/>
      <c r="D2204" s="22"/>
      <c r="E2204" s="23" t="s">
        <v>46</v>
      </c>
      <c r="F2204" s="24"/>
      <c r="G2204" s="20" t="s">
        <v>50</v>
      </c>
    </row>
    <row r="2205" spans="1:13" x14ac:dyDescent="0.2">
      <c r="A2205" s="6"/>
      <c r="B2205" s="178"/>
      <c r="C2205" s="8"/>
      <c r="D2205" s="8"/>
      <c r="E2205" s="920"/>
      <c r="F2205" s="921"/>
      <c r="G2205" s="25"/>
    </row>
    <row r="2206" spans="1:13" ht="26.25" thickBot="1" x14ac:dyDescent="0.25">
      <c r="A2206" s="26" t="s">
        <v>47</v>
      </c>
      <c r="B2206" s="180" t="s">
        <v>23</v>
      </c>
      <c r="C2206" s="28" t="s">
        <v>34</v>
      </c>
      <c r="D2206" s="110" t="s">
        <v>53</v>
      </c>
      <c r="E2206" s="181" t="s">
        <v>54</v>
      </c>
      <c r="F2206" s="111" t="s">
        <v>55</v>
      </c>
      <c r="G2206" s="112" t="s">
        <v>35</v>
      </c>
    </row>
    <row r="2207" spans="1:13" ht="13.5" thickTop="1" x14ac:dyDescent="0.2">
      <c r="A2207" s="364">
        <v>1</v>
      </c>
      <c r="B2207" s="75"/>
      <c r="C2207" s="365" t="s">
        <v>149</v>
      </c>
      <c r="D2207" s="366" t="s">
        <v>2646</v>
      </c>
      <c r="E2207" s="457">
        <v>1</v>
      </c>
      <c r="F2207" s="456">
        <v>80</v>
      </c>
      <c r="G2207" s="35">
        <f>F2207*E2207</f>
        <v>80</v>
      </c>
      <c r="K2207" s="2">
        <v>0.375</v>
      </c>
      <c r="L2207" s="211">
        <v>106</v>
      </c>
      <c r="M2207" s="164">
        <f>L2207*K2207</f>
        <v>39.75</v>
      </c>
    </row>
    <row r="2208" spans="1:13" x14ac:dyDescent="0.2">
      <c r="A2208" s="364">
        <v>2</v>
      </c>
      <c r="B2208" s="75"/>
      <c r="C2208" s="371" t="s">
        <v>1923</v>
      </c>
      <c r="D2208" s="366" t="s">
        <v>2647</v>
      </c>
      <c r="E2208" s="653">
        <v>0.85</v>
      </c>
      <c r="F2208" s="185">
        <v>106</v>
      </c>
      <c r="G2208" s="35">
        <f t="shared" ref="G2208:G2216" si="34">F2208*E2208</f>
        <v>90.1</v>
      </c>
      <c r="K2208" s="2">
        <v>0.22</v>
      </c>
      <c r="L2208" s="211">
        <v>106</v>
      </c>
      <c r="M2208" s="164">
        <f t="shared" ref="M2208:M2209" si="35">L2208*K2208</f>
        <v>23.32</v>
      </c>
    </row>
    <row r="2209" spans="1:13" x14ac:dyDescent="0.2">
      <c r="A2209" s="364">
        <v>3</v>
      </c>
      <c r="B2209" s="75"/>
      <c r="C2209" s="371" t="s">
        <v>1923</v>
      </c>
      <c r="D2209" s="458" t="s">
        <v>2475</v>
      </c>
      <c r="E2209" s="653">
        <v>0.94</v>
      </c>
      <c r="F2209" s="185">
        <v>300</v>
      </c>
      <c r="G2209" s="35">
        <f t="shared" si="34"/>
        <v>282</v>
      </c>
      <c r="K2209" s="2">
        <v>0.255</v>
      </c>
      <c r="L2209" s="211">
        <v>106</v>
      </c>
      <c r="M2209" s="164">
        <f t="shared" si="35"/>
        <v>27.03</v>
      </c>
    </row>
    <row r="2210" spans="1:13" x14ac:dyDescent="0.2">
      <c r="A2210" s="364">
        <v>4</v>
      </c>
      <c r="B2210" s="75"/>
      <c r="C2210" s="371" t="s">
        <v>1923</v>
      </c>
      <c r="D2210" s="366" t="s">
        <v>2141</v>
      </c>
      <c r="E2210" s="653">
        <v>1</v>
      </c>
      <c r="F2210" s="5">
        <v>198.5</v>
      </c>
      <c r="G2210" s="35">
        <f t="shared" si="34"/>
        <v>198.5</v>
      </c>
      <c r="K2210" s="340">
        <f>SUM(K2207:K2209)</f>
        <v>0.85</v>
      </c>
      <c r="L2210" s="340"/>
      <c r="M2210" s="463">
        <f>SUM(M2207:M2209)</f>
        <v>90.1</v>
      </c>
    </row>
    <row r="2211" spans="1:13" x14ac:dyDescent="0.2">
      <c r="A2211" s="364">
        <v>5</v>
      </c>
      <c r="B2211" s="75"/>
      <c r="C2211" s="371" t="s">
        <v>1923</v>
      </c>
      <c r="D2211" s="366" t="s">
        <v>2478</v>
      </c>
      <c r="E2211" s="77">
        <v>1.7450000000000001</v>
      </c>
      <c r="F2211" s="185">
        <v>142</v>
      </c>
      <c r="G2211" s="35">
        <f t="shared" si="34"/>
        <v>247.79000000000002</v>
      </c>
    </row>
    <row r="2212" spans="1:13" x14ac:dyDescent="0.2">
      <c r="A2212" s="364">
        <v>6</v>
      </c>
      <c r="B2212" s="75"/>
      <c r="C2212" s="371" t="s">
        <v>149</v>
      </c>
      <c r="D2212" s="366" t="s">
        <v>2142</v>
      </c>
      <c r="E2212" s="77">
        <v>2</v>
      </c>
      <c r="F2212" s="185">
        <v>138</v>
      </c>
      <c r="G2212" s="35">
        <f t="shared" si="34"/>
        <v>276</v>
      </c>
      <c r="K2212" s="430">
        <v>0.13</v>
      </c>
      <c r="L2212" s="437">
        <v>300</v>
      </c>
      <c r="M2212" s="164">
        <f>L2212*K2212</f>
        <v>39</v>
      </c>
    </row>
    <row r="2213" spans="1:13" x14ac:dyDescent="0.2">
      <c r="A2213" s="364">
        <v>7</v>
      </c>
      <c r="B2213" s="75"/>
      <c r="C2213" s="371" t="s">
        <v>149</v>
      </c>
      <c r="D2213" s="366" t="s">
        <v>2612</v>
      </c>
      <c r="E2213" s="77">
        <v>2</v>
      </c>
      <c r="F2213" s="185">
        <v>120</v>
      </c>
      <c r="G2213" s="35">
        <f t="shared" si="34"/>
        <v>240</v>
      </c>
      <c r="K2213" s="430">
        <v>0.22</v>
      </c>
      <c r="L2213" s="437">
        <v>300</v>
      </c>
      <c r="M2213" s="164">
        <f t="shared" ref="M2213:M2215" si="36">L2213*K2213</f>
        <v>66</v>
      </c>
    </row>
    <row r="2214" spans="1:13" x14ac:dyDescent="0.2">
      <c r="A2214" s="364">
        <v>8</v>
      </c>
      <c r="B2214" s="75"/>
      <c r="C2214" s="371" t="s">
        <v>149</v>
      </c>
      <c r="D2214" s="366" t="s">
        <v>2648</v>
      </c>
      <c r="E2214" s="77">
        <v>1</v>
      </c>
      <c r="F2214" s="185">
        <v>137</v>
      </c>
      <c r="G2214" s="35">
        <f t="shared" si="34"/>
        <v>137</v>
      </c>
      <c r="H2214" s="212">
        <f>SUM(G2207:G2214)</f>
        <v>1551.39</v>
      </c>
      <c r="I2214" s="212"/>
      <c r="J2214" s="212"/>
      <c r="K2214" s="430">
        <v>0.23499999999999999</v>
      </c>
      <c r="L2214" s="437">
        <v>300</v>
      </c>
      <c r="M2214" s="164">
        <f t="shared" si="36"/>
        <v>70.5</v>
      </c>
    </row>
    <row r="2215" spans="1:13" x14ac:dyDescent="0.2">
      <c r="A2215" s="364">
        <v>9</v>
      </c>
      <c r="B2215" s="186"/>
      <c r="C2215" s="371" t="s">
        <v>2008</v>
      </c>
      <c r="D2215" s="366" t="s">
        <v>2293</v>
      </c>
      <c r="E2215" s="457">
        <v>2</v>
      </c>
      <c r="F2215" s="185">
        <v>1450</v>
      </c>
      <c r="G2215" s="35">
        <f t="shared" si="34"/>
        <v>2900</v>
      </c>
      <c r="H2215" s="212">
        <f>G2215</f>
        <v>2900</v>
      </c>
      <c r="I2215" s="212"/>
      <c r="J2215" s="212"/>
      <c r="K2215" s="430">
        <v>0.35499999999999998</v>
      </c>
      <c r="L2215" s="437">
        <v>300</v>
      </c>
      <c r="M2215" s="164">
        <f t="shared" si="36"/>
        <v>106.5</v>
      </c>
    </row>
    <row r="2216" spans="1:13" x14ac:dyDescent="0.2">
      <c r="A2216" s="364">
        <v>10</v>
      </c>
      <c r="B2216" s="74"/>
      <c r="C2216" s="371" t="s">
        <v>185</v>
      </c>
      <c r="D2216" s="366" t="s">
        <v>2137</v>
      </c>
      <c r="E2216" s="77">
        <v>1</v>
      </c>
      <c r="F2216" s="185">
        <v>130</v>
      </c>
      <c r="G2216" s="35">
        <f t="shared" si="34"/>
        <v>130</v>
      </c>
      <c r="H2216" s="212">
        <f>G2216</f>
        <v>130</v>
      </c>
      <c r="I2216" s="212"/>
      <c r="J2216" s="212"/>
      <c r="K2216" s="340">
        <f>SUM(K2212:K2215)</f>
        <v>0.94</v>
      </c>
      <c r="L2216" s="340"/>
      <c r="M2216" s="463">
        <f>SUM(M2212:M2215)</f>
        <v>282</v>
      </c>
    </row>
    <row r="2217" spans="1:13" x14ac:dyDescent="0.2">
      <c r="A2217" s="364"/>
      <c r="B2217" s="74"/>
      <c r="C2217" s="371"/>
      <c r="D2217" s="454"/>
      <c r="E2217" s="84"/>
      <c r="F2217" s="163"/>
      <c r="G2217" s="35"/>
    </row>
    <row r="2218" spans="1:13" x14ac:dyDescent="0.2">
      <c r="A2218" s="364"/>
      <c r="B2218" s="74"/>
      <c r="C2218" s="371"/>
      <c r="D2218" s="454"/>
      <c r="E2218" s="84"/>
      <c r="F2218" s="163"/>
      <c r="G2218" s="35"/>
      <c r="K2218" s="430">
        <v>0.59499999999999997</v>
      </c>
      <c r="L2218" s="437">
        <v>142</v>
      </c>
      <c r="M2218" s="164">
        <f>L2218*K2218</f>
        <v>84.49</v>
      </c>
    </row>
    <row r="2219" spans="1:13" x14ac:dyDescent="0.2">
      <c r="A2219" s="364"/>
      <c r="B2219" s="75"/>
      <c r="C2219" s="371"/>
      <c r="D2219" s="454"/>
      <c r="E2219" s="84"/>
      <c r="F2219" s="172"/>
      <c r="G2219" s="35"/>
      <c r="K2219" s="430">
        <v>0.6</v>
      </c>
      <c r="L2219" s="437">
        <v>142</v>
      </c>
      <c r="M2219" s="164">
        <f t="shared" ref="M2219:M2220" si="37">L2219*K2219</f>
        <v>85.2</v>
      </c>
    </row>
    <row r="2220" spans="1:13" x14ac:dyDescent="0.2">
      <c r="A2220" s="364"/>
      <c r="B2220" s="75"/>
      <c r="C2220" s="371"/>
      <c r="D2220" s="454"/>
      <c r="E2220" s="654"/>
      <c r="F2220" s="173"/>
      <c r="G2220" s="35"/>
      <c r="K2220" s="430">
        <v>0.55000000000000004</v>
      </c>
      <c r="L2220" s="437">
        <v>142</v>
      </c>
      <c r="M2220" s="164">
        <f t="shared" si="37"/>
        <v>78.100000000000009</v>
      </c>
    </row>
    <row r="2221" spans="1:13" x14ac:dyDescent="0.2">
      <c r="A2221" s="364"/>
      <c r="B2221" s="75"/>
      <c r="C2221" s="371"/>
      <c r="D2221" s="454"/>
      <c r="E2221" s="653"/>
      <c r="F2221" s="185"/>
      <c r="G2221" s="35"/>
      <c r="K2221" s="340">
        <f>SUM(K2218:K2220)</f>
        <v>1.7449999999999999</v>
      </c>
      <c r="L2221" s="340"/>
      <c r="M2221" s="463">
        <f>SUM(M2218:M2220)</f>
        <v>247.79000000000002</v>
      </c>
    </row>
    <row r="2222" spans="1:13" x14ac:dyDescent="0.2">
      <c r="A2222" s="364"/>
      <c r="B2222" s="75"/>
      <c r="C2222" s="371"/>
      <c r="D2222" s="454"/>
      <c r="E2222" s="653"/>
      <c r="F2222" s="185"/>
      <c r="G2222" s="35"/>
    </row>
    <row r="2223" spans="1:13" x14ac:dyDescent="0.2">
      <c r="A2223" s="364"/>
      <c r="B2223" s="75"/>
      <c r="C2223" s="371"/>
      <c r="D2223" s="366"/>
      <c r="E2223" s="77"/>
      <c r="F2223" s="185"/>
      <c r="G2223" s="35"/>
    </row>
    <row r="2224" spans="1:13" x14ac:dyDescent="0.2">
      <c r="A2224" s="364"/>
      <c r="B2224" s="75"/>
      <c r="C2224" s="371"/>
      <c r="D2224" s="366"/>
      <c r="E2224" s="653"/>
      <c r="F2224" s="185"/>
      <c r="G2224" s="35"/>
    </row>
    <row r="2225" spans="1:14" x14ac:dyDescent="0.2">
      <c r="A2225" s="364"/>
      <c r="B2225" s="75"/>
      <c r="C2225" s="371"/>
      <c r="D2225" s="366"/>
      <c r="E2225" s="77"/>
      <c r="F2225" s="185"/>
      <c r="G2225" s="35"/>
    </row>
    <row r="2226" spans="1:14" x14ac:dyDescent="0.2">
      <c r="A2226" s="364"/>
      <c r="B2226" s="75"/>
      <c r="C2226" s="371"/>
      <c r="D2226" s="366"/>
      <c r="E2226" s="84"/>
      <c r="F2226" s="163"/>
      <c r="G2226" s="35"/>
    </row>
    <row r="2227" spans="1:14" x14ac:dyDescent="0.2">
      <c r="A2227" s="364"/>
      <c r="B2227" s="75"/>
      <c r="C2227" s="371"/>
      <c r="D2227" s="366"/>
      <c r="E2227" s="84"/>
      <c r="F2227" s="163"/>
      <c r="G2227" s="35"/>
    </row>
    <row r="2228" spans="1:14" x14ac:dyDescent="0.2">
      <c r="A2228" s="364"/>
      <c r="B2228" s="75"/>
      <c r="C2228" s="371"/>
      <c r="D2228" s="454"/>
      <c r="E2228" s="654"/>
      <c r="F2228" s="163"/>
      <c r="G2228" s="35"/>
    </row>
    <row r="2229" spans="1:14" x14ac:dyDescent="0.2">
      <c r="A2229" s="364"/>
      <c r="B2229" s="75"/>
      <c r="C2229" s="371"/>
      <c r="D2229" s="454"/>
      <c r="E2229" s="654"/>
      <c r="F2229" s="163"/>
      <c r="G2229" s="35"/>
    </row>
    <row r="2230" spans="1:14" x14ac:dyDescent="0.2">
      <c r="A2230" s="364"/>
      <c r="B2230" s="75"/>
      <c r="C2230" s="371"/>
      <c r="D2230" s="454"/>
      <c r="E2230" s="654"/>
      <c r="F2230" s="163"/>
      <c r="G2230" s="35"/>
      <c r="N2230" s="2">
        <v>130</v>
      </c>
    </row>
    <row r="2231" spans="1:14" x14ac:dyDescent="0.2">
      <c r="A2231" s="364"/>
      <c r="B2231" s="75"/>
      <c r="C2231" s="371"/>
      <c r="D2231" s="454"/>
      <c r="E2231" s="654"/>
      <c r="F2231" s="163"/>
      <c r="G2231" s="35"/>
    </row>
    <row r="2232" spans="1:14" x14ac:dyDescent="0.2">
      <c r="A2232" s="364"/>
      <c r="B2232" s="75"/>
      <c r="C2232" s="371"/>
      <c r="D2232" s="454"/>
      <c r="E2232" s="84"/>
      <c r="F2232" s="163"/>
      <c r="G2232" s="35"/>
    </row>
    <row r="2233" spans="1:14" x14ac:dyDescent="0.2">
      <c r="A2233" s="364"/>
      <c r="B2233" s="75"/>
      <c r="C2233" s="371"/>
      <c r="D2233" s="454"/>
      <c r="E2233" s="84"/>
      <c r="F2233" s="163"/>
      <c r="G2233" s="35"/>
    </row>
    <row r="2234" spans="1:14" x14ac:dyDescent="0.2">
      <c r="A2234" s="364"/>
      <c r="B2234" s="75"/>
      <c r="C2234" s="371"/>
      <c r="D2234" s="454"/>
      <c r="E2234" s="84"/>
      <c r="F2234" s="163"/>
      <c r="G2234" s="35"/>
      <c r="K2234" s="211">
        <v>1551.39</v>
      </c>
    </row>
    <row r="2235" spans="1:14" x14ac:dyDescent="0.2">
      <c r="A2235" s="364"/>
      <c r="B2235" s="75"/>
      <c r="C2235" s="371"/>
      <c r="D2235" s="454"/>
      <c r="E2235" s="84"/>
      <c r="F2235" s="163"/>
      <c r="G2235" s="35"/>
      <c r="K2235" s="211">
        <f>3*19.75</f>
        <v>59.25</v>
      </c>
    </row>
    <row r="2236" spans="1:14" x14ac:dyDescent="0.2">
      <c r="A2236" s="364"/>
      <c r="B2236" s="75"/>
      <c r="C2236" s="371"/>
      <c r="D2236" s="454"/>
      <c r="E2236" s="84"/>
      <c r="F2236" s="163"/>
      <c r="G2236" s="35"/>
      <c r="K2236" s="211">
        <f>8*28.75</f>
        <v>230</v>
      </c>
    </row>
    <row r="2237" spans="1:14" x14ac:dyDescent="0.2">
      <c r="A2237" s="364"/>
      <c r="B2237" s="75"/>
      <c r="C2237" s="371"/>
      <c r="D2237" s="454"/>
      <c r="E2237" s="654"/>
      <c r="F2237" s="163"/>
      <c r="G2237" s="35"/>
      <c r="K2237" s="211"/>
    </row>
    <row r="2238" spans="1:14" x14ac:dyDescent="0.2">
      <c r="A2238" s="364"/>
      <c r="B2238" s="75"/>
      <c r="C2238" s="371"/>
      <c r="D2238" s="454"/>
      <c r="E2238" s="84"/>
      <c r="F2238" s="172"/>
      <c r="G2238" s="35"/>
      <c r="K2238" s="212">
        <f>SUM(K2234:K2237)</f>
        <v>1840.64</v>
      </c>
    </row>
    <row r="2239" spans="1:14" x14ac:dyDescent="0.2">
      <c r="A2239" s="364"/>
      <c r="B2239" s="75"/>
      <c r="C2239" s="371"/>
      <c r="D2239" s="454"/>
      <c r="E2239" s="84"/>
      <c r="F2239" s="173"/>
      <c r="G2239" s="35"/>
      <c r="K2239" s="211">
        <v>2900</v>
      </c>
    </row>
    <row r="2240" spans="1:14" x14ac:dyDescent="0.2">
      <c r="A2240" s="364"/>
      <c r="B2240" s="75"/>
      <c r="C2240" s="371"/>
      <c r="D2240" s="454"/>
      <c r="E2240" s="84"/>
      <c r="F2240" s="173"/>
      <c r="G2240" s="35"/>
      <c r="K2240" s="211">
        <v>130</v>
      </c>
    </row>
    <row r="2241" spans="1:13" ht="13.5" thickBot="1" x14ac:dyDescent="0.25">
      <c r="A2241" s="45"/>
      <c r="B2241" s="188"/>
      <c r="C2241" s="47" t="s">
        <v>8</v>
      </c>
      <c r="D2241" s="66" t="s">
        <v>8</v>
      </c>
      <c r="E2241" s="188"/>
      <c r="F2241" s="49" t="s">
        <v>15</v>
      </c>
      <c r="G2241" s="50">
        <f>SUM(G2207:G2240)</f>
        <v>4581.3900000000003</v>
      </c>
      <c r="K2241" s="212">
        <f>SUM(K2238:K2240)</f>
        <v>4870.6400000000003</v>
      </c>
      <c r="M2241" s="164"/>
    </row>
    <row r="2242" spans="1:13" ht="13.5" thickTop="1" x14ac:dyDescent="0.2">
      <c r="A2242" s="963" t="s">
        <v>2649</v>
      </c>
      <c r="B2242" s="964"/>
      <c r="C2242" s="964"/>
      <c r="D2242" s="964"/>
      <c r="E2242" s="964"/>
      <c r="F2242" s="964"/>
      <c r="G2242" s="965"/>
    </row>
    <row r="2243" spans="1:13" ht="13.5" thickBot="1" x14ac:dyDescent="0.25">
      <c r="A2243" s="378"/>
      <c r="B2243" s="374"/>
      <c r="C2243" s="374" t="s">
        <v>8</v>
      </c>
      <c r="D2243" s="379"/>
      <c r="E2243" s="374"/>
      <c r="F2243" s="380"/>
      <c r="G2243" s="381"/>
    </row>
    <row r="2244" spans="1:13" ht="13.5" thickTop="1" x14ac:dyDescent="0.2">
      <c r="A2244" s="906" t="s">
        <v>8</v>
      </c>
      <c r="B2244" s="907"/>
      <c r="C2244" s="907"/>
      <c r="D2244" s="57" t="s">
        <v>11</v>
      </c>
      <c r="E2244" s="908" t="s">
        <v>12</v>
      </c>
      <c r="F2244" s="908"/>
      <c r="G2244" s="909"/>
    </row>
    <row r="2245" spans="1:13" x14ac:dyDescent="0.2">
      <c r="A2245" s="966" t="s">
        <v>17</v>
      </c>
      <c r="B2245" s="967"/>
      <c r="C2245" s="968"/>
      <c r="D2245" s="39"/>
      <c r="E2245" s="912"/>
      <c r="F2245" s="913"/>
      <c r="G2245" s="914"/>
    </row>
    <row r="2246" spans="1:13" x14ac:dyDescent="0.2">
      <c r="A2246" s="966" t="s">
        <v>38</v>
      </c>
      <c r="B2246" s="967"/>
      <c r="C2246" s="968"/>
      <c r="D2246" s="58" t="s">
        <v>308</v>
      </c>
      <c r="E2246" s="969" t="s">
        <v>142</v>
      </c>
      <c r="F2246" s="868"/>
      <c r="G2246" s="869"/>
    </row>
    <row r="2247" spans="1:13" ht="13.5" thickBot="1" x14ac:dyDescent="0.25">
      <c r="A2247" s="970" t="s">
        <v>39</v>
      </c>
      <c r="B2247" s="971"/>
      <c r="C2247" s="972"/>
      <c r="D2247" s="375" t="s">
        <v>1038</v>
      </c>
      <c r="E2247" s="904" t="s">
        <v>0</v>
      </c>
      <c r="F2247" s="904"/>
      <c r="G2247" s="905"/>
    </row>
    <row r="2248" spans="1:13" ht="16.5" x14ac:dyDescent="0.25">
      <c r="A2248" s="885" t="s">
        <v>29</v>
      </c>
      <c r="B2248" s="886"/>
      <c r="C2248" s="886"/>
      <c r="D2248" s="886"/>
      <c r="E2248" s="886"/>
      <c r="F2248" s="886"/>
      <c r="G2248" s="887"/>
    </row>
    <row r="2249" spans="1:13" x14ac:dyDescent="0.2">
      <c r="A2249" s="888" t="s">
        <v>48</v>
      </c>
      <c r="B2249" s="889"/>
      <c r="C2249" s="889"/>
      <c r="D2249" s="889"/>
      <c r="E2249" s="889"/>
      <c r="F2249" s="889"/>
      <c r="G2249" s="890"/>
    </row>
    <row r="2250" spans="1:13" x14ac:dyDescent="0.2">
      <c r="A2250" s="915" t="s">
        <v>49</v>
      </c>
      <c r="B2250" s="916"/>
      <c r="C2250" s="916"/>
      <c r="D2250" s="916"/>
      <c r="E2250" s="916"/>
      <c r="F2250" s="916"/>
      <c r="G2250" s="917"/>
    </row>
    <row r="2251" spans="1:13" x14ac:dyDescent="0.2">
      <c r="A2251" s="6"/>
      <c r="B2251" s="178"/>
      <c r="C2251" s="8"/>
      <c r="D2251" s="9"/>
      <c r="E2251" s="99"/>
      <c r="F2251" s="10"/>
      <c r="G2251" s="392" t="s">
        <v>20</v>
      </c>
    </row>
    <row r="2252" spans="1:13" x14ac:dyDescent="0.2">
      <c r="A2252" s="12" t="s">
        <v>1</v>
      </c>
      <c r="B2252" s="13"/>
      <c r="C2252" s="14" t="s">
        <v>5</v>
      </c>
      <c r="D2252" s="13"/>
      <c r="E2252" s="362" t="s">
        <v>2710</v>
      </c>
      <c r="F2252" s="60"/>
      <c r="G2252" s="363" t="s">
        <v>2677</v>
      </c>
    </row>
    <row r="2253" spans="1:13" x14ac:dyDescent="0.2">
      <c r="A2253" s="17" t="s">
        <v>8</v>
      </c>
      <c r="B2253" s="179"/>
      <c r="C2253" s="19"/>
      <c r="D2253" s="4"/>
      <c r="E2253" s="918"/>
      <c r="F2253" s="919"/>
      <c r="G2253" s="20"/>
    </row>
    <row r="2254" spans="1:13" x14ac:dyDescent="0.2">
      <c r="A2254" s="21" t="s">
        <v>37</v>
      </c>
      <c r="B2254" s="22"/>
      <c r="C2254" s="22"/>
      <c r="D2254" s="22"/>
      <c r="E2254" s="23" t="s">
        <v>46</v>
      </c>
      <c r="F2254" s="24"/>
      <c r="G2254" s="20" t="s">
        <v>50</v>
      </c>
    </row>
    <row r="2255" spans="1:13" x14ac:dyDescent="0.2">
      <c r="A2255" s="6"/>
      <c r="B2255" s="178"/>
      <c r="C2255" s="8"/>
      <c r="D2255" s="8"/>
      <c r="E2255" s="920"/>
      <c r="F2255" s="921"/>
      <c r="G2255" s="25"/>
    </row>
    <row r="2256" spans="1:13" ht="26.25" thickBot="1" x14ac:dyDescent="0.25">
      <c r="A2256" s="26" t="s">
        <v>47</v>
      </c>
      <c r="B2256" s="180" t="s">
        <v>23</v>
      </c>
      <c r="C2256" s="28" t="s">
        <v>34</v>
      </c>
      <c r="D2256" s="110" t="s">
        <v>53</v>
      </c>
      <c r="E2256" s="181" t="s">
        <v>54</v>
      </c>
      <c r="F2256" s="111" t="s">
        <v>55</v>
      </c>
      <c r="G2256" s="112" t="s">
        <v>35</v>
      </c>
    </row>
    <row r="2257" spans="1:14" ht="13.5" thickTop="1" x14ac:dyDescent="0.2">
      <c r="A2257" s="364">
        <v>1</v>
      </c>
      <c r="B2257" s="75"/>
      <c r="C2257" s="365" t="s">
        <v>153</v>
      </c>
      <c r="D2257" s="366" t="s">
        <v>2525</v>
      </c>
      <c r="E2257" s="457">
        <v>3</v>
      </c>
      <c r="F2257" s="456">
        <v>170</v>
      </c>
      <c r="G2257" s="35">
        <f>F2257*E2257</f>
        <v>510</v>
      </c>
      <c r="H2257" s="212">
        <f>G2257</f>
        <v>510</v>
      </c>
      <c r="I2257" s="212"/>
      <c r="J2257" s="661"/>
    </row>
    <row r="2258" spans="1:14" x14ac:dyDescent="0.2">
      <c r="A2258" s="364">
        <f>A2257+1</f>
        <v>2</v>
      </c>
      <c r="B2258" s="75"/>
      <c r="C2258" s="371" t="s">
        <v>1923</v>
      </c>
      <c r="D2258" s="366" t="s">
        <v>2123</v>
      </c>
      <c r="E2258" s="653">
        <v>0.66666999999999998</v>
      </c>
      <c r="F2258" s="185">
        <v>180</v>
      </c>
      <c r="G2258" s="35">
        <f t="shared" ref="G2258:G2284" si="38">F2258*E2258</f>
        <v>120.00059999999999</v>
      </c>
      <c r="H2258" s="212">
        <f>G2258</f>
        <v>120.00059999999999</v>
      </c>
      <c r="I2258" s="212"/>
      <c r="J2258" s="662"/>
      <c r="K2258" s="430" t="s">
        <v>8</v>
      </c>
    </row>
    <row r="2259" spans="1:14" x14ac:dyDescent="0.2">
      <c r="A2259" s="364">
        <f t="shared" ref="A2259:A2284" si="39">A2258+1</f>
        <v>3</v>
      </c>
      <c r="B2259" s="75"/>
      <c r="C2259" s="371" t="s">
        <v>1923</v>
      </c>
      <c r="D2259" s="458" t="s">
        <v>2651</v>
      </c>
      <c r="E2259" s="653">
        <v>7.5</v>
      </c>
      <c r="F2259" s="185">
        <v>160</v>
      </c>
      <c r="G2259" s="35">
        <f t="shared" si="38"/>
        <v>1200</v>
      </c>
      <c r="H2259" s="212">
        <f>G2259</f>
        <v>1200</v>
      </c>
      <c r="I2259" s="212"/>
      <c r="J2259" s="662"/>
    </row>
    <row r="2260" spans="1:14" x14ac:dyDescent="0.2">
      <c r="A2260" s="364">
        <f t="shared" si="39"/>
        <v>4</v>
      </c>
      <c r="B2260" s="75"/>
      <c r="C2260" s="371" t="s">
        <v>2008</v>
      </c>
      <c r="D2260" s="366" t="s">
        <v>2293</v>
      </c>
      <c r="E2260" s="77">
        <v>1</v>
      </c>
      <c r="F2260" s="211">
        <v>1450</v>
      </c>
      <c r="G2260" s="35">
        <f t="shared" si="38"/>
        <v>1450</v>
      </c>
      <c r="H2260" s="212">
        <f>G2260</f>
        <v>1450</v>
      </c>
      <c r="I2260" s="212"/>
      <c r="J2260" s="355"/>
    </row>
    <row r="2261" spans="1:14" x14ac:dyDescent="0.2">
      <c r="A2261" s="364">
        <f t="shared" si="39"/>
        <v>5</v>
      </c>
      <c r="B2261" s="75"/>
      <c r="C2261" s="371" t="s">
        <v>149</v>
      </c>
      <c r="D2261" s="366" t="s">
        <v>2602</v>
      </c>
      <c r="E2261" s="77">
        <v>9</v>
      </c>
      <c r="F2261" s="185">
        <v>85</v>
      </c>
      <c r="G2261" s="35">
        <f t="shared" si="38"/>
        <v>765</v>
      </c>
    </row>
    <row r="2262" spans="1:14" x14ac:dyDescent="0.2">
      <c r="A2262" s="364">
        <f t="shared" si="39"/>
        <v>6</v>
      </c>
      <c r="B2262" s="75"/>
      <c r="C2262" s="371" t="s">
        <v>177</v>
      </c>
      <c r="D2262" s="366" t="s">
        <v>2490</v>
      </c>
      <c r="E2262" s="77">
        <v>2</v>
      </c>
      <c r="F2262" s="185">
        <v>68.5</v>
      </c>
      <c r="G2262" s="35">
        <f t="shared" si="38"/>
        <v>137</v>
      </c>
    </row>
    <row r="2263" spans="1:14" x14ac:dyDescent="0.2">
      <c r="A2263" s="364">
        <f t="shared" si="39"/>
        <v>7</v>
      </c>
      <c r="B2263" s="75"/>
      <c r="C2263" s="371" t="s">
        <v>176</v>
      </c>
      <c r="D2263" s="366" t="s">
        <v>2059</v>
      </c>
      <c r="E2263" s="77">
        <v>1</v>
      </c>
      <c r="F2263" s="185">
        <v>103.5</v>
      </c>
      <c r="G2263" s="35">
        <f t="shared" si="38"/>
        <v>103.5</v>
      </c>
    </row>
    <row r="2264" spans="1:14" x14ac:dyDescent="0.2">
      <c r="A2264" s="364">
        <f t="shared" si="39"/>
        <v>8</v>
      </c>
      <c r="B2264" s="75"/>
      <c r="C2264" s="371" t="s">
        <v>1923</v>
      </c>
      <c r="D2264" s="366" t="s">
        <v>2665</v>
      </c>
      <c r="E2264" s="77">
        <v>0.13</v>
      </c>
      <c r="F2264" s="185">
        <v>214</v>
      </c>
      <c r="G2264" s="35">
        <f t="shared" si="38"/>
        <v>27.82</v>
      </c>
    </row>
    <row r="2265" spans="1:14" x14ac:dyDescent="0.2">
      <c r="A2265" s="364">
        <f t="shared" si="39"/>
        <v>9</v>
      </c>
      <c r="B2265" s="186"/>
      <c r="C2265" s="371" t="s">
        <v>1923</v>
      </c>
      <c r="D2265" s="366" t="s">
        <v>2666</v>
      </c>
      <c r="E2265" s="457">
        <v>4.4619999999999997</v>
      </c>
      <c r="F2265" s="185">
        <v>54</v>
      </c>
      <c r="G2265" s="35">
        <f t="shared" si="38"/>
        <v>240.94799999999998</v>
      </c>
    </row>
    <row r="2266" spans="1:14" x14ac:dyDescent="0.2">
      <c r="A2266" s="364">
        <f t="shared" si="39"/>
        <v>10</v>
      </c>
      <c r="B2266" s="74"/>
      <c r="C2266" s="371" t="s">
        <v>149</v>
      </c>
      <c r="D2266" s="366" t="s">
        <v>2667</v>
      </c>
      <c r="E2266" s="77">
        <v>2</v>
      </c>
      <c r="F2266" s="185">
        <v>152</v>
      </c>
      <c r="G2266" s="35">
        <f t="shared" si="38"/>
        <v>304</v>
      </c>
    </row>
    <row r="2267" spans="1:14" x14ac:dyDescent="0.2">
      <c r="A2267" s="364">
        <f t="shared" si="39"/>
        <v>11</v>
      </c>
      <c r="B2267" s="74"/>
      <c r="C2267" s="371" t="s">
        <v>149</v>
      </c>
      <c r="D2267" s="454" t="s">
        <v>2668</v>
      </c>
      <c r="E2267" s="84">
        <v>1</v>
      </c>
      <c r="F2267" s="587">
        <v>199</v>
      </c>
      <c r="G2267" s="35">
        <f t="shared" si="38"/>
        <v>199</v>
      </c>
    </row>
    <row r="2268" spans="1:14" x14ac:dyDescent="0.2">
      <c r="A2268" s="364">
        <f t="shared" si="39"/>
        <v>12</v>
      </c>
      <c r="B2268" s="74"/>
      <c r="C2268" s="371" t="s">
        <v>149</v>
      </c>
      <c r="D2268" s="454" t="s">
        <v>2141</v>
      </c>
      <c r="E2268" s="84">
        <v>1</v>
      </c>
      <c r="F2268" s="163">
        <v>198.5</v>
      </c>
      <c r="G2268" s="35">
        <f t="shared" si="38"/>
        <v>198.5</v>
      </c>
      <c r="L2268" s="2">
        <v>0.33800000000000002</v>
      </c>
      <c r="M2268" s="211">
        <v>399</v>
      </c>
      <c r="N2268" s="164">
        <f>M2268*L2268</f>
        <v>134.86200000000002</v>
      </c>
    </row>
    <row r="2269" spans="1:14" x14ac:dyDescent="0.2">
      <c r="A2269" s="364">
        <f t="shared" si="39"/>
        <v>13</v>
      </c>
      <c r="B2269" s="75"/>
      <c r="C2269" s="371" t="s">
        <v>1923</v>
      </c>
      <c r="D2269" s="454" t="s">
        <v>2669</v>
      </c>
      <c r="E2269" s="84">
        <v>0.23</v>
      </c>
      <c r="F2269" s="172">
        <v>298</v>
      </c>
      <c r="G2269" s="35">
        <f t="shared" si="38"/>
        <v>68.540000000000006</v>
      </c>
      <c r="L2269" s="2">
        <v>0.30399999999999999</v>
      </c>
      <c r="M2269" s="211">
        <v>399</v>
      </c>
      <c r="N2269" s="164">
        <f t="shared" ref="N2269:N2271" si="40">M2269*L2269</f>
        <v>121.29599999999999</v>
      </c>
    </row>
    <row r="2270" spans="1:14" x14ac:dyDescent="0.2">
      <c r="A2270" s="364">
        <f t="shared" si="39"/>
        <v>14</v>
      </c>
      <c r="B2270" s="75"/>
      <c r="C2270" s="371" t="s">
        <v>1923</v>
      </c>
      <c r="D2270" s="454" t="s">
        <v>2670</v>
      </c>
      <c r="E2270" s="84">
        <v>1.3720000000000001</v>
      </c>
      <c r="F2270" s="173">
        <v>399</v>
      </c>
      <c r="G2270" s="35">
        <f t="shared" si="38"/>
        <v>547.428</v>
      </c>
      <c r="L2270" s="2">
        <v>0.44</v>
      </c>
      <c r="M2270" s="211">
        <v>399</v>
      </c>
      <c r="N2270" s="164">
        <f t="shared" si="40"/>
        <v>175.56</v>
      </c>
    </row>
    <row r="2271" spans="1:14" x14ac:dyDescent="0.2">
      <c r="A2271" s="364">
        <f t="shared" si="39"/>
        <v>15</v>
      </c>
      <c r="B2271" s="75"/>
      <c r="C2271" s="371" t="s">
        <v>1923</v>
      </c>
      <c r="D2271" s="454" t="s">
        <v>2478</v>
      </c>
      <c r="E2271" s="653">
        <v>1.84</v>
      </c>
      <c r="F2271" s="185">
        <v>294</v>
      </c>
      <c r="G2271" s="35">
        <f t="shared" si="38"/>
        <v>540.96</v>
      </c>
      <c r="L2271" s="430">
        <v>0.28999999999999998</v>
      </c>
      <c r="M2271" s="211">
        <v>399</v>
      </c>
      <c r="N2271" s="164">
        <f t="shared" si="40"/>
        <v>115.71</v>
      </c>
    </row>
    <row r="2272" spans="1:14" x14ac:dyDescent="0.2">
      <c r="A2272" s="364">
        <f t="shared" si="39"/>
        <v>16</v>
      </c>
      <c r="B2272" s="75"/>
      <c r="C2272" s="371" t="s">
        <v>1923</v>
      </c>
      <c r="D2272" s="454" t="s">
        <v>2671</v>
      </c>
      <c r="E2272" s="77">
        <v>1.105</v>
      </c>
      <c r="F2272" s="185">
        <v>92</v>
      </c>
      <c r="G2272" s="35">
        <f t="shared" si="38"/>
        <v>101.66</v>
      </c>
      <c r="L2272" s="340">
        <f>SUM(L2268:L2271)</f>
        <v>1.3720000000000001</v>
      </c>
      <c r="M2272" s="340"/>
      <c r="N2272" s="463">
        <f>SUM(N2268:N2271)</f>
        <v>547.428</v>
      </c>
    </row>
    <row r="2273" spans="1:14" x14ac:dyDescent="0.2">
      <c r="A2273" s="364">
        <f t="shared" si="39"/>
        <v>17</v>
      </c>
      <c r="B2273" s="75"/>
      <c r="C2273" s="371" t="s">
        <v>1923</v>
      </c>
      <c r="D2273" s="366" t="s">
        <v>2679</v>
      </c>
      <c r="E2273" s="77">
        <v>2.96</v>
      </c>
      <c r="F2273" s="185">
        <v>55</v>
      </c>
      <c r="G2273" s="35">
        <f t="shared" si="38"/>
        <v>162.80000000000001</v>
      </c>
    </row>
    <row r="2274" spans="1:14" x14ac:dyDescent="0.2">
      <c r="A2274" s="364">
        <f t="shared" si="39"/>
        <v>18</v>
      </c>
      <c r="B2274" s="75"/>
      <c r="C2274" s="371" t="s">
        <v>1923</v>
      </c>
      <c r="D2274" s="366" t="s">
        <v>2672</v>
      </c>
      <c r="E2274" s="653">
        <v>2.19</v>
      </c>
      <c r="F2274" s="185">
        <v>172</v>
      </c>
      <c r="G2274" s="35">
        <f t="shared" si="38"/>
        <v>376.68</v>
      </c>
      <c r="H2274" s="212">
        <f>SUM(G2261:G2274)</f>
        <v>3773.8359999999998</v>
      </c>
      <c r="I2274" s="212"/>
      <c r="J2274" s="212">
        <v>269.5</v>
      </c>
    </row>
    <row r="2275" spans="1:14" x14ac:dyDescent="0.2">
      <c r="A2275" s="364">
        <f t="shared" si="39"/>
        <v>19</v>
      </c>
      <c r="B2275" s="75"/>
      <c r="C2275" s="371" t="s">
        <v>1923</v>
      </c>
      <c r="D2275" s="366" t="s">
        <v>2673</v>
      </c>
      <c r="E2275" s="77">
        <v>5</v>
      </c>
      <c r="F2275" s="185">
        <v>240</v>
      </c>
      <c r="G2275" s="35">
        <f t="shared" si="38"/>
        <v>1200</v>
      </c>
      <c r="L2275" s="2">
        <v>0.63</v>
      </c>
      <c r="M2275" s="211">
        <v>294</v>
      </c>
      <c r="N2275" s="164">
        <f>M2275*L2275</f>
        <v>185.22</v>
      </c>
    </row>
    <row r="2276" spans="1:14" x14ac:dyDescent="0.2">
      <c r="A2276" s="364">
        <f t="shared" si="39"/>
        <v>20</v>
      </c>
      <c r="B2276" s="75"/>
      <c r="C2276" s="371" t="s">
        <v>1923</v>
      </c>
      <c r="D2276" s="366" t="s">
        <v>2500</v>
      </c>
      <c r="E2276" s="84">
        <v>2</v>
      </c>
      <c r="F2276" s="163">
        <v>260</v>
      </c>
      <c r="G2276" s="35">
        <f t="shared" si="38"/>
        <v>520</v>
      </c>
      <c r="H2276" s="164">
        <f>G2276+G2275</f>
        <v>1720</v>
      </c>
      <c r="L2276" s="2">
        <v>0.625</v>
      </c>
      <c r="M2276" s="211">
        <v>294</v>
      </c>
      <c r="N2276" s="164">
        <f t="shared" ref="N2276:N2277" si="41">M2276*L2276</f>
        <v>183.75</v>
      </c>
    </row>
    <row r="2277" spans="1:14" x14ac:dyDescent="0.2">
      <c r="A2277" s="364">
        <f t="shared" si="39"/>
        <v>21</v>
      </c>
      <c r="B2277" s="75"/>
      <c r="C2277" s="371" t="s">
        <v>1923</v>
      </c>
      <c r="D2277" s="366" t="s">
        <v>2674</v>
      </c>
      <c r="E2277" s="84">
        <v>0.75</v>
      </c>
      <c r="F2277" s="163">
        <v>240</v>
      </c>
      <c r="G2277" s="35">
        <f t="shared" si="38"/>
        <v>180</v>
      </c>
      <c r="H2277" s="212">
        <f>G2277</f>
        <v>180</v>
      </c>
      <c r="J2277" s="164">
        <f>H2274+J2274</f>
        <v>4043.3359999999998</v>
      </c>
      <c r="K2277" s="2">
        <v>0.02</v>
      </c>
      <c r="L2277" s="2">
        <v>0.58499999999999996</v>
      </c>
      <c r="M2277" s="211">
        <v>294</v>
      </c>
      <c r="N2277" s="164">
        <f t="shared" si="41"/>
        <v>171.98999999999998</v>
      </c>
    </row>
    <row r="2278" spans="1:14" x14ac:dyDescent="0.2">
      <c r="A2278" s="364">
        <f t="shared" si="39"/>
        <v>22</v>
      </c>
      <c r="B2278" s="75"/>
      <c r="C2278" s="371" t="s">
        <v>1923</v>
      </c>
      <c r="D2278" s="454" t="s">
        <v>2132</v>
      </c>
      <c r="E2278" s="84">
        <v>1</v>
      </c>
      <c r="F2278" s="163">
        <v>70</v>
      </c>
      <c r="G2278" s="35">
        <f t="shared" si="38"/>
        <v>70</v>
      </c>
      <c r="L2278" s="340">
        <f>SUM(L2275:L2277)</f>
        <v>1.8399999999999999</v>
      </c>
      <c r="M2278" s="340"/>
      <c r="N2278" s="463">
        <f>SUM(N2275:N2277)</f>
        <v>540.96</v>
      </c>
    </row>
    <row r="2279" spans="1:14" x14ac:dyDescent="0.2">
      <c r="A2279" s="364">
        <f t="shared" si="39"/>
        <v>23</v>
      </c>
      <c r="B2279" s="75"/>
      <c r="C2279" s="371" t="s">
        <v>1923</v>
      </c>
      <c r="D2279" s="454" t="s">
        <v>1945</v>
      </c>
      <c r="E2279" s="84">
        <v>1</v>
      </c>
      <c r="F2279" s="163">
        <v>76</v>
      </c>
      <c r="G2279" s="35">
        <f t="shared" si="38"/>
        <v>76</v>
      </c>
    </row>
    <row r="2280" spans="1:14" x14ac:dyDescent="0.2">
      <c r="A2280" s="364">
        <f t="shared" si="39"/>
        <v>24</v>
      </c>
      <c r="B2280" s="75"/>
      <c r="C2280" s="371" t="s">
        <v>1923</v>
      </c>
      <c r="D2280" s="454" t="s">
        <v>1943</v>
      </c>
      <c r="E2280" s="654">
        <v>0.5</v>
      </c>
      <c r="F2280" s="163">
        <v>112</v>
      </c>
      <c r="G2280" s="35">
        <f t="shared" si="38"/>
        <v>56</v>
      </c>
      <c r="J2280" s="2">
        <f>56*2</f>
        <v>112</v>
      </c>
    </row>
    <row r="2281" spans="1:14" x14ac:dyDescent="0.2">
      <c r="A2281" s="364">
        <f t="shared" si="39"/>
        <v>25</v>
      </c>
      <c r="B2281" s="75"/>
      <c r="C2281" s="371" t="s">
        <v>1923</v>
      </c>
      <c r="D2281" s="454" t="s">
        <v>2675</v>
      </c>
      <c r="E2281" s="84">
        <v>2</v>
      </c>
      <c r="F2281" s="163">
        <v>80</v>
      </c>
      <c r="G2281" s="35">
        <f t="shared" si="38"/>
        <v>160</v>
      </c>
      <c r="H2281" s="164">
        <f>G2278+G2279+G2280+G2281</f>
        <v>362</v>
      </c>
      <c r="L2281" s="2">
        <v>0.495</v>
      </c>
      <c r="M2281" s="211">
        <v>55</v>
      </c>
      <c r="N2281" s="164">
        <f>M2281*L2281</f>
        <v>27.225000000000001</v>
      </c>
    </row>
    <row r="2282" spans="1:14" x14ac:dyDescent="0.2">
      <c r="A2282" s="364">
        <f t="shared" si="39"/>
        <v>26</v>
      </c>
      <c r="B2282" s="75"/>
      <c r="C2282" s="371" t="s">
        <v>149</v>
      </c>
      <c r="D2282" s="454" t="s">
        <v>194</v>
      </c>
      <c r="E2282" s="84">
        <v>3</v>
      </c>
      <c r="F2282" s="163">
        <v>10</v>
      </c>
      <c r="G2282" s="35">
        <f t="shared" si="38"/>
        <v>30</v>
      </c>
      <c r="L2282" s="2">
        <v>0.57499999999999996</v>
      </c>
      <c r="M2282" s="211">
        <v>55</v>
      </c>
      <c r="N2282" s="164">
        <f t="shared" ref="N2282:N2286" si="42">M2282*L2282</f>
        <v>31.624999999999996</v>
      </c>
    </row>
    <row r="2283" spans="1:14" x14ac:dyDescent="0.2">
      <c r="A2283" s="364">
        <f t="shared" si="39"/>
        <v>27</v>
      </c>
      <c r="B2283" s="75"/>
      <c r="C2283" s="371" t="s">
        <v>1931</v>
      </c>
      <c r="D2283" s="454" t="s">
        <v>2676</v>
      </c>
      <c r="E2283" s="84">
        <v>2</v>
      </c>
      <c r="F2283" s="163">
        <v>20</v>
      </c>
      <c r="G2283" s="35">
        <f t="shared" si="38"/>
        <v>40</v>
      </c>
      <c r="L2283" s="2">
        <v>0.495</v>
      </c>
      <c r="M2283" s="211">
        <v>55</v>
      </c>
      <c r="N2283" s="164">
        <f t="shared" si="42"/>
        <v>27.225000000000001</v>
      </c>
    </row>
    <row r="2284" spans="1:14" x14ac:dyDescent="0.2">
      <c r="A2284" s="364">
        <f t="shared" si="39"/>
        <v>28</v>
      </c>
      <c r="B2284" s="75"/>
      <c r="C2284" s="371" t="s">
        <v>1923</v>
      </c>
      <c r="D2284" s="454" t="s">
        <v>1944</v>
      </c>
      <c r="E2284" s="84">
        <v>0.5</v>
      </c>
      <c r="F2284" s="163">
        <v>200</v>
      </c>
      <c r="G2284" s="35">
        <f t="shared" si="38"/>
        <v>100</v>
      </c>
      <c r="H2284" s="164">
        <f>G2282+G2283+G2284</f>
        <v>170</v>
      </c>
      <c r="L2284" s="430">
        <v>0.43</v>
      </c>
      <c r="M2284" s="211">
        <v>55</v>
      </c>
      <c r="N2284" s="164">
        <f t="shared" si="42"/>
        <v>23.65</v>
      </c>
    </row>
    <row r="2285" spans="1:14" x14ac:dyDescent="0.2">
      <c r="A2285" s="364"/>
      <c r="B2285" s="75"/>
      <c r="C2285" s="371"/>
      <c r="D2285" s="454"/>
      <c r="E2285" s="84"/>
      <c r="F2285" s="163"/>
      <c r="G2285" s="35"/>
      <c r="L2285" s="430">
        <v>0.46500000000000002</v>
      </c>
      <c r="M2285" s="211">
        <v>55</v>
      </c>
      <c r="N2285" s="164">
        <f t="shared" si="42"/>
        <v>25.575000000000003</v>
      </c>
    </row>
    <row r="2286" spans="1:14" x14ac:dyDescent="0.2">
      <c r="A2286" s="364"/>
      <c r="B2286" s="75"/>
      <c r="C2286" s="371"/>
      <c r="D2286" s="454"/>
      <c r="E2286" s="84"/>
      <c r="F2286" s="163"/>
      <c r="G2286" s="35"/>
      <c r="L2286" s="430">
        <v>0.5</v>
      </c>
      <c r="M2286" s="211">
        <v>55</v>
      </c>
      <c r="N2286" s="164">
        <f t="shared" si="42"/>
        <v>27.5</v>
      </c>
    </row>
    <row r="2287" spans="1:14" x14ac:dyDescent="0.2">
      <c r="A2287" s="364"/>
      <c r="B2287" s="75"/>
      <c r="C2287" s="371"/>
      <c r="D2287" s="454"/>
      <c r="E2287" s="654"/>
      <c r="F2287" s="163"/>
      <c r="G2287" s="35"/>
      <c r="L2287" s="340">
        <f>SUM(L2281:L2286)</f>
        <v>2.96</v>
      </c>
      <c r="M2287" s="340"/>
      <c r="N2287" s="463">
        <f>SUM(N2281:N2286)</f>
        <v>162.80000000000001</v>
      </c>
    </row>
    <row r="2288" spans="1:14" x14ac:dyDescent="0.2">
      <c r="A2288" s="364"/>
      <c r="B2288" s="75"/>
      <c r="C2288" s="371"/>
      <c r="D2288" s="454"/>
      <c r="E2288" s="84"/>
      <c r="F2288" s="172"/>
      <c r="G2288" s="35"/>
    </row>
    <row r="2289" spans="1:14" x14ac:dyDescent="0.2">
      <c r="A2289" s="364"/>
      <c r="B2289" s="75"/>
      <c r="C2289" s="371"/>
      <c r="D2289" s="454"/>
      <c r="E2289" s="84"/>
      <c r="F2289" s="173"/>
      <c r="G2289" s="35"/>
    </row>
    <row r="2290" spans="1:14" x14ac:dyDescent="0.2">
      <c r="A2290" s="364"/>
      <c r="B2290" s="75"/>
      <c r="C2290" s="371"/>
      <c r="D2290" s="454"/>
      <c r="E2290" s="84"/>
      <c r="F2290" s="173"/>
      <c r="G2290" s="660">
        <v>0.02</v>
      </c>
      <c r="L2290" s="2">
        <v>0.79500000000000004</v>
      </c>
      <c r="M2290" s="211">
        <v>172</v>
      </c>
      <c r="N2290" s="164">
        <f>M2290*L2290</f>
        <v>136.74</v>
      </c>
    </row>
    <row r="2291" spans="1:14" ht="13.5" thickBot="1" x14ac:dyDescent="0.25">
      <c r="A2291" s="45"/>
      <c r="B2291" s="188"/>
      <c r="C2291" s="47" t="s">
        <v>8</v>
      </c>
      <c r="D2291" s="66" t="s">
        <v>8</v>
      </c>
      <c r="E2291" s="188"/>
      <c r="F2291" s="49" t="s">
        <v>15</v>
      </c>
      <c r="G2291" s="50">
        <f>SUM(G2257:G2290)</f>
        <v>9485.8565999999992</v>
      </c>
      <c r="J2291" s="164">
        <f>G2291+J2274</f>
        <v>9755.3565999999992</v>
      </c>
      <c r="L2291" s="2">
        <v>1.395</v>
      </c>
      <c r="M2291" s="211">
        <v>172</v>
      </c>
      <c r="N2291" s="164">
        <f>M2291*L2291</f>
        <v>239.94</v>
      </c>
    </row>
    <row r="2292" spans="1:14" ht="13.5" thickTop="1" x14ac:dyDescent="0.2">
      <c r="A2292" s="963" t="s">
        <v>2678</v>
      </c>
      <c r="B2292" s="964"/>
      <c r="C2292" s="964"/>
      <c r="D2292" s="964"/>
      <c r="E2292" s="964"/>
      <c r="F2292" s="964"/>
      <c r="G2292" s="965"/>
      <c r="L2292" s="340">
        <f>SUM(L2290:L2291)</f>
        <v>2.19</v>
      </c>
      <c r="M2292" s="340"/>
      <c r="N2292" s="463">
        <f>SUM(N2290:N2291)</f>
        <v>376.68</v>
      </c>
    </row>
    <row r="2293" spans="1:14" ht="13.5" thickBot="1" x14ac:dyDescent="0.25">
      <c r="A2293" s="378"/>
      <c r="B2293" s="374"/>
      <c r="C2293" s="374" t="s">
        <v>8</v>
      </c>
      <c r="D2293" s="379"/>
      <c r="E2293" s="374"/>
      <c r="F2293" s="380"/>
      <c r="G2293" s="381"/>
    </row>
    <row r="2294" spans="1:14" ht="13.5" thickTop="1" x14ac:dyDescent="0.2">
      <c r="A2294" s="906" t="s">
        <v>8</v>
      </c>
      <c r="B2294" s="907"/>
      <c r="C2294" s="907"/>
      <c r="D2294" s="57" t="s">
        <v>11</v>
      </c>
      <c r="E2294" s="908" t="s">
        <v>12</v>
      </c>
      <c r="F2294" s="908"/>
      <c r="G2294" s="909"/>
    </row>
    <row r="2295" spans="1:14" x14ac:dyDescent="0.2">
      <c r="A2295" s="966" t="s">
        <v>17</v>
      </c>
      <c r="B2295" s="967"/>
      <c r="C2295" s="968"/>
      <c r="D2295" s="39"/>
      <c r="E2295" s="912"/>
      <c r="F2295" s="913"/>
      <c r="G2295" s="914"/>
    </row>
    <row r="2296" spans="1:14" x14ac:dyDescent="0.2">
      <c r="A2296" s="966" t="s">
        <v>38</v>
      </c>
      <c r="B2296" s="967"/>
      <c r="C2296" s="968"/>
      <c r="D2296" s="58" t="s">
        <v>308</v>
      </c>
      <c r="E2296" s="969" t="s">
        <v>142</v>
      </c>
      <c r="F2296" s="868"/>
      <c r="G2296" s="869"/>
    </row>
    <row r="2297" spans="1:14" ht="13.5" thickBot="1" x14ac:dyDescent="0.25">
      <c r="A2297" s="970" t="s">
        <v>39</v>
      </c>
      <c r="B2297" s="971"/>
      <c r="C2297" s="972"/>
      <c r="D2297" s="375" t="s">
        <v>1038</v>
      </c>
      <c r="E2297" s="904" t="s">
        <v>0</v>
      </c>
      <c r="F2297" s="904"/>
      <c r="G2297" s="905"/>
    </row>
    <row r="2298" spans="1:14" ht="16.5" x14ac:dyDescent="0.25">
      <c r="A2298" s="885" t="s">
        <v>29</v>
      </c>
      <c r="B2298" s="886"/>
      <c r="C2298" s="886"/>
      <c r="D2298" s="886"/>
      <c r="E2298" s="886"/>
      <c r="F2298" s="886"/>
      <c r="G2298" s="887"/>
    </row>
    <row r="2299" spans="1:14" x14ac:dyDescent="0.2">
      <c r="A2299" s="888" t="s">
        <v>48</v>
      </c>
      <c r="B2299" s="889"/>
      <c r="C2299" s="889"/>
      <c r="D2299" s="889"/>
      <c r="E2299" s="889"/>
      <c r="F2299" s="889"/>
      <c r="G2299" s="890"/>
    </row>
    <row r="2300" spans="1:14" x14ac:dyDescent="0.2">
      <c r="A2300" s="891" t="s">
        <v>49</v>
      </c>
      <c r="B2300" s="892"/>
      <c r="C2300" s="892"/>
      <c r="D2300" s="892"/>
      <c r="E2300" s="892"/>
      <c r="F2300" s="892"/>
      <c r="G2300" s="893"/>
    </row>
    <row r="2301" spans="1:14" x14ac:dyDescent="0.2">
      <c r="A2301" s="387"/>
      <c r="B2301" s="592"/>
      <c r="C2301" s="389"/>
      <c r="D2301" s="390"/>
      <c r="E2301" s="388"/>
      <c r="F2301" s="391"/>
      <c r="G2301" s="392" t="s">
        <v>8</v>
      </c>
    </row>
    <row r="2302" spans="1:14" x14ac:dyDescent="0.2">
      <c r="A2302" s="393" t="s">
        <v>1</v>
      </c>
      <c r="B2302" s="394"/>
      <c r="C2302" s="14" t="s">
        <v>5</v>
      </c>
      <c r="D2302" s="394"/>
      <c r="E2302" s="241" t="s">
        <v>2653</v>
      </c>
      <c r="F2302" s="593"/>
      <c r="G2302" s="242" t="s">
        <v>2652</v>
      </c>
    </row>
    <row r="2303" spans="1:14" x14ac:dyDescent="0.2">
      <c r="A2303" s="361" t="s">
        <v>8</v>
      </c>
      <c r="B2303" s="594"/>
      <c r="C2303" s="19"/>
      <c r="D2303" s="386"/>
      <c r="E2303" s="894"/>
      <c r="F2303" s="895"/>
      <c r="G2303" s="397"/>
    </row>
    <row r="2304" spans="1:14" x14ac:dyDescent="0.2">
      <c r="A2304" s="373" t="s">
        <v>37</v>
      </c>
      <c r="B2304" s="377"/>
      <c r="C2304" s="377"/>
      <c r="D2304" s="377"/>
      <c r="E2304" s="398" t="s">
        <v>46</v>
      </c>
      <c r="F2304" s="399"/>
      <c r="G2304" s="397" t="s">
        <v>50</v>
      </c>
    </row>
    <row r="2305" spans="1:7" x14ac:dyDescent="0.2">
      <c r="A2305" s="387"/>
      <c r="B2305" s="592"/>
      <c r="C2305" s="389"/>
      <c r="D2305" s="389"/>
      <c r="E2305" s="896"/>
      <c r="F2305" s="897"/>
      <c r="G2305" s="400"/>
    </row>
    <row r="2306" spans="1:7" ht="26.25" thickBot="1" x14ac:dyDescent="0.25">
      <c r="A2306" s="26" t="s">
        <v>47</v>
      </c>
      <c r="B2306" s="180" t="s">
        <v>23</v>
      </c>
      <c r="C2306" s="28" t="s">
        <v>34</v>
      </c>
      <c r="D2306" s="110" t="s">
        <v>53</v>
      </c>
      <c r="E2306" s="181" t="s">
        <v>54</v>
      </c>
      <c r="F2306" s="111" t="s">
        <v>55</v>
      </c>
      <c r="G2306" s="112" t="s">
        <v>35</v>
      </c>
    </row>
    <row r="2307" spans="1:7" ht="13.5" thickTop="1" x14ac:dyDescent="0.2">
      <c r="A2307" s="364">
        <v>1</v>
      </c>
      <c r="B2307" s="595"/>
      <c r="C2307" s="365" t="s">
        <v>149</v>
      </c>
      <c r="D2307" s="366" t="s">
        <v>2650</v>
      </c>
      <c r="E2307" s="596">
        <v>150</v>
      </c>
      <c r="F2307" s="456">
        <v>250</v>
      </c>
      <c r="G2307" s="372">
        <f>F2307*E2307</f>
        <v>37500</v>
      </c>
    </row>
    <row r="2308" spans="1:7" x14ac:dyDescent="0.2">
      <c r="A2308" s="364"/>
      <c r="B2308" s="595"/>
      <c r="C2308" s="365"/>
      <c r="D2308" s="458" t="s">
        <v>1191</v>
      </c>
      <c r="E2308" s="596"/>
      <c r="F2308" s="456"/>
      <c r="G2308" s="372"/>
    </row>
    <row r="2309" spans="1:7" x14ac:dyDescent="0.2">
      <c r="A2309" s="364"/>
      <c r="B2309" s="595"/>
      <c r="C2309" s="365"/>
      <c r="D2309" s="458"/>
      <c r="E2309" s="596"/>
      <c r="F2309" s="456"/>
      <c r="G2309" s="372"/>
    </row>
    <row r="2310" spans="1:7" x14ac:dyDescent="0.2">
      <c r="A2310" s="364"/>
      <c r="B2310" s="595"/>
      <c r="C2310" s="365"/>
      <c r="D2310" s="458"/>
      <c r="E2310" s="596"/>
      <c r="F2310" s="456"/>
      <c r="G2310" s="372"/>
    </row>
    <row r="2311" spans="1:7" x14ac:dyDescent="0.2">
      <c r="A2311" s="364"/>
      <c r="B2311" s="595"/>
      <c r="C2311" s="245"/>
      <c r="D2311" s="458"/>
      <c r="E2311" s="457"/>
      <c r="F2311" s="456"/>
      <c r="G2311" s="372"/>
    </row>
    <row r="2312" spans="1:7" x14ac:dyDescent="0.2">
      <c r="A2312" s="364"/>
      <c r="B2312" s="595"/>
      <c r="C2312" s="268"/>
      <c r="D2312" s="458"/>
      <c r="E2312" s="457"/>
      <c r="F2312" s="456"/>
      <c r="G2312" s="372"/>
    </row>
    <row r="2313" spans="1:7" x14ac:dyDescent="0.2">
      <c r="A2313" s="364"/>
      <c r="B2313" s="595"/>
      <c r="C2313" s="365"/>
      <c r="D2313" s="366"/>
      <c r="E2313" s="596"/>
      <c r="F2313" s="456"/>
      <c r="G2313" s="372"/>
    </row>
    <row r="2314" spans="1:7" x14ac:dyDescent="0.2">
      <c r="A2314" s="364"/>
      <c r="B2314" s="595"/>
      <c r="C2314" s="371"/>
      <c r="D2314" s="458"/>
      <c r="E2314" s="539"/>
      <c r="F2314" s="587"/>
      <c r="G2314" s="372"/>
    </row>
    <row r="2315" spans="1:7" x14ac:dyDescent="0.2">
      <c r="A2315" s="364"/>
      <c r="B2315" s="595"/>
      <c r="C2315" s="422"/>
      <c r="D2315" s="458"/>
      <c r="E2315" s="457"/>
      <c r="F2315" s="456"/>
      <c r="G2315" s="372"/>
    </row>
    <row r="2316" spans="1:7" x14ac:dyDescent="0.2">
      <c r="A2316" s="364"/>
      <c r="B2316" s="598"/>
      <c r="C2316" s="371"/>
      <c r="D2316" s="458"/>
      <c r="E2316" s="457"/>
      <c r="F2316" s="456"/>
      <c r="G2316" s="372"/>
    </row>
    <row r="2317" spans="1:7" x14ac:dyDescent="0.2">
      <c r="A2317" s="364"/>
      <c r="B2317" s="600"/>
      <c r="C2317" s="365"/>
      <c r="D2317" s="366"/>
      <c r="E2317" s="596"/>
      <c r="F2317" s="456"/>
      <c r="G2317" s="372"/>
    </row>
    <row r="2318" spans="1:7" x14ac:dyDescent="0.2">
      <c r="A2318" s="364"/>
      <c r="B2318" s="600"/>
      <c r="C2318" s="371"/>
      <c r="D2318" s="597"/>
      <c r="E2318" s="539"/>
      <c r="F2318" s="587"/>
      <c r="G2318" s="372"/>
    </row>
    <row r="2319" spans="1:7" x14ac:dyDescent="0.2">
      <c r="A2319" s="364"/>
      <c r="B2319" s="600"/>
      <c r="C2319" s="422"/>
      <c r="D2319" s="366"/>
      <c r="E2319" s="457"/>
      <c r="F2319" s="456"/>
      <c r="G2319" s="372"/>
    </row>
    <row r="2320" spans="1:7" x14ac:dyDescent="0.2">
      <c r="A2320" s="364"/>
      <c r="B2320" s="600"/>
      <c r="C2320" s="371"/>
      <c r="D2320" s="599"/>
      <c r="E2320" s="457"/>
      <c r="F2320" s="456"/>
      <c r="G2320" s="372"/>
    </row>
    <row r="2321" spans="1:7" x14ac:dyDescent="0.2">
      <c r="A2321" s="364"/>
      <c r="B2321" s="595"/>
      <c r="C2321" s="371"/>
      <c r="D2321" s="366"/>
      <c r="E2321" s="539"/>
      <c r="F2321" s="587"/>
      <c r="G2321" s="372"/>
    </row>
    <row r="2322" spans="1:7" x14ac:dyDescent="0.2">
      <c r="A2322" s="364"/>
      <c r="B2322" s="595"/>
      <c r="C2322" s="371"/>
      <c r="D2322" s="602"/>
      <c r="E2322" s="457"/>
      <c r="F2322" s="456"/>
      <c r="G2322" s="372"/>
    </row>
    <row r="2323" spans="1:7" x14ac:dyDescent="0.2">
      <c r="A2323" s="364"/>
      <c r="B2323" s="595"/>
      <c r="C2323" s="365"/>
      <c r="D2323" s="366"/>
      <c r="E2323" s="596"/>
      <c r="F2323" s="456"/>
      <c r="G2323" s="372"/>
    </row>
    <row r="2324" spans="1:7" x14ac:dyDescent="0.2">
      <c r="A2324" s="364"/>
      <c r="B2324" s="595"/>
      <c r="C2324" s="371"/>
      <c r="D2324" s="597"/>
      <c r="E2324" s="539"/>
      <c r="F2324" s="587"/>
      <c r="G2324" s="372"/>
    </row>
    <row r="2325" spans="1:7" x14ac:dyDescent="0.2">
      <c r="A2325" s="364"/>
      <c r="B2325" s="595"/>
      <c r="C2325" s="422"/>
      <c r="D2325" s="366"/>
      <c r="E2325" s="457"/>
      <c r="F2325" s="456"/>
      <c r="G2325" s="372"/>
    </row>
    <row r="2326" spans="1:7" x14ac:dyDescent="0.2">
      <c r="A2326" s="364"/>
      <c r="B2326" s="595"/>
      <c r="C2326" s="371"/>
      <c r="D2326" s="599"/>
      <c r="E2326" s="457"/>
      <c r="F2326" s="456"/>
      <c r="G2326" s="372"/>
    </row>
    <row r="2327" spans="1:7" x14ac:dyDescent="0.2">
      <c r="A2327" s="364"/>
      <c r="B2327" s="595"/>
      <c r="C2327" s="371"/>
      <c r="D2327" s="366"/>
      <c r="E2327" s="539"/>
      <c r="F2327" s="587"/>
      <c r="G2327" s="372"/>
    </row>
    <row r="2328" spans="1:7" x14ac:dyDescent="0.2">
      <c r="A2328" s="364"/>
      <c r="B2328" s="595"/>
      <c r="C2328" s="365"/>
      <c r="D2328" s="603"/>
      <c r="E2328" s="604"/>
      <c r="F2328" s="605"/>
      <c r="G2328" s="372"/>
    </row>
    <row r="2329" spans="1:7" x14ac:dyDescent="0.2">
      <c r="A2329" s="364"/>
      <c r="B2329" s="595"/>
      <c r="C2329" s="365"/>
      <c r="D2329" s="366"/>
      <c r="E2329" s="601"/>
      <c r="F2329" s="587"/>
      <c r="G2329" s="372"/>
    </row>
    <row r="2330" spans="1:7" x14ac:dyDescent="0.2">
      <c r="A2330" s="364"/>
      <c r="B2330" s="595"/>
      <c r="C2330" s="422"/>
      <c r="D2330" s="366"/>
      <c r="E2330" s="457"/>
      <c r="F2330" s="456"/>
      <c r="G2330" s="372"/>
    </row>
    <row r="2331" spans="1:7" x14ac:dyDescent="0.2">
      <c r="A2331" s="364"/>
      <c r="B2331" s="595"/>
      <c r="C2331" s="422"/>
      <c r="D2331" s="366"/>
      <c r="E2331" s="457"/>
      <c r="F2331" s="456"/>
      <c r="G2331" s="372"/>
    </row>
    <row r="2332" spans="1:7" x14ac:dyDescent="0.2">
      <c r="A2332" s="364"/>
      <c r="B2332" s="595"/>
      <c r="C2332" s="371"/>
      <c r="D2332" s="366"/>
      <c r="E2332" s="457"/>
      <c r="F2332" s="456"/>
      <c r="G2332" s="372"/>
    </row>
    <row r="2333" spans="1:7" x14ac:dyDescent="0.2">
      <c r="A2333" s="364"/>
      <c r="B2333" s="595"/>
      <c r="C2333" s="371"/>
      <c r="D2333" s="602"/>
      <c r="E2333" s="457"/>
      <c r="F2333" s="456"/>
      <c r="G2333" s="372"/>
    </row>
    <row r="2334" spans="1:7" x14ac:dyDescent="0.2">
      <c r="A2334" s="364"/>
      <c r="B2334" s="595"/>
      <c r="C2334" s="365"/>
      <c r="D2334" s="615"/>
      <c r="E2334" s="457"/>
      <c r="F2334" s="456"/>
      <c r="G2334" s="372"/>
    </row>
    <row r="2335" spans="1:7" x14ac:dyDescent="0.2">
      <c r="A2335" s="364"/>
      <c r="B2335" s="595"/>
      <c r="C2335" s="365"/>
      <c r="D2335" s="366"/>
      <c r="E2335" s="601"/>
      <c r="F2335" s="587"/>
      <c r="G2335" s="372"/>
    </row>
    <row r="2336" spans="1:7" x14ac:dyDescent="0.2">
      <c r="A2336" s="364"/>
      <c r="B2336" s="595"/>
      <c r="C2336" s="422"/>
      <c r="D2336" s="366"/>
      <c r="E2336" s="457"/>
      <c r="F2336" s="456"/>
      <c r="G2336" s="372"/>
    </row>
    <row r="2337" spans="1:7" x14ac:dyDescent="0.2">
      <c r="A2337" s="364"/>
      <c r="B2337" s="595"/>
      <c r="C2337" s="422"/>
      <c r="D2337" s="366"/>
      <c r="E2337" s="457"/>
      <c r="F2337" s="456"/>
      <c r="G2337" s="372"/>
    </row>
    <row r="2338" spans="1:7" x14ac:dyDescent="0.2">
      <c r="A2338" s="364"/>
      <c r="B2338" s="595"/>
      <c r="C2338" s="371"/>
      <c r="D2338" s="458"/>
      <c r="E2338" s="596"/>
      <c r="F2338" s="456"/>
      <c r="G2338" s="372"/>
    </row>
    <row r="2339" spans="1:7" x14ac:dyDescent="0.2">
      <c r="A2339" s="364"/>
      <c r="B2339" s="595"/>
      <c r="C2339" s="365"/>
      <c r="D2339" s="603"/>
      <c r="E2339" s="604"/>
      <c r="F2339" s="605"/>
      <c r="G2339" s="372"/>
    </row>
    <row r="2340" spans="1:7" x14ac:dyDescent="0.2">
      <c r="A2340" s="616"/>
      <c r="B2340" s="617"/>
      <c r="C2340" s="618"/>
      <c r="D2340" s="619"/>
      <c r="E2340" s="620"/>
      <c r="F2340" s="456"/>
      <c r="G2340" s="621"/>
    </row>
    <row r="2341" spans="1:7" ht="13.5" thickBot="1" x14ac:dyDescent="0.25">
      <c r="A2341" s="426"/>
      <c r="B2341" s="606"/>
      <c r="C2341" s="607"/>
      <c r="D2341" s="66" t="s">
        <v>8</v>
      </c>
      <c r="E2341" s="606"/>
      <c r="F2341" s="49" t="s">
        <v>15</v>
      </c>
      <c r="G2341" s="50">
        <f>SUM(G2307:G2339)</f>
        <v>37500</v>
      </c>
    </row>
    <row r="2342" spans="1:7" ht="13.5" thickTop="1" x14ac:dyDescent="0.2">
      <c r="A2342" s="367" t="s">
        <v>2656</v>
      </c>
      <c r="B2342" s="608"/>
      <c r="C2342" s="609"/>
      <c r="D2342" s="610"/>
      <c r="E2342" s="608"/>
      <c r="F2342" s="611"/>
      <c r="G2342" s="612"/>
    </row>
    <row r="2343" spans="1:7" ht="13.5" thickBot="1" x14ac:dyDescent="0.25">
      <c r="A2343" s="589" t="s">
        <v>159</v>
      </c>
      <c r="B2343" s="368"/>
      <c r="C2343" s="368" t="s">
        <v>2657</v>
      </c>
      <c r="D2343" s="368"/>
      <c r="E2343" s="613"/>
      <c r="F2343" s="614"/>
      <c r="G2343" s="590"/>
    </row>
    <row r="2344" spans="1:7" ht="13.5" thickTop="1" x14ac:dyDescent="0.2">
      <c r="A2344" s="878" t="s">
        <v>8</v>
      </c>
      <c r="B2344" s="879"/>
      <c r="C2344" s="879"/>
      <c r="D2344" s="433" t="s">
        <v>11</v>
      </c>
      <c r="E2344" s="880" t="s">
        <v>12</v>
      </c>
      <c r="F2344" s="880"/>
      <c r="G2344" s="881"/>
    </row>
    <row r="2345" spans="1:7" x14ac:dyDescent="0.2">
      <c r="A2345" s="973" t="s">
        <v>17</v>
      </c>
      <c r="B2345" s="974"/>
      <c r="C2345" s="975"/>
      <c r="D2345" s="434"/>
      <c r="E2345" s="882"/>
      <c r="F2345" s="883"/>
      <c r="G2345" s="884"/>
    </row>
    <row r="2346" spans="1:7" x14ac:dyDescent="0.2">
      <c r="A2346" s="973" t="s">
        <v>38</v>
      </c>
      <c r="B2346" s="974"/>
      <c r="C2346" s="975"/>
      <c r="D2346" s="58" t="s">
        <v>308</v>
      </c>
      <c r="E2346" s="969" t="s">
        <v>142</v>
      </c>
      <c r="F2346" s="868"/>
      <c r="G2346" s="869"/>
    </row>
    <row r="2347" spans="1:7" ht="13.5" thickBot="1" x14ac:dyDescent="0.25">
      <c r="A2347" s="976" t="s">
        <v>39</v>
      </c>
      <c r="B2347" s="977"/>
      <c r="C2347" s="978"/>
      <c r="D2347" s="375" t="s">
        <v>1038</v>
      </c>
      <c r="E2347" s="873" t="s">
        <v>0</v>
      </c>
      <c r="F2347" s="873"/>
      <c r="G2347" s="874"/>
    </row>
    <row r="2348" spans="1:7" ht="16.5" x14ac:dyDescent="0.25">
      <c r="A2348" s="885" t="s">
        <v>29</v>
      </c>
      <c r="B2348" s="886"/>
      <c r="C2348" s="886"/>
      <c r="D2348" s="886"/>
      <c r="E2348" s="886"/>
      <c r="F2348" s="886"/>
      <c r="G2348" s="887"/>
    </row>
    <row r="2349" spans="1:7" x14ac:dyDescent="0.2">
      <c r="A2349" s="888" t="s">
        <v>48</v>
      </c>
      <c r="B2349" s="889"/>
      <c r="C2349" s="889"/>
      <c r="D2349" s="889"/>
      <c r="E2349" s="889"/>
      <c r="F2349" s="889"/>
      <c r="G2349" s="890"/>
    </row>
    <row r="2350" spans="1:7" x14ac:dyDescent="0.2">
      <c r="A2350" s="915" t="s">
        <v>49</v>
      </c>
      <c r="B2350" s="916"/>
      <c r="C2350" s="916"/>
      <c r="D2350" s="916"/>
      <c r="E2350" s="916"/>
      <c r="F2350" s="916"/>
      <c r="G2350" s="917"/>
    </row>
    <row r="2351" spans="1:7" x14ac:dyDescent="0.2">
      <c r="A2351" s="6"/>
      <c r="B2351" s="178"/>
      <c r="C2351" s="8"/>
      <c r="D2351" s="9"/>
      <c r="E2351" s="99"/>
      <c r="F2351" s="10"/>
      <c r="G2351" s="392" t="s">
        <v>334</v>
      </c>
    </row>
    <row r="2352" spans="1:7" x14ac:dyDescent="0.2">
      <c r="A2352" s="12" t="s">
        <v>1</v>
      </c>
      <c r="B2352" s="13"/>
      <c r="C2352" s="14" t="s">
        <v>5</v>
      </c>
      <c r="D2352" s="13"/>
      <c r="E2352" s="362" t="s">
        <v>2718</v>
      </c>
      <c r="F2352" s="60"/>
      <c r="G2352" s="363" t="s">
        <v>2719</v>
      </c>
    </row>
    <row r="2353" spans="1:9" x14ac:dyDescent="0.2">
      <c r="A2353" s="17" t="s">
        <v>8</v>
      </c>
      <c r="B2353" s="179"/>
      <c r="C2353" s="19"/>
      <c r="D2353" s="4"/>
      <c r="E2353" s="918"/>
      <c r="F2353" s="919"/>
      <c r="G2353" s="20"/>
    </row>
    <row r="2354" spans="1:9" x14ac:dyDescent="0.2">
      <c r="A2354" s="21" t="s">
        <v>37</v>
      </c>
      <c r="B2354" s="22"/>
      <c r="C2354" s="22"/>
      <c r="D2354" s="22"/>
      <c r="E2354" s="23" t="s">
        <v>46</v>
      </c>
      <c r="F2354" s="24"/>
      <c r="G2354" s="20" t="s">
        <v>50</v>
      </c>
    </row>
    <row r="2355" spans="1:9" x14ac:dyDescent="0.2">
      <c r="A2355" s="6"/>
      <c r="B2355" s="178"/>
      <c r="C2355" s="8"/>
      <c r="D2355" s="8"/>
      <c r="E2355" s="920"/>
      <c r="F2355" s="921"/>
      <c r="G2355" s="25"/>
    </row>
    <row r="2356" spans="1:9" ht="26.25" thickBot="1" x14ac:dyDescent="0.25">
      <c r="A2356" s="26" t="s">
        <v>47</v>
      </c>
      <c r="B2356" s="180" t="s">
        <v>23</v>
      </c>
      <c r="C2356" s="28" t="s">
        <v>34</v>
      </c>
      <c r="D2356" s="110" t="s">
        <v>53</v>
      </c>
      <c r="E2356" s="181" t="s">
        <v>54</v>
      </c>
      <c r="F2356" s="111" t="s">
        <v>55</v>
      </c>
      <c r="G2356" s="112" t="s">
        <v>35</v>
      </c>
    </row>
    <row r="2357" spans="1:9" ht="13.5" thickTop="1" x14ac:dyDescent="0.2">
      <c r="A2357" s="364">
        <v>1</v>
      </c>
      <c r="B2357" s="75"/>
      <c r="C2357" s="371" t="s">
        <v>149</v>
      </c>
      <c r="D2357" s="366" t="s">
        <v>1465</v>
      </c>
      <c r="E2357" s="77">
        <v>7</v>
      </c>
      <c r="F2357" s="267">
        <v>136.05000000000001</v>
      </c>
      <c r="G2357" s="35">
        <f>F2357*E2357</f>
        <v>952.35000000000014</v>
      </c>
      <c r="I2357" s="430" t="s">
        <v>2722</v>
      </c>
    </row>
    <row r="2358" spans="1:9" x14ac:dyDescent="0.2">
      <c r="A2358" s="364">
        <v>2</v>
      </c>
      <c r="B2358" s="75"/>
      <c r="C2358" s="371" t="s">
        <v>149</v>
      </c>
      <c r="D2358" s="366" t="s">
        <v>2721</v>
      </c>
      <c r="E2358" s="77">
        <v>6</v>
      </c>
      <c r="F2358" s="267">
        <v>60.4</v>
      </c>
      <c r="G2358" s="35">
        <f t="shared" ref="G2358:G2390" si="43">F2358*E2358</f>
        <v>362.4</v>
      </c>
      <c r="I2358" s="430" t="s">
        <v>2723</v>
      </c>
    </row>
    <row r="2359" spans="1:9" x14ac:dyDescent="0.2">
      <c r="A2359" s="364">
        <v>3</v>
      </c>
      <c r="B2359" s="75"/>
      <c r="C2359" s="371" t="s">
        <v>149</v>
      </c>
      <c r="D2359" s="366" t="s">
        <v>1466</v>
      </c>
      <c r="E2359" s="77">
        <v>3</v>
      </c>
      <c r="F2359" s="267">
        <v>109.8</v>
      </c>
      <c r="G2359" s="35">
        <f t="shared" si="43"/>
        <v>329.4</v>
      </c>
      <c r="I2359" s="430" t="s">
        <v>2268</v>
      </c>
    </row>
    <row r="2360" spans="1:9" x14ac:dyDescent="0.2">
      <c r="A2360" s="364">
        <v>4</v>
      </c>
      <c r="B2360" s="75"/>
      <c r="C2360" s="371" t="s">
        <v>149</v>
      </c>
      <c r="D2360" s="366" t="s">
        <v>2725</v>
      </c>
      <c r="E2360" s="77">
        <v>1</v>
      </c>
      <c r="F2360" s="664">
        <v>252</v>
      </c>
      <c r="G2360" s="35">
        <f t="shared" si="43"/>
        <v>252</v>
      </c>
      <c r="I2360" s="430" t="s">
        <v>2729</v>
      </c>
    </row>
    <row r="2361" spans="1:9" x14ac:dyDescent="0.2">
      <c r="A2361" s="364">
        <v>5</v>
      </c>
      <c r="B2361" s="75"/>
      <c r="C2361" s="371" t="s">
        <v>149</v>
      </c>
      <c r="D2361" s="366" t="s">
        <v>2726</v>
      </c>
      <c r="E2361" s="77">
        <v>1</v>
      </c>
      <c r="F2361" s="211">
        <v>248</v>
      </c>
      <c r="G2361" s="35">
        <f t="shared" si="43"/>
        <v>248</v>
      </c>
      <c r="I2361" s="430" t="s">
        <v>2232</v>
      </c>
    </row>
    <row r="2362" spans="1:9" x14ac:dyDescent="0.2">
      <c r="A2362" s="364">
        <v>6</v>
      </c>
      <c r="B2362" s="75"/>
      <c r="C2362" s="371" t="s">
        <v>149</v>
      </c>
      <c r="D2362" s="366" t="s">
        <v>2727</v>
      </c>
      <c r="E2362" s="77">
        <v>1</v>
      </c>
      <c r="F2362" s="267">
        <v>209.5</v>
      </c>
      <c r="G2362" s="35">
        <f t="shared" si="43"/>
        <v>209.5</v>
      </c>
      <c r="I2362" s="430" t="s">
        <v>2728</v>
      </c>
    </row>
    <row r="2363" spans="1:9" x14ac:dyDescent="0.2">
      <c r="A2363" s="364">
        <v>7</v>
      </c>
      <c r="B2363" s="75"/>
      <c r="C2363" s="365" t="s">
        <v>149</v>
      </c>
      <c r="D2363" s="366" t="s">
        <v>1484</v>
      </c>
      <c r="E2363" s="77">
        <v>3</v>
      </c>
      <c r="F2363" s="267">
        <v>59.3</v>
      </c>
      <c r="G2363" s="35">
        <f t="shared" si="43"/>
        <v>177.89999999999998</v>
      </c>
      <c r="I2363" s="430" t="s">
        <v>2730</v>
      </c>
    </row>
    <row r="2364" spans="1:9" x14ac:dyDescent="0.2">
      <c r="A2364" s="364">
        <v>8</v>
      </c>
      <c r="B2364" s="75"/>
      <c r="C2364" s="371" t="s">
        <v>149</v>
      </c>
      <c r="D2364" s="366" t="s">
        <v>2239</v>
      </c>
      <c r="E2364" s="77">
        <v>2</v>
      </c>
      <c r="F2364" s="267">
        <v>115</v>
      </c>
      <c r="G2364" s="35">
        <f t="shared" si="43"/>
        <v>230</v>
      </c>
      <c r="I2364" s="430" t="s">
        <v>2238</v>
      </c>
    </row>
    <row r="2365" spans="1:9" x14ac:dyDescent="0.2">
      <c r="A2365" s="364">
        <v>9</v>
      </c>
      <c r="B2365" s="186"/>
      <c r="C2365" s="371"/>
      <c r="D2365" s="366" t="s">
        <v>2731</v>
      </c>
      <c r="E2365" s="457"/>
      <c r="F2365" s="267"/>
      <c r="G2365" s="35">
        <f t="shared" si="43"/>
        <v>0</v>
      </c>
    </row>
    <row r="2366" spans="1:9" x14ac:dyDescent="0.2">
      <c r="A2366" s="364">
        <v>10</v>
      </c>
      <c r="B2366" s="74"/>
      <c r="C2366" s="371"/>
      <c r="D2366" s="366"/>
      <c r="E2366" s="77"/>
      <c r="F2366" s="267"/>
      <c r="G2366" s="35">
        <f t="shared" si="43"/>
        <v>0</v>
      </c>
    </row>
    <row r="2367" spans="1:9" x14ac:dyDescent="0.2">
      <c r="A2367" s="364">
        <v>11</v>
      </c>
      <c r="B2367" s="74"/>
      <c r="C2367" s="371"/>
      <c r="D2367" s="454"/>
      <c r="E2367" s="84"/>
      <c r="F2367" s="70"/>
      <c r="G2367" s="35">
        <f t="shared" si="43"/>
        <v>0</v>
      </c>
    </row>
    <row r="2368" spans="1:9" x14ac:dyDescent="0.2">
      <c r="A2368" s="364">
        <v>12</v>
      </c>
      <c r="B2368" s="74"/>
      <c r="C2368" s="371"/>
      <c r="D2368" s="454"/>
      <c r="E2368" s="84"/>
      <c r="F2368" s="70"/>
      <c r="G2368" s="35">
        <f t="shared" si="43"/>
        <v>0</v>
      </c>
    </row>
    <row r="2369" spans="1:7" x14ac:dyDescent="0.2">
      <c r="A2369" s="364">
        <v>13</v>
      </c>
      <c r="B2369" s="75"/>
      <c r="C2369" s="371"/>
      <c r="D2369" s="454"/>
      <c r="E2369" s="84"/>
      <c r="F2369" s="88"/>
      <c r="G2369" s="35">
        <f t="shared" si="43"/>
        <v>0</v>
      </c>
    </row>
    <row r="2370" spans="1:7" x14ac:dyDescent="0.2">
      <c r="A2370" s="364">
        <v>14</v>
      </c>
      <c r="B2370" s="75"/>
      <c r="C2370" s="371"/>
      <c r="D2370" s="454"/>
      <c r="E2370" s="84"/>
      <c r="F2370" s="89"/>
      <c r="G2370" s="35">
        <f t="shared" si="43"/>
        <v>0</v>
      </c>
    </row>
    <row r="2371" spans="1:7" x14ac:dyDescent="0.2">
      <c r="A2371" s="364">
        <v>15</v>
      </c>
      <c r="B2371" s="75"/>
      <c r="C2371" s="371"/>
      <c r="D2371" s="454"/>
      <c r="E2371" s="77"/>
      <c r="F2371" s="267"/>
      <c r="G2371" s="35">
        <f t="shared" si="43"/>
        <v>0</v>
      </c>
    </row>
    <row r="2372" spans="1:7" x14ac:dyDescent="0.2">
      <c r="A2372" s="364">
        <v>16</v>
      </c>
      <c r="B2372" s="75"/>
      <c r="C2372" s="371"/>
      <c r="D2372" s="454"/>
      <c r="E2372" s="77"/>
      <c r="F2372" s="267"/>
      <c r="G2372" s="35">
        <f t="shared" si="43"/>
        <v>0</v>
      </c>
    </row>
    <row r="2373" spans="1:7" x14ac:dyDescent="0.2">
      <c r="A2373" s="364">
        <v>17</v>
      </c>
      <c r="B2373" s="75"/>
      <c r="C2373" s="371"/>
      <c r="D2373" s="366"/>
      <c r="E2373" s="77"/>
      <c r="F2373" s="267"/>
      <c r="G2373" s="35">
        <f t="shared" si="43"/>
        <v>0</v>
      </c>
    </row>
    <row r="2374" spans="1:7" x14ac:dyDescent="0.2">
      <c r="A2374" s="364">
        <v>18</v>
      </c>
      <c r="B2374" s="75"/>
      <c r="C2374" s="371"/>
      <c r="D2374" s="366"/>
      <c r="E2374" s="77"/>
      <c r="F2374" s="267"/>
      <c r="G2374" s="35">
        <f t="shared" si="43"/>
        <v>0</v>
      </c>
    </row>
    <row r="2375" spans="1:7" x14ac:dyDescent="0.2">
      <c r="A2375" s="364">
        <v>19</v>
      </c>
      <c r="B2375" s="75"/>
      <c r="C2375" s="371"/>
      <c r="D2375" s="366"/>
      <c r="E2375" s="77"/>
      <c r="F2375" s="267"/>
      <c r="G2375" s="35">
        <f t="shared" si="43"/>
        <v>0</v>
      </c>
    </row>
    <row r="2376" spans="1:7" x14ac:dyDescent="0.2">
      <c r="A2376" s="364">
        <v>20</v>
      </c>
      <c r="B2376" s="75"/>
      <c r="C2376" s="371"/>
      <c r="D2376" s="366"/>
      <c r="E2376" s="84"/>
      <c r="F2376" s="70"/>
      <c r="G2376" s="35">
        <f t="shared" si="43"/>
        <v>0</v>
      </c>
    </row>
    <row r="2377" spans="1:7" x14ac:dyDescent="0.2">
      <c r="A2377" s="364">
        <v>21</v>
      </c>
      <c r="B2377" s="75"/>
      <c r="C2377" s="371"/>
      <c r="D2377" s="366"/>
      <c r="E2377" s="84"/>
      <c r="F2377" s="70"/>
      <c r="G2377" s="35">
        <f t="shared" si="43"/>
        <v>0</v>
      </c>
    </row>
    <row r="2378" spans="1:7" x14ac:dyDescent="0.2">
      <c r="A2378" s="364">
        <v>22</v>
      </c>
      <c r="B2378" s="75"/>
      <c r="C2378" s="371"/>
      <c r="D2378" s="454"/>
      <c r="E2378" s="84"/>
      <c r="F2378" s="70"/>
      <c r="G2378" s="35">
        <f t="shared" si="43"/>
        <v>0</v>
      </c>
    </row>
    <row r="2379" spans="1:7" x14ac:dyDescent="0.2">
      <c r="A2379" s="364">
        <v>23</v>
      </c>
      <c r="B2379" s="75"/>
      <c r="C2379" s="371"/>
      <c r="D2379" s="454"/>
      <c r="E2379" s="84"/>
      <c r="F2379" s="70"/>
      <c r="G2379" s="35">
        <f t="shared" si="43"/>
        <v>0</v>
      </c>
    </row>
    <row r="2380" spans="1:7" x14ac:dyDescent="0.2">
      <c r="A2380" s="364">
        <v>24</v>
      </c>
      <c r="B2380" s="75"/>
      <c r="C2380" s="371"/>
      <c r="D2380" s="454"/>
      <c r="E2380" s="84"/>
      <c r="F2380" s="70"/>
      <c r="G2380" s="35">
        <f t="shared" si="43"/>
        <v>0</v>
      </c>
    </row>
    <row r="2381" spans="1:7" x14ac:dyDescent="0.2">
      <c r="A2381" s="364">
        <v>25</v>
      </c>
      <c r="B2381" s="75"/>
      <c r="C2381" s="371"/>
      <c r="D2381" s="454"/>
      <c r="E2381" s="84"/>
      <c r="F2381" s="70"/>
      <c r="G2381" s="35">
        <f t="shared" si="43"/>
        <v>0</v>
      </c>
    </row>
    <row r="2382" spans="1:7" x14ac:dyDescent="0.2">
      <c r="A2382" s="364">
        <v>26</v>
      </c>
      <c r="B2382" s="75"/>
      <c r="C2382" s="371"/>
      <c r="D2382" s="454"/>
      <c r="E2382" s="84"/>
      <c r="F2382" s="70"/>
      <c r="G2382" s="35">
        <f t="shared" si="43"/>
        <v>0</v>
      </c>
    </row>
    <row r="2383" spans="1:7" x14ac:dyDescent="0.2">
      <c r="A2383" s="364">
        <v>27</v>
      </c>
      <c r="B2383" s="75"/>
      <c r="C2383" s="371"/>
      <c r="D2383" s="454"/>
      <c r="E2383" s="84"/>
      <c r="F2383" s="70"/>
      <c r="G2383" s="35">
        <f t="shared" si="43"/>
        <v>0</v>
      </c>
    </row>
    <row r="2384" spans="1:7" x14ac:dyDescent="0.2">
      <c r="A2384" s="364">
        <v>28</v>
      </c>
      <c r="B2384" s="75"/>
      <c r="C2384" s="371"/>
      <c r="D2384" s="454"/>
      <c r="E2384" s="84"/>
      <c r="F2384" s="70"/>
      <c r="G2384" s="35">
        <f t="shared" si="43"/>
        <v>0</v>
      </c>
    </row>
    <row r="2385" spans="1:7" x14ac:dyDescent="0.2">
      <c r="A2385" s="364">
        <v>29</v>
      </c>
      <c r="B2385" s="75"/>
      <c r="C2385" s="371"/>
      <c r="D2385" s="454"/>
      <c r="E2385" s="84"/>
      <c r="F2385" s="70"/>
      <c r="G2385" s="35">
        <f t="shared" si="43"/>
        <v>0</v>
      </c>
    </row>
    <row r="2386" spans="1:7" x14ac:dyDescent="0.2">
      <c r="A2386" s="364">
        <v>30</v>
      </c>
      <c r="B2386" s="75"/>
      <c r="C2386" s="371"/>
      <c r="D2386" s="454"/>
      <c r="E2386" s="84"/>
      <c r="F2386" s="70"/>
      <c r="G2386" s="35">
        <f t="shared" si="43"/>
        <v>0</v>
      </c>
    </row>
    <row r="2387" spans="1:7" x14ac:dyDescent="0.2">
      <c r="A2387" s="364">
        <v>31</v>
      </c>
      <c r="B2387" s="75"/>
      <c r="C2387" s="371"/>
      <c r="D2387" s="454"/>
      <c r="E2387" s="84"/>
      <c r="F2387" s="70"/>
      <c r="G2387" s="35">
        <f t="shared" si="43"/>
        <v>0</v>
      </c>
    </row>
    <row r="2388" spans="1:7" x14ac:dyDescent="0.2">
      <c r="A2388" s="364">
        <v>32</v>
      </c>
      <c r="B2388" s="75"/>
      <c r="C2388" s="371"/>
      <c r="D2388" s="454"/>
      <c r="E2388" s="84"/>
      <c r="F2388" s="172"/>
      <c r="G2388" s="35">
        <f t="shared" si="43"/>
        <v>0</v>
      </c>
    </row>
    <row r="2389" spans="1:7" x14ac:dyDescent="0.2">
      <c r="A2389" s="364">
        <v>33</v>
      </c>
      <c r="B2389" s="75"/>
      <c r="C2389" s="371"/>
      <c r="D2389" s="454"/>
      <c r="E2389" s="84"/>
      <c r="F2389" s="173"/>
      <c r="G2389" s="35">
        <f t="shared" si="43"/>
        <v>0</v>
      </c>
    </row>
    <row r="2390" spans="1:7" x14ac:dyDescent="0.2">
      <c r="A2390" s="364">
        <v>34</v>
      </c>
      <c r="B2390" s="75"/>
      <c r="C2390" s="371"/>
      <c r="D2390" s="454"/>
      <c r="E2390" s="84"/>
      <c r="F2390" s="173"/>
      <c r="G2390" s="35">
        <f t="shared" si="43"/>
        <v>0</v>
      </c>
    </row>
    <row r="2391" spans="1:7" ht="13.5" thickBot="1" x14ac:dyDescent="0.25">
      <c r="A2391" s="45"/>
      <c r="B2391" s="188"/>
      <c r="C2391" s="47" t="s">
        <v>8</v>
      </c>
      <c r="D2391" s="66" t="s">
        <v>8</v>
      </c>
      <c r="E2391" s="188"/>
      <c r="F2391" s="49" t="s">
        <v>158</v>
      </c>
      <c r="G2391" s="50">
        <v>6051.5</v>
      </c>
    </row>
    <row r="2392" spans="1:7" ht="13.5" thickTop="1" x14ac:dyDescent="0.2">
      <c r="A2392" s="963" t="s">
        <v>2720</v>
      </c>
      <c r="B2392" s="964"/>
      <c r="C2392" s="964"/>
      <c r="D2392" s="964"/>
      <c r="E2392" s="964"/>
      <c r="F2392" s="964"/>
      <c r="G2392" s="965"/>
    </row>
    <row r="2393" spans="1:7" ht="13.5" thickBot="1" x14ac:dyDescent="0.25">
      <c r="A2393" s="378"/>
      <c r="B2393" s="374"/>
      <c r="C2393" s="374" t="s">
        <v>8</v>
      </c>
      <c r="D2393" s="379"/>
      <c r="E2393" s="374"/>
      <c r="F2393" s="380"/>
      <c r="G2393" s="381"/>
    </row>
    <row r="2394" spans="1:7" ht="13.5" thickTop="1" x14ac:dyDescent="0.2">
      <c r="A2394" s="906" t="s">
        <v>8</v>
      </c>
      <c r="B2394" s="907"/>
      <c r="C2394" s="907"/>
      <c r="D2394" s="57" t="s">
        <v>11</v>
      </c>
      <c r="E2394" s="908" t="s">
        <v>12</v>
      </c>
      <c r="F2394" s="908"/>
      <c r="G2394" s="909"/>
    </row>
    <row r="2395" spans="1:7" x14ac:dyDescent="0.2">
      <c r="A2395" s="966" t="s">
        <v>17</v>
      </c>
      <c r="B2395" s="967"/>
      <c r="C2395" s="968"/>
      <c r="D2395" s="39"/>
      <c r="E2395" s="912"/>
      <c r="F2395" s="913"/>
      <c r="G2395" s="914"/>
    </row>
    <row r="2396" spans="1:7" x14ac:dyDescent="0.2">
      <c r="A2396" s="966" t="s">
        <v>38</v>
      </c>
      <c r="B2396" s="967"/>
      <c r="C2396" s="968"/>
      <c r="D2396" s="58" t="s">
        <v>308</v>
      </c>
      <c r="E2396" s="969" t="s">
        <v>142</v>
      </c>
      <c r="F2396" s="868"/>
      <c r="G2396" s="869"/>
    </row>
    <row r="2397" spans="1:7" ht="13.5" thickBot="1" x14ac:dyDescent="0.25">
      <c r="A2397" s="970" t="s">
        <v>39</v>
      </c>
      <c r="B2397" s="971"/>
      <c r="C2397" s="972"/>
      <c r="D2397" s="375" t="s">
        <v>1038</v>
      </c>
      <c r="E2397" s="904" t="s">
        <v>0</v>
      </c>
      <c r="F2397" s="904"/>
      <c r="G2397" s="905"/>
    </row>
    <row r="2398" spans="1:7" ht="16.5" x14ac:dyDescent="0.25">
      <c r="A2398" s="885" t="s">
        <v>29</v>
      </c>
      <c r="B2398" s="886"/>
      <c r="C2398" s="886"/>
      <c r="D2398" s="886"/>
      <c r="E2398" s="886"/>
      <c r="F2398" s="886"/>
      <c r="G2398" s="887"/>
    </row>
    <row r="2399" spans="1:7" x14ac:dyDescent="0.2">
      <c r="A2399" s="888" t="s">
        <v>48</v>
      </c>
      <c r="B2399" s="889"/>
      <c r="C2399" s="889"/>
      <c r="D2399" s="889"/>
      <c r="E2399" s="889"/>
      <c r="F2399" s="889"/>
      <c r="G2399" s="890"/>
    </row>
    <row r="2400" spans="1:7" x14ac:dyDescent="0.2">
      <c r="A2400" s="915" t="s">
        <v>49</v>
      </c>
      <c r="B2400" s="916"/>
      <c r="C2400" s="916"/>
      <c r="D2400" s="916"/>
      <c r="E2400" s="916"/>
      <c r="F2400" s="916"/>
      <c r="G2400" s="917"/>
    </row>
    <row r="2401" spans="1:7" x14ac:dyDescent="0.2">
      <c r="A2401" s="6"/>
      <c r="B2401" s="178"/>
      <c r="C2401" s="8"/>
      <c r="D2401" s="9"/>
      <c r="E2401" s="99"/>
      <c r="F2401" s="10"/>
      <c r="G2401" s="392" t="s">
        <v>335</v>
      </c>
    </row>
    <row r="2402" spans="1:7" x14ac:dyDescent="0.2">
      <c r="A2402" s="12" t="s">
        <v>1</v>
      </c>
      <c r="B2402" s="13"/>
      <c r="C2402" s="14" t="s">
        <v>5</v>
      </c>
      <c r="D2402" s="13"/>
      <c r="E2402" s="362" t="s">
        <v>2718</v>
      </c>
      <c r="F2402" s="60"/>
      <c r="G2402" s="363" t="s">
        <v>2719</v>
      </c>
    </row>
    <row r="2403" spans="1:7" x14ac:dyDescent="0.2">
      <c r="A2403" s="17" t="s">
        <v>8</v>
      </c>
      <c r="B2403" s="179"/>
      <c r="C2403" s="19"/>
      <c r="D2403" s="4"/>
      <c r="E2403" s="918"/>
      <c r="F2403" s="919"/>
      <c r="G2403" s="20"/>
    </row>
    <row r="2404" spans="1:7" x14ac:dyDescent="0.2">
      <c r="A2404" s="21" t="s">
        <v>37</v>
      </c>
      <c r="B2404" s="22"/>
      <c r="C2404" s="22"/>
      <c r="D2404" s="22"/>
      <c r="E2404" s="23" t="s">
        <v>46</v>
      </c>
      <c r="F2404" s="24"/>
      <c r="G2404" s="20" t="s">
        <v>50</v>
      </c>
    </row>
    <row r="2405" spans="1:7" x14ac:dyDescent="0.2">
      <c r="A2405" s="6"/>
      <c r="B2405" s="178"/>
      <c r="C2405" s="8"/>
      <c r="D2405" s="8"/>
      <c r="E2405" s="920"/>
      <c r="F2405" s="921"/>
      <c r="G2405" s="25"/>
    </row>
    <row r="2406" spans="1:7" ht="26.25" thickBot="1" x14ac:dyDescent="0.25">
      <c r="A2406" s="26" t="s">
        <v>47</v>
      </c>
      <c r="B2406" s="180" t="s">
        <v>23</v>
      </c>
      <c r="C2406" s="28" t="s">
        <v>34</v>
      </c>
      <c r="D2406" s="110" t="s">
        <v>53</v>
      </c>
      <c r="E2406" s="181" t="s">
        <v>54</v>
      </c>
      <c r="F2406" s="111" t="s">
        <v>55</v>
      </c>
      <c r="G2406" s="112" t="s">
        <v>35</v>
      </c>
    </row>
    <row r="2407" spans="1:7" ht="13.5" thickTop="1" x14ac:dyDescent="0.2">
      <c r="A2407" s="364"/>
      <c r="B2407" s="650"/>
      <c r="C2407" s="365"/>
      <c r="D2407" s="455" t="s">
        <v>160</v>
      </c>
      <c r="E2407" s="457"/>
      <c r="F2407" s="456"/>
      <c r="G2407" s="200">
        <f>G2391</f>
        <v>6051.5</v>
      </c>
    </row>
    <row r="2408" spans="1:7" x14ac:dyDescent="0.2">
      <c r="A2408" s="364">
        <v>35</v>
      </c>
      <c r="B2408" s="650"/>
      <c r="C2408" s="371"/>
      <c r="D2408" s="366"/>
      <c r="E2408" s="77"/>
      <c r="F2408" s="185"/>
      <c r="G2408" s="35">
        <f t="shared" ref="G2408:G2412" si="44">F2408*E2408</f>
        <v>0</v>
      </c>
    </row>
    <row r="2409" spans="1:7" x14ac:dyDescent="0.2">
      <c r="A2409" s="364">
        <v>36</v>
      </c>
      <c r="B2409" s="650"/>
      <c r="C2409" s="371"/>
      <c r="D2409" s="458"/>
      <c r="E2409" s="77"/>
      <c r="F2409" s="185"/>
      <c r="G2409" s="35">
        <f t="shared" si="44"/>
        <v>0</v>
      </c>
    </row>
    <row r="2410" spans="1:7" x14ac:dyDescent="0.2">
      <c r="A2410" s="364">
        <v>37</v>
      </c>
      <c r="B2410" s="650"/>
      <c r="C2410" s="371"/>
      <c r="D2410" s="366"/>
      <c r="E2410" s="77"/>
      <c r="G2410" s="35">
        <f t="shared" si="44"/>
        <v>0</v>
      </c>
    </row>
    <row r="2411" spans="1:7" x14ac:dyDescent="0.2">
      <c r="A2411" s="364">
        <v>38</v>
      </c>
      <c r="B2411" s="650"/>
      <c r="C2411" s="371"/>
      <c r="D2411" s="366"/>
      <c r="E2411" s="77"/>
      <c r="F2411" s="185"/>
      <c r="G2411" s="35">
        <f t="shared" si="44"/>
        <v>0</v>
      </c>
    </row>
    <row r="2412" spans="1:7" x14ac:dyDescent="0.2">
      <c r="A2412" s="364">
        <v>39</v>
      </c>
      <c r="B2412" s="650"/>
      <c r="C2412" s="371"/>
      <c r="D2412" s="366"/>
      <c r="E2412" s="77"/>
      <c r="F2412" s="185"/>
      <c r="G2412" s="35">
        <f t="shared" si="44"/>
        <v>0</v>
      </c>
    </row>
    <row r="2413" spans="1:7" x14ac:dyDescent="0.2">
      <c r="A2413" s="364"/>
      <c r="B2413" s="650"/>
      <c r="C2413" s="371"/>
      <c r="D2413" s="366"/>
      <c r="E2413" s="77"/>
      <c r="F2413" s="185"/>
      <c r="G2413" s="35"/>
    </row>
    <row r="2414" spans="1:7" x14ac:dyDescent="0.2">
      <c r="A2414" s="364"/>
      <c r="B2414" s="650"/>
      <c r="C2414" s="371"/>
      <c r="D2414" s="366"/>
      <c r="E2414" s="77"/>
      <c r="F2414" s="185"/>
      <c r="G2414" s="35"/>
    </row>
    <row r="2415" spans="1:7" x14ac:dyDescent="0.2">
      <c r="A2415" s="364"/>
      <c r="B2415" s="651"/>
      <c r="C2415" s="371"/>
      <c r="D2415" s="366"/>
      <c r="E2415" s="457"/>
      <c r="F2415" s="185"/>
      <c r="G2415" s="35"/>
    </row>
    <row r="2416" spans="1:7" x14ac:dyDescent="0.2">
      <c r="A2416" s="364"/>
      <c r="B2416" s="652"/>
      <c r="C2416" s="371"/>
      <c r="D2416" s="366"/>
      <c r="E2416" s="77"/>
      <c r="F2416" s="185"/>
      <c r="G2416" s="35"/>
    </row>
    <row r="2417" spans="1:7" x14ac:dyDescent="0.2">
      <c r="A2417" s="364"/>
      <c r="B2417" s="652"/>
      <c r="C2417" s="371"/>
      <c r="D2417" s="454"/>
      <c r="E2417" s="77"/>
      <c r="F2417" s="163"/>
      <c r="G2417" s="35"/>
    </row>
    <row r="2418" spans="1:7" x14ac:dyDescent="0.2">
      <c r="A2418" s="364"/>
      <c r="B2418" s="652"/>
      <c r="C2418" s="371"/>
      <c r="D2418" s="454"/>
      <c r="E2418" s="77"/>
      <c r="F2418" s="163"/>
      <c r="G2418" s="35"/>
    </row>
    <row r="2419" spans="1:7" x14ac:dyDescent="0.2">
      <c r="A2419" s="364"/>
      <c r="B2419" s="650"/>
      <c r="C2419" s="371"/>
      <c r="D2419" s="454"/>
      <c r="E2419" s="77"/>
      <c r="F2419" s="172"/>
      <c r="G2419" s="35"/>
    </row>
    <row r="2420" spans="1:7" x14ac:dyDescent="0.2">
      <c r="A2420" s="364"/>
      <c r="B2420" s="650"/>
      <c r="C2420" s="371"/>
      <c r="D2420" s="454"/>
      <c r="E2420" s="77"/>
      <c r="F2420" s="173"/>
      <c r="G2420" s="35"/>
    </row>
    <row r="2421" spans="1:7" x14ac:dyDescent="0.2">
      <c r="A2421" s="364"/>
      <c r="B2421" s="650"/>
      <c r="C2421" s="371"/>
      <c r="D2421" s="454"/>
      <c r="E2421" s="77"/>
      <c r="F2421" s="185"/>
      <c r="G2421" s="35"/>
    </row>
    <row r="2422" spans="1:7" x14ac:dyDescent="0.2">
      <c r="A2422" s="364"/>
      <c r="B2422" s="650"/>
      <c r="C2422" s="371"/>
      <c r="D2422" s="454"/>
      <c r="E2422" s="77"/>
      <c r="F2422" s="185"/>
      <c r="G2422" s="35"/>
    </row>
    <row r="2423" spans="1:7" x14ac:dyDescent="0.2">
      <c r="A2423" s="364"/>
      <c r="B2423" s="650"/>
      <c r="C2423" s="371"/>
      <c r="D2423" s="366"/>
      <c r="E2423" s="77"/>
      <c r="F2423" s="185"/>
      <c r="G2423" s="35"/>
    </row>
    <row r="2424" spans="1:7" x14ac:dyDescent="0.2">
      <c r="A2424" s="364"/>
      <c r="B2424" s="650"/>
      <c r="C2424" s="371"/>
      <c r="D2424" s="366"/>
      <c r="E2424" s="77"/>
      <c r="F2424" s="185"/>
      <c r="G2424" s="35"/>
    </row>
    <row r="2425" spans="1:7" x14ac:dyDescent="0.2">
      <c r="A2425" s="364"/>
      <c r="B2425" s="650"/>
      <c r="C2425" s="371"/>
      <c r="D2425" s="366"/>
      <c r="E2425" s="77"/>
      <c r="F2425" s="185"/>
      <c r="G2425" s="35"/>
    </row>
    <row r="2426" spans="1:7" x14ac:dyDescent="0.2">
      <c r="A2426" s="29"/>
      <c r="B2426" s="650"/>
      <c r="C2426" s="41"/>
      <c r="D2426" s="366"/>
      <c r="E2426" s="77"/>
      <c r="F2426" s="163"/>
      <c r="G2426" s="35"/>
    </row>
    <row r="2427" spans="1:7" x14ac:dyDescent="0.2">
      <c r="A2427" s="29"/>
      <c r="B2427" s="650"/>
      <c r="C2427" s="41"/>
      <c r="D2427" s="366"/>
      <c r="E2427" s="77"/>
      <c r="F2427" s="163"/>
      <c r="G2427" s="35"/>
    </row>
    <row r="2428" spans="1:7" x14ac:dyDescent="0.2">
      <c r="A2428" s="29"/>
      <c r="B2428" s="650"/>
      <c r="C2428" s="41"/>
      <c r="D2428" s="454"/>
      <c r="E2428" s="77"/>
      <c r="F2428" s="163"/>
      <c r="G2428" s="35"/>
    </row>
    <row r="2429" spans="1:7" x14ac:dyDescent="0.2">
      <c r="A2429" s="29"/>
      <c r="B2429" s="650"/>
      <c r="C2429" s="41"/>
      <c r="D2429" s="454"/>
      <c r="E2429" s="77"/>
      <c r="F2429" s="163"/>
      <c r="G2429" s="35"/>
    </row>
    <row r="2430" spans="1:7" x14ac:dyDescent="0.2">
      <c r="A2430" s="29"/>
      <c r="B2430" s="650"/>
      <c r="C2430" s="41"/>
      <c r="D2430" s="454"/>
      <c r="E2430" s="77"/>
      <c r="F2430" s="163"/>
      <c r="G2430" s="35"/>
    </row>
    <row r="2431" spans="1:7" x14ac:dyDescent="0.2">
      <c r="A2431" s="29"/>
      <c r="B2431" s="650"/>
      <c r="C2431" s="41"/>
      <c r="D2431" s="454"/>
      <c r="E2431" s="77"/>
      <c r="F2431" s="163"/>
      <c r="G2431" s="35"/>
    </row>
    <row r="2432" spans="1:7" x14ac:dyDescent="0.2">
      <c r="A2432" s="29"/>
      <c r="B2432" s="650"/>
      <c r="C2432" s="41"/>
      <c r="D2432" s="454"/>
      <c r="E2432" s="77"/>
      <c r="F2432" s="163"/>
      <c r="G2432" s="35"/>
    </row>
    <row r="2433" spans="1:7" x14ac:dyDescent="0.2">
      <c r="A2433" s="29"/>
      <c r="B2433" s="650"/>
      <c r="C2433" s="41"/>
      <c r="D2433" s="454"/>
      <c r="E2433" s="77"/>
      <c r="F2433" s="163"/>
      <c r="G2433" s="35"/>
    </row>
    <row r="2434" spans="1:7" x14ac:dyDescent="0.2">
      <c r="A2434" s="29"/>
      <c r="B2434" s="650"/>
      <c r="C2434" s="41"/>
      <c r="D2434" s="454"/>
      <c r="E2434" s="77"/>
      <c r="F2434" s="163"/>
      <c r="G2434" s="35"/>
    </row>
    <row r="2435" spans="1:7" x14ac:dyDescent="0.2">
      <c r="A2435" s="29"/>
      <c r="B2435" s="650"/>
      <c r="C2435" s="41"/>
      <c r="D2435" s="454"/>
      <c r="E2435" s="77"/>
      <c r="F2435" s="163"/>
      <c r="G2435" s="35"/>
    </row>
    <row r="2436" spans="1:7" x14ac:dyDescent="0.2">
      <c r="A2436" s="29"/>
      <c r="B2436" s="650"/>
      <c r="C2436" s="41"/>
      <c r="D2436" s="454"/>
      <c r="E2436" s="77"/>
      <c r="F2436" s="163"/>
      <c r="G2436" s="35"/>
    </row>
    <row r="2437" spans="1:7" x14ac:dyDescent="0.2">
      <c r="A2437" s="29"/>
      <c r="B2437" s="650"/>
      <c r="C2437" s="41"/>
      <c r="D2437" s="454"/>
      <c r="E2437" s="77"/>
      <c r="F2437" s="163"/>
      <c r="G2437" s="35"/>
    </row>
    <row r="2438" spans="1:7" x14ac:dyDescent="0.2">
      <c r="A2438" s="29"/>
      <c r="B2438" s="650"/>
      <c r="C2438" s="41"/>
      <c r="D2438" s="454"/>
      <c r="E2438" s="77"/>
      <c r="F2438" s="172"/>
      <c r="G2438" s="35"/>
    </row>
    <row r="2439" spans="1:7" x14ac:dyDescent="0.2">
      <c r="A2439" s="29"/>
      <c r="B2439" s="650"/>
      <c r="C2439" s="41"/>
      <c r="D2439" s="454"/>
      <c r="E2439" s="77"/>
      <c r="F2439" s="173"/>
      <c r="G2439" s="35"/>
    </row>
    <row r="2440" spans="1:7" x14ac:dyDescent="0.2">
      <c r="A2440" s="29"/>
      <c r="B2440" s="650"/>
      <c r="C2440" s="41"/>
      <c r="D2440" s="454"/>
      <c r="E2440" s="77"/>
      <c r="F2440" s="173"/>
      <c r="G2440" s="35" t="s">
        <v>8</v>
      </c>
    </row>
    <row r="2441" spans="1:7" ht="13.5" thickBot="1" x14ac:dyDescent="0.25">
      <c r="A2441" s="45"/>
      <c r="B2441" s="188"/>
      <c r="C2441" s="47" t="s">
        <v>8</v>
      </c>
      <c r="D2441" s="66" t="s">
        <v>8</v>
      </c>
      <c r="E2441" s="188"/>
      <c r="F2441" s="49" t="s">
        <v>15</v>
      </c>
      <c r="G2441" s="50">
        <f>SUM(G2407:G2440)</f>
        <v>6051.5</v>
      </c>
    </row>
    <row r="2442" spans="1:7" ht="13.5" thickTop="1" x14ac:dyDescent="0.2">
      <c r="A2442" s="963" t="s">
        <v>2720</v>
      </c>
      <c r="B2442" s="964"/>
      <c r="C2442" s="964"/>
      <c r="D2442" s="964"/>
      <c r="E2442" s="964"/>
      <c r="F2442" s="964"/>
      <c r="G2442" s="965"/>
    </row>
    <row r="2443" spans="1:7" ht="13.5" thickBot="1" x14ac:dyDescent="0.25">
      <c r="A2443" s="378"/>
      <c r="B2443" s="374"/>
      <c r="C2443" s="374" t="s">
        <v>8</v>
      </c>
      <c r="D2443" s="379"/>
      <c r="E2443" s="374"/>
      <c r="F2443" s="380"/>
      <c r="G2443" s="381"/>
    </row>
    <row r="2444" spans="1:7" ht="13.5" thickTop="1" x14ac:dyDescent="0.2">
      <c r="A2444" s="906" t="s">
        <v>8</v>
      </c>
      <c r="B2444" s="907"/>
      <c r="C2444" s="907"/>
      <c r="D2444" s="57" t="s">
        <v>11</v>
      </c>
      <c r="E2444" s="908" t="s">
        <v>12</v>
      </c>
      <c r="F2444" s="908"/>
      <c r="G2444" s="909"/>
    </row>
    <row r="2445" spans="1:7" x14ac:dyDescent="0.2">
      <c r="A2445" s="966" t="s">
        <v>17</v>
      </c>
      <c r="B2445" s="967"/>
      <c r="C2445" s="968"/>
      <c r="D2445" s="39"/>
      <c r="E2445" s="912"/>
      <c r="F2445" s="913"/>
      <c r="G2445" s="914"/>
    </row>
    <row r="2446" spans="1:7" x14ac:dyDescent="0.2">
      <c r="A2446" s="966" t="s">
        <v>38</v>
      </c>
      <c r="B2446" s="967"/>
      <c r="C2446" s="968"/>
      <c r="D2446" s="58" t="s">
        <v>308</v>
      </c>
      <c r="E2446" s="969" t="s">
        <v>142</v>
      </c>
      <c r="F2446" s="868"/>
      <c r="G2446" s="869"/>
    </row>
    <row r="2447" spans="1:7" ht="13.5" thickBot="1" x14ac:dyDescent="0.25">
      <c r="A2447" s="970" t="s">
        <v>39</v>
      </c>
      <c r="B2447" s="971"/>
      <c r="C2447" s="972"/>
      <c r="D2447" s="375" t="s">
        <v>1038</v>
      </c>
      <c r="E2447" s="904" t="s">
        <v>0</v>
      </c>
      <c r="F2447" s="904"/>
      <c r="G2447" s="905"/>
    </row>
  </sheetData>
  <mergeCells count="682">
    <mergeCell ref="E2305:F2305"/>
    <mergeCell ref="A2344:C2344"/>
    <mergeCell ref="E2344:G2344"/>
    <mergeCell ref="A2345:C2345"/>
    <mergeCell ref="E2345:G2345"/>
    <mergeCell ref="A2346:C2346"/>
    <mergeCell ref="E2346:G2346"/>
    <mergeCell ref="A2347:C2347"/>
    <mergeCell ref="E2347:G2347"/>
    <mergeCell ref="A2248:G2248"/>
    <mergeCell ref="A2249:G2249"/>
    <mergeCell ref="A2250:G2250"/>
    <mergeCell ref="E2253:F2253"/>
    <mergeCell ref="E2255:F2255"/>
    <mergeCell ref="A2298:G2298"/>
    <mergeCell ref="A2299:G2299"/>
    <mergeCell ref="A2300:G2300"/>
    <mergeCell ref="E2303:F2303"/>
    <mergeCell ref="A2292:G2292"/>
    <mergeCell ref="A2294:C2294"/>
    <mergeCell ref="E2294:G2294"/>
    <mergeCell ref="A2295:C2295"/>
    <mergeCell ref="E2295:G2295"/>
    <mergeCell ref="A2296:C2296"/>
    <mergeCell ref="E2296:G2296"/>
    <mergeCell ref="A2297:C2297"/>
    <mergeCell ref="E2297:G2297"/>
    <mergeCell ref="A2246:C2246"/>
    <mergeCell ref="E2246:G2246"/>
    <mergeCell ref="A2247:C2247"/>
    <mergeCell ref="E2247:G2247"/>
    <mergeCell ref="A2198:G2198"/>
    <mergeCell ref="A2199:G2199"/>
    <mergeCell ref="A2200:G2200"/>
    <mergeCell ref="E2203:F2203"/>
    <mergeCell ref="E2205:F2205"/>
    <mergeCell ref="A2242:G2242"/>
    <mergeCell ref="A2244:C2244"/>
    <mergeCell ref="E2244:G2244"/>
    <mergeCell ref="A2245:C2245"/>
    <mergeCell ref="E2245:G2245"/>
    <mergeCell ref="A2096:C2096"/>
    <mergeCell ref="E2096:G2096"/>
    <mergeCell ref="A2097:C2097"/>
    <mergeCell ref="E2097:G2097"/>
    <mergeCell ref="A2048:G2048"/>
    <mergeCell ref="A2049:G2049"/>
    <mergeCell ref="A2050:G2050"/>
    <mergeCell ref="E2053:F2053"/>
    <mergeCell ref="E2055:F2055"/>
    <mergeCell ref="A2092:G2092"/>
    <mergeCell ref="A2094:C2094"/>
    <mergeCell ref="E2094:G2094"/>
    <mergeCell ref="A2095:C2095"/>
    <mergeCell ref="E2095:G2095"/>
    <mergeCell ref="A2046:C2046"/>
    <mergeCell ref="E2046:G2046"/>
    <mergeCell ref="A2047:C2047"/>
    <mergeCell ref="E2047:G2047"/>
    <mergeCell ref="A1998:G1998"/>
    <mergeCell ref="A1999:G1999"/>
    <mergeCell ref="A2000:G2000"/>
    <mergeCell ref="E2003:F2003"/>
    <mergeCell ref="E2005:F2005"/>
    <mergeCell ref="A2042:G2042"/>
    <mergeCell ref="A2044:C2044"/>
    <mergeCell ref="E2044:G2044"/>
    <mergeCell ref="A2045:C2045"/>
    <mergeCell ref="E2045:G2045"/>
    <mergeCell ref="A1842:G1842"/>
    <mergeCell ref="A1844:C1844"/>
    <mergeCell ref="E1844:G1844"/>
    <mergeCell ref="A1845:C1845"/>
    <mergeCell ref="E1845:G1845"/>
    <mergeCell ref="A1846:C1846"/>
    <mergeCell ref="E1846:G1846"/>
    <mergeCell ref="A1847:C1847"/>
    <mergeCell ref="E1847:G1847"/>
    <mergeCell ref="A1796:C1796"/>
    <mergeCell ref="E1796:G1796"/>
    <mergeCell ref="A1797:C1797"/>
    <mergeCell ref="E1797:G1797"/>
    <mergeCell ref="A1798:G1798"/>
    <mergeCell ref="A1799:G1799"/>
    <mergeCell ref="A1800:G1800"/>
    <mergeCell ref="E1803:F1803"/>
    <mergeCell ref="E1805:F1805"/>
    <mergeCell ref="A1748:G1748"/>
    <mergeCell ref="A1749:G1749"/>
    <mergeCell ref="A1750:G1750"/>
    <mergeCell ref="E1753:F1753"/>
    <mergeCell ref="E1755:F1755"/>
    <mergeCell ref="A1792:G1792"/>
    <mergeCell ref="A1794:C1794"/>
    <mergeCell ref="E1794:G1794"/>
    <mergeCell ref="A1795:C1795"/>
    <mergeCell ref="E1795:G1795"/>
    <mergeCell ref="A1596:C1596"/>
    <mergeCell ref="E1596:G1596"/>
    <mergeCell ref="A1597:C1597"/>
    <mergeCell ref="E1597:G1597"/>
    <mergeCell ref="A1548:G1548"/>
    <mergeCell ref="A1549:G1549"/>
    <mergeCell ref="A1550:G1550"/>
    <mergeCell ref="E1553:F1553"/>
    <mergeCell ref="E1555:F1555"/>
    <mergeCell ref="A1592:G1592"/>
    <mergeCell ref="A1594:C1594"/>
    <mergeCell ref="E1594:G1594"/>
    <mergeCell ref="A1595:C1595"/>
    <mergeCell ref="E1595:G1595"/>
    <mergeCell ref="A1546:C1546"/>
    <mergeCell ref="E1546:G1546"/>
    <mergeCell ref="A1547:C1547"/>
    <mergeCell ref="E1547:G1547"/>
    <mergeCell ref="A1498:G1498"/>
    <mergeCell ref="A1499:G1499"/>
    <mergeCell ref="A1500:G1500"/>
    <mergeCell ref="E1503:F1503"/>
    <mergeCell ref="E1505:F1505"/>
    <mergeCell ref="A1542:G1542"/>
    <mergeCell ref="A1544:C1544"/>
    <mergeCell ref="E1544:G1544"/>
    <mergeCell ref="A1545:C1545"/>
    <mergeCell ref="E1545:G1545"/>
    <mergeCell ref="E1453:F1453"/>
    <mergeCell ref="E1455:F1455"/>
    <mergeCell ref="A1494:C1494"/>
    <mergeCell ref="E1494:G1494"/>
    <mergeCell ref="A1495:C1495"/>
    <mergeCell ref="E1495:G1495"/>
    <mergeCell ref="A1496:C1496"/>
    <mergeCell ref="E1496:G1496"/>
    <mergeCell ref="A1497:C1497"/>
    <mergeCell ref="E1497:G1497"/>
    <mergeCell ref="A1492:G1492"/>
    <mergeCell ref="A1445:C1445"/>
    <mergeCell ref="E1445:G1445"/>
    <mergeCell ref="A1446:C1446"/>
    <mergeCell ref="E1446:G1446"/>
    <mergeCell ref="A1447:C1447"/>
    <mergeCell ref="E1447:G1447"/>
    <mergeCell ref="A1448:G1448"/>
    <mergeCell ref="A1449:G1449"/>
    <mergeCell ref="A1450:G1450"/>
    <mergeCell ref="A1397:C1397"/>
    <mergeCell ref="E1397:G1397"/>
    <mergeCell ref="A1398:G1398"/>
    <mergeCell ref="A1399:G1399"/>
    <mergeCell ref="A1400:G1400"/>
    <mergeCell ref="E1403:F1403"/>
    <mergeCell ref="E1405:F1405"/>
    <mergeCell ref="A1444:C1444"/>
    <mergeCell ref="E1444:G1444"/>
    <mergeCell ref="A1349:G1349"/>
    <mergeCell ref="A1350:G1350"/>
    <mergeCell ref="E1353:F1353"/>
    <mergeCell ref="E1355:F1355"/>
    <mergeCell ref="A1394:C1394"/>
    <mergeCell ref="E1394:G1394"/>
    <mergeCell ref="A1395:C1395"/>
    <mergeCell ref="E1395:G1395"/>
    <mergeCell ref="A1396:C1396"/>
    <mergeCell ref="E1396:G1396"/>
    <mergeCell ref="A1344:C1344"/>
    <mergeCell ref="E1344:G1344"/>
    <mergeCell ref="A1345:C1345"/>
    <mergeCell ref="E1345:G1345"/>
    <mergeCell ref="A1346:C1346"/>
    <mergeCell ref="E1346:G1346"/>
    <mergeCell ref="A1347:C1347"/>
    <mergeCell ref="E1347:G1347"/>
    <mergeCell ref="A1348:G1348"/>
    <mergeCell ref="A1296:C1296"/>
    <mergeCell ref="E1296:G1296"/>
    <mergeCell ref="A1297:C1297"/>
    <mergeCell ref="E1297:G1297"/>
    <mergeCell ref="A1298:G1298"/>
    <mergeCell ref="A1299:G1299"/>
    <mergeCell ref="A1300:G1300"/>
    <mergeCell ref="E1303:F1303"/>
    <mergeCell ref="E1305:F1305"/>
    <mergeCell ref="A1248:G1248"/>
    <mergeCell ref="A1249:G1249"/>
    <mergeCell ref="A1250:G1250"/>
    <mergeCell ref="E1253:F1253"/>
    <mergeCell ref="E1255:F1255"/>
    <mergeCell ref="A1294:C1294"/>
    <mergeCell ref="E1294:G1294"/>
    <mergeCell ref="A1295:C1295"/>
    <mergeCell ref="E1295:G1295"/>
    <mergeCell ref="A1092:G1092"/>
    <mergeCell ref="A1094:C1094"/>
    <mergeCell ref="E1094:G1094"/>
    <mergeCell ref="A1095:C1095"/>
    <mergeCell ref="E1095:G1095"/>
    <mergeCell ref="A1096:C1096"/>
    <mergeCell ref="E1096:G1096"/>
    <mergeCell ref="A1097:C1097"/>
    <mergeCell ref="E1097:G1097"/>
    <mergeCell ref="A1046:C1046"/>
    <mergeCell ref="E1046:G1046"/>
    <mergeCell ref="A1047:C1047"/>
    <mergeCell ref="E1047:G1047"/>
    <mergeCell ref="A1048:G1048"/>
    <mergeCell ref="A1049:G1049"/>
    <mergeCell ref="A1050:G1050"/>
    <mergeCell ref="E1053:F1053"/>
    <mergeCell ref="E1055:F1055"/>
    <mergeCell ref="A998:G998"/>
    <mergeCell ref="A999:G999"/>
    <mergeCell ref="A1000:G1000"/>
    <mergeCell ref="E1003:F1003"/>
    <mergeCell ref="E1005:F1005"/>
    <mergeCell ref="A1042:G1042"/>
    <mergeCell ref="A1044:C1044"/>
    <mergeCell ref="E1044:G1044"/>
    <mergeCell ref="A1045:C1045"/>
    <mergeCell ref="E1045:G1045"/>
    <mergeCell ref="E955:F955"/>
    <mergeCell ref="A992:G992"/>
    <mergeCell ref="A994:C994"/>
    <mergeCell ref="E994:G994"/>
    <mergeCell ref="A995:C995"/>
    <mergeCell ref="E995:G995"/>
    <mergeCell ref="A996:C996"/>
    <mergeCell ref="E996:G996"/>
    <mergeCell ref="A997:C997"/>
    <mergeCell ref="E997:G997"/>
    <mergeCell ref="A946:C946"/>
    <mergeCell ref="E946:G946"/>
    <mergeCell ref="A947:C947"/>
    <mergeCell ref="E947:G947"/>
    <mergeCell ref="A942:G942"/>
    <mergeCell ref="A948:G948"/>
    <mergeCell ref="A949:G949"/>
    <mergeCell ref="A950:G950"/>
    <mergeCell ref="E953:F953"/>
    <mergeCell ref="A898:G898"/>
    <mergeCell ref="A899:G899"/>
    <mergeCell ref="A900:G900"/>
    <mergeCell ref="E903:F903"/>
    <mergeCell ref="E905:F905"/>
    <mergeCell ref="A944:C944"/>
    <mergeCell ref="E944:G944"/>
    <mergeCell ref="A945:C945"/>
    <mergeCell ref="E945:G945"/>
    <mergeCell ref="A897:C897"/>
    <mergeCell ref="E897:G897"/>
    <mergeCell ref="E853:F853"/>
    <mergeCell ref="E855:F855"/>
    <mergeCell ref="A893:G893"/>
    <mergeCell ref="A894:C894"/>
    <mergeCell ref="E894:G894"/>
    <mergeCell ref="A895:C895"/>
    <mergeCell ref="E895:G895"/>
    <mergeCell ref="A896:C896"/>
    <mergeCell ref="E896:G896"/>
    <mergeCell ref="A845:C845"/>
    <mergeCell ref="E845:G845"/>
    <mergeCell ref="A846:C846"/>
    <mergeCell ref="E846:G846"/>
    <mergeCell ref="A847:C847"/>
    <mergeCell ref="E847:G847"/>
    <mergeCell ref="A848:G848"/>
    <mergeCell ref="A849:G849"/>
    <mergeCell ref="A850:G850"/>
    <mergeCell ref="A798:G798"/>
    <mergeCell ref="A799:G799"/>
    <mergeCell ref="A800:G800"/>
    <mergeCell ref="E803:F803"/>
    <mergeCell ref="E805:F805"/>
    <mergeCell ref="A842:G842"/>
    <mergeCell ref="A843:G843"/>
    <mergeCell ref="A844:C844"/>
    <mergeCell ref="E844:G844"/>
    <mergeCell ref="A794:C794"/>
    <mergeCell ref="E794:G794"/>
    <mergeCell ref="A795:C795"/>
    <mergeCell ref="E795:G795"/>
    <mergeCell ref="A796:C796"/>
    <mergeCell ref="E796:G796"/>
    <mergeCell ref="A797:C797"/>
    <mergeCell ref="E797:G797"/>
    <mergeCell ref="A792:G792"/>
    <mergeCell ref="A793:G793"/>
    <mergeCell ref="A746:C746"/>
    <mergeCell ref="E746:G746"/>
    <mergeCell ref="A747:C747"/>
    <mergeCell ref="E747:G747"/>
    <mergeCell ref="A748:G748"/>
    <mergeCell ref="A749:G749"/>
    <mergeCell ref="A750:G750"/>
    <mergeCell ref="E753:F753"/>
    <mergeCell ref="E755:F755"/>
    <mergeCell ref="A698:G698"/>
    <mergeCell ref="A699:G699"/>
    <mergeCell ref="A700:G700"/>
    <mergeCell ref="E703:F703"/>
    <mergeCell ref="E705:F705"/>
    <mergeCell ref="A744:C744"/>
    <mergeCell ref="E744:G744"/>
    <mergeCell ref="A745:C745"/>
    <mergeCell ref="E745:G745"/>
    <mergeCell ref="E653:F653"/>
    <mergeCell ref="E655:F655"/>
    <mergeCell ref="A694:C694"/>
    <mergeCell ref="E694:G694"/>
    <mergeCell ref="A695:C695"/>
    <mergeCell ref="E695:G695"/>
    <mergeCell ref="A696:C696"/>
    <mergeCell ref="E696:G696"/>
    <mergeCell ref="A697:C697"/>
    <mergeCell ref="E697:G697"/>
    <mergeCell ref="A645:C645"/>
    <mergeCell ref="E645:G645"/>
    <mergeCell ref="A646:C646"/>
    <mergeCell ref="E646:G646"/>
    <mergeCell ref="A647:C647"/>
    <mergeCell ref="E647:G647"/>
    <mergeCell ref="A648:G648"/>
    <mergeCell ref="A649:G649"/>
    <mergeCell ref="A650:G650"/>
    <mergeCell ref="A597:C597"/>
    <mergeCell ref="E597:G597"/>
    <mergeCell ref="A598:G598"/>
    <mergeCell ref="A599:G599"/>
    <mergeCell ref="A600:G600"/>
    <mergeCell ref="E603:F603"/>
    <mergeCell ref="E605:F605"/>
    <mergeCell ref="A644:C644"/>
    <mergeCell ref="E644:G644"/>
    <mergeCell ref="A549:G549"/>
    <mergeCell ref="A550:G550"/>
    <mergeCell ref="E553:F553"/>
    <mergeCell ref="E555:F555"/>
    <mergeCell ref="A594:C594"/>
    <mergeCell ref="E594:G594"/>
    <mergeCell ref="A595:C595"/>
    <mergeCell ref="E595:G595"/>
    <mergeCell ref="A596:C596"/>
    <mergeCell ref="E596:G596"/>
    <mergeCell ref="A544:C544"/>
    <mergeCell ref="E544:G544"/>
    <mergeCell ref="A545:C545"/>
    <mergeCell ref="E545:G545"/>
    <mergeCell ref="A546:C546"/>
    <mergeCell ref="E546:G546"/>
    <mergeCell ref="A547:C547"/>
    <mergeCell ref="E547:G547"/>
    <mergeCell ref="A548:G548"/>
    <mergeCell ref="A496:C496"/>
    <mergeCell ref="E496:G496"/>
    <mergeCell ref="A497:C497"/>
    <mergeCell ref="E497:G497"/>
    <mergeCell ref="A498:G498"/>
    <mergeCell ref="A499:G499"/>
    <mergeCell ref="A500:G500"/>
    <mergeCell ref="E503:F503"/>
    <mergeCell ref="E505:F505"/>
    <mergeCell ref="A444:C444"/>
    <mergeCell ref="E444:G444"/>
    <mergeCell ref="A445:C445"/>
    <mergeCell ref="E445:G445"/>
    <mergeCell ref="A446:C446"/>
    <mergeCell ref="E446:G446"/>
    <mergeCell ref="A447:C447"/>
    <mergeCell ref="E447:G447"/>
    <mergeCell ref="A442:G442"/>
    <mergeCell ref="A448:G448"/>
    <mergeCell ref="A449:G449"/>
    <mergeCell ref="A450:G450"/>
    <mergeCell ref="E453:F453"/>
    <mergeCell ref="E455:F455"/>
    <mergeCell ref="A494:C494"/>
    <mergeCell ref="E494:G494"/>
    <mergeCell ref="A495:C495"/>
    <mergeCell ref="E495:G495"/>
    <mergeCell ref="A399:G399"/>
    <mergeCell ref="A400:G400"/>
    <mergeCell ref="E403:F403"/>
    <mergeCell ref="E405:F405"/>
    <mergeCell ref="A349:G349"/>
    <mergeCell ref="A350:G350"/>
    <mergeCell ref="E353:F353"/>
    <mergeCell ref="E355:F355"/>
    <mergeCell ref="A394:C394"/>
    <mergeCell ref="E394:G394"/>
    <mergeCell ref="A395:C395"/>
    <mergeCell ref="E395:G395"/>
    <mergeCell ref="A392:G392"/>
    <mergeCell ref="A396:C396"/>
    <mergeCell ref="E396:G396"/>
    <mergeCell ref="A397:C397"/>
    <mergeCell ref="E397:G397"/>
    <mergeCell ref="A398:G398"/>
    <mergeCell ref="A195:C195"/>
    <mergeCell ref="E195:G195"/>
    <mergeCell ref="A196:C196"/>
    <mergeCell ref="E196:G196"/>
    <mergeCell ref="A197:C197"/>
    <mergeCell ref="E197:G197"/>
    <mergeCell ref="A198:G198"/>
    <mergeCell ref="A247:C247"/>
    <mergeCell ref="A348:G348"/>
    <mergeCell ref="A248:G248"/>
    <mergeCell ref="A249:G249"/>
    <mergeCell ref="A250:G250"/>
    <mergeCell ref="E253:F253"/>
    <mergeCell ref="E255:F255"/>
    <mergeCell ref="A300:G300"/>
    <mergeCell ref="A346:C346"/>
    <mergeCell ref="E346:G346"/>
    <mergeCell ref="A347:C347"/>
    <mergeCell ref="E347:G347"/>
    <mergeCell ref="E303:F303"/>
    <mergeCell ref="E305:F305"/>
    <mergeCell ref="A344:C344"/>
    <mergeCell ref="E344:G344"/>
    <mergeCell ref="A345:C345"/>
    <mergeCell ref="A146:C146"/>
    <mergeCell ref="E146:G146"/>
    <mergeCell ref="A147:C147"/>
    <mergeCell ref="E147:G147"/>
    <mergeCell ref="A194:C194"/>
    <mergeCell ref="E194:G194"/>
    <mergeCell ref="A148:G148"/>
    <mergeCell ref="A149:G149"/>
    <mergeCell ref="A150:G150"/>
    <mergeCell ref="E153:F153"/>
    <mergeCell ref="E155:F155"/>
    <mergeCell ref="A49:C49"/>
    <mergeCell ref="E49:G49"/>
    <mergeCell ref="E144:G144"/>
    <mergeCell ref="A145:C145"/>
    <mergeCell ref="E145:G145"/>
    <mergeCell ref="A101:G101"/>
    <mergeCell ref="E104:F104"/>
    <mergeCell ref="E106:F106"/>
    <mergeCell ref="A144:C144"/>
    <mergeCell ref="A95:C95"/>
    <mergeCell ref="E95:G95"/>
    <mergeCell ref="A99:G99"/>
    <mergeCell ref="A100:G100"/>
    <mergeCell ref="A98:C98"/>
    <mergeCell ref="E98:G98"/>
    <mergeCell ref="A96:C96"/>
    <mergeCell ref="E96:G96"/>
    <mergeCell ref="A97:C97"/>
    <mergeCell ref="E97:G97"/>
    <mergeCell ref="E55:F55"/>
    <mergeCell ref="E57:F57"/>
    <mergeCell ref="A50:G50"/>
    <mergeCell ref="A51:G51"/>
    <mergeCell ref="A52:G52"/>
    <mergeCell ref="A46:C46"/>
    <mergeCell ref="E46:G46"/>
    <mergeCell ref="A47:C47"/>
    <mergeCell ref="A1:G1"/>
    <mergeCell ref="A2:G2"/>
    <mergeCell ref="A3:G3"/>
    <mergeCell ref="E6:F6"/>
    <mergeCell ref="E8:F8"/>
    <mergeCell ref="AE49:AG49"/>
    <mergeCell ref="AA1:AG1"/>
    <mergeCell ref="AA2:AG2"/>
    <mergeCell ref="AA3:AG3"/>
    <mergeCell ref="AE6:AF6"/>
    <mergeCell ref="AE8:AF8"/>
    <mergeCell ref="AA46:AC46"/>
    <mergeCell ref="AE46:AG46"/>
    <mergeCell ref="AA47:AC47"/>
    <mergeCell ref="AE47:AG47"/>
    <mergeCell ref="AA48:AC48"/>
    <mergeCell ref="AE48:AG48"/>
    <mergeCell ref="E47:G47"/>
    <mergeCell ref="A48:C48"/>
    <mergeCell ref="E48:G48"/>
    <mergeCell ref="AA49:AC49"/>
    <mergeCell ref="E345:G345"/>
    <mergeCell ref="A199:G199"/>
    <mergeCell ref="A200:G200"/>
    <mergeCell ref="E203:F203"/>
    <mergeCell ref="E205:F205"/>
    <mergeCell ref="E247:G247"/>
    <mergeCell ref="A297:C297"/>
    <mergeCell ref="E297:G297"/>
    <mergeCell ref="A298:G298"/>
    <mergeCell ref="A299:G299"/>
    <mergeCell ref="A294:C294"/>
    <mergeCell ref="E294:G294"/>
    <mergeCell ref="A295:C295"/>
    <mergeCell ref="E295:G295"/>
    <mergeCell ref="A296:C296"/>
    <mergeCell ref="E296:G296"/>
    <mergeCell ref="A244:C244"/>
    <mergeCell ref="E244:G244"/>
    <mergeCell ref="A245:C245"/>
    <mergeCell ref="E245:G245"/>
    <mergeCell ref="A246:C246"/>
    <mergeCell ref="E246:G246"/>
    <mergeCell ref="A292:G292"/>
    <mergeCell ref="A293:G293"/>
    <mergeCell ref="A1144:C1144"/>
    <mergeCell ref="E1144:G1144"/>
    <mergeCell ref="A1145:C1145"/>
    <mergeCell ref="E1145:G1145"/>
    <mergeCell ref="A1148:G1148"/>
    <mergeCell ref="A1098:G1098"/>
    <mergeCell ref="A1099:G1099"/>
    <mergeCell ref="A1100:G1100"/>
    <mergeCell ref="E1103:F1103"/>
    <mergeCell ref="E1105:F1105"/>
    <mergeCell ref="A1146:C1146"/>
    <mergeCell ref="E1146:G1146"/>
    <mergeCell ref="A1147:C1147"/>
    <mergeCell ref="E1147:G1147"/>
    <mergeCell ref="A1197:C1197"/>
    <mergeCell ref="E1197:G1197"/>
    <mergeCell ref="A1149:G1149"/>
    <mergeCell ref="A1150:G1150"/>
    <mergeCell ref="E1153:F1153"/>
    <mergeCell ref="E1155:F1155"/>
    <mergeCell ref="A1194:C1194"/>
    <mergeCell ref="E1194:G1194"/>
    <mergeCell ref="A1195:C1195"/>
    <mergeCell ref="E1195:G1195"/>
    <mergeCell ref="A1196:C1196"/>
    <mergeCell ref="E1196:G1196"/>
    <mergeCell ref="A1246:C1246"/>
    <mergeCell ref="E1246:G1246"/>
    <mergeCell ref="A1247:C1247"/>
    <mergeCell ref="E1247:G1247"/>
    <mergeCell ref="A1198:G1198"/>
    <mergeCell ref="A1199:G1199"/>
    <mergeCell ref="A1200:G1200"/>
    <mergeCell ref="E1203:F1203"/>
    <mergeCell ref="E1205:F1205"/>
    <mergeCell ref="A1244:C1244"/>
    <mergeCell ref="E1244:G1244"/>
    <mergeCell ref="A1245:C1245"/>
    <mergeCell ref="E1245:G1245"/>
    <mergeCell ref="A1242:G1242"/>
    <mergeCell ref="A1598:G1598"/>
    <mergeCell ref="A1599:G1599"/>
    <mergeCell ref="A1600:G1600"/>
    <mergeCell ref="E1603:F1603"/>
    <mergeCell ref="E1605:F1605"/>
    <mergeCell ref="A1642:G1642"/>
    <mergeCell ref="A1644:C1644"/>
    <mergeCell ref="E1644:G1644"/>
    <mergeCell ref="A1645:C1645"/>
    <mergeCell ref="E1645:G1645"/>
    <mergeCell ref="A1646:C1646"/>
    <mergeCell ref="E1646:G1646"/>
    <mergeCell ref="A1647:C1647"/>
    <mergeCell ref="E1647:G1647"/>
    <mergeCell ref="A1648:G1648"/>
    <mergeCell ref="A1649:G1649"/>
    <mergeCell ref="A1650:G1650"/>
    <mergeCell ref="E1653:F1653"/>
    <mergeCell ref="E1655:F1655"/>
    <mergeCell ref="A1694:C1694"/>
    <mergeCell ref="E1694:G1694"/>
    <mergeCell ref="A1695:C1695"/>
    <mergeCell ref="E1695:G1695"/>
    <mergeCell ref="A1696:C1696"/>
    <mergeCell ref="E1696:G1696"/>
    <mergeCell ref="A1697:C1697"/>
    <mergeCell ref="E1697:G1697"/>
    <mergeCell ref="A1698:G1698"/>
    <mergeCell ref="A1746:C1746"/>
    <mergeCell ref="E1746:G1746"/>
    <mergeCell ref="A1747:C1747"/>
    <mergeCell ref="E1747:G1747"/>
    <mergeCell ref="A1699:G1699"/>
    <mergeCell ref="A1700:G1700"/>
    <mergeCell ref="E1703:F1703"/>
    <mergeCell ref="E1705:F1705"/>
    <mergeCell ref="A1742:G1742"/>
    <mergeCell ref="A1744:C1744"/>
    <mergeCell ref="E1744:G1744"/>
    <mergeCell ref="A1745:C1745"/>
    <mergeCell ref="E1745:G1745"/>
    <mergeCell ref="A1848:G1848"/>
    <mergeCell ref="A1849:G1849"/>
    <mergeCell ref="A1850:G1850"/>
    <mergeCell ref="E1853:F1853"/>
    <mergeCell ref="E1855:F1855"/>
    <mergeCell ref="A1892:G1892"/>
    <mergeCell ref="A1894:C1894"/>
    <mergeCell ref="E1894:G1894"/>
    <mergeCell ref="A1895:C1895"/>
    <mergeCell ref="E1895:G1895"/>
    <mergeCell ref="A1896:C1896"/>
    <mergeCell ref="E1896:G1896"/>
    <mergeCell ref="A1897:C1897"/>
    <mergeCell ref="E1897:G1897"/>
    <mergeCell ref="A1898:G1898"/>
    <mergeCell ref="A1899:G1899"/>
    <mergeCell ref="A1900:G1900"/>
    <mergeCell ref="E1903:F1903"/>
    <mergeCell ref="E1905:F1905"/>
    <mergeCell ref="A1942:G1942"/>
    <mergeCell ref="A1944:C1944"/>
    <mergeCell ref="E1944:G1944"/>
    <mergeCell ref="A1945:C1945"/>
    <mergeCell ref="E1945:G1945"/>
    <mergeCell ref="A1946:C1946"/>
    <mergeCell ref="E1946:G1946"/>
    <mergeCell ref="A1947:C1947"/>
    <mergeCell ref="E1947:G1947"/>
    <mergeCell ref="A1996:C1996"/>
    <mergeCell ref="E1996:G1996"/>
    <mergeCell ref="A1997:C1997"/>
    <mergeCell ref="E1997:G1997"/>
    <mergeCell ref="A1948:G1948"/>
    <mergeCell ref="A1949:G1949"/>
    <mergeCell ref="A1950:G1950"/>
    <mergeCell ref="E1953:F1953"/>
    <mergeCell ref="E1955:F1955"/>
    <mergeCell ref="A1992:G1992"/>
    <mergeCell ref="A1994:C1994"/>
    <mergeCell ref="E1994:G1994"/>
    <mergeCell ref="A1995:C1995"/>
    <mergeCell ref="E1995:G1995"/>
    <mergeCell ref="A2098:G2098"/>
    <mergeCell ref="A2099:G2099"/>
    <mergeCell ref="A2100:G2100"/>
    <mergeCell ref="E2103:F2103"/>
    <mergeCell ref="E2105:F2105"/>
    <mergeCell ref="A2142:G2142"/>
    <mergeCell ref="A2144:C2144"/>
    <mergeCell ref="E2144:G2144"/>
    <mergeCell ref="A2145:C2145"/>
    <mergeCell ref="E2145:G2145"/>
    <mergeCell ref="A2146:C2146"/>
    <mergeCell ref="E2146:G2146"/>
    <mergeCell ref="A2147:C2147"/>
    <mergeCell ref="E2147:G2147"/>
    <mergeCell ref="A2148:G2148"/>
    <mergeCell ref="A2149:G2149"/>
    <mergeCell ref="A2150:G2150"/>
    <mergeCell ref="E2153:F2153"/>
    <mergeCell ref="E2155:F2155"/>
    <mergeCell ref="A2192:G2192"/>
    <mergeCell ref="A2194:C2194"/>
    <mergeCell ref="E2194:G2194"/>
    <mergeCell ref="A2195:C2195"/>
    <mergeCell ref="E2195:G2195"/>
    <mergeCell ref="A2196:C2196"/>
    <mergeCell ref="E2196:G2196"/>
    <mergeCell ref="A2197:C2197"/>
    <mergeCell ref="E2197:G2197"/>
    <mergeCell ref="A2348:G2348"/>
    <mergeCell ref="A2349:G2349"/>
    <mergeCell ref="A2350:G2350"/>
    <mergeCell ref="E2353:F2353"/>
    <mergeCell ref="E2355:F2355"/>
    <mergeCell ref="A2392:G2392"/>
    <mergeCell ref="A2394:C2394"/>
    <mergeCell ref="E2394:G2394"/>
    <mergeCell ref="A2395:C2395"/>
    <mergeCell ref="E2395:G2395"/>
    <mergeCell ref="A2396:C2396"/>
    <mergeCell ref="E2396:G2396"/>
    <mergeCell ref="A2397:C2397"/>
    <mergeCell ref="E2397:G2397"/>
    <mergeCell ref="A2398:G2398"/>
    <mergeCell ref="A2399:G2399"/>
    <mergeCell ref="A2400:G2400"/>
    <mergeCell ref="E2403:F2403"/>
    <mergeCell ref="E2405:F2405"/>
    <mergeCell ref="A2442:G2442"/>
    <mergeCell ref="A2444:C2444"/>
    <mergeCell ref="E2444:G2444"/>
    <mergeCell ref="A2445:C2445"/>
    <mergeCell ref="E2445:G2445"/>
    <mergeCell ref="A2446:C2446"/>
    <mergeCell ref="E2446:G2446"/>
    <mergeCell ref="A2447:C2447"/>
    <mergeCell ref="E2447:G24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8A3CC4"/>
  </sheetPr>
  <dimension ref="A1:O350"/>
  <sheetViews>
    <sheetView topLeftCell="A171" zoomScale="110" zoomScaleNormal="110" workbookViewId="0">
      <selection activeCell="D171" sqref="D17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5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15" x14ac:dyDescent="0.2">
      <c r="A2" s="888" t="s">
        <v>48</v>
      </c>
      <c r="B2" s="889"/>
      <c r="C2" s="889"/>
      <c r="D2" s="889"/>
      <c r="E2" s="889"/>
      <c r="F2" s="889"/>
      <c r="G2" s="890"/>
    </row>
    <row r="3" spans="1:15" x14ac:dyDescent="0.2">
      <c r="A3" s="915" t="s">
        <v>49</v>
      </c>
      <c r="B3" s="916"/>
      <c r="C3" s="916"/>
      <c r="D3" s="916"/>
      <c r="E3" s="916"/>
      <c r="F3" s="916"/>
      <c r="G3" s="917"/>
    </row>
    <row r="4" spans="1:15" x14ac:dyDescent="0.2">
      <c r="A4" s="6"/>
      <c r="B4" s="99"/>
      <c r="C4" s="8"/>
      <c r="D4" s="9"/>
      <c r="E4" s="99"/>
      <c r="F4" s="10"/>
      <c r="G4" s="11" t="s">
        <v>20</v>
      </c>
    </row>
    <row r="5" spans="1:15" x14ac:dyDescent="0.2">
      <c r="A5" s="12" t="s">
        <v>1</v>
      </c>
      <c r="B5" s="13"/>
      <c r="C5" s="14" t="s">
        <v>890</v>
      </c>
      <c r="D5" s="13"/>
      <c r="E5" s="362" t="s">
        <v>1610</v>
      </c>
      <c r="F5" s="98"/>
      <c r="G5" s="363" t="s">
        <v>1521</v>
      </c>
    </row>
    <row r="6" spans="1:15" x14ac:dyDescent="0.2">
      <c r="A6" s="17" t="s">
        <v>8</v>
      </c>
      <c r="B6" s="100"/>
      <c r="C6" s="19"/>
      <c r="D6" s="4"/>
      <c r="E6" s="918"/>
      <c r="F6" s="919"/>
      <c r="G6" s="20"/>
    </row>
    <row r="7" spans="1:15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5" x14ac:dyDescent="0.2">
      <c r="A8" s="6"/>
      <c r="B8" s="99"/>
      <c r="C8" s="8"/>
      <c r="D8" s="8"/>
      <c r="E8" s="920"/>
      <c r="F8" s="921"/>
      <c r="G8" s="25"/>
    </row>
    <row r="9" spans="1:15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462" t="s">
        <v>1609</v>
      </c>
    </row>
    <row r="10" spans="1:15" ht="13.5" thickTop="1" x14ac:dyDescent="0.2">
      <c r="A10" s="29">
        <v>1</v>
      </c>
      <c r="B10" s="101"/>
      <c r="C10" s="371" t="s">
        <v>149</v>
      </c>
      <c r="D10" s="376" t="s">
        <v>1260</v>
      </c>
      <c r="E10" s="158">
        <v>13</v>
      </c>
      <c r="F10" s="128">
        <v>42</v>
      </c>
      <c r="G10" s="35">
        <f>F10*E10</f>
        <v>546</v>
      </c>
      <c r="J10" s="332"/>
      <c r="K10" s="991"/>
      <c r="L10" s="992"/>
      <c r="M10" s="993"/>
    </row>
    <row r="11" spans="1:15" x14ac:dyDescent="0.2">
      <c r="A11" s="29">
        <v>2</v>
      </c>
      <c r="B11" s="101"/>
      <c r="C11" s="371" t="s">
        <v>278</v>
      </c>
      <c r="D11" s="370" t="s">
        <v>1257</v>
      </c>
      <c r="E11" s="108">
        <v>11</v>
      </c>
      <c r="F11" s="128">
        <v>438</v>
      </c>
      <c r="G11" s="35">
        <f>F11*E11</f>
        <v>4818</v>
      </c>
      <c r="J11" s="332"/>
      <c r="K11" s="991"/>
      <c r="L11" s="992"/>
      <c r="M11" s="993"/>
      <c r="N11" s="331"/>
      <c r="O11" s="333"/>
    </row>
    <row r="12" spans="1:15" x14ac:dyDescent="0.2">
      <c r="A12" s="29">
        <v>3</v>
      </c>
      <c r="B12" s="101"/>
      <c r="C12" s="371" t="s">
        <v>153</v>
      </c>
      <c r="D12" s="370" t="s">
        <v>1258</v>
      </c>
      <c r="E12" s="108">
        <v>100</v>
      </c>
      <c r="F12" s="149">
        <v>42</v>
      </c>
      <c r="G12" s="35">
        <f t="shared" ref="G12:G13" si="0">F12*E12</f>
        <v>4200</v>
      </c>
      <c r="J12" s="332"/>
      <c r="K12" s="991"/>
      <c r="L12" s="992"/>
      <c r="M12" s="993"/>
      <c r="N12" s="331"/>
      <c r="O12" s="334"/>
    </row>
    <row r="13" spans="1:15" x14ac:dyDescent="0.2">
      <c r="A13" s="29">
        <v>4</v>
      </c>
      <c r="B13" s="101"/>
      <c r="C13" s="371" t="s">
        <v>153</v>
      </c>
      <c r="D13" s="370" t="s">
        <v>1259</v>
      </c>
      <c r="E13" s="108">
        <v>72</v>
      </c>
      <c r="F13" s="128">
        <v>125</v>
      </c>
      <c r="G13" s="35">
        <f t="shared" si="0"/>
        <v>9000</v>
      </c>
      <c r="J13" s="332"/>
      <c r="K13" s="991"/>
      <c r="L13" s="992"/>
      <c r="M13" s="993"/>
      <c r="N13" s="331"/>
      <c r="O13" s="333"/>
    </row>
    <row r="14" spans="1:15" x14ac:dyDescent="0.2">
      <c r="A14" s="29"/>
      <c r="B14" s="105"/>
      <c r="C14" s="41"/>
      <c r="D14" s="136"/>
      <c r="E14" s="102"/>
      <c r="F14" s="128"/>
      <c r="G14" s="35"/>
      <c r="J14" s="332"/>
      <c r="K14" s="991"/>
      <c r="L14" s="992"/>
      <c r="M14" s="993"/>
      <c r="N14" s="331"/>
      <c r="O14" s="333"/>
    </row>
    <row r="15" spans="1:15" x14ac:dyDescent="0.2">
      <c r="A15" s="29"/>
      <c r="B15" s="105"/>
      <c r="C15" s="41"/>
      <c r="D15" s="136"/>
      <c r="E15" s="102"/>
      <c r="F15" s="128"/>
      <c r="G15" s="35"/>
      <c r="J15" s="332"/>
      <c r="K15" s="991"/>
      <c r="L15" s="992"/>
      <c r="M15" s="993"/>
      <c r="N15" s="331"/>
      <c r="O15" s="333"/>
    </row>
    <row r="16" spans="1:15" x14ac:dyDescent="0.2">
      <c r="A16" s="29"/>
      <c r="B16" s="151"/>
      <c r="C16" s="119"/>
      <c r="D16" s="136"/>
      <c r="E16" s="108"/>
      <c r="F16" s="150"/>
      <c r="G16" s="35"/>
      <c r="J16" s="332"/>
      <c r="K16" s="991"/>
      <c r="L16" s="992"/>
      <c r="M16" s="993"/>
      <c r="N16" s="331"/>
      <c r="O16" s="333"/>
    </row>
    <row r="17" spans="1:15" x14ac:dyDescent="0.2">
      <c r="A17" s="29"/>
      <c r="B17" s="151"/>
      <c r="C17" s="119"/>
      <c r="D17" s="144"/>
      <c r="E17" s="108"/>
      <c r="F17" s="150"/>
      <c r="G17" s="35"/>
      <c r="J17" s="332"/>
      <c r="K17" s="991"/>
      <c r="L17" s="992"/>
      <c r="M17" s="993"/>
      <c r="N17" s="331"/>
      <c r="O17" s="333"/>
    </row>
    <row r="18" spans="1:15" x14ac:dyDescent="0.2">
      <c r="A18" s="29"/>
      <c r="B18" s="101"/>
      <c r="C18" s="41"/>
      <c r="D18" s="144"/>
      <c r="E18" s="155"/>
      <c r="F18" s="128"/>
      <c r="G18" s="35"/>
      <c r="J18" s="332"/>
      <c r="K18" s="991"/>
      <c r="L18" s="992"/>
      <c r="M18" s="993"/>
      <c r="N18" s="331"/>
      <c r="O18" s="333"/>
    </row>
    <row r="19" spans="1:15" ht="12.75" customHeight="1" x14ac:dyDescent="0.2">
      <c r="A19" s="29"/>
      <c r="B19" s="106"/>
      <c r="C19" s="41"/>
      <c r="D19" s="136"/>
      <c r="E19" s="104"/>
      <c r="F19" s="128"/>
      <c r="G19" s="35"/>
      <c r="J19" s="328"/>
      <c r="K19" s="994"/>
      <c r="L19" s="995"/>
      <c r="M19" s="996"/>
      <c r="N19" s="341"/>
      <c r="O19" s="333"/>
    </row>
    <row r="20" spans="1:15" x14ac:dyDescent="0.2">
      <c r="A20" s="29"/>
      <c r="B20" s="105"/>
      <c r="C20" s="41"/>
      <c r="D20" s="136"/>
      <c r="E20" s="108"/>
      <c r="F20" s="152"/>
      <c r="G20" s="35"/>
      <c r="J20" s="330"/>
      <c r="K20" s="991"/>
      <c r="L20" s="992"/>
      <c r="M20" s="993"/>
      <c r="N20" s="331"/>
      <c r="O20" s="333"/>
    </row>
    <row r="21" spans="1:15" x14ac:dyDescent="0.2">
      <c r="A21" s="29"/>
      <c r="B21" s="107"/>
      <c r="C21" s="41"/>
      <c r="D21" s="136"/>
      <c r="E21" s="153"/>
      <c r="F21" s="128"/>
      <c r="G21" s="35"/>
      <c r="J21" s="332"/>
      <c r="K21" s="991"/>
      <c r="L21" s="992"/>
      <c r="M21" s="993"/>
      <c r="N21" s="331"/>
      <c r="O21" s="333"/>
    </row>
    <row r="22" spans="1:15" x14ac:dyDescent="0.2">
      <c r="A22" s="29"/>
      <c r="B22" s="107"/>
      <c r="C22" s="41"/>
      <c r="D22" s="67"/>
      <c r="E22" s="153"/>
      <c r="F22" s="128"/>
      <c r="G22" s="35"/>
      <c r="J22" s="332"/>
      <c r="K22" s="991"/>
      <c r="L22" s="992"/>
      <c r="M22" s="993"/>
      <c r="N22" s="331"/>
      <c r="O22" s="333"/>
    </row>
    <row r="23" spans="1:15" x14ac:dyDescent="0.2">
      <c r="A23" s="29"/>
      <c r="B23" s="101"/>
      <c r="C23" s="41"/>
      <c r="D23" s="67"/>
      <c r="E23" s="108"/>
      <c r="F23" s="128"/>
      <c r="G23" s="35"/>
      <c r="J23" s="336"/>
      <c r="K23" s="991"/>
      <c r="L23" s="992"/>
      <c r="M23" s="993"/>
      <c r="N23" s="331"/>
      <c r="O23" s="335"/>
    </row>
    <row r="24" spans="1:15" x14ac:dyDescent="0.2">
      <c r="A24" s="29"/>
      <c r="B24" s="101"/>
      <c r="C24" s="41"/>
      <c r="D24" s="67"/>
      <c r="E24" s="153"/>
      <c r="F24" s="128"/>
      <c r="G24" s="35"/>
      <c r="J24" s="336"/>
      <c r="K24" s="991"/>
      <c r="L24" s="992"/>
      <c r="M24" s="993"/>
      <c r="N24" s="331"/>
      <c r="O24" s="335"/>
    </row>
    <row r="25" spans="1:15" x14ac:dyDescent="0.2">
      <c r="A25" s="29"/>
      <c r="B25" s="106"/>
      <c r="C25" s="41"/>
      <c r="D25" s="67"/>
      <c r="E25" s="104"/>
      <c r="F25" s="154"/>
      <c r="G25" s="35"/>
      <c r="J25" s="336"/>
      <c r="K25" s="991"/>
      <c r="L25" s="992"/>
      <c r="M25" s="993"/>
      <c r="N25" s="331"/>
      <c r="O25" s="335"/>
    </row>
    <row r="26" spans="1:15" x14ac:dyDescent="0.2">
      <c r="A26" s="29"/>
      <c r="B26" s="105"/>
      <c r="C26" s="41"/>
      <c r="D26" s="130"/>
      <c r="E26" s="104"/>
      <c r="F26" s="154"/>
      <c r="G26" s="35"/>
    </row>
    <row r="27" spans="1:15" x14ac:dyDescent="0.2">
      <c r="A27" s="29"/>
      <c r="B27" s="105"/>
      <c r="C27" s="41"/>
      <c r="D27" s="67"/>
      <c r="E27" s="104"/>
      <c r="F27" s="154"/>
      <c r="G27" s="35"/>
    </row>
    <row r="28" spans="1:15" x14ac:dyDescent="0.2">
      <c r="A28" s="29"/>
      <c r="B28" s="101"/>
      <c r="C28" s="41"/>
      <c r="D28" s="67"/>
      <c r="E28" s="104"/>
      <c r="F28" s="154"/>
      <c r="G28" s="35"/>
    </row>
    <row r="29" spans="1:15" x14ac:dyDescent="0.2">
      <c r="A29" s="29"/>
      <c r="B29" s="101"/>
      <c r="C29" s="41"/>
      <c r="D29" s="136"/>
      <c r="E29" s="104"/>
      <c r="F29" s="154"/>
      <c r="G29" s="35"/>
    </row>
    <row r="30" spans="1:15" x14ac:dyDescent="0.2">
      <c r="A30" s="29"/>
      <c r="B30" s="101"/>
      <c r="C30" s="41"/>
      <c r="D30" s="136"/>
      <c r="E30" s="104"/>
      <c r="F30" s="154"/>
      <c r="G30" s="35"/>
    </row>
    <row r="31" spans="1:15" x14ac:dyDescent="0.2">
      <c r="A31" s="29"/>
      <c r="B31" s="101"/>
      <c r="C31" s="41"/>
      <c r="D31" s="62"/>
      <c r="E31" s="104"/>
      <c r="F31" s="154"/>
      <c r="G31" s="35"/>
    </row>
    <row r="32" spans="1:15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60"/>
      <c r="E35" s="108"/>
      <c r="F35" s="128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18564</v>
      </c>
    </row>
    <row r="45" spans="1:7" ht="13.5" thickTop="1" x14ac:dyDescent="0.2">
      <c r="A45" s="875" t="s">
        <v>901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134" t="s">
        <v>137</v>
      </c>
      <c r="E49" s="868" t="s">
        <v>142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133" t="s">
        <v>907</v>
      </c>
      <c r="E50" s="903" t="s">
        <v>0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890</v>
      </c>
      <c r="D55" s="13"/>
      <c r="E55" s="362" t="s">
        <v>1355</v>
      </c>
      <c r="F55" s="98"/>
      <c r="G55" s="363" t="s">
        <v>1343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242</v>
      </c>
      <c r="D60" s="376" t="s">
        <v>1285</v>
      </c>
      <c r="E60" s="402">
        <v>55</v>
      </c>
      <c r="F60" s="403">
        <v>350</v>
      </c>
      <c r="G60" s="35">
        <f>F60*E60</f>
        <v>19250</v>
      </c>
    </row>
    <row r="61" spans="1:7" x14ac:dyDescent="0.2">
      <c r="A61" s="29"/>
      <c r="B61" s="101"/>
      <c r="C61" s="371"/>
      <c r="D61" s="370"/>
      <c r="E61" s="108"/>
      <c r="F61" s="128"/>
      <c r="G61" s="35"/>
    </row>
    <row r="62" spans="1:7" x14ac:dyDescent="0.2">
      <c r="A62" s="29"/>
      <c r="B62" s="101"/>
      <c r="C62" s="371"/>
      <c r="D62" s="370"/>
      <c r="E62" s="108"/>
      <c r="F62" s="149"/>
      <c r="G62" s="35"/>
    </row>
    <row r="63" spans="1:7" x14ac:dyDescent="0.2">
      <c r="A63" s="29"/>
      <c r="B63" s="101"/>
      <c r="C63" s="371"/>
      <c r="D63" s="370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60"/>
      <c r="E84" s="108"/>
      <c r="F84" s="128"/>
      <c r="G84" s="35"/>
    </row>
    <row r="85" spans="1:7" x14ac:dyDescent="0.2">
      <c r="A85" s="29"/>
      <c r="B85" s="101"/>
      <c r="C85" s="41"/>
      <c r="D85" s="160"/>
      <c r="E85" s="108"/>
      <c r="F85" s="128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19250</v>
      </c>
    </row>
    <row r="95" spans="1:7" ht="13.5" thickTop="1" x14ac:dyDescent="0.2">
      <c r="A95" s="875" t="s">
        <v>1286</v>
      </c>
      <c r="B95" s="899"/>
      <c r="C95" s="899"/>
      <c r="D95" s="899"/>
      <c r="E95" s="899"/>
      <c r="F95" s="899"/>
      <c r="G95" s="900"/>
    </row>
    <row r="96" spans="1:7" ht="13.5" thickBot="1" x14ac:dyDescent="0.25">
      <c r="A96" s="52"/>
      <c r="B96" s="103"/>
      <c r="C96" s="374" t="s">
        <v>1287</v>
      </c>
      <c r="D96" s="54"/>
      <c r="E96" s="103"/>
      <c r="F96" s="55"/>
      <c r="G96" s="56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134" t="s">
        <v>137</v>
      </c>
      <c r="E99" s="868" t="s">
        <v>142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133" t="s">
        <v>907</v>
      </c>
      <c r="E100" s="903" t="s">
        <v>0</v>
      </c>
      <c r="F100" s="904"/>
      <c r="G100" s="905"/>
    </row>
    <row r="101" spans="1:7" ht="16.5" x14ac:dyDescent="0.25">
      <c r="A101" s="885" t="s">
        <v>29</v>
      </c>
      <c r="B101" s="886"/>
      <c r="C101" s="886"/>
      <c r="D101" s="886"/>
      <c r="E101" s="886"/>
      <c r="F101" s="886"/>
      <c r="G101" s="887"/>
    </row>
    <row r="102" spans="1:7" x14ac:dyDescent="0.2">
      <c r="A102" s="888" t="s">
        <v>48</v>
      </c>
      <c r="B102" s="889"/>
      <c r="C102" s="889"/>
      <c r="D102" s="889"/>
      <c r="E102" s="889"/>
      <c r="F102" s="889"/>
      <c r="G102" s="890"/>
    </row>
    <row r="103" spans="1:7" x14ac:dyDescent="0.2">
      <c r="A103" s="915" t="s">
        <v>49</v>
      </c>
      <c r="B103" s="916"/>
      <c r="C103" s="916"/>
      <c r="D103" s="916"/>
      <c r="E103" s="916"/>
      <c r="F103" s="916"/>
      <c r="G103" s="917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890</v>
      </c>
      <c r="D105" s="13"/>
      <c r="E105" s="362" t="s">
        <v>1348</v>
      </c>
      <c r="F105" s="98"/>
      <c r="G105" s="363" t="s">
        <v>1343</v>
      </c>
    </row>
    <row r="106" spans="1:7" x14ac:dyDescent="0.2">
      <c r="A106" s="17" t="s">
        <v>8</v>
      </c>
      <c r="B106" s="100"/>
      <c r="C106" s="19"/>
      <c r="D106" s="4"/>
      <c r="E106" s="918"/>
      <c r="F106" s="919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920"/>
      <c r="F108" s="921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71" t="s">
        <v>242</v>
      </c>
      <c r="D110" s="376" t="s">
        <v>1344</v>
      </c>
      <c r="E110" s="402">
        <v>35</v>
      </c>
      <c r="F110" s="403">
        <v>200</v>
      </c>
      <c r="G110" s="35">
        <f>F110*E110</f>
        <v>7000</v>
      </c>
    </row>
    <row r="111" spans="1:7" x14ac:dyDescent="0.2">
      <c r="A111" s="29"/>
      <c r="B111" s="101"/>
      <c r="C111" s="371"/>
      <c r="D111" s="370" t="s">
        <v>888</v>
      </c>
      <c r="E111" s="108"/>
      <c r="F111" s="128"/>
      <c r="G111" s="35"/>
    </row>
    <row r="112" spans="1:7" x14ac:dyDescent="0.2">
      <c r="A112" s="29">
        <v>2</v>
      </c>
      <c r="B112" s="101"/>
      <c r="C112" s="371" t="s">
        <v>242</v>
      </c>
      <c r="D112" s="370" t="s">
        <v>980</v>
      </c>
      <c r="E112" s="108">
        <v>35</v>
      </c>
      <c r="F112" s="149">
        <v>500</v>
      </c>
      <c r="G112" s="35">
        <f>F112*E112</f>
        <v>17500</v>
      </c>
    </row>
    <row r="113" spans="1:7" x14ac:dyDescent="0.2">
      <c r="A113" s="29"/>
      <c r="B113" s="101"/>
      <c r="C113" s="371"/>
      <c r="D113" s="370" t="s">
        <v>888</v>
      </c>
      <c r="E113" s="108"/>
      <c r="F113" s="128"/>
      <c r="G113" s="35"/>
    </row>
    <row r="114" spans="1:7" x14ac:dyDescent="0.2">
      <c r="A114" s="29">
        <v>3</v>
      </c>
      <c r="B114" s="105"/>
      <c r="C114" s="371" t="s">
        <v>242</v>
      </c>
      <c r="D114" s="376" t="s">
        <v>1345</v>
      </c>
      <c r="E114" s="102">
        <v>35</v>
      </c>
      <c r="F114" s="128">
        <v>200</v>
      </c>
      <c r="G114" s="35">
        <f>F114*E114</f>
        <v>7000</v>
      </c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60"/>
      <c r="E134" s="108"/>
      <c r="F134" s="128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31500</v>
      </c>
    </row>
    <row r="145" spans="1:7" ht="13.5" thickTop="1" x14ac:dyDescent="0.2">
      <c r="A145" s="875" t="s">
        <v>1346</v>
      </c>
      <c r="B145" s="899"/>
      <c r="C145" s="899"/>
      <c r="D145" s="899"/>
      <c r="E145" s="899"/>
      <c r="F145" s="899"/>
      <c r="G145" s="900"/>
    </row>
    <row r="146" spans="1:7" ht="13.5" thickBot="1" x14ac:dyDescent="0.25">
      <c r="A146" s="52"/>
      <c r="B146" s="103"/>
      <c r="C146" s="374" t="s">
        <v>1347</v>
      </c>
      <c r="D146" s="54"/>
      <c r="E146" s="103"/>
      <c r="F146" s="55"/>
      <c r="G146" s="56"/>
    </row>
    <row r="147" spans="1:7" ht="13.5" thickTop="1" x14ac:dyDescent="0.2">
      <c r="A147" s="906"/>
      <c r="B147" s="907"/>
      <c r="C147" s="907"/>
      <c r="D147" s="57" t="s">
        <v>11</v>
      </c>
      <c r="E147" s="908" t="s">
        <v>12</v>
      </c>
      <c r="F147" s="908"/>
      <c r="G147" s="909"/>
    </row>
    <row r="148" spans="1:7" x14ac:dyDescent="0.2">
      <c r="A148" s="910" t="s">
        <v>17</v>
      </c>
      <c r="B148" s="911"/>
      <c r="C148" s="911"/>
      <c r="D148" s="39"/>
      <c r="E148" s="912"/>
      <c r="F148" s="913"/>
      <c r="G148" s="914"/>
    </row>
    <row r="149" spans="1:7" x14ac:dyDescent="0.2">
      <c r="A149" s="910" t="s">
        <v>38</v>
      </c>
      <c r="B149" s="911"/>
      <c r="C149" s="911"/>
      <c r="D149" s="134" t="s">
        <v>137</v>
      </c>
      <c r="E149" s="868" t="s">
        <v>142</v>
      </c>
      <c r="F149" s="868"/>
      <c r="G149" s="869"/>
    </row>
    <row r="150" spans="1:7" ht="13.5" thickBot="1" x14ac:dyDescent="0.25">
      <c r="A150" s="901" t="s">
        <v>39</v>
      </c>
      <c r="B150" s="902"/>
      <c r="C150" s="902"/>
      <c r="D150" s="133" t="s">
        <v>907</v>
      </c>
      <c r="E150" s="903" t="s">
        <v>0</v>
      </c>
      <c r="F150" s="904"/>
      <c r="G150" s="905"/>
    </row>
    <row r="151" spans="1:7" ht="16.5" x14ac:dyDescent="0.25">
      <c r="A151" s="885" t="s">
        <v>29</v>
      </c>
      <c r="B151" s="886"/>
      <c r="C151" s="886"/>
      <c r="D151" s="886"/>
      <c r="E151" s="886"/>
      <c r="F151" s="886"/>
      <c r="G151" s="887"/>
    </row>
    <row r="152" spans="1:7" x14ac:dyDescent="0.2">
      <c r="A152" s="888" t="s">
        <v>48</v>
      </c>
      <c r="B152" s="889"/>
      <c r="C152" s="889"/>
      <c r="D152" s="889"/>
      <c r="E152" s="889"/>
      <c r="F152" s="889"/>
      <c r="G152" s="890"/>
    </row>
    <row r="153" spans="1:7" x14ac:dyDescent="0.2">
      <c r="A153" s="915" t="s">
        <v>49</v>
      </c>
      <c r="B153" s="916"/>
      <c r="C153" s="916"/>
      <c r="D153" s="916"/>
      <c r="E153" s="916"/>
      <c r="F153" s="916"/>
      <c r="G153" s="917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890</v>
      </c>
      <c r="D155" s="13"/>
      <c r="E155" s="362" t="s">
        <v>1447</v>
      </c>
      <c r="F155" s="98"/>
      <c r="G155" s="363" t="s">
        <v>1446</v>
      </c>
    </row>
    <row r="156" spans="1:7" x14ac:dyDescent="0.2">
      <c r="A156" s="17" t="s">
        <v>8</v>
      </c>
      <c r="B156" s="100"/>
      <c r="C156" s="19"/>
      <c r="D156" s="4"/>
      <c r="E156" s="918"/>
      <c r="F156" s="919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920"/>
      <c r="F158" s="921"/>
      <c r="G158" s="25"/>
    </row>
    <row r="159" spans="1:7" ht="26.25" thickBot="1" x14ac:dyDescent="0.25">
      <c r="A159" s="207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/>
      <c r="B160" s="101"/>
      <c r="C160" s="371"/>
      <c r="D160" s="449" t="s">
        <v>1408</v>
      </c>
      <c r="E160" s="402"/>
      <c r="F160" s="403"/>
      <c r="G160" s="372" t="s">
        <v>8</v>
      </c>
    </row>
    <row r="161" spans="1:7" x14ac:dyDescent="0.2">
      <c r="A161" s="29">
        <v>1</v>
      </c>
      <c r="B161" s="101"/>
      <c r="C161" s="371" t="s">
        <v>242</v>
      </c>
      <c r="D161" s="370" t="s">
        <v>1409</v>
      </c>
      <c r="E161" s="108">
        <v>60</v>
      </c>
      <c r="F161" s="128">
        <v>200</v>
      </c>
      <c r="G161" s="35">
        <f t="shared" ref="G161:G178" si="1">F161*E161</f>
        <v>12000</v>
      </c>
    </row>
    <row r="162" spans="1:7" x14ac:dyDescent="0.2">
      <c r="A162" s="29"/>
      <c r="B162" s="101"/>
      <c r="C162" s="371"/>
      <c r="D162" s="370" t="s">
        <v>888</v>
      </c>
      <c r="E162" s="108"/>
      <c r="F162" s="149"/>
      <c r="G162" s="372" t="s">
        <v>8</v>
      </c>
    </row>
    <row r="163" spans="1:7" x14ac:dyDescent="0.2">
      <c r="A163" s="29">
        <v>2</v>
      </c>
      <c r="B163" s="101"/>
      <c r="C163" s="371" t="s">
        <v>242</v>
      </c>
      <c r="D163" s="370" t="s">
        <v>348</v>
      </c>
      <c r="E163" s="108">
        <v>60</v>
      </c>
      <c r="F163" s="128">
        <v>350</v>
      </c>
      <c r="G163" s="35">
        <f t="shared" si="1"/>
        <v>21000</v>
      </c>
    </row>
    <row r="164" spans="1:7" x14ac:dyDescent="0.2">
      <c r="A164" s="29"/>
      <c r="B164" s="105"/>
      <c r="C164" s="371"/>
      <c r="D164" s="376" t="s">
        <v>1410</v>
      </c>
      <c r="E164" s="102"/>
      <c r="F164" s="128"/>
      <c r="G164" s="372" t="s">
        <v>8</v>
      </c>
    </row>
    <row r="165" spans="1:7" x14ac:dyDescent="0.2">
      <c r="A165" s="29"/>
      <c r="B165" s="105"/>
      <c r="C165" s="41"/>
      <c r="D165" s="449" t="s">
        <v>1411</v>
      </c>
      <c r="E165" s="102"/>
      <c r="F165" s="128"/>
      <c r="G165" s="372" t="s">
        <v>8</v>
      </c>
    </row>
    <row r="166" spans="1:7" x14ac:dyDescent="0.2">
      <c r="A166" s="29">
        <v>3</v>
      </c>
      <c r="B166" s="151"/>
      <c r="C166" s="371" t="s">
        <v>242</v>
      </c>
      <c r="D166" s="376" t="s">
        <v>1412</v>
      </c>
      <c r="E166" s="108">
        <v>60</v>
      </c>
      <c r="F166" s="150">
        <v>200</v>
      </c>
      <c r="G166" s="35">
        <f t="shared" si="1"/>
        <v>12000</v>
      </c>
    </row>
    <row r="167" spans="1:7" x14ac:dyDescent="0.2">
      <c r="A167" s="29"/>
      <c r="B167" s="151"/>
      <c r="C167" s="119"/>
      <c r="D167" s="383" t="s">
        <v>888</v>
      </c>
      <c r="E167" s="108"/>
      <c r="F167" s="150"/>
      <c r="G167" s="372" t="s">
        <v>8</v>
      </c>
    </row>
    <row r="168" spans="1:7" x14ac:dyDescent="0.2">
      <c r="A168" s="29">
        <v>4</v>
      </c>
      <c r="B168" s="101"/>
      <c r="C168" s="371" t="s">
        <v>242</v>
      </c>
      <c r="D168" s="383" t="s">
        <v>348</v>
      </c>
      <c r="E168" s="155">
        <v>60</v>
      </c>
      <c r="F168" s="128">
        <v>350</v>
      </c>
      <c r="G168" s="35">
        <f t="shared" si="1"/>
        <v>21000</v>
      </c>
    </row>
    <row r="169" spans="1:7" x14ac:dyDescent="0.2">
      <c r="A169" s="29"/>
      <c r="B169" s="106"/>
      <c r="C169" s="41"/>
      <c r="D169" s="376" t="s">
        <v>1410</v>
      </c>
      <c r="E169" s="104"/>
      <c r="F169" s="128"/>
      <c r="G169" s="372" t="s">
        <v>8</v>
      </c>
    </row>
    <row r="170" spans="1:7" x14ac:dyDescent="0.2">
      <c r="A170" s="29"/>
      <c r="B170" s="105"/>
      <c r="C170" s="41"/>
      <c r="D170" s="449" t="s">
        <v>1413</v>
      </c>
      <c r="E170" s="108"/>
      <c r="F170" s="152"/>
      <c r="G170" s="372" t="s">
        <v>8</v>
      </c>
    </row>
    <row r="171" spans="1:7" x14ac:dyDescent="0.2">
      <c r="A171" s="29">
        <v>5</v>
      </c>
      <c r="B171" s="107"/>
      <c r="C171" s="371" t="s">
        <v>242</v>
      </c>
      <c r="D171" s="376" t="s">
        <v>1414</v>
      </c>
      <c r="E171" s="153">
        <v>60</v>
      </c>
      <c r="F171" s="128">
        <v>200</v>
      </c>
      <c r="G171" s="35">
        <f t="shared" si="1"/>
        <v>12000</v>
      </c>
    </row>
    <row r="172" spans="1:7" x14ac:dyDescent="0.2">
      <c r="A172" s="29"/>
      <c r="B172" s="107"/>
      <c r="C172" s="41"/>
      <c r="D172" s="384" t="s">
        <v>888</v>
      </c>
      <c r="E172" s="153"/>
      <c r="F172" s="128"/>
      <c r="G172" s="372" t="s">
        <v>8</v>
      </c>
    </row>
    <row r="173" spans="1:7" x14ac:dyDescent="0.2">
      <c r="A173" s="29">
        <v>6</v>
      </c>
      <c r="B173" s="101"/>
      <c r="C173" s="371" t="s">
        <v>242</v>
      </c>
      <c r="D173" s="384" t="s">
        <v>348</v>
      </c>
      <c r="E173" s="108">
        <v>60</v>
      </c>
      <c r="F173" s="128">
        <v>350</v>
      </c>
      <c r="G173" s="35">
        <f t="shared" si="1"/>
        <v>21000</v>
      </c>
    </row>
    <row r="174" spans="1:7" x14ac:dyDescent="0.2">
      <c r="A174" s="29"/>
      <c r="B174" s="101"/>
      <c r="C174" s="41"/>
      <c r="D174" s="384" t="s">
        <v>1410</v>
      </c>
      <c r="E174" s="153"/>
      <c r="F174" s="128"/>
      <c r="G174" s="372" t="s">
        <v>8</v>
      </c>
    </row>
    <row r="175" spans="1:7" x14ac:dyDescent="0.2">
      <c r="A175" s="29"/>
      <c r="B175" s="106"/>
      <c r="C175" s="41"/>
      <c r="D175" s="450" t="s">
        <v>1415</v>
      </c>
      <c r="E175" s="104"/>
      <c r="F175" s="154"/>
      <c r="G175" s="372" t="s">
        <v>8</v>
      </c>
    </row>
    <row r="176" spans="1:7" x14ac:dyDescent="0.2">
      <c r="A176" s="29">
        <v>7</v>
      </c>
      <c r="B176" s="105"/>
      <c r="C176" s="371" t="s">
        <v>242</v>
      </c>
      <c r="D176" s="419" t="s">
        <v>1416</v>
      </c>
      <c r="E176" s="104">
        <v>60</v>
      </c>
      <c r="F176" s="154">
        <v>200</v>
      </c>
      <c r="G176" s="35">
        <f t="shared" si="1"/>
        <v>12000</v>
      </c>
    </row>
    <row r="177" spans="1:7" x14ac:dyDescent="0.2">
      <c r="A177" s="29"/>
      <c r="B177" s="105"/>
      <c r="C177" s="41"/>
      <c r="D177" s="384" t="s">
        <v>888</v>
      </c>
      <c r="E177" s="104"/>
      <c r="F177" s="154"/>
      <c r="G177" s="372" t="s">
        <v>8</v>
      </c>
    </row>
    <row r="178" spans="1:7" x14ac:dyDescent="0.2">
      <c r="A178" s="29">
        <v>8</v>
      </c>
      <c r="B178" s="101"/>
      <c r="C178" s="371" t="s">
        <v>242</v>
      </c>
      <c r="D178" s="384" t="s">
        <v>348</v>
      </c>
      <c r="E178" s="104">
        <v>60</v>
      </c>
      <c r="F178" s="154">
        <v>350</v>
      </c>
      <c r="G178" s="35">
        <f t="shared" si="1"/>
        <v>21000</v>
      </c>
    </row>
    <row r="179" spans="1:7" x14ac:dyDescent="0.2">
      <c r="A179" s="29"/>
      <c r="B179" s="101"/>
      <c r="C179" s="41"/>
      <c r="D179" s="376" t="s">
        <v>1410</v>
      </c>
      <c r="E179" s="104"/>
      <c r="F179" s="154"/>
      <c r="G179" s="372" t="s">
        <v>8</v>
      </c>
    </row>
    <row r="180" spans="1:7" x14ac:dyDescent="0.2">
      <c r="A180" s="29"/>
      <c r="B180" s="101"/>
      <c r="C180" s="41"/>
      <c r="D180" s="136"/>
      <c r="E180" s="104"/>
      <c r="F180" s="154"/>
      <c r="G180" s="372" t="s">
        <v>8</v>
      </c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60"/>
      <c r="E184" s="108"/>
      <c r="F184" s="128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SUM(G161:G193)</f>
        <v>132000</v>
      </c>
    </row>
    <row r="195" spans="1:7" ht="13.5" thickTop="1" x14ac:dyDescent="0.2">
      <c r="A195" s="875" t="s">
        <v>1417</v>
      </c>
      <c r="B195" s="899"/>
      <c r="C195" s="899"/>
      <c r="D195" s="899"/>
      <c r="E195" s="899"/>
      <c r="F195" s="899"/>
      <c r="G195" s="900"/>
    </row>
    <row r="196" spans="1:7" ht="13.5" thickBot="1" x14ac:dyDescent="0.25">
      <c r="A196" s="52"/>
      <c r="B196" s="103"/>
      <c r="C196" s="374" t="s">
        <v>1418</v>
      </c>
      <c r="D196" s="54"/>
      <c r="E196" s="103"/>
      <c r="F196" s="55"/>
      <c r="G196" s="56"/>
    </row>
    <row r="197" spans="1:7" ht="13.5" thickTop="1" x14ac:dyDescent="0.2">
      <c r="A197" s="906"/>
      <c r="B197" s="907"/>
      <c r="C197" s="907"/>
      <c r="D197" s="57" t="s">
        <v>11</v>
      </c>
      <c r="E197" s="908" t="s">
        <v>12</v>
      </c>
      <c r="F197" s="908"/>
      <c r="G197" s="909"/>
    </row>
    <row r="198" spans="1:7" x14ac:dyDescent="0.2">
      <c r="A198" s="910" t="s">
        <v>17</v>
      </c>
      <c r="B198" s="911"/>
      <c r="C198" s="911"/>
      <c r="D198" s="39"/>
      <c r="E198" s="912"/>
      <c r="F198" s="913"/>
      <c r="G198" s="914"/>
    </row>
    <row r="199" spans="1:7" x14ac:dyDescent="0.2">
      <c r="A199" s="910" t="s">
        <v>38</v>
      </c>
      <c r="B199" s="911"/>
      <c r="C199" s="911"/>
      <c r="D199" s="134" t="s">
        <v>137</v>
      </c>
      <c r="E199" s="868" t="s">
        <v>142</v>
      </c>
      <c r="F199" s="868"/>
      <c r="G199" s="869"/>
    </row>
    <row r="200" spans="1:7" ht="13.5" thickBot="1" x14ac:dyDescent="0.25">
      <c r="A200" s="901" t="s">
        <v>39</v>
      </c>
      <c r="B200" s="902"/>
      <c r="C200" s="902"/>
      <c r="D200" s="133" t="s">
        <v>907</v>
      </c>
      <c r="E200" s="903" t="s">
        <v>0</v>
      </c>
      <c r="F200" s="904"/>
      <c r="G200" s="905"/>
    </row>
    <row r="201" spans="1:7" ht="16.5" x14ac:dyDescent="0.25">
      <c r="A201" s="885" t="s">
        <v>29</v>
      </c>
      <c r="B201" s="886"/>
      <c r="C201" s="886"/>
      <c r="D201" s="886"/>
      <c r="E201" s="886"/>
      <c r="F201" s="886"/>
      <c r="G201" s="887"/>
    </row>
    <row r="202" spans="1:7" x14ac:dyDescent="0.2">
      <c r="A202" s="888" t="s">
        <v>48</v>
      </c>
      <c r="B202" s="889"/>
      <c r="C202" s="889"/>
      <c r="D202" s="889"/>
      <c r="E202" s="889"/>
      <c r="F202" s="889"/>
      <c r="G202" s="890"/>
    </row>
    <row r="203" spans="1:7" x14ac:dyDescent="0.2">
      <c r="A203" s="915" t="s">
        <v>49</v>
      </c>
      <c r="B203" s="916"/>
      <c r="C203" s="916"/>
      <c r="D203" s="916"/>
      <c r="E203" s="916"/>
      <c r="F203" s="916"/>
      <c r="G203" s="917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890</v>
      </c>
      <c r="D205" s="13"/>
      <c r="E205" s="362" t="s">
        <v>1629</v>
      </c>
      <c r="F205" s="98"/>
      <c r="G205" s="363" t="s">
        <v>1521</v>
      </c>
    </row>
    <row r="206" spans="1:7" x14ac:dyDescent="0.2">
      <c r="A206" s="17" t="s">
        <v>8</v>
      </c>
      <c r="B206" s="100"/>
      <c r="C206" s="19"/>
      <c r="D206" s="4"/>
      <c r="E206" s="918"/>
      <c r="F206" s="919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7" x14ac:dyDescent="0.2">
      <c r="A208" s="6"/>
      <c r="B208" s="99"/>
      <c r="C208" s="8"/>
      <c r="D208" s="8"/>
      <c r="E208" s="920"/>
      <c r="F208" s="921"/>
      <c r="G208" s="25"/>
    </row>
    <row r="209" spans="1:7" ht="26.25" thickBot="1" x14ac:dyDescent="0.25">
      <c r="A209" s="207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71" t="s">
        <v>242</v>
      </c>
      <c r="D210" s="460" t="s">
        <v>1561</v>
      </c>
      <c r="E210" s="402">
        <v>50</v>
      </c>
      <c r="F210" s="403">
        <v>200</v>
      </c>
      <c r="G210" s="372">
        <f>F210*E210</f>
        <v>10000</v>
      </c>
    </row>
    <row r="211" spans="1:7" x14ac:dyDescent="0.2">
      <c r="A211" s="29"/>
      <c r="B211" s="101"/>
      <c r="C211" s="371"/>
      <c r="D211" s="370" t="s">
        <v>888</v>
      </c>
      <c r="E211" s="108"/>
      <c r="F211" s="128"/>
      <c r="G211" s="35"/>
    </row>
    <row r="212" spans="1:7" x14ac:dyDescent="0.2">
      <c r="A212" s="29">
        <v>2</v>
      </c>
      <c r="B212" s="101"/>
      <c r="C212" s="371" t="s">
        <v>242</v>
      </c>
      <c r="D212" s="370" t="s">
        <v>339</v>
      </c>
      <c r="E212" s="108">
        <v>50</v>
      </c>
      <c r="F212" s="149">
        <v>350</v>
      </c>
      <c r="G212" s="372">
        <f>F212*E212</f>
        <v>17500</v>
      </c>
    </row>
    <row r="213" spans="1:7" x14ac:dyDescent="0.2">
      <c r="A213" s="29"/>
      <c r="B213" s="101"/>
      <c r="C213" s="371"/>
      <c r="D213" s="370" t="s">
        <v>1410</v>
      </c>
      <c r="E213" s="108"/>
      <c r="F213" s="128"/>
      <c r="G213" s="35"/>
    </row>
    <row r="214" spans="1:7" x14ac:dyDescent="0.2">
      <c r="A214" s="29"/>
      <c r="B214" s="105"/>
      <c r="C214" s="371"/>
      <c r="D214" s="376"/>
      <c r="E214" s="102"/>
      <c r="F214" s="128"/>
      <c r="G214" s="372"/>
    </row>
    <row r="215" spans="1:7" x14ac:dyDescent="0.2">
      <c r="A215" s="29"/>
      <c r="B215" s="105"/>
      <c r="C215" s="41"/>
      <c r="D215" s="449"/>
      <c r="E215" s="102"/>
      <c r="F215" s="128"/>
      <c r="G215" s="372"/>
    </row>
    <row r="216" spans="1:7" x14ac:dyDescent="0.2">
      <c r="A216" s="29"/>
      <c r="B216" s="151"/>
      <c r="C216" s="371"/>
      <c r="D216" s="376"/>
      <c r="E216" s="108"/>
      <c r="F216" s="150"/>
      <c r="G216" s="35"/>
    </row>
    <row r="217" spans="1:7" x14ac:dyDescent="0.2">
      <c r="A217" s="29"/>
      <c r="B217" s="151"/>
      <c r="C217" s="119"/>
      <c r="D217" s="383"/>
      <c r="E217" s="108"/>
      <c r="F217" s="150"/>
      <c r="G217" s="372"/>
    </row>
    <row r="218" spans="1:7" x14ac:dyDescent="0.2">
      <c r="A218" s="29"/>
      <c r="B218" s="101"/>
      <c r="C218" s="371"/>
      <c r="D218" s="383"/>
      <c r="E218" s="155"/>
      <c r="F218" s="128"/>
      <c r="G218" s="35"/>
    </row>
    <row r="219" spans="1:7" x14ac:dyDescent="0.2">
      <c r="A219" s="29"/>
      <c r="B219" s="106"/>
      <c r="C219" s="41"/>
      <c r="D219" s="376"/>
      <c r="E219" s="104"/>
      <c r="F219" s="128"/>
      <c r="G219" s="372"/>
    </row>
    <row r="220" spans="1:7" x14ac:dyDescent="0.2">
      <c r="A220" s="29"/>
      <c r="B220" s="105"/>
      <c r="C220" s="41"/>
      <c r="D220" s="449"/>
      <c r="E220" s="108"/>
      <c r="F220" s="152"/>
      <c r="G220" s="372"/>
    </row>
    <row r="221" spans="1:7" x14ac:dyDescent="0.2">
      <c r="A221" s="29"/>
      <c r="B221" s="107"/>
      <c r="C221" s="371"/>
      <c r="D221" s="376"/>
      <c r="E221" s="153"/>
      <c r="F221" s="128"/>
      <c r="G221" s="35"/>
    </row>
    <row r="222" spans="1:7" x14ac:dyDescent="0.2">
      <c r="A222" s="29"/>
      <c r="B222" s="107"/>
      <c r="C222" s="41"/>
      <c r="D222" s="384"/>
      <c r="E222" s="153"/>
      <c r="F222" s="128"/>
      <c r="G222" s="372"/>
    </row>
    <row r="223" spans="1:7" x14ac:dyDescent="0.2">
      <c r="A223" s="29"/>
      <c r="B223" s="101"/>
      <c r="C223" s="371"/>
      <c r="D223" s="384"/>
      <c r="E223" s="108"/>
      <c r="F223" s="128"/>
      <c r="G223" s="35"/>
    </row>
    <row r="224" spans="1:7" x14ac:dyDescent="0.2">
      <c r="A224" s="29"/>
      <c r="B224" s="101"/>
      <c r="C224" s="41"/>
      <c r="D224" s="384"/>
      <c r="E224" s="153"/>
      <c r="F224" s="128"/>
      <c r="G224" s="372"/>
    </row>
    <row r="225" spans="1:7" x14ac:dyDescent="0.2">
      <c r="A225" s="29"/>
      <c r="B225" s="106"/>
      <c r="C225" s="41"/>
      <c r="D225" s="450"/>
      <c r="E225" s="104"/>
      <c r="F225" s="154"/>
      <c r="G225" s="372"/>
    </row>
    <row r="226" spans="1:7" x14ac:dyDescent="0.2">
      <c r="A226" s="29"/>
      <c r="B226" s="105"/>
      <c r="C226" s="371"/>
      <c r="D226" s="419"/>
      <c r="E226" s="104"/>
      <c r="F226" s="154"/>
      <c r="G226" s="35"/>
    </row>
    <row r="227" spans="1:7" x14ac:dyDescent="0.2">
      <c r="A227" s="29"/>
      <c r="B227" s="105"/>
      <c r="C227" s="41"/>
      <c r="D227" s="384"/>
      <c r="E227" s="104"/>
      <c r="F227" s="154"/>
      <c r="G227" s="372"/>
    </row>
    <row r="228" spans="1:7" x14ac:dyDescent="0.2">
      <c r="A228" s="29"/>
      <c r="B228" s="101"/>
      <c r="C228" s="371"/>
      <c r="D228" s="384"/>
      <c r="E228" s="104"/>
      <c r="F228" s="154"/>
      <c r="G228" s="35"/>
    </row>
    <row r="229" spans="1:7" x14ac:dyDescent="0.2">
      <c r="A229" s="29"/>
      <c r="B229" s="101"/>
      <c r="C229" s="41"/>
      <c r="D229" s="376"/>
      <c r="E229" s="104"/>
      <c r="F229" s="154"/>
      <c r="G229" s="372"/>
    </row>
    <row r="230" spans="1:7" x14ac:dyDescent="0.2">
      <c r="A230" s="29"/>
      <c r="B230" s="101"/>
      <c r="C230" s="41"/>
      <c r="D230" s="136"/>
      <c r="E230" s="104"/>
      <c r="F230" s="154"/>
      <c r="G230" s="372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60"/>
      <c r="E234" s="108"/>
      <c r="F234" s="128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27500</v>
      </c>
    </row>
    <row r="245" spans="1:7" ht="13.5" thickTop="1" x14ac:dyDescent="0.2">
      <c r="A245" s="875" t="s">
        <v>1562</v>
      </c>
      <c r="B245" s="899"/>
      <c r="C245" s="899"/>
      <c r="D245" s="899"/>
      <c r="E245" s="899"/>
      <c r="F245" s="899"/>
      <c r="G245" s="900"/>
    </row>
    <row r="246" spans="1:7" ht="13.5" thickBot="1" x14ac:dyDescent="0.25">
      <c r="A246" s="52"/>
      <c r="B246" s="103"/>
      <c r="C246" s="374" t="s">
        <v>8</v>
      </c>
      <c r="D246" s="54"/>
      <c r="E246" s="103"/>
      <c r="F246" s="55"/>
      <c r="G246" s="56"/>
    </row>
    <row r="247" spans="1:7" ht="13.5" thickTop="1" x14ac:dyDescent="0.2">
      <c r="A247" s="906"/>
      <c r="B247" s="907"/>
      <c r="C247" s="907"/>
      <c r="D247" s="57" t="s">
        <v>11</v>
      </c>
      <c r="E247" s="908" t="s">
        <v>12</v>
      </c>
      <c r="F247" s="908"/>
      <c r="G247" s="909"/>
    </row>
    <row r="248" spans="1:7" x14ac:dyDescent="0.2">
      <c r="A248" s="910" t="s">
        <v>17</v>
      </c>
      <c r="B248" s="911"/>
      <c r="C248" s="911"/>
      <c r="D248" s="39"/>
      <c r="E248" s="912"/>
      <c r="F248" s="913"/>
      <c r="G248" s="914"/>
    </row>
    <row r="249" spans="1:7" x14ac:dyDescent="0.2">
      <c r="A249" s="910" t="s">
        <v>38</v>
      </c>
      <c r="B249" s="911"/>
      <c r="C249" s="911"/>
      <c r="D249" s="134" t="s">
        <v>137</v>
      </c>
      <c r="E249" s="868" t="s">
        <v>142</v>
      </c>
      <c r="F249" s="868"/>
      <c r="G249" s="869"/>
    </row>
    <row r="250" spans="1:7" ht="13.5" thickBot="1" x14ac:dyDescent="0.25">
      <c r="A250" s="901" t="s">
        <v>39</v>
      </c>
      <c r="B250" s="902"/>
      <c r="C250" s="902"/>
      <c r="D250" s="133" t="s">
        <v>907</v>
      </c>
      <c r="E250" s="903" t="s">
        <v>0</v>
      </c>
      <c r="F250" s="904"/>
      <c r="G250" s="905"/>
    </row>
    <row r="251" spans="1:7" ht="16.5" x14ac:dyDescent="0.25">
      <c r="A251" s="885" t="s">
        <v>29</v>
      </c>
      <c r="B251" s="886"/>
      <c r="C251" s="886"/>
      <c r="D251" s="886"/>
      <c r="E251" s="886"/>
      <c r="F251" s="886"/>
      <c r="G251" s="887"/>
    </row>
    <row r="252" spans="1:7" x14ac:dyDescent="0.2">
      <c r="A252" s="888" t="s">
        <v>48</v>
      </c>
      <c r="B252" s="889"/>
      <c r="C252" s="889"/>
      <c r="D252" s="889"/>
      <c r="E252" s="889"/>
      <c r="F252" s="889"/>
      <c r="G252" s="890"/>
    </row>
    <row r="253" spans="1:7" x14ac:dyDescent="0.2">
      <c r="A253" s="915" t="s">
        <v>49</v>
      </c>
      <c r="B253" s="916"/>
      <c r="C253" s="916"/>
      <c r="D253" s="916"/>
      <c r="E253" s="916"/>
      <c r="F253" s="916"/>
      <c r="G253" s="917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890</v>
      </c>
      <c r="D255" s="13"/>
      <c r="E255" s="362" t="s">
        <v>1987</v>
      </c>
      <c r="F255" s="98"/>
      <c r="G255" s="363" t="s">
        <v>1981</v>
      </c>
    </row>
    <row r="256" spans="1:7" x14ac:dyDescent="0.2">
      <c r="A256" s="17" t="s">
        <v>8</v>
      </c>
      <c r="B256" s="100"/>
      <c r="C256" s="19"/>
      <c r="D256" s="4"/>
      <c r="E256" s="918"/>
      <c r="F256" s="919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920"/>
      <c r="F258" s="921"/>
      <c r="G258" s="25"/>
    </row>
    <row r="259" spans="1:7" ht="26.25" thickBot="1" x14ac:dyDescent="0.25">
      <c r="A259" s="207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560"/>
      <c r="B260" s="561"/>
      <c r="C260" s="561"/>
      <c r="D260" s="565" t="s">
        <v>1985</v>
      </c>
      <c r="E260" s="562"/>
      <c r="F260" s="563"/>
      <c r="G260" s="564"/>
    </row>
    <row r="261" spans="1:7" x14ac:dyDescent="0.2">
      <c r="A261" s="29">
        <v>1</v>
      </c>
      <c r="B261" s="208"/>
      <c r="C261" s="365" t="s">
        <v>149</v>
      </c>
      <c r="D261" s="557" t="s">
        <v>1982</v>
      </c>
      <c r="E261" s="558">
        <v>100</v>
      </c>
      <c r="F261" s="559">
        <v>88</v>
      </c>
      <c r="G261" s="372">
        <f>F261*E261</f>
        <v>8800</v>
      </c>
    </row>
    <row r="262" spans="1:7" x14ac:dyDescent="0.2">
      <c r="A262" s="29">
        <v>2</v>
      </c>
      <c r="B262" s="101"/>
      <c r="C262" s="371" t="s">
        <v>185</v>
      </c>
      <c r="D262" s="370" t="s">
        <v>1983</v>
      </c>
      <c r="E262" s="108">
        <v>100</v>
      </c>
      <c r="F262" s="128">
        <v>6</v>
      </c>
      <c r="G262" s="35">
        <f>F262*E262</f>
        <v>600</v>
      </c>
    </row>
    <row r="263" spans="1:7" x14ac:dyDescent="0.2">
      <c r="A263" s="29"/>
      <c r="B263" s="101"/>
      <c r="C263" s="371"/>
      <c r="D263" s="370"/>
      <c r="E263" s="108"/>
      <c r="F263" s="149"/>
      <c r="G263" s="372"/>
    </row>
    <row r="264" spans="1:7" x14ac:dyDescent="0.2">
      <c r="A264" s="29"/>
      <c r="B264" s="101"/>
      <c r="C264" s="371"/>
      <c r="D264" s="370"/>
      <c r="E264" s="108"/>
      <c r="F264" s="128"/>
      <c r="G264" s="35"/>
    </row>
    <row r="265" spans="1:7" x14ac:dyDescent="0.2">
      <c r="A265" s="29"/>
      <c r="B265" s="105"/>
      <c r="C265" s="371"/>
      <c r="D265" s="376"/>
      <c r="E265" s="102"/>
      <c r="F265" s="128"/>
      <c r="G265" s="372"/>
    </row>
    <row r="266" spans="1:7" x14ac:dyDescent="0.2">
      <c r="A266" s="29"/>
      <c r="B266" s="151"/>
      <c r="C266" s="371"/>
      <c r="D266" s="376"/>
      <c r="E266" s="108"/>
      <c r="F266" s="150"/>
      <c r="G266" s="35"/>
    </row>
    <row r="267" spans="1:7" x14ac:dyDescent="0.2">
      <c r="A267" s="29"/>
      <c r="B267" s="151"/>
      <c r="C267" s="119"/>
      <c r="D267" s="383"/>
      <c r="E267" s="108"/>
      <c r="F267" s="150"/>
      <c r="G267" s="372"/>
    </row>
    <row r="268" spans="1:7" x14ac:dyDescent="0.2">
      <c r="A268" s="29"/>
      <c r="B268" s="101"/>
      <c r="C268" s="371"/>
      <c r="D268" s="383"/>
      <c r="E268" s="155"/>
      <c r="F268" s="128"/>
      <c r="G268" s="35"/>
    </row>
    <row r="269" spans="1:7" x14ac:dyDescent="0.2">
      <c r="A269" s="29"/>
      <c r="B269" s="106"/>
      <c r="C269" s="41"/>
      <c r="D269" s="376"/>
      <c r="E269" s="104"/>
      <c r="F269" s="128"/>
      <c r="G269" s="372"/>
    </row>
    <row r="270" spans="1:7" x14ac:dyDescent="0.2">
      <c r="A270" s="29"/>
      <c r="B270" s="105"/>
      <c r="C270" s="41"/>
      <c r="D270" s="449"/>
      <c r="E270" s="108"/>
      <c r="F270" s="152"/>
      <c r="G270" s="372"/>
    </row>
    <row r="271" spans="1:7" x14ac:dyDescent="0.2">
      <c r="A271" s="29"/>
      <c r="B271" s="107"/>
      <c r="C271" s="371"/>
      <c r="D271" s="376"/>
      <c r="E271" s="153"/>
      <c r="F271" s="128"/>
      <c r="G271" s="35"/>
    </row>
    <row r="272" spans="1:7" x14ac:dyDescent="0.2">
      <c r="A272" s="29"/>
      <c r="B272" s="107"/>
      <c r="C272" s="41"/>
      <c r="D272" s="384"/>
      <c r="E272" s="153"/>
      <c r="F272" s="128"/>
      <c r="G272" s="372"/>
    </row>
    <row r="273" spans="1:7" x14ac:dyDescent="0.2">
      <c r="A273" s="29"/>
      <c r="B273" s="101"/>
      <c r="C273" s="371"/>
      <c r="D273" s="384"/>
      <c r="E273" s="108"/>
      <c r="F273" s="128"/>
      <c r="G273" s="35"/>
    </row>
    <row r="274" spans="1:7" x14ac:dyDescent="0.2">
      <c r="A274" s="29"/>
      <c r="B274" s="101"/>
      <c r="C274" s="41"/>
      <c r="D274" s="384"/>
      <c r="E274" s="153"/>
      <c r="F274" s="128"/>
      <c r="G274" s="372"/>
    </row>
    <row r="275" spans="1:7" x14ac:dyDescent="0.2">
      <c r="A275" s="29"/>
      <c r="B275" s="106"/>
      <c r="C275" s="41"/>
      <c r="D275" s="450"/>
      <c r="E275" s="104"/>
      <c r="F275" s="154"/>
      <c r="G275" s="372"/>
    </row>
    <row r="276" spans="1:7" x14ac:dyDescent="0.2">
      <c r="A276" s="29"/>
      <c r="B276" s="105"/>
      <c r="C276" s="371"/>
      <c r="D276" s="419"/>
      <c r="E276" s="104"/>
      <c r="F276" s="154"/>
      <c r="G276" s="35"/>
    </row>
    <row r="277" spans="1:7" x14ac:dyDescent="0.2">
      <c r="A277" s="29"/>
      <c r="B277" s="105"/>
      <c r="C277" s="41"/>
      <c r="D277" s="384"/>
      <c r="E277" s="104"/>
      <c r="F277" s="154"/>
      <c r="G277" s="372"/>
    </row>
    <row r="278" spans="1:7" x14ac:dyDescent="0.2">
      <c r="A278" s="29"/>
      <c r="B278" s="101"/>
      <c r="C278" s="371"/>
      <c r="D278" s="384"/>
      <c r="E278" s="104"/>
      <c r="F278" s="154"/>
      <c r="G278" s="35"/>
    </row>
    <row r="279" spans="1:7" x14ac:dyDescent="0.2">
      <c r="A279" s="29"/>
      <c r="B279" s="101"/>
      <c r="C279" s="41"/>
      <c r="D279" s="376"/>
      <c r="E279" s="104"/>
      <c r="F279" s="154"/>
      <c r="G279" s="372"/>
    </row>
    <row r="280" spans="1:7" x14ac:dyDescent="0.2">
      <c r="A280" s="29"/>
      <c r="B280" s="101"/>
      <c r="C280" s="41"/>
      <c r="D280" s="136"/>
      <c r="E280" s="104"/>
      <c r="F280" s="154"/>
      <c r="G280" s="372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60"/>
      <c r="E284" s="108"/>
      <c r="F284" s="128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SUM(G261:G293)</f>
        <v>9400</v>
      </c>
    </row>
    <row r="295" spans="1:7" ht="13.5" thickTop="1" x14ac:dyDescent="0.2">
      <c r="A295" s="875" t="s">
        <v>1984</v>
      </c>
      <c r="B295" s="899"/>
      <c r="C295" s="899"/>
      <c r="D295" s="899"/>
      <c r="E295" s="899"/>
      <c r="F295" s="899"/>
      <c r="G295" s="900"/>
    </row>
    <row r="296" spans="1:7" ht="13.5" thickBot="1" x14ac:dyDescent="0.25">
      <c r="A296" s="52"/>
      <c r="B296" s="103"/>
      <c r="C296" s="374" t="s">
        <v>8</v>
      </c>
      <c r="D296" s="54"/>
      <c r="E296" s="103"/>
      <c r="F296" s="55"/>
      <c r="G296" s="56"/>
    </row>
    <row r="297" spans="1:7" ht="13.5" thickTop="1" x14ac:dyDescent="0.2">
      <c r="A297" s="906"/>
      <c r="B297" s="907"/>
      <c r="C297" s="907"/>
      <c r="D297" s="57" t="s">
        <v>11</v>
      </c>
      <c r="E297" s="908" t="s">
        <v>12</v>
      </c>
      <c r="F297" s="908"/>
      <c r="G297" s="909"/>
    </row>
    <row r="298" spans="1:7" x14ac:dyDescent="0.2">
      <c r="A298" s="910" t="s">
        <v>17</v>
      </c>
      <c r="B298" s="911"/>
      <c r="C298" s="911"/>
      <c r="D298" s="39"/>
      <c r="E298" s="912"/>
      <c r="F298" s="913"/>
      <c r="G298" s="914"/>
    </row>
    <row r="299" spans="1:7" x14ac:dyDescent="0.2">
      <c r="A299" s="910" t="s">
        <v>38</v>
      </c>
      <c r="B299" s="911"/>
      <c r="C299" s="911"/>
      <c r="D299" s="134" t="s">
        <v>137</v>
      </c>
      <c r="E299" s="868" t="s">
        <v>142</v>
      </c>
      <c r="F299" s="868"/>
      <c r="G299" s="869"/>
    </row>
    <row r="300" spans="1:7" ht="13.5" thickBot="1" x14ac:dyDescent="0.25">
      <c r="A300" s="901" t="s">
        <v>39</v>
      </c>
      <c r="B300" s="902"/>
      <c r="C300" s="902"/>
      <c r="D300" s="133" t="s">
        <v>907</v>
      </c>
      <c r="E300" s="903" t="s">
        <v>0</v>
      </c>
      <c r="F300" s="904"/>
      <c r="G300" s="905"/>
    </row>
    <row r="301" spans="1:7" ht="16.5" x14ac:dyDescent="0.25">
      <c r="A301" s="885" t="s">
        <v>29</v>
      </c>
      <c r="B301" s="886"/>
      <c r="C301" s="886"/>
      <c r="D301" s="886"/>
      <c r="E301" s="886"/>
      <c r="F301" s="886"/>
      <c r="G301" s="887"/>
    </row>
    <row r="302" spans="1:7" x14ac:dyDescent="0.2">
      <c r="A302" s="888" t="s">
        <v>48</v>
      </c>
      <c r="B302" s="889"/>
      <c r="C302" s="889"/>
      <c r="D302" s="889"/>
      <c r="E302" s="889"/>
      <c r="F302" s="889"/>
      <c r="G302" s="890"/>
    </row>
    <row r="303" spans="1:7" x14ac:dyDescent="0.2">
      <c r="A303" s="915" t="s">
        <v>49</v>
      </c>
      <c r="B303" s="916"/>
      <c r="C303" s="916"/>
      <c r="D303" s="916"/>
      <c r="E303" s="916"/>
      <c r="F303" s="916"/>
      <c r="G303" s="917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890</v>
      </c>
      <c r="D305" s="13"/>
      <c r="E305" s="362" t="s">
        <v>2460</v>
      </c>
      <c r="F305" s="98"/>
      <c r="G305" s="363" t="s">
        <v>2440</v>
      </c>
    </row>
    <row r="306" spans="1:7" x14ac:dyDescent="0.2">
      <c r="A306" s="17" t="s">
        <v>8</v>
      </c>
      <c r="B306" s="100"/>
      <c r="C306" s="19"/>
      <c r="D306" s="4"/>
      <c r="E306" s="918"/>
      <c r="F306" s="919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920"/>
      <c r="F308" s="921"/>
      <c r="G308" s="25"/>
    </row>
    <row r="309" spans="1:7" ht="26.25" thickBot="1" x14ac:dyDescent="0.25">
      <c r="A309" s="207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639">
        <v>1</v>
      </c>
      <c r="B310" s="561"/>
      <c r="C310" s="643" t="s">
        <v>242</v>
      </c>
      <c r="D310" s="565" t="s">
        <v>2454</v>
      </c>
      <c r="E310" s="640">
        <v>150</v>
      </c>
      <c r="F310" s="642">
        <v>200</v>
      </c>
      <c r="G310" s="641">
        <f>F310*E310</f>
        <v>30000</v>
      </c>
    </row>
    <row r="311" spans="1:7" x14ac:dyDescent="0.2">
      <c r="A311" s="29"/>
      <c r="B311" s="208"/>
      <c r="C311" s="365"/>
      <c r="D311" s="557" t="s">
        <v>2455</v>
      </c>
      <c r="E311" s="558"/>
      <c r="F311" s="559"/>
      <c r="G311" s="372"/>
    </row>
    <row r="312" spans="1:7" x14ac:dyDescent="0.2">
      <c r="A312" s="29">
        <v>2</v>
      </c>
      <c r="B312" s="101"/>
      <c r="C312" s="371" t="s">
        <v>242</v>
      </c>
      <c r="D312" s="370" t="s">
        <v>339</v>
      </c>
      <c r="E312" s="108">
        <v>150</v>
      </c>
      <c r="F312" s="128">
        <v>350</v>
      </c>
      <c r="G312" s="35">
        <f>F312*E312</f>
        <v>52500</v>
      </c>
    </row>
    <row r="313" spans="1:7" x14ac:dyDescent="0.2">
      <c r="A313" s="29"/>
      <c r="B313" s="101"/>
      <c r="C313" s="371"/>
      <c r="D313" s="370" t="s">
        <v>301</v>
      </c>
      <c r="E313" s="108"/>
      <c r="F313" s="149"/>
      <c r="G313" s="372" t="s">
        <v>8</v>
      </c>
    </row>
    <row r="314" spans="1:7" x14ac:dyDescent="0.2">
      <c r="A314" s="29">
        <v>3</v>
      </c>
      <c r="B314" s="101"/>
      <c r="C314" s="371" t="s">
        <v>242</v>
      </c>
      <c r="D314" s="370" t="s">
        <v>2456</v>
      </c>
      <c r="E314" s="108">
        <v>150</v>
      </c>
      <c r="F314" s="128">
        <v>200</v>
      </c>
      <c r="G314" s="35">
        <f t="shared" ref="G314" si="2">F314*E314</f>
        <v>30000</v>
      </c>
    </row>
    <row r="315" spans="1:7" x14ac:dyDescent="0.2">
      <c r="A315" s="29"/>
      <c r="B315" s="105"/>
      <c r="C315" s="371"/>
      <c r="D315" s="376"/>
      <c r="E315" s="102"/>
      <c r="F315" s="128"/>
      <c r="G315" s="372"/>
    </row>
    <row r="316" spans="1:7" x14ac:dyDescent="0.2">
      <c r="A316" s="29"/>
      <c r="B316" s="151"/>
      <c r="C316" s="371"/>
      <c r="D316" s="376"/>
      <c r="E316" s="108"/>
      <c r="F316" s="150"/>
      <c r="G316" s="35"/>
    </row>
    <row r="317" spans="1:7" x14ac:dyDescent="0.2">
      <c r="A317" s="29"/>
      <c r="B317" s="151"/>
      <c r="C317" s="119"/>
      <c r="D317" s="383"/>
      <c r="E317" s="108"/>
      <c r="F317" s="150"/>
      <c r="G317" s="372"/>
    </row>
    <row r="318" spans="1:7" x14ac:dyDescent="0.2">
      <c r="A318" s="29"/>
      <c r="B318" s="101"/>
      <c r="C318" s="371"/>
      <c r="D318" s="383"/>
      <c r="E318" s="155"/>
      <c r="F318" s="128"/>
      <c r="G318" s="35"/>
    </row>
    <row r="319" spans="1:7" x14ac:dyDescent="0.2">
      <c r="A319" s="29"/>
      <c r="B319" s="106"/>
      <c r="C319" s="41"/>
      <c r="D319" s="376"/>
      <c r="E319" s="104"/>
      <c r="F319" s="128"/>
      <c r="G319" s="372"/>
    </row>
    <row r="320" spans="1:7" x14ac:dyDescent="0.2">
      <c r="A320" s="29"/>
      <c r="B320" s="105"/>
      <c r="C320" s="41"/>
      <c r="D320" s="449"/>
      <c r="E320" s="108"/>
      <c r="F320" s="152"/>
      <c r="G320" s="372"/>
    </row>
    <row r="321" spans="1:7" x14ac:dyDescent="0.2">
      <c r="A321" s="29"/>
      <c r="B321" s="107"/>
      <c r="C321" s="371"/>
      <c r="D321" s="376"/>
      <c r="E321" s="153"/>
      <c r="F321" s="128"/>
      <c r="G321" s="35"/>
    </row>
    <row r="322" spans="1:7" x14ac:dyDescent="0.2">
      <c r="A322" s="29"/>
      <c r="B322" s="107"/>
      <c r="C322" s="41"/>
      <c r="D322" s="384"/>
      <c r="E322" s="153"/>
      <c r="F322" s="128"/>
      <c r="G322" s="372"/>
    </row>
    <row r="323" spans="1:7" x14ac:dyDescent="0.2">
      <c r="A323" s="29"/>
      <c r="B323" s="101"/>
      <c r="C323" s="371"/>
      <c r="D323" s="384"/>
      <c r="E323" s="108"/>
      <c r="F323" s="128"/>
      <c r="G323" s="35"/>
    </row>
    <row r="324" spans="1:7" x14ac:dyDescent="0.2">
      <c r="A324" s="29"/>
      <c r="B324" s="101"/>
      <c r="C324" s="41"/>
      <c r="D324" s="384"/>
      <c r="E324" s="153"/>
      <c r="F324" s="128"/>
      <c r="G324" s="372"/>
    </row>
    <row r="325" spans="1:7" x14ac:dyDescent="0.2">
      <c r="A325" s="29"/>
      <c r="B325" s="106"/>
      <c r="C325" s="41"/>
      <c r="D325" s="450"/>
      <c r="E325" s="104"/>
      <c r="F325" s="154"/>
      <c r="G325" s="372"/>
    </row>
    <row r="326" spans="1:7" x14ac:dyDescent="0.2">
      <c r="A326" s="29"/>
      <c r="B326" s="105"/>
      <c r="C326" s="371"/>
      <c r="D326" s="419"/>
      <c r="E326" s="104"/>
      <c r="F326" s="154"/>
      <c r="G326" s="35"/>
    </row>
    <row r="327" spans="1:7" x14ac:dyDescent="0.2">
      <c r="A327" s="29"/>
      <c r="B327" s="105"/>
      <c r="C327" s="41"/>
      <c r="D327" s="384"/>
      <c r="E327" s="104"/>
      <c r="F327" s="154"/>
      <c r="G327" s="372"/>
    </row>
    <row r="328" spans="1:7" x14ac:dyDescent="0.2">
      <c r="A328" s="29"/>
      <c r="B328" s="101"/>
      <c r="C328" s="371"/>
      <c r="D328" s="384"/>
      <c r="E328" s="104"/>
      <c r="F328" s="154"/>
      <c r="G328" s="35"/>
    </row>
    <row r="329" spans="1:7" x14ac:dyDescent="0.2">
      <c r="A329" s="29"/>
      <c r="B329" s="101"/>
      <c r="C329" s="41"/>
      <c r="D329" s="376"/>
      <c r="E329" s="104"/>
      <c r="F329" s="154"/>
      <c r="G329" s="372"/>
    </row>
    <row r="330" spans="1:7" x14ac:dyDescent="0.2">
      <c r="A330" s="29"/>
      <c r="B330" s="101"/>
      <c r="C330" s="41"/>
      <c r="D330" s="136"/>
      <c r="E330" s="104"/>
      <c r="F330" s="154"/>
      <c r="G330" s="372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60"/>
      <c r="E334" s="108"/>
      <c r="F334" s="128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15" x14ac:dyDescent="0.2">
      <c r="A337" s="29"/>
      <c r="B337" s="101"/>
      <c r="C337" s="41"/>
      <c r="D337" s="160"/>
      <c r="E337" s="108"/>
      <c r="F337" s="128"/>
      <c r="G337" s="35"/>
    </row>
    <row r="338" spans="1:15" x14ac:dyDescent="0.2">
      <c r="A338" s="29"/>
      <c r="B338" s="101"/>
      <c r="C338" s="41"/>
      <c r="D338" s="160"/>
      <c r="E338" s="108"/>
      <c r="F338" s="128"/>
      <c r="G338" s="35"/>
    </row>
    <row r="339" spans="1:15" x14ac:dyDescent="0.2">
      <c r="A339" s="29"/>
      <c r="B339" s="101"/>
      <c r="C339" s="41"/>
      <c r="D339" s="136"/>
      <c r="E339" s="153"/>
      <c r="F339" s="128"/>
      <c r="G339" s="35"/>
    </row>
    <row r="340" spans="1:15" x14ac:dyDescent="0.2">
      <c r="A340" s="29"/>
      <c r="B340" s="101"/>
      <c r="C340" s="41"/>
      <c r="D340" s="136"/>
      <c r="E340" s="102"/>
      <c r="F340" s="128"/>
      <c r="G340" s="35"/>
    </row>
    <row r="341" spans="1:15" x14ac:dyDescent="0.2">
      <c r="A341" s="29"/>
      <c r="B341" s="101"/>
      <c r="C341" s="31"/>
      <c r="D341" s="67"/>
      <c r="E341" s="131"/>
      <c r="F341" s="117"/>
      <c r="G341" s="35"/>
    </row>
    <row r="342" spans="1:15" x14ac:dyDescent="0.2">
      <c r="A342" s="29"/>
      <c r="B342" s="101"/>
      <c r="C342" s="41"/>
      <c r="D342" s="118"/>
      <c r="E342" s="108"/>
      <c r="F342" s="149"/>
      <c r="G342" s="35"/>
    </row>
    <row r="343" spans="1:15" x14ac:dyDescent="0.2">
      <c r="A343" s="29"/>
      <c r="B343" s="101"/>
      <c r="C343" s="41"/>
      <c r="D343" s="144"/>
      <c r="E343" s="108"/>
      <c r="F343" s="149"/>
      <c r="G343" s="35"/>
    </row>
    <row r="344" spans="1:15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112500</v>
      </c>
    </row>
    <row r="345" spans="1:15" ht="13.5" thickTop="1" x14ac:dyDescent="0.2">
      <c r="A345" s="875" t="s">
        <v>2559</v>
      </c>
      <c r="B345" s="899"/>
      <c r="C345" s="899"/>
      <c r="D345" s="899"/>
      <c r="E345" s="899"/>
      <c r="F345" s="899"/>
      <c r="G345" s="900"/>
      <c r="I345" s="875" t="s">
        <v>2457</v>
      </c>
      <c r="J345" s="899"/>
      <c r="K345" s="899"/>
      <c r="L345" s="899"/>
      <c r="M345" s="899"/>
      <c r="N345" s="899"/>
      <c r="O345" s="900"/>
    </row>
    <row r="346" spans="1:15" ht="13.5" thickBot="1" x14ac:dyDescent="0.25">
      <c r="A346" s="52"/>
      <c r="B346" s="103"/>
      <c r="C346" s="374" t="s">
        <v>8</v>
      </c>
      <c r="D346" s="54"/>
      <c r="E346" s="103"/>
      <c r="F346" s="55"/>
      <c r="G346" s="56"/>
    </row>
    <row r="347" spans="1:15" ht="13.5" thickTop="1" x14ac:dyDescent="0.2">
      <c r="A347" s="906"/>
      <c r="B347" s="907"/>
      <c r="C347" s="907"/>
      <c r="D347" s="57" t="s">
        <v>11</v>
      </c>
      <c r="E347" s="908" t="s">
        <v>12</v>
      </c>
      <c r="F347" s="908"/>
      <c r="G347" s="909"/>
      <c r="I347" s="649" t="s">
        <v>2560</v>
      </c>
    </row>
    <row r="348" spans="1:15" x14ac:dyDescent="0.2">
      <c r="A348" s="910" t="s">
        <v>17</v>
      </c>
      <c r="B348" s="911"/>
      <c r="C348" s="911"/>
      <c r="D348" s="39"/>
      <c r="E348" s="912"/>
      <c r="F348" s="913"/>
      <c r="G348" s="914"/>
    </row>
    <row r="349" spans="1:15" x14ac:dyDescent="0.2">
      <c r="A349" s="910" t="s">
        <v>38</v>
      </c>
      <c r="B349" s="911"/>
      <c r="C349" s="911"/>
      <c r="D349" s="134" t="s">
        <v>137</v>
      </c>
      <c r="E349" s="868" t="s">
        <v>142</v>
      </c>
      <c r="F349" s="868"/>
      <c r="G349" s="869"/>
    </row>
    <row r="350" spans="1:15" ht="13.5" thickBot="1" x14ac:dyDescent="0.25">
      <c r="A350" s="901" t="s">
        <v>39</v>
      </c>
      <c r="B350" s="902"/>
      <c r="C350" s="902"/>
      <c r="D350" s="133" t="s">
        <v>907</v>
      </c>
      <c r="E350" s="903" t="s">
        <v>0</v>
      </c>
      <c r="F350" s="904"/>
      <c r="G350" s="905"/>
    </row>
  </sheetData>
  <mergeCells count="115">
    <mergeCell ref="A349:C349"/>
    <mergeCell ref="E349:G349"/>
    <mergeCell ref="A350:C350"/>
    <mergeCell ref="E350:G350"/>
    <mergeCell ref="A345:G345"/>
    <mergeCell ref="A347:C347"/>
    <mergeCell ref="E347:G347"/>
    <mergeCell ref="A348:C348"/>
    <mergeCell ref="E348:G348"/>
    <mergeCell ref="E258:F258"/>
    <mergeCell ref="A301:G301"/>
    <mergeCell ref="A302:G302"/>
    <mergeCell ref="A303:G303"/>
    <mergeCell ref="E306:F306"/>
    <mergeCell ref="E308:F308"/>
    <mergeCell ref="A299:C299"/>
    <mergeCell ref="E299:G299"/>
    <mergeCell ref="A300:C300"/>
    <mergeCell ref="E300:G300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  <mergeCell ref="A151:G151"/>
    <mergeCell ref="A152:G152"/>
    <mergeCell ref="A153:G153"/>
    <mergeCell ref="E156:F156"/>
    <mergeCell ref="E158:F158"/>
    <mergeCell ref="K22:M22"/>
    <mergeCell ref="K23:M23"/>
    <mergeCell ref="K24:M24"/>
    <mergeCell ref="K25:M25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K16:M16"/>
    <mergeCell ref="K17:M17"/>
    <mergeCell ref="K18:M18"/>
    <mergeCell ref="K19:M19"/>
    <mergeCell ref="K20:M20"/>
    <mergeCell ref="K21:M21"/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  <mergeCell ref="K15:M15"/>
    <mergeCell ref="A1:G1"/>
    <mergeCell ref="A2:G2"/>
    <mergeCell ref="A3:G3"/>
    <mergeCell ref="E6:F6"/>
    <mergeCell ref="E8:F8"/>
    <mergeCell ref="K10:M10"/>
    <mergeCell ref="K11:M11"/>
    <mergeCell ref="K12:M12"/>
    <mergeCell ref="K13:M13"/>
    <mergeCell ref="K14:M14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I345:O345"/>
    <mergeCell ref="A201:G201"/>
    <mergeCell ref="A202:G202"/>
    <mergeCell ref="A203:G203"/>
    <mergeCell ref="E206:F206"/>
    <mergeCell ref="E208:F208"/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295:G295"/>
    <mergeCell ref="A297:C297"/>
    <mergeCell ref="E297:G297"/>
    <mergeCell ref="A298:C298"/>
    <mergeCell ref="E298:G298"/>
    <mergeCell ref="A251:G251"/>
    <mergeCell ref="A252:G252"/>
    <mergeCell ref="A253:G253"/>
    <mergeCell ref="E256:F256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8A3CC4"/>
  </sheetPr>
  <dimension ref="A1:O800"/>
  <sheetViews>
    <sheetView topLeftCell="A770" zoomScale="110" zoomScaleNormal="110" workbookViewId="0">
      <selection activeCell="I792" sqref="I792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3.42578125" style="1" customWidth="1"/>
    <col min="9" max="9" width="15.85546875" style="2" customWidth="1"/>
    <col min="10" max="10" width="42.42578125" style="2" customWidth="1"/>
    <col min="11" max="11" width="16.5703125" style="2" customWidth="1"/>
    <col min="12" max="12" width="28.7109375" style="2" customWidth="1"/>
    <col min="13" max="13" width="13.140625" style="2" bestFit="1" customWidth="1"/>
    <col min="14" max="14" width="11.5703125" style="2" bestFit="1" customWidth="1"/>
    <col min="15" max="15" width="9.28515625" style="2" bestFit="1" customWidth="1"/>
    <col min="16" max="16" width="10.28515625" style="2" bestFit="1" customWidth="1"/>
    <col min="17" max="18" width="9.140625" style="2"/>
    <col min="19" max="19" width="13" style="2" customWidth="1"/>
    <col min="20" max="20" width="9.28515625" style="2" bestFit="1" customWidth="1"/>
    <col min="21" max="21" width="11.28515625" style="2" customWidth="1"/>
    <col min="22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61</v>
      </c>
      <c r="D5" s="13"/>
      <c r="E5" s="362" t="s">
        <v>1133</v>
      </c>
      <c r="F5" s="98"/>
      <c r="G5" s="363" t="s">
        <v>1100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1101</v>
      </c>
      <c r="E10" s="158">
        <v>40</v>
      </c>
      <c r="F10" s="128">
        <v>200</v>
      </c>
      <c r="G10" s="35">
        <f>F10*E10</f>
        <v>8000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62"/>
      <c r="E35" s="104"/>
      <c r="F35" s="154"/>
      <c r="G35" s="35"/>
    </row>
    <row r="36" spans="1:7" x14ac:dyDescent="0.2">
      <c r="A36" s="29"/>
      <c r="B36" s="101"/>
      <c r="C36" s="41"/>
      <c r="D36" s="67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8000</v>
      </c>
    </row>
    <row r="45" spans="1:7" ht="13.5" thickTop="1" x14ac:dyDescent="0.2">
      <c r="A45" s="875" t="s">
        <v>1102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374" t="s">
        <v>8</v>
      </c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336</v>
      </c>
      <c r="E49" s="868" t="s">
        <v>142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59" t="s">
        <v>337</v>
      </c>
      <c r="E50" s="904" t="s">
        <v>0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61</v>
      </c>
      <c r="D55" s="13"/>
      <c r="E55" s="362" t="s">
        <v>1175</v>
      </c>
      <c r="F55" s="98"/>
      <c r="G55" s="363" t="s">
        <v>1162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71" t="s">
        <v>149</v>
      </c>
      <c r="D60" s="376" t="s">
        <v>1163</v>
      </c>
      <c r="E60" s="158">
        <v>30</v>
      </c>
      <c r="F60" s="128">
        <v>200</v>
      </c>
      <c r="G60" s="35">
        <f>F60*E60</f>
        <v>6000</v>
      </c>
    </row>
    <row r="61" spans="1:7" x14ac:dyDescent="0.2">
      <c r="A61" s="29"/>
      <c r="B61" s="101"/>
      <c r="C61" s="41"/>
      <c r="D61" s="370" t="s">
        <v>338</v>
      </c>
      <c r="E61" s="156"/>
      <c r="F61" s="128"/>
      <c r="G61" s="35"/>
    </row>
    <row r="62" spans="1:7" x14ac:dyDescent="0.2">
      <c r="A62" s="29">
        <v>2</v>
      </c>
      <c r="B62" s="101"/>
      <c r="C62" s="371" t="s">
        <v>149</v>
      </c>
      <c r="D62" s="370" t="s">
        <v>348</v>
      </c>
      <c r="E62" s="108">
        <v>30</v>
      </c>
      <c r="F62" s="149">
        <v>350</v>
      </c>
      <c r="G62" s="35">
        <f>F62*E62</f>
        <v>10500</v>
      </c>
    </row>
    <row r="63" spans="1:7" x14ac:dyDescent="0.2">
      <c r="A63" s="29"/>
      <c r="B63" s="101"/>
      <c r="C63" s="41"/>
      <c r="D63" s="370" t="s">
        <v>301</v>
      </c>
      <c r="E63" s="108"/>
      <c r="F63" s="128"/>
      <c r="G63" s="372" t="s">
        <v>8</v>
      </c>
    </row>
    <row r="64" spans="1:7" x14ac:dyDescent="0.2">
      <c r="A64" s="29">
        <v>3</v>
      </c>
      <c r="B64" s="105"/>
      <c r="C64" s="371" t="s">
        <v>149</v>
      </c>
      <c r="D64" s="376" t="s">
        <v>1164</v>
      </c>
      <c r="E64" s="102">
        <v>30</v>
      </c>
      <c r="F64" s="128">
        <v>200</v>
      </c>
      <c r="G64" s="35">
        <f t="shared" ref="G64" si="0">F64*E64</f>
        <v>6000</v>
      </c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62"/>
      <c r="E85" s="104"/>
      <c r="F85" s="154"/>
      <c r="G85" s="35"/>
    </row>
    <row r="86" spans="1:7" x14ac:dyDescent="0.2">
      <c r="A86" s="29"/>
      <c r="B86" s="101"/>
      <c r="C86" s="41"/>
      <c r="D86" s="67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22500</v>
      </c>
    </row>
    <row r="95" spans="1:7" ht="13.5" thickTop="1" x14ac:dyDescent="0.2">
      <c r="A95" s="875" t="s">
        <v>1165</v>
      </c>
      <c r="B95" s="899"/>
      <c r="C95" s="899"/>
      <c r="D95" s="899"/>
      <c r="E95" s="899"/>
      <c r="F95" s="899"/>
      <c r="G95" s="900"/>
    </row>
    <row r="96" spans="1:7" ht="13.5" thickBot="1" x14ac:dyDescent="0.25">
      <c r="A96" s="52"/>
      <c r="B96" s="103"/>
      <c r="C96" s="374" t="s">
        <v>1073</v>
      </c>
      <c r="D96" s="54"/>
      <c r="E96" s="103"/>
      <c r="F96" s="55"/>
      <c r="G96" s="56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336</v>
      </c>
      <c r="E99" s="868" t="s">
        <v>142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59" t="s">
        <v>337</v>
      </c>
      <c r="E100" s="904" t="s">
        <v>0</v>
      </c>
      <c r="F100" s="904"/>
      <c r="G100" s="905"/>
    </row>
    <row r="101" spans="1:7" ht="16.5" x14ac:dyDescent="0.25">
      <c r="A101" s="885" t="s">
        <v>29</v>
      </c>
      <c r="B101" s="886"/>
      <c r="C101" s="886"/>
      <c r="D101" s="886"/>
      <c r="E101" s="886"/>
      <c r="F101" s="886"/>
      <c r="G101" s="887"/>
    </row>
    <row r="102" spans="1:7" x14ac:dyDescent="0.2">
      <c r="A102" s="888" t="s">
        <v>48</v>
      </c>
      <c r="B102" s="889"/>
      <c r="C102" s="889"/>
      <c r="D102" s="889"/>
      <c r="E102" s="889"/>
      <c r="F102" s="889"/>
      <c r="G102" s="890"/>
    </row>
    <row r="103" spans="1:7" x14ac:dyDescent="0.2">
      <c r="A103" s="915" t="s">
        <v>49</v>
      </c>
      <c r="B103" s="916"/>
      <c r="C103" s="916"/>
      <c r="D103" s="916"/>
      <c r="E103" s="916"/>
      <c r="F103" s="916"/>
      <c r="G103" s="917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61</v>
      </c>
      <c r="D105" s="13"/>
      <c r="E105" s="362" t="s">
        <v>1174</v>
      </c>
      <c r="F105" s="98"/>
      <c r="G105" s="363" t="s">
        <v>1162</v>
      </c>
    </row>
    <row r="106" spans="1:7" x14ac:dyDescent="0.2">
      <c r="A106" s="17" t="s">
        <v>8</v>
      </c>
      <c r="B106" s="100"/>
      <c r="C106" s="19"/>
      <c r="D106" s="4"/>
      <c r="E106" s="918"/>
      <c r="F106" s="919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920"/>
      <c r="F108" s="921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71" t="s">
        <v>242</v>
      </c>
      <c r="D110" s="376" t="s">
        <v>1166</v>
      </c>
      <c r="E110" s="158">
        <v>100</v>
      </c>
      <c r="F110" s="128">
        <v>250</v>
      </c>
      <c r="G110" s="35">
        <f>F110*E110</f>
        <v>25000</v>
      </c>
    </row>
    <row r="111" spans="1:7" x14ac:dyDescent="0.2">
      <c r="A111" s="29"/>
      <c r="B111" s="101"/>
      <c r="C111" s="41"/>
      <c r="D111" s="370" t="s">
        <v>1167</v>
      </c>
      <c r="E111" s="156"/>
      <c r="F111" s="128"/>
      <c r="G111" s="35"/>
    </row>
    <row r="112" spans="1:7" x14ac:dyDescent="0.2">
      <c r="A112" s="29"/>
      <c r="B112" s="101"/>
      <c r="C112" s="371"/>
      <c r="D112" s="370" t="s">
        <v>1172</v>
      </c>
      <c r="E112" s="108"/>
      <c r="F112" s="149"/>
      <c r="G112" s="35"/>
    </row>
    <row r="113" spans="1:13" x14ac:dyDescent="0.2">
      <c r="A113" s="29"/>
      <c r="B113" s="101"/>
      <c r="C113" s="41"/>
      <c r="D113" s="370" t="s">
        <v>1173</v>
      </c>
      <c r="E113" s="108"/>
      <c r="F113" s="128"/>
      <c r="G113" s="372"/>
    </row>
    <row r="114" spans="1:13" x14ac:dyDescent="0.2">
      <c r="A114" s="29"/>
      <c r="B114" s="105"/>
      <c r="C114" s="371"/>
      <c r="D114" s="376"/>
      <c r="E114" s="102"/>
      <c r="F114" s="128"/>
      <c r="G114" s="35"/>
    </row>
    <row r="115" spans="1:13" x14ac:dyDescent="0.2">
      <c r="A115" s="29"/>
      <c r="B115" s="105"/>
      <c r="C115" s="41"/>
      <c r="D115" s="136"/>
      <c r="E115" s="102"/>
      <c r="F115" s="128"/>
      <c r="G115" s="35"/>
    </row>
    <row r="116" spans="1:13" x14ac:dyDescent="0.2">
      <c r="A116" s="29"/>
      <c r="B116" s="151"/>
      <c r="C116" s="119"/>
      <c r="D116" s="136"/>
      <c r="E116" s="108"/>
      <c r="F116" s="150"/>
      <c r="G116" s="35"/>
      <c r="I116" s="371" t="s">
        <v>242</v>
      </c>
      <c r="J116" s="376" t="s">
        <v>1177</v>
      </c>
      <c r="K116" s="402">
        <v>250</v>
      </c>
      <c r="L116" s="403">
        <v>250</v>
      </c>
      <c r="M116" s="372">
        <f>L116*K116</f>
        <v>62500</v>
      </c>
    </row>
    <row r="117" spans="1:13" x14ac:dyDescent="0.2">
      <c r="A117" s="29"/>
      <c r="B117" s="151"/>
      <c r="C117" s="119"/>
      <c r="D117" s="144"/>
      <c r="E117" s="108"/>
      <c r="F117" s="150"/>
      <c r="G117" s="35"/>
      <c r="I117" s="371"/>
      <c r="J117" s="370" t="s">
        <v>1178</v>
      </c>
      <c r="K117" s="404"/>
      <c r="L117" s="403"/>
      <c r="M117" s="372"/>
    </row>
    <row r="118" spans="1:13" x14ac:dyDescent="0.2">
      <c r="A118" s="29"/>
      <c r="B118" s="101"/>
      <c r="C118" s="41"/>
      <c r="D118" s="144"/>
      <c r="E118" s="155"/>
      <c r="F118" s="128"/>
      <c r="G118" s="35"/>
      <c r="I118" s="371" t="s">
        <v>242</v>
      </c>
      <c r="J118" s="370" t="s">
        <v>1179</v>
      </c>
      <c r="K118" s="407">
        <v>400</v>
      </c>
      <c r="L118" s="406">
        <v>950</v>
      </c>
      <c r="M118" s="372">
        <f>L118*K118</f>
        <v>380000</v>
      </c>
    </row>
    <row r="119" spans="1:13" x14ac:dyDescent="0.2">
      <c r="A119" s="29"/>
      <c r="B119" s="106"/>
      <c r="C119" s="41"/>
      <c r="D119" s="136"/>
      <c r="E119" s="104"/>
      <c r="F119" s="128"/>
      <c r="G119" s="35"/>
      <c r="I119" s="371"/>
      <c r="J119" s="370" t="s">
        <v>1180</v>
      </c>
      <c r="K119" s="407"/>
      <c r="L119" s="403"/>
      <c r="M119" s="372"/>
    </row>
    <row r="120" spans="1:13" x14ac:dyDescent="0.2">
      <c r="A120" s="29"/>
      <c r="B120" s="105"/>
      <c r="C120" s="41"/>
      <c r="D120" s="136"/>
      <c r="E120" s="108"/>
      <c r="F120" s="152"/>
      <c r="G120" s="35"/>
      <c r="I120" s="371"/>
      <c r="J120" s="376"/>
      <c r="K120" s="409"/>
      <c r="L120" s="403"/>
      <c r="M120" s="372"/>
    </row>
    <row r="121" spans="1:13" x14ac:dyDescent="0.2">
      <c r="A121" s="29"/>
      <c r="B121" s="107"/>
      <c r="C121" s="41"/>
      <c r="D121" s="136"/>
      <c r="E121" s="153"/>
      <c r="F121" s="128"/>
      <c r="G121" s="35"/>
      <c r="I121" s="371"/>
      <c r="J121" s="376" t="s">
        <v>1181</v>
      </c>
      <c r="K121" s="409"/>
      <c r="L121" s="403"/>
      <c r="M121" s="372"/>
    </row>
    <row r="122" spans="1:13" x14ac:dyDescent="0.2">
      <c r="A122" s="29"/>
      <c r="B122" s="107"/>
      <c r="C122" s="41"/>
      <c r="D122" s="67"/>
      <c r="E122" s="153"/>
      <c r="F122" s="128"/>
      <c r="G122" s="35"/>
      <c r="I122" s="385"/>
      <c r="J122" s="376" t="s">
        <v>1182</v>
      </c>
      <c r="K122" s="407"/>
      <c r="L122" s="411"/>
      <c r="M122" s="372"/>
    </row>
    <row r="123" spans="1:13" x14ac:dyDescent="0.2">
      <c r="A123" s="29"/>
      <c r="B123" s="101"/>
      <c r="C123" s="41"/>
      <c r="D123" s="67"/>
      <c r="E123" s="108"/>
      <c r="F123" s="128"/>
      <c r="G123" s="35"/>
      <c r="I123" s="385"/>
      <c r="J123" s="383" t="s">
        <v>1183</v>
      </c>
      <c r="K123" s="407"/>
      <c r="L123" s="411"/>
      <c r="M123" s="372"/>
    </row>
    <row r="124" spans="1:13" x14ac:dyDescent="0.2">
      <c r="A124" s="29"/>
      <c r="B124" s="101"/>
      <c r="C124" s="41"/>
      <c r="D124" s="67"/>
      <c r="E124" s="153"/>
      <c r="F124" s="128"/>
      <c r="G124" s="35"/>
      <c r="I124" s="371"/>
      <c r="J124" s="383"/>
      <c r="K124" s="412"/>
      <c r="L124" s="403"/>
      <c r="M124" s="372"/>
    </row>
    <row r="125" spans="1:13" x14ac:dyDescent="0.2">
      <c r="A125" s="29"/>
      <c r="B125" s="106"/>
      <c r="C125" s="41"/>
      <c r="D125" s="67"/>
      <c r="E125" s="104"/>
      <c r="F125" s="154"/>
      <c r="G125" s="35"/>
      <c r="I125" s="371"/>
      <c r="J125" s="376"/>
      <c r="K125" s="414"/>
      <c r="L125" s="403"/>
      <c r="M125" s="372"/>
    </row>
    <row r="126" spans="1:13" x14ac:dyDescent="0.2">
      <c r="A126" s="29"/>
      <c r="B126" s="105"/>
      <c r="C126" s="41"/>
      <c r="D126" s="130"/>
      <c r="E126" s="104"/>
      <c r="F126" s="154"/>
      <c r="G126" s="35"/>
    </row>
    <row r="127" spans="1:13" x14ac:dyDescent="0.2">
      <c r="A127" s="29"/>
      <c r="B127" s="105"/>
      <c r="C127" s="41"/>
      <c r="D127" s="67"/>
      <c r="E127" s="104"/>
      <c r="F127" s="154"/>
      <c r="G127" s="35"/>
    </row>
    <row r="128" spans="1:13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136"/>
      <c r="E134" s="104"/>
      <c r="F134" s="154"/>
      <c r="G134" s="35"/>
    </row>
    <row r="135" spans="1:7" x14ac:dyDescent="0.2">
      <c r="A135" s="29"/>
      <c r="B135" s="101"/>
      <c r="C135" s="41"/>
      <c r="D135" s="62"/>
      <c r="E135" s="104"/>
      <c r="F135" s="154"/>
      <c r="G135" s="35"/>
    </row>
    <row r="136" spans="1:7" x14ac:dyDescent="0.2">
      <c r="A136" s="29"/>
      <c r="B136" s="101"/>
      <c r="C136" s="41"/>
      <c r="D136" s="67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25000</v>
      </c>
    </row>
    <row r="145" spans="1:7" ht="13.5" thickTop="1" x14ac:dyDescent="0.2">
      <c r="A145" s="875" t="s">
        <v>1168</v>
      </c>
      <c r="B145" s="899"/>
      <c r="C145" s="899"/>
      <c r="D145" s="899"/>
      <c r="E145" s="899"/>
      <c r="F145" s="899"/>
      <c r="G145" s="900"/>
    </row>
    <row r="146" spans="1:7" ht="13.5" thickBot="1" x14ac:dyDescent="0.25">
      <c r="A146" s="52"/>
      <c r="B146" s="103"/>
      <c r="C146" s="374" t="s">
        <v>1169</v>
      </c>
      <c r="D146" s="54"/>
      <c r="E146" s="103"/>
      <c r="F146" s="55"/>
      <c r="G146" s="56"/>
    </row>
    <row r="147" spans="1:7" ht="13.5" thickTop="1" x14ac:dyDescent="0.2">
      <c r="A147" s="906"/>
      <c r="B147" s="907"/>
      <c r="C147" s="907"/>
      <c r="D147" s="57" t="s">
        <v>11</v>
      </c>
      <c r="E147" s="908" t="s">
        <v>12</v>
      </c>
      <c r="F147" s="908"/>
      <c r="G147" s="909"/>
    </row>
    <row r="148" spans="1:7" x14ac:dyDescent="0.2">
      <c r="A148" s="910" t="s">
        <v>17</v>
      </c>
      <c r="B148" s="911"/>
      <c r="C148" s="911"/>
      <c r="D148" s="39"/>
      <c r="E148" s="912"/>
      <c r="F148" s="913"/>
      <c r="G148" s="914"/>
    </row>
    <row r="149" spans="1:7" x14ac:dyDescent="0.2">
      <c r="A149" s="910" t="s">
        <v>38</v>
      </c>
      <c r="B149" s="911"/>
      <c r="C149" s="911"/>
      <c r="D149" s="58" t="s">
        <v>336</v>
      </c>
      <c r="E149" s="868" t="s">
        <v>142</v>
      </c>
      <c r="F149" s="868"/>
      <c r="G149" s="869"/>
    </row>
    <row r="150" spans="1:7" ht="13.5" thickBot="1" x14ac:dyDescent="0.25">
      <c r="A150" s="901" t="s">
        <v>39</v>
      </c>
      <c r="B150" s="902"/>
      <c r="C150" s="902"/>
      <c r="D150" s="59" t="s">
        <v>337</v>
      </c>
      <c r="E150" s="904" t="s">
        <v>0</v>
      </c>
      <c r="F150" s="904"/>
      <c r="G150" s="905"/>
    </row>
    <row r="151" spans="1:7" ht="16.5" x14ac:dyDescent="0.25">
      <c r="A151" s="885" t="s">
        <v>29</v>
      </c>
      <c r="B151" s="886"/>
      <c r="C151" s="886"/>
      <c r="D151" s="886"/>
      <c r="E151" s="886"/>
      <c r="F151" s="886"/>
      <c r="G151" s="887"/>
    </row>
    <row r="152" spans="1:7" x14ac:dyDescent="0.2">
      <c r="A152" s="888" t="s">
        <v>48</v>
      </c>
      <c r="B152" s="889"/>
      <c r="C152" s="889"/>
      <c r="D152" s="889"/>
      <c r="E152" s="889"/>
      <c r="F152" s="889"/>
      <c r="G152" s="890"/>
    </row>
    <row r="153" spans="1:7" x14ac:dyDescent="0.2">
      <c r="A153" s="915" t="s">
        <v>49</v>
      </c>
      <c r="B153" s="916"/>
      <c r="C153" s="916"/>
      <c r="D153" s="916"/>
      <c r="E153" s="916"/>
      <c r="F153" s="916"/>
      <c r="G153" s="917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61</v>
      </c>
      <c r="D155" s="13"/>
      <c r="E155" s="362" t="s">
        <v>1186</v>
      </c>
      <c r="F155" s="98"/>
      <c r="G155" s="363" t="s">
        <v>1162</v>
      </c>
    </row>
    <row r="156" spans="1:7" x14ac:dyDescent="0.2">
      <c r="A156" s="17" t="s">
        <v>8</v>
      </c>
      <c r="B156" s="100"/>
      <c r="C156" s="19"/>
      <c r="D156" s="4"/>
      <c r="E156" s="918"/>
      <c r="F156" s="919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920"/>
      <c r="F158" s="921"/>
      <c r="G158" s="25"/>
    </row>
    <row r="159" spans="1:7" ht="26.25" thickBot="1" x14ac:dyDescent="0.25">
      <c r="A159" s="207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71" t="s">
        <v>242</v>
      </c>
      <c r="D160" s="376" t="s">
        <v>1288</v>
      </c>
      <c r="E160" s="158">
        <v>283</v>
      </c>
      <c r="F160" s="128">
        <v>600</v>
      </c>
      <c r="G160" s="35">
        <f>F160*E160</f>
        <v>169800</v>
      </c>
    </row>
    <row r="161" spans="1:13" x14ac:dyDescent="0.2">
      <c r="A161" s="29"/>
      <c r="B161" s="101"/>
      <c r="C161" s="41"/>
      <c r="D161" s="370" t="s">
        <v>301</v>
      </c>
      <c r="E161" s="156"/>
      <c r="F161" s="128"/>
      <c r="G161" s="35"/>
    </row>
    <row r="162" spans="1:13" x14ac:dyDescent="0.2">
      <c r="A162" s="29"/>
      <c r="B162" s="101"/>
      <c r="C162" s="371"/>
      <c r="D162" s="370"/>
      <c r="E162" s="108"/>
      <c r="F162" s="149"/>
      <c r="G162" s="35"/>
    </row>
    <row r="163" spans="1:13" x14ac:dyDescent="0.2">
      <c r="A163" s="29"/>
      <c r="B163" s="101"/>
      <c r="C163" s="41"/>
      <c r="D163" s="376" t="s">
        <v>1181</v>
      </c>
      <c r="E163" s="108"/>
      <c r="F163" s="128"/>
      <c r="G163" s="372"/>
    </row>
    <row r="164" spans="1:13" x14ac:dyDescent="0.2">
      <c r="A164" s="29"/>
      <c r="B164" s="105"/>
      <c r="C164" s="371"/>
      <c r="D164" s="383" t="s">
        <v>1184</v>
      </c>
      <c r="E164" s="102"/>
      <c r="F164" s="128"/>
      <c r="G164" s="35"/>
    </row>
    <row r="165" spans="1:13" x14ac:dyDescent="0.2">
      <c r="A165" s="29"/>
      <c r="B165" s="105"/>
      <c r="C165" s="41"/>
      <c r="D165" s="383" t="s">
        <v>8</v>
      </c>
      <c r="E165" s="102"/>
      <c r="F165" s="128"/>
      <c r="G165" s="35"/>
    </row>
    <row r="166" spans="1:13" x14ac:dyDescent="0.2">
      <c r="A166" s="29"/>
      <c r="B166" s="151"/>
      <c r="C166" s="119"/>
      <c r="D166" s="376"/>
      <c r="E166" s="108"/>
      <c r="F166" s="150"/>
      <c r="G166" s="35"/>
      <c r="I166" s="371" t="s">
        <v>242</v>
      </c>
      <c r="J166" s="376" t="s">
        <v>1177</v>
      </c>
      <c r="K166" s="402">
        <v>250</v>
      </c>
      <c r="L166" s="403">
        <v>250</v>
      </c>
      <c r="M166" s="372">
        <f>L166*K166</f>
        <v>62500</v>
      </c>
    </row>
    <row r="167" spans="1:13" x14ac:dyDescent="0.2">
      <c r="A167" s="29"/>
      <c r="B167" s="151"/>
      <c r="C167" s="119"/>
      <c r="D167" s="383"/>
      <c r="E167" s="108"/>
      <c r="F167" s="150"/>
      <c r="G167" s="35"/>
      <c r="I167" s="371"/>
      <c r="J167" s="370" t="s">
        <v>1178</v>
      </c>
      <c r="K167" s="404"/>
      <c r="L167" s="403"/>
      <c r="M167" s="372"/>
    </row>
    <row r="168" spans="1:13" x14ac:dyDescent="0.2">
      <c r="A168" s="29"/>
      <c r="B168" s="101"/>
      <c r="C168" s="41"/>
      <c r="D168" s="383" t="s">
        <v>8</v>
      </c>
      <c r="E168" s="155"/>
      <c r="F168" s="128"/>
      <c r="G168" s="35"/>
      <c r="I168" s="371" t="s">
        <v>242</v>
      </c>
      <c r="J168" s="370" t="s">
        <v>1179</v>
      </c>
      <c r="K168" s="407">
        <v>400</v>
      </c>
      <c r="L168" s="406">
        <v>950</v>
      </c>
      <c r="M168" s="372">
        <f>L168*K168</f>
        <v>380000</v>
      </c>
    </row>
    <row r="169" spans="1:13" x14ac:dyDescent="0.2">
      <c r="A169" s="29"/>
      <c r="B169" s="106"/>
      <c r="C169" s="41"/>
      <c r="D169" s="136"/>
      <c r="E169" s="104"/>
      <c r="F169" s="128"/>
      <c r="G169" s="35"/>
      <c r="I169" s="371"/>
      <c r="J169" s="370" t="s">
        <v>1180</v>
      </c>
      <c r="K169" s="407"/>
      <c r="L169" s="403"/>
      <c r="M169" s="372"/>
    </row>
    <row r="170" spans="1:13" x14ac:dyDescent="0.2">
      <c r="A170" s="29"/>
      <c r="B170" s="105"/>
      <c r="C170" s="41"/>
      <c r="D170" s="136"/>
      <c r="E170" s="108"/>
      <c r="F170" s="152"/>
      <c r="G170" s="35"/>
      <c r="I170" s="371"/>
      <c r="J170" s="376"/>
      <c r="K170" s="409"/>
      <c r="L170" s="403"/>
      <c r="M170" s="372"/>
    </row>
    <row r="171" spans="1:13" x14ac:dyDescent="0.2">
      <c r="A171" s="29"/>
      <c r="B171" s="107"/>
      <c r="C171" s="41"/>
      <c r="D171" s="136"/>
      <c r="E171" s="153"/>
      <c r="F171" s="128"/>
      <c r="G171" s="35"/>
      <c r="I171" s="371"/>
      <c r="J171" s="376" t="s">
        <v>1181</v>
      </c>
      <c r="K171" s="409"/>
      <c r="L171" s="403"/>
      <c r="M171" s="372"/>
    </row>
    <row r="172" spans="1:13" x14ac:dyDescent="0.2">
      <c r="A172" s="29"/>
      <c r="B172" s="107"/>
      <c r="C172" s="41"/>
      <c r="D172" s="67"/>
      <c r="E172" s="153"/>
      <c r="F172" s="128"/>
      <c r="G172" s="35"/>
      <c r="I172" s="385"/>
      <c r="J172" s="376" t="s">
        <v>1182</v>
      </c>
      <c r="K172" s="407"/>
      <c r="L172" s="411"/>
      <c r="M172" s="372"/>
    </row>
    <row r="173" spans="1:13" x14ac:dyDescent="0.2">
      <c r="A173" s="29"/>
      <c r="B173" s="101"/>
      <c r="C173" s="41"/>
      <c r="D173" s="67"/>
      <c r="E173" s="108"/>
      <c r="F173" s="128"/>
      <c r="G173" s="35"/>
      <c r="I173" s="385"/>
      <c r="J173" s="383" t="s">
        <v>1183</v>
      </c>
      <c r="K173" s="407"/>
      <c r="L173" s="411"/>
      <c r="M173" s="372"/>
    </row>
    <row r="174" spans="1:13" x14ac:dyDescent="0.2">
      <c r="A174" s="29"/>
      <c r="B174" s="101"/>
      <c r="C174" s="41"/>
      <c r="D174" s="67"/>
      <c r="E174" s="153"/>
      <c r="F174" s="128"/>
      <c r="G174" s="35"/>
      <c r="I174" s="371"/>
      <c r="J174" s="383"/>
      <c r="K174" s="412"/>
      <c r="L174" s="403"/>
      <c r="M174" s="372"/>
    </row>
    <row r="175" spans="1:13" x14ac:dyDescent="0.2">
      <c r="A175" s="29"/>
      <c r="B175" s="106"/>
      <c r="C175" s="41"/>
      <c r="D175" s="67"/>
      <c r="E175" s="104"/>
      <c r="F175" s="154"/>
      <c r="G175" s="35"/>
      <c r="I175" s="371"/>
      <c r="J175" s="376"/>
      <c r="K175" s="414"/>
      <c r="L175" s="403"/>
      <c r="M175" s="372"/>
    </row>
    <row r="176" spans="1:13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136"/>
      <c r="E183" s="104"/>
      <c r="F183" s="154"/>
      <c r="G183" s="35"/>
    </row>
    <row r="184" spans="1:7" x14ac:dyDescent="0.2">
      <c r="A184" s="29"/>
      <c r="B184" s="101"/>
      <c r="C184" s="41"/>
      <c r="D184" s="136"/>
      <c r="E184" s="104"/>
      <c r="F184" s="154"/>
      <c r="G184" s="35"/>
    </row>
    <row r="185" spans="1:7" x14ac:dyDescent="0.2">
      <c r="A185" s="29"/>
      <c r="B185" s="101"/>
      <c r="C185" s="41"/>
      <c r="D185" s="62"/>
      <c r="E185" s="104"/>
      <c r="F185" s="154"/>
      <c r="G185" s="35"/>
    </row>
    <row r="186" spans="1:7" x14ac:dyDescent="0.2">
      <c r="A186" s="29"/>
      <c r="B186" s="101"/>
      <c r="C186" s="41"/>
      <c r="D186" s="67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15" x14ac:dyDescent="0.2">
      <c r="A193" s="29"/>
      <c r="B193" s="101"/>
      <c r="C193" s="41"/>
      <c r="D193" s="144"/>
      <c r="E193" s="108"/>
      <c r="F193" s="149"/>
      <c r="G193" s="35"/>
    </row>
    <row r="194" spans="1:15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169800</v>
      </c>
    </row>
    <row r="195" spans="1:15" ht="13.5" thickTop="1" x14ac:dyDescent="0.2">
      <c r="A195" s="875" t="s">
        <v>2504</v>
      </c>
      <c r="B195" s="899"/>
      <c r="C195" s="899"/>
      <c r="D195" s="899"/>
      <c r="E195" s="899"/>
      <c r="F195" s="899"/>
      <c r="G195" s="900"/>
      <c r="I195" s="875" t="s">
        <v>1185</v>
      </c>
      <c r="J195" s="899"/>
      <c r="K195" s="899"/>
      <c r="L195" s="899"/>
      <c r="M195" s="899"/>
      <c r="N195" s="899"/>
      <c r="O195" s="900"/>
    </row>
    <row r="196" spans="1:15" ht="13.5" thickBot="1" x14ac:dyDescent="0.25">
      <c r="A196" s="52"/>
      <c r="B196" s="103"/>
      <c r="C196" s="374" t="s">
        <v>8</v>
      </c>
      <c r="D196" s="54"/>
      <c r="E196" s="103"/>
      <c r="F196" s="55"/>
      <c r="G196" s="56"/>
      <c r="I196" s="52"/>
      <c r="J196" s="103"/>
      <c r="K196" s="374" t="s">
        <v>8</v>
      </c>
      <c r="L196" s="54"/>
      <c r="M196" s="103"/>
      <c r="N196" s="55"/>
      <c r="O196" s="56"/>
    </row>
    <row r="197" spans="1:15" ht="13.5" thickTop="1" x14ac:dyDescent="0.2">
      <c r="A197" s="906"/>
      <c r="B197" s="907"/>
      <c r="C197" s="907"/>
      <c r="D197" s="57" t="s">
        <v>11</v>
      </c>
      <c r="E197" s="908" t="s">
        <v>12</v>
      </c>
      <c r="F197" s="908"/>
      <c r="G197" s="909"/>
    </row>
    <row r="198" spans="1:15" x14ac:dyDescent="0.2">
      <c r="A198" s="910" t="s">
        <v>17</v>
      </c>
      <c r="B198" s="911"/>
      <c r="C198" s="911"/>
      <c r="D198" s="39"/>
      <c r="E198" s="912"/>
      <c r="F198" s="913"/>
      <c r="G198" s="914"/>
    </row>
    <row r="199" spans="1:15" x14ac:dyDescent="0.2">
      <c r="A199" s="910" t="s">
        <v>38</v>
      </c>
      <c r="B199" s="911"/>
      <c r="C199" s="911"/>
      <c r="D199" s="58" t="s">
        <v>336</v>
      </c>
      <c r="E199" s="868" t="s">
        <v>142</v>
      </c>
      <c r="F199" s="868"/>
      <c r="G199" s="869"/>
    </row>
    <row r="200" spans="1:15" ht="13.5" thickBot="1" x14ac:dyDescent="0.25">
      <c r="A200" s="901" t="s">
        <v>39</v>
      </c>
      <c r="B200" s="902"/>
      <c r="C200" s="902"/>
      <c r="D200" s="59" t="s">
        <v>337</v>
      </c>
      <c r="E200" s="904" t="s">
        <v>0</v>
      </c>
      <c r="F200" s="904"/>
      <c r="G200" s="905"/>
    </row>
    <row r="201" spans="1:15" ht="16.5" x14ac:dyDescent="0.25">
      <c r="A201" s="885" t="s">
        <v>29</v>
      </c>
      <c r="B201" s="886"/>
      <c r="C201" s="886"/>
      <c r="D201" s="886"/>
      <c r="E201" s="886"/>
      <c r="F201" s="886"/>
      <c r="G201" s="887"/>
    </row>
    <row r="202" spans="1:15" x14ac:dyDescent="0.2">
      <c r="A202" s="888" t="s">
        <v>48</v>
      </c>
      <c r="B202" s="889"/>
      <c r="C202" s="889"/>
      <c r="D202" s="889"/>
      <c r="E202" s="889"/>
      <c r="F202" s="889"/>
      <c r="G202" s="890"/>
    </row>
    <row r="203" spans="1:15" x14ac:dyDescent="0.2">
      <c r="A203" s="915" t="s">
        <v>49</v>
      </c>
      <c r="B203" s="916"/>
      <c r="C203" s="916"/>
      <c r="D203" s="916"/>
      <c r="E203" s="916"/>
      <c r="F203" s="916"/>
      <c r="G203" s="917"/>
    </row>
    <row r="204" spans="1:15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15" x14ac:dyDescent="0.2">
      <c r="A205" s="12" t="s">
        <v>1</v>
      </c>
      <c r="B205" s="13"/>
      <c r="C205" s="14" t="s">
        <v>61</v>
      </c>
      <c r="D205" s="13"/>
      <c r="E205" s="362" t="s">
        <v>1224</v>
      </c>
      <c r="F205" s="98"/>
      <c r="G205" s="363" t="s">
        <v>1202</v>
      </c>
    </row>
    <row r="206" spans="1:15" x14ac:dyDescent="0.2">
      <c r="A206" s="17" t="s">
        <v>8</v>
      </c>
      <c r="B206" s="100"/>
      <c r="C206" s="19"/>
      <c r="D206" s="4"/>
      <c r="E206" s="918"/>
      <c r="F206" s="919"/>
      <c r="G206" s="20"/>
    </row>
    <row r="207" spans="1:15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15" x14ac:dyDescent="0.2">
      <c r="A208" s="6"/>
      <c r="B208" s="99"/>
      <c r="C208" s="8"/>
      <c r="D208" s="8"/>
      <c r="E208" s="920"/>
      <c r="F208" s="921"/>
      <c r="G208" s="25"/>
    </row>
    <row r="209" spans="1:7" ht="26.25" thickBot="1" x14ac:dyDescent="0.25">
      <c r="A209" s="207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71" t="s">
        <v>149</v>
      </c>
      <c r="D210" s="376" t="s">
        <v>1203</v>
      </c>
      <c r="E210" s="158">
        <v>30</v>
      </c>
      <c r="F210" s="128">
        <v>250</v>
      </c>
      <c r="G210" s="35">
        <f>F210*E210</f>
        <v>7500</v>
      </c>
    </row>
    <row r="211" spans="1:7" x14ac:dyDescent="0.2">
      <c r="A211" s="29"/>
      <c r="B211" s="101"/>
      <c r="C211" s="41"/>
      <c r="D211" s="370" t="s">
        <v>1204</v>
      </c>
      <c r="E211" s="156"/>
      <c r="F211" s="128"/>
      <c r="G211" s="35"/>
    </row>
    <row r="212" spans="1:7" x14ac:dyDescent="0.2">
      <c r="A212" s="29"/>
      <c r="B212" s="101"/>
      <c r="C212" s="371"/>
      <c r="D212" s="370"/>
      <c r="E212" s="108"/>
      <c r="F212" s="149"/>
      <c r="G212" s="35"/>
    </row>
    <row r="213" spans="1:7" x14ac:dyDescent="0.2">
      <c r="A213" s="29"/>
      <c r="B213" s="101"/>
      <c r="C213" s="41"/>
      <c r="D213" s="370"/>
      <c r="E213" s="108"/>
      <c r="F213" s="128"/>
      <c r="G213" s="372"/>
    </row>
    <row r="214" spans="1:7" x14ac:dyDescent="0.2">
      <c r="A214" s="29"/>
      <c r="B214" s="105"/>
      <c r="C214" s="371"/>
      <c r="D214" s="376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51"/>
      <c r="C216" s="119"/>
      <c r="D216" s="376"/>
      <c r="E216" s="108"/>
      <c r="F216" s="150"/>
      <c r="G216" s="35"/>
    </row>
    <row r="217" spans="1:7" x14ac:dyDescent="0.2">
      <c r="A217" s="29"/>
      <c r="B217" s="151"/>
      <c r="C217" s="119"/>
      <c r="D217" s="383"/>
      <c r="E217" s="108"/>
      <c r="F217" s="150"/>
      <c r="G217" s="35"/>
    </row>
    <row r="218" spans="1:7" x14ac:dyDescent="0.2">
      <c r="A218" s="29"/>
      <c r="B218" s="101"/>
      <c r="C218" s="41"/>
      <c r="D218" s="383"/>
      <c r="E218" s="155"/>
      <c r="F218" s="128"/>
      <c r="G218" s="35"/>
    </row>
    <row r="219" spans="1:7" x14ac:dyDescent="0.2">
      <c r="A219" s="29"/>
      <c r="B219" s="106"/>
      <c r="C219" s="41"/>
      <c r="D219" s="136"/>
      <c r="E219" s="104"/>
      <c r="F219" s="128"/>
      <c r="G219" s="35"/>
    </row>
    <row r="220" spans="1:7" x14ac:dyDescent="0.2">
      <c r="A220" s="29"/>
      <c r="B220" s="105"/>
      <c r="C220" s="41"/>
      <c r="D220" s="136"/>
      <c r="E220" s="10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136"/>
      <c r="E233" s="104"/>
      <c r="F233" s="154"/>
      <c r="G233" s="35"/>
    </row>
    <row r="234" spans="1:7" x14ac:dyDescent="0.2">
      <c r="A234" s="29"/>
      <c r="B234" s="101"/>
      <c r="C234" s="41"/>
      <c r="D234" s="136"/>
      <c r="E234" s="104"/>
      <c r="F234" s="154"/>
      <c r="G234" s="35"/>
    </row>
    <row r="235" spans="1:7" x14ac:dyDescent="0.2">
      <c r="A235" s="29"/>
      <c r="B235" s="101"/>
      <c r="C235" s="41"/>
      <c r="D235" s="62"/>
      <c r="E235" s="104"/>
      <c r="F235" s="154"/>
      <c r="G235" s="35"/>
    </row>
    <row r="236" spans="1:7" x14ac:dyDescent="0.2">
      <c r="A236" s="29"/>
      <c r="B236" s="101"/>
      <c r="C236" s="41"/>
      <c r="D236" s="67"/>
      <c r="E236" s="104"/>
      <c r="F236" s="154"/>
      <c r="G236" s="35"/>
    </row>
    <row r="237" spans="1:7" x14ac:dyDescent="0.2">
      <c r="A237" s="29"/>
      <c r="B237" s="101"/>
      <c r="C237" s="41"/>
      <c r="D237" s="159"/>
      <c r="E237" s="104"/>
      <c r="F237" s="154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7500</v>
      </c>
    </row>
    <row r="245" spans="1:7" ht="13.5" thickTop="1" x14ac:dyDescent="0.2">
      <c r="A245" s="875" t="s">
        <v>1205</v>
      </c>
      <c r="B245" s="899"/>
      <c r="C245" s="899"/>
      <c r="D245" s="899"/>
      <c r="E245" s="899"/>
      <c r="F245" s="899"/>
      <c r="G245" s="900"/>
    </row>
    <row r="246" spans="1:7" ht="13.5" thickBot="1" x14ac:dyDescent="0.25">
      <c r="A246" s="52"/>
      <c r="B246" s="103"/>
      <c r="C246" s="374" t="s">
        <v>8</v>
      </c>
      <c r="D246" s="54"/>
      <c r="E246" s="103"/>
      <c r="F246" s="55"/>
      <c r="G246" s="56"/>
    </row>
    <row r="247" spans="1:7" ht="13.5" thickTop="1" x14ac:dyDescent="0.2">
      <c r="A247" s="906"/>
      <c r="B247" s="907"/>
      <c r="C247" s="907"/>
      <c r="D247" s="57" t="s">
        <v>11</v>
      </c>
      <c r="E247" s="908" t="s">
        <v>12</v>
      </c>
      <c r="F247" s="908"/>
      <c r="G247" s="909"/>
    </row>
    <row r="248" spans="1:7" x14ac:dyDescent="0.2">
      <c r="A248" s="910" t="s">
        <v>17</v>
      </c>
      <c r="B248" s="911"/>
      <c r="C248" s="911"/>
      <c r="D248" s="39"/>
      <c r="E248" s="912"/>
      <c r="F248" s="913"/>
      <c r="G248" s="914"/>
    </row>
    <row r="249" spans="1:7" x14ac:dyDescent="0.2">
      <c r="A249" s="910" t="s">
        <v>38</v>
      </c>
      <c r="B249" s="911"/>
      <c r="C249" s="911"/>
      <c r="D249" s="58" t="s">
        <v>336</v>
      </c>
      <c r="E249" s="868" t="s">
        <v>142</v>
      </c>
      <c r="F249" s="868"/>
      <c r="G249" s="869"/>
    </row>
    <row r="250" spans="1:7" ht="13.5" thickBot="1" x14ac:dyDescent="0.25">
      <c r="A250" s="901" t="s">
        <v>39</v>
      </c>
      <c r="B250" s="902"/>
      <c r="C250" s="902"/>
      <c r="D250" s="59" t="s">
        <v>337</v>
      </c>
      <c r="E250" s="904" t="s">
        <v>0</v>
      </c>
      <c r="F250" s="904"/>
      <c r="G250" s="905"/>
    </row>
    <row r="251" spans="1:7" ht="16.5" x14ac:dyDescent="0.25">
      <c r="A251" s="885" t="s">
        <v>29</v>
      </c>
      <c r="B251" s="886"/>
      <c r="C251" s="886"/>
      <c r="D251" s="886"/>
      <c r="E251" s="886"/>
      <c r="F251" s="886"/>
      <c r="G251" s="887"/>
    </row>
    <row r="252" spans="1:7" x14ac:dyDescent="0.2">
      <c r="A252" s="888" t="s">
        <v>48</v>
      </c>
      <c r="B252" s="889"/>
      <c r="C252" s="889"/>
      <c r="D252" s="889"/>
      <c r="E252" s="889"/>
      <c r="F252" s="889"/>
      <c r="G252" s="890"/>
    </row>
    <row r="253" spans="1:7" x14ac:dyDescent="0.2">
      <c r="A253" s="915" t="s">
        <v>49</v>
      </c>
      <c r="B253" s="916"/>
      <c r="C253" s="916"/>
      <c r="D253" s="916"/>
      <c r="E253" s="916"/>
      <c r="F253" s="916"/>
      <c r="G253" s="917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61</v>
      </c>
      <c r="D255" s="13"/>
      <c r="E255" s="362" t="s">
        <v>1376</v>
      </c>
      <c r="F255" s="98"/>
      <c r="G255" s="363" t="s">
        <v>1349</v>
      </c>
    </row>
    <row r="256" spans="1:7" x14ac:dyDescent="0.2">
      <c r="A256" s="17" t="s">
        <v>8</v>
      </c>
      <c r="B256" s="100"/>
      <c r="C256" s="19"/>
      <c r="D256" s="4"/>
      <c r="E256" s="918"/>
      <c r="F256" s="919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920"/>
      <c r="F258" s="921"/>
      <c r="G258" s="25"/>
    </row>
    <row r="259" spans="1:7" ht="26.25" thickBot="1" x14ac:dyDescent="0.25">
      <c r="A259" s="207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29">
        <v>1</v>
      </c>
      <c r="B260" s="101"/>
      <c r="C260" s="371" t="s">
        <v>149</v>
      </c>
      <c r="D260" s="376" t="s">
        <v>1378</v>
      </c>
      <c r="E260" s="158">
        <v>30</v>
      </c>
      <c r="F260" s="128">
        <v>250</v>
      </c>
      <c r="G260" s="35">
        <f>F260*E260</f>
        <v>7500</v>
      </c>
    </row>
    <row r="261" spans="1:7" x14ac:dyDescent="0.2">
      <c r="A261" s="29"/>
      <c r="B261" s="101"/>
      <c r="C261" s="41"/>
      <c r="D261" s="370" t="s">
        <v>1379</v>
      </c>
      <c r="E261" s="156"/>
      <c r="F261" s="128"/>
      <c r="G261" s="35"/>
    </row>
    <row r="262" spans="1:7" x14ac:dyDescent="0.2">
      <c r="A262" s="29"/>
      <c r="B262" s="101"/>
      <c r="C262" s="371"/>
      <c r="D262" s="370"/>
      <c r="E262" s="108"/>
      <c r="F262" s="149"/>
      <c r="G262" s="35"/>
    </row>
    <row r="263" spans="1:7" x14ac:dyDescent="0.2">
      <c r="A263" s="29"/>
      <c r="B263" s="101"/>
      <c r="C263" s="41"/>
      <c r="D263" s="370"/>
      <c r="E263" s="108"/>
      <c r="F263" s="128"/>
      <c r="G263" s="372"/>
    </row>
    <row r="264" spans="1:7" x14ac:dyDescent="0.2">
      <c r="A264" s="29"/>
      <c r="B264" s="105"/>
      <c r="C264" s="371"/>
      <c r="D264" s="376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51"/>
      <c r="C266" s="119"/>
      <c r="D266" s="376"/>
      <c r="E266" s="108"/>
      <c r="F266" s="150"/>
      <c r="G266" s="35"/>
    </row>
    <row r="267" spans="1:7" x14ac:dyDescent="0.2">
      <c r="A267" s="29"/>
      <c r="B267" s="151"/>
      <c r="C267" s="119"/>
      <c r="D267" s="383"/>
      <c r="E267" s="108"/>
      <c r="F267" s="150"/>
      <c r="G267" s="35"/>
    </row>
    <row r="268" spans="1:7" x14ac:dyDescent="0.2">
      <c r="A268" s="29"/>
      <c r="B268" s="101"/>
      <c r="C268" s="41"/>
      <c r="D268" s="383"/>
      <c r="E268" s="155"/>
      <c r="F268" s="128"/>
      <c r="G268" s="35"/>
    </row>
    <row r="269" spans="1:7" x14ac:dyDescent="0.2">
      <c r="A269" s="29"/>
      <c r="B269" s="106"/>
      <c r="C269" s="41"/>
      <c r="D269" s="136"/>
      <c r="E269" s="104"/>
      <c r="F269" s="128"/>
      <c r="G269" s="35"/>
    </row>
    <row r="270" spans="1:7" x14ac:dyDescent="0.2">
      <c r="A270" s="29"/>
      <c r="B270" s="105"/>
      <c r="C270" s="41"/>
      <c r="D270" s="136"/>
      <c r="E270" s="10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136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136"/>
      <c r="E283" s="104"/>
      <c r="F283" s="154"/>
      <c r="G283" s="35"/>
    </row>
    <row r="284" spans="1:7" x14ac:dyDescent="0.2">
      <c r="A284" s="29"/>
      <c r="B284" s="101"/>
      <c r="C284" s="41"/>
      <c r="D284" s="136"/>
      <c r="E284" s="104"/>
      <c r="F284" s="154"/>
      <c r="G284" s="35"/>
    </row>
    <row r="285" spans="1:7" x14ac:dyDescent="0.2">
      <c r="A285" s="29"/>
      <c r="B285" s="101"/>
      <c r="C285" s="41"/>
      <c r="D285" s="62"/>
      <c r="E285" s="104"/>
      <c r="F285" s="154"/>
      <c r="G285" s="35"/>
    </row>
    <row r="286" spans="1:7" x14ac:dyDescent="0.2">
      <c r="A286" s="29"/>
      <c r="B286" s="101"/>
      <c r="C286" s="41"/>
      <c r="D286" s="67"/>
      <c r="E286" s="104"/>
      <c r="F286" s="154"/>
      <c r="G286" s="35"/>
    </row>
    <row r="287" spans="1:7" x14ac:dyDescent="0.2">
      <c r="A287" s="29"/>
      <c r="B287" s="101"/>
      <c r="C287" s="41"/>
      <c r="D287" s="159"/>
      <c r="E287" s="104"/>
      <c r="F287" s="154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7500</v>
      </c>
    </row>
    <row r="295" spans="1:7" ht="13.5" thickTop="1" x14ac:dyDescent="0.2">
      <c r="A295" s="875" t="s">
        <v>1297</v>
      </c>
      <c r="B295" s="899"/>
      <c r="C295" s="899"/>
      <c r="D295" s="899"/>
      <c r="E295" s="899"/>
      <c r="F295" s="899"/>
      <c r="G295" s="900"/>
    </row>
    <row r="296" spans="1:7" ht="13.5" thickBot="1" x14ac:dyDescent="0.25">
      <c r="A296" s="52"/>
      <c r="B296" s="103"/>
      <c r="C296" s="374" t="s">
        <v>8</v>
      </c>
      <c r="D296" s="54"/>
      <c r="E296" s="103"/>
      <c r="F296" s="55"/>
      <c r="G296" s="56"/>
    </row>
    <row r="297" spans="1:7" ht="13.5" thickTop="1" x14ac:dyDescent="0.2">
      <c r="A297" s="906"/>
      <c r="B297" s="907"/>
      <c r="C297" s="907"/>
      <c r="D297" s="57" t="s">
        <v>11</v>
      </c>
      <c r="E297" s="908" t="s">
        <v>12</v>
      </c>
      <c r="F297" s="908"/>
      <c r="G297" s="909"/>
    </row>
    <row r="298" spans="1:7" x14ac:dyDescent="0.2">
      <c r="A298" s="910" t="s">
        <v>17</v>
      </c>
      <c r="B298" s="911"/>
      <c r="C298" s="911"/>
      <c r="D298" s="39"/>
      <c r="E298" s="912"/>
      <c r="F298" s="913"/>
      <c r="G298" s="914"/>
    </row>
    <row r="299" spans="1:7" x14ac:dyDescent="0.2">
      <c r="A299" s="910" t="s">
        <v>38</v>
      </c>
      <c r="B299" s="911"/>
      <c r="C299" s="911"/>
      <c r="D299" s="58" t="s">
        <v>336</v>
      </c>
      <c r="E299" s="868" t="s">
        <v>142</v>
      </c>
      <c r="F299" s="868"/>
      <c r="G299" s="869"/>
    </row>
    <row r="300" spans="1:7" ht="13.5" thickBot="1" x14ac:dyDescent="0.25">
      <c r="A300" s="901" t="s">
        <v>39</v>
      </c>
      <c r="B300" s="902"/>
      <c r="C300" s="902"/>
      <c r="D300" s="59" t="s">
        <v>337</v>
      </c>
      <c r="E300" s="904" t="s">
        <v>0</v>
      </c>
      <c r="F300" s="904"/>
      <c r="G300" s="905"/>
    </row>
    <row r="301" spans="1:7" ht="16.5" x14ac:dyDescent="0.25">
      <c r="A301" s="885" t="s">
        <v>29</v>
      </c>
      <c r="B301" s="886"/>
      <c r="C301" s="886"/>
      <c r="D301" s="886"/>
      <c r="E301" s="886"/>
      <c r="F301" s="886"/>
      <c r="G301" s="887"/>
    </row>
    <row r="302" spans="1:7" x14ac:dyDescent="0.2">
      <c r="A302" s="888" t="s">
        <v>48</v>
      </c>
      <c r="B302" s="889"/>
      <c r="C302" s="889"/>
      <c r="D302" s="889"/>
      <c r="E302" s="889"/>
      <c r="F302" s="889"/>
      <c r="G302" s="890"/>
    </row>
    <row r="303" spans="1:7" x14ac:dyDescent="0.2">
      <c r="A303" s="915" t="s">
        <v>49</v>
      </c>
      <c r="B303" s="916"/>
      <c r="C303" s="916"/>
      <c r="D303" s="916"/>
      <c r="E303" s="916"/>
      <c r="F303" s="916"/>
      <c r="G303" s="917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61</v>
      </c>
      <c r="D305" s="13"/>
      <c r="E305" s="362" t="s">
        <v>1618</v>
      </c>
      <c r="F305" s="98"/>
      <c r="G305" s="363" t="s">
        <v>1527</v>
      </c>
    </row>
    <row r="306" spans="1:7" x14ac:dyDescent="0.2">
      <c r="A306" s="17" t="s">
        <v>8</v>
      </c>
      <c r="B306" s="100"/>
      <c r="C306" s="19"/>
      <c r="D306" s="4"/>
      <c r="E306" s="918"/>
      <c r="F306" s="919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920"/>
      <c r="F308" s="921"/>
      <c r="G308" s="25"/>
    </row>
    <row r="309" spans="1:7" ht="26.25" thickBot="1" x14ac:dyDescent="0.25">
      <c r="A309" s="207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29">
        <v>1</v>
      </c>
      <c r="B310" s="101"/>
      <c r="C310" s="371" t="s">
        <v>149</v>
      </c>
      <c r="D310" s="376" t="s">
        <v>1634</v>
      </c>
      <c r="E310" s="158">
        <v>50</v>
      </c>
      <c r="F310" s="128">
        <v>250</v>
      </c>
      <c r="G310" s="35">
        <f>F310*E310</f>
        <v>12500</v>
      </c>
    </row>
    <row r="311" spans="1:7" x14ac:dyDescent="0.2">
      <c r="A311" s="29"/>
      <c r="B311" s="101"/>
      <c r="C311" s="41"/>
      <c r="D311" s="370" t="s">
        <v>1379</v>
      </c>
      <c r="E311" s="156"/>
      <c r="F311" s="128"/>
      <c r="G311" s="35"/>
    </row>
    <row r="312" spans="1:7" x14ac:dyDescent="0.2">
      <c r="A312" s="29"/>
      <c r="B312" s="101"/>
      <c r="C312" s="371"/>
      <c r="D312" s="370"/>
      <c r="E312" s="108"/>
      <c r="F312" s="149"/>
      <c r="G312" s="35"/>
    </row>
    <row r="313" spans="1:7" x14ac:dyDescent="0.2">
      <c r="A313" s="29"/>
      <c r="B313" s="101"/>
      <c r="C313" s="41"/>
      <c r="D313" s="370"/>
      <c r="E313" s="108"/>
      <c r="F313" s="128"/>
      <c r="G313" s="372"/>
    </row>
    <row r="314" spans="1:7" x14ac:dyDescent="0.2">
      <c r="A314" s="29"/>
      <c r="B314" s="105"/>
      <c r="C314" s="371"/>
      <c r="D314" s="376"/>
      <c r="E314" s="102"/>
      <c r="F314" s="128"/>
      <c r="G314" s="35"/>
    </row>
    <row r="315" spans="1:7" x14ac:dyDescent="0.2">
      <c r="A315" s="29"/>
      <c r="B315" s="105"/>
      <c r="C315" s="41"/>
      <c r="D315" s="136"/>
      <c r="E315" s="102"/>
      <c r="F315" s="128"/>
      <c r="G315" s="35"/>
    </row>
    <row r="316" spans="1:7" x14ac:dyDescent="0.2">
      <c r="A316" s="29"/>
      <c r="B316" s="151"/>
      <c r="C316" s="119"/>
      <c r="D316" s="376"/>
      <c r="E316" s="108"/>
      <c r="F316" s="150"/>
      <c r="G316" s="35"/>
    </row>
    <row r="317" spans="1:7" x14ac:dyDescent="0.2">
      <c r="A317" s="29"/>
      <c r="B317" s="151"/>
      <c r="C317" s="119"/>
      <c r="D317" s="383"/>
      <c r="E317" s="108"/>
      <c r="F317" s="150"/>
      <c r="G317" s="35"/>
    </row>
    <row r="318" spans="1:7" x14ac:dyDescent="0.2">
      <c r="A318" s="29"/>
      <c r="B318" s="101"/>
      <c r="C318" s="41"/>
      <c r="D318" s="383"/>
      <c r="E318" s="155"/>
      <c r="F318" s="128"/>
      <c r="G318" s="35"/>
    </row>
    <row r="319" spans="1:7" x14ac:dyDescent="0.2">
      <c r="A319" s="29"/>
      <c r="B319" s="106"/>
      <c r="C319" s="41"/>
      <c r="D319" s="136"/>
      <c r="E319" s="104"/>
      <c r="F319" s="128"/>
      <c r="G319" s="35"/>
    </row>
    <row r="320" spans="1:7" x14ac:dyDescent="0.2">
      <c r="A320" s="29"/>
      <c r="B320" s="105"/>
      <c r="C320" s="41"/>
      <c r="D320" s="136"/>
      <c r="E320" s="108"/>
      <c r="F320" s="152"/>
      <c r="G320" s="35"/>
    </row>
    <row r="321" spans="1:7" x14ac:dyDescent="0.2">
      <c r="A321" s="29"/>
      <c r="B321" s="107"/>
      <c r="C321" s="41"/>
      <c r="D321" s="136"/>
      <c r="E321" s="153"/>
      <c r="F321" s="128"/>
      <c r="G321" s="35"/>
    </row>
    <row r="322" spans="1:7" x14ac:dyDescent="0.2">
      <c r="A322" s="29"/>
      <c r="B322" s="107"/>
      <c r="C322" s="41"/>
      <c r="D322" s="67"/>
      <c r="E322" s="153"/>
      <c r="F322" s="128"/>
      <c r="G322" s="35"/>
    </row>
    <row r="323" spans="1:7" x14ac:dyDescent="0.2">
      <c r="A323" s="29"/>
      <c r="B323" s="101"/>
      <c r="C323" s="41"/>
      <c r="D323" s="67"/>
      <c r="E323" s="108"/>
      <c r="F323" s="128"/>
      <c r="G323" s="35"/>
    </row>
    <row r="324" spans="1:7" x14ac:dyDescent="0.2">
      <c r="A324" s="29"/>
      <c r="B324" s="101"/>
      <c r="C324" s="41"/>
      <c r="D324" s="67"/>
      <c r="E324" s="153"/>
      <c r="F324" s="128"/>
      <c r="G324" s="35"/>
    </row>
    <row r="325" spans="1:7" x14ac:dyDescent="0.2">
      <c r="A325" s="29"/>
      <c r="B325" s="106"/>
      <c r="C325" s="41"/>
      <c r="D325" s="67"/>
      <c r="E325" s="104"/>
      <c r="F325" s="154"/>
      <c r="G325" s="35"/>
    </row>
    <row r="326" spans="1:7" x14ac:dyDescent="0.2">
      <c r="A326" s="29"/>
      <c r="B326" s="105"/>
      <c r="C326" s="41"/>
      <c r="D326" s="130"/>
      <c r="E326" s="104"/>
      <c r="F326" s="154"/>
      <c r="G326" s="35"/>
    </row>
    <row r="327" spans="1:7" x14ac:dyDescent="0.2">
      <c r="A327" s="29"/>
      <c r="B327" s="105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136"/>
      <c r="E331" s="104"/>
      <c r="F331" s="154"/>
      <c r="G331" s="35"/>
    </row>
    <row r="332" spans="1:7" x14ac:dyDescent="0.2">
      <c r="A332" s="29"/>
      <c r="B332" s="101"/>
      <c r="C332" s="41"/>
      <c r="D332" s="136"/>
      <c r="E332" s="104"/>
      <c r="F332" s="154"/>
      <c r="G332" s="35"/>
    </row>
    <row r="333" spans="1:7" x14ac:dyDescent="0.2">
      <c r="A333" s="29"/>
      <c r="B333" s="101"/>
      <c r="C333" s="41"/>
      <c r="D333" s="136"/>
      <c r="E333" s="104"/>
      <c r="F333" s="154"/>
      <c r="G333" s="35"/>
    </row>
    <row r="334" spans="1:7" x14ac:dyDescent="0.2">
      <c r="A334" s="29"/>
      <c r="B334" s="101"/>
      <c r="C334" s="41"/>
      <c r="D334" s="136"/>
      <c r="E334" s="104"/>
      <c r="F334" s="154"/>
      <c r="G334" s="35"/>
    </row>
    <row r="335" spans="1:7" x14ac:dyDescent="0.2">
      <c r="A335" s="29"/>
      <c r="B335" s="101"/>
      <c r="C335" s="41"/>
      <c r="D335" s="62"/>
      <c r="E335" s="104"/>
      <c r="F335" s="154"/>
      <c r="G335" s="35"/>
    </row>
    <row r="336" spans="1:7" x14ac:dyDescent="0.2">
      <c r="A336" s="29"/>
      <c r="B336" s="101"/>
      <c r="C336" s="41"/>
      <c r="D336" s="67"/>
      <c r="E336" s="104"/>
      <c r="F336" s="154"/>
      <c r="G336" s="35"/>
    </row>
    <row r="337" spans="1:7" x14ac:dyDescent="0.2">
      <c r="A337" s="29"/>
      <c r="B337" s="101"/>
      <c r="C337" s="41"/>
      <c r="D337" s="159"/>
      <c r="E337" s="104"/>
      <c r="F337" s="154"/>
      <c r="G337" s="35"/>
    </row>
    <row r="338" spans="1:7" x14ac:dyDescent="0.2">
      <c r="A338" s="29"/>
      <c r="B338" s="101"/>
      <c r="C338" s="41"/>
      <c r="D338" s="160"/>
      <c r="E338" s="108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31"/>
      <c r="D341" s="67"/>
      <c r="E341" s="131"/>
      <c r="F341" s="117"/>
      <c r="G341" s="35"/>
    </row>
    <row r="342" spans="1:7" x14ac:dyDescent="0.2">
      <c r="A342" s="29"/>
      <c r="B342" s="101"/>
      <c r="C342" s="41"/>
      <c r="D342" s="118"/>
      <c r="E342" s="108"/>
      <c r="F342" s="149"/>
      <c r="G342" s="35"/>
    </row>
    <row r="343" spans="1:7" x14ac:dyDescent="0.2">
      <c r="A343" s="29"/>
      <c r="B343" s="101"/>
      <c r="C343" s="41"/>
      <c r="D343" s="144"/>
      <c r="E343" s="108"/>
      <c r="F343" s="149"/>
      <c r="G343" s="35"/>
    </row>
    <row r="344" spans="1: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12500</v>
      </c>
    </row>
    <row r="345" spans="1:7" ht="13.5" thickTop="1" x14ac:dyDescent="0.2">
      <c r="A345" s="875" t="s">
        <v>1542</v>
      </c>
      <c r="B345" s="899"/>
      <c r="C345" s="899"/>
      <c r="D345" s="899"/>
      <c r="E345" s="899"/>
      <c r="F345" s="899"/>
      <c r="G345" s="900"/>
    </row>
    <row r="346" spans="1:7" ht="13.5" thickBot="1" x14ac:dyDescent="0.25">
      <c r="A346" s="52"/>
      <c r="B346" s="103"/>
      <c r="C346" s="374" t="s">
        <v>1543</v>
      </c>
      <c r="D346" s="54"/>
      <c r="E346" s="103"/>
      <c r="F346" s="55"/>
      <c r="G346" s="56"/>
    </row>
    <row r="347" spans="1:7" ht="13.5" thickTop="1" x14ac:dyDescent="0.2">
      <c r="A347" s="906"/>
      <c r="B347" s="907"/>
      <c r="C347" s="907"/>
      <c r="D347" s="57" t="s">
        <v>11</v>
      </c>
      <c r="E347" s="908" t="s">
        <v>12</v>
      </c>
      <c r="F347" s="908"/>
      <c r="G347" s="909"/>
    </row>
    <row r="348" spans="1:7" x14ac:dyDescent="0.2">
      <c r="A348" s="910" t="s">
        <v>17</v>
      </c>
      <c r="B348" s="911"/>
      <c r="C348" s="911"/>
      <c r="D348" s="39"/>
      <c r="E348" s="912"/>
      <c r="F348" s="913"/>
      <c r="G348" s="914"/>
    </row>
    <row r="349" spans="1:7" x14ac:dyDescent="0.2">
      <c r="A349" s="910" t="s">
        <v>38</v>
      </c>
      <c r="B349" s="911"/>
      <c r="C349" s="911"/>
      <c r="D349" s="58" t="s">
        <v>336</v>
      </c>
      <c r="E349" s="868" t="s">
        <v>142</v>
      </c>
      <c r="F349" s="868"/>
      <c r="G349" s="869"/>
    </row>
    <row r="350" spans="1:7" ht="13.5" thickBot="1" x14ac:dyDescent="0.25">
      <c r="A350" s="901" t="s">
        <v>39</v>
      </c>
      <c r="B350" s="902"/>
      <c r="C350" s="902"/>
      <c r="D350" s="59" t="s">
        <v>337</v>
      </c>
      <c r="E350" s="904" t="s">
        <v>0</v>
      </c>
      <c r="F350" s="904"/>
      <c r="G350" s="905"/>
    </row>
    <row r="351" spans="1:7" ht="16.5" x14ac:dyDescent="0.25">
      <c r="A351" s="885" t="s">
        <v>29</v>
      </c>
      <c r="B351" s="886"/>
      <c r="C351" s="886"/>
      <c r="D351" s="886"/>
      <c r="E351" s="886"/>
      <c r="F351" s="886"/>
      <c r="G351" s="887"/>
    </row>
    <row r="352" spans="1:7" x14ac:dyDescent="0.2">
      <c r="A352" s="888" t="s">
        <v>48</v>
      </c>
      <c r="B352" s="889"/>
      <c r="C352" s="889"/>
      <c r="D352" s="889"/>
      <c r="E352" s="889"/>
      <c r="F352" s="889"/>
      <c r="G352" s="890"/>
    </row>
    <row r="353" spans="1:7" x14ac:dyDescent="0.2">
      <c r="A353" s="915" t="s">
        <v>49</v>
      </c>
      <c r="B353" s="916"/>
      <c r="C353" s="916"/>
      <c r="D353" s="916"/>
      <c r="E353" s="916"/>
      <c r="F353" s="916"/>
      <c r="G353" s="917"/>
    </row>
    <row r="354" spans="1:7" x14ac:dyDescent="0.2">
      <c r="A354" s="6"/>
      <c r="B354" s="99"/>
      <c r="C354" s="8"/>
      <c r="D354" s="9"/>
      <c r="E354" s="99"/>
      <c r="F354" s="10"/>
      <c r="G354" s="11" t="s">
        <v>20</v>
      </c>
    </row>
    <row r="355" spans="1:7" x14ac:dyDescent="0.2">
      <c r="A355" s="12" t="s">
        <v>1</v>
      </c>
      <c r="B355" s="13"/>
      <c r="C355" s="14" t="s">
        <v>61</v>
      </c>
      <c r="D355" s="13"/>
      <c r="E355" s="362" t="s">
        <v>1623</v>
      </c>
      <c r="F355" s="98"/>
      <c r="G355" s="363" t="s">
        <v>1527</v>
      </c>
    </row>
    <row r="356" spans="1:7" x14ac:dyDescent="0.2">
      <c r="A356" s="17" t="s">
        <v>8</v>
      </c>
      <c r="B356" s="100"/>
      <c r="C356" s="19"/>
      <c r="D356" s="4"/>
      <c r="E356" s="918"/>
      <c r="F356" s="919"/>
      <c r="G356" s="20"/>
    </row>
    <row r="357" spans="1:7" x14ac:dyDescent="0.2">
      <c r="A357" s="21" t="s">
        <v>37</v>
      </c>
      <c r="B357" s="22"/>
      <c r="C357" s="22"/>
      <c r="D357" s="22"/>
      <c r="E357" s="23" t="s">
        <v>46</v>
      </c>
      <c r="F357" s="24"/>
      <c r="G357" s="20" t="s">
        <v>50</v>
      </c>
    </row>
    <row r="358" spans="1:7" x14ac:dyDescent="0.2">
      <c r="A358" s="6"/>
      <c r="B358" s="99"/>
      <c r="C358" s="8"/>
      <c r="D358" s="8"/>
      <c r="E358" s="920"/>
      <c r="F358" s="921"/>
      <c r="G358" s="25"/>
    </row>
    <row r="359" spans="1:7" ht="26.25" thickBot="1" x14ac:dyDescent="0.25">
      <c r="A359" s="207" t="s">
        <v>47</v>
      </c>
      <c r="B359" s="28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7" ht="13.5" thickTop="1" x14ac:dyDescent="0.2">
      <c r="A360" s="29">
        <v>1</v>
      </c>
      <c r="B360" s="101"/>
      <c r="C360" s="371" t="s">
        <v>149</v>
      </c>
      <c r="D360" s="376" t="s">
        <v>1621</v>
      </c>
      <c r="E360" s="158">
        <v>60</v>
      </c>
      <c r="F360" s="128">
        <v>250</v>
      </c>
      <c r="G360" s="35">
        <f>F360*E360</f>
        <v>15000</v>
      </c>
    </row>
    <row r="361" spans="1:7" x14ac:dyDescent="0.2">
      <c r="A361" s="29"/>
      <c r="B361" s="101"/>
      <c r="C361" s="41"/>
      <c r="D361" s="370" t="s">
        <v>1549</v>
      </c>
      <c r="E361" s="156"/>
      <c r="F361" s="128"/>
      <c r="G361" s="35"/>
    </row>
    <row r="362" spans="1:7" x14ac:dyDescent="0.2">
      <c r="A362" s="29"/>
      <c r="B362" s="101"/>
      <c r="C362" s="371"/>
      <c r="D362" s="370"/>
      <c r="E362" s="108"/>
      <c r="F362" s="149"/>
      <c r="G362" s="35"/>
    </row>
    <row r="363" spans="1:7" x14ac:dyDescent="0.2">
      <c r="A363" s="29"/>
      <c r="B363" s="101"/>
      <c r="C363" s="41"/>
      <c r="D363" s="370"/>
      <c r="E363" s="108"/>
      <c r="F363" s="128"/>
      <c r="G363" s="372"/>
    </row>
    <row r="364" spans="1:7" x14ac:dyDescent="0.2">
      <c r="A364" s="29"/>
      <c r="B364" s="105"/>
      <c r="C364" s="371"/>
      <c r="D364" s="376"/>
      <c r="E364" s="102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51"/>
      <c r="C366" s="119"/>
      <c r="D366" s="376"/>
      <c r="E366" s="108"/>
      <c r="F366" s="150"/>
      <c r="G366" s="35"/>
    </row>
    <row r="367" spans="1:7" x14ac:dyDescent="0.2">
      <c r="A367" s="29"/>
      <c r="B367" s="151"/>
      <c r="C367" s="119"/>
      <c r="D367" s="383"/>
      <c r="E367" s="108"/>
      <c r="F367" s="150"/>
      <c r="G367" s="35"/>
    </row>
    <row r="368" spans="1:7" x14ac:dyDescent="0.2">
      <c r="A368" s="29"/>
      <c r="B368" s="101"/>
      <c r="C368" s="41"/>
      <c r="D368" s="383"/>
      <c r="E368" s="155"/>
      <c r="F368" s="128"/>
      <c r="G368" s="35"/>
    </row>
    <row r="369" spans="1:7" x14ac:dyDescent="0.2">
      <c r="A369" s="29"/>
      <c r="B369" s="106"/>
      <c r="C369" s="41"/>
      <c r="D369" s="136"/>
      <c r="E369" s="104"/>
      <c r="F369" s="128"/>
      <c r="G369" s="35"/>
    </row>
    <row r="370" spans="1:7" x14ac:dyDescent="0.2">
      <c r="A370" s="29"/>
      <c r="B370" s="105"/>
      <c r="C370" s="41"/>
      <c r="D370" s="136"/>
      <c r="E370" s="108"/>
      <c r="F370" s="152"/>
      <c r="G370" s="35"/>
    </row>
    <row r="371" spans="1:7" x14ac:dyDescent="0.2">
      <c r="A371" s="29"/>
      <c r="B371" s="107"/>
      <c r="C371" s="41"/>
      <c r="D371" s="136"/>
      <c r="E371" s="153"/>
      <c r="F371" s="128"/>
      <c r="G371" s="35"/>
    </row>
    <row r="372" spans="1:7" x14ac:dyDescent="0.2">
      <c r="A372" s="29"/>
      <c r="B372" s="107"/>
      <c r="C372" s="41"/>
      <c r="D372" s="67"/>
      <c r="E372" s="153"/>
      <c r="F372" s="128"/>
      <c r="G372" s="35"/>
    </row>
    <row r="373" spans="1:7" x14ac:dyDescent="0.2">
      <c r="A373" s="29"/>
      <c r="B373" s="101"/>
      <c r="C373" s="41"/>
      <c r="D373" s="67"/>
      <c r="E373" s="108"/>
      <c r="F373" s="128"/>
      <c r="G373" s="35"/>
    </row>
    <row r="374" spans="1:7" x14ac:dyDescent="0.2">
      <c r="A374" s="29"/>
      <c r="B374" s="101"/>
      <c r="C374" s="41"/>
      <c r="D374" s="67"/>
      <c r="E374" s="153"/>
      <c r="F374" s="128"/>
      <c r="G374" s="35"/>
    </row>
    <row r="375" spans="1:7" x14ac:dyDescent="0.2">
      <c r="A375" s="29"/>
      <c r="B375" s="106"/>
      <c r="C375" s="41"/>
      <c r="D375" s="67"/>
      <c r="E375" s="104"/>
      <c r="F375" s="154"/>
      <c r="G375" s="35"/>
    </row>
    <row r="376" spans="1:7" x14ac:dyDescent="0.2">
      <c r="A376" s="29"/>
      <c r="B376" s="105"/>
      <c r="C376" s="41"/>
      <c r="D376" s="130"/>
      <c r="E376" s="104"/>
      <c r="F376" s="154"/>
      <c r="G376" s="35"/>
    </row>
    <row r="377" spans="1:7" x14ac:dyDescent="0.2">
      <c r="A377" s="29"/>
      <c r="B377" s="105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136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136"/>
      <c r="E383" s="104"/>
      <c r="F383" s="154"/>
      <c r="G383" s="35"/>
    </row>
    <row r="384" spans="1:7" x14ac:dyDescent="0.2">
      <c r="A384" s="29"/>
      <c r="B384" s="101"/>
      <c r="C384" s="41"/>
      <c r="D384" s="136"/>
      <c r="E384" s="104"/>
      <c r="F384" s="154"/>
      <c r="G384" s="35"/>
    </row>
    <row r="385" spans="1:7" x14ac:dyDescent="0.2">
      <c r="A385" s="29"/>
      <c r="B385" s="101"/>
      <c r="C385" s="41"/>
      <c r="D385" s="62"/>
      <c r="E385" s="104"/>
      <c r="F385" s="154"/>
      <c r="G385" s="35"/>
    </row>
    <row r="386" spans="1:7" x14ac:dyDescent="0.2">
      <c r="A386" s="29"/>
      <c r="B386" s="101"/>
      <c r="C386" s="41"/>
      <c r="D386" s="67"/>
      <c r="E386" s="104"/>
      <c r="F386" s="154"/>
      <c r="G386" s="35"/>
    </row>
    <row r="387" spans="1:7" x14ac:dyDescent="0.2">
      <c r="A387" s="29"/>
      <c r="B387" s="101"/>
      <c r="C387" s="41"/>
      <c r="D387" s="159"/>
      <c r="E387" s="104"/>
      <c r="F387" s="154"/>
      <c r="G387" s="35"/>
    </row>
    <row r="388" spans="1:7" x14ac:dyDescent="0.2">
      <c r="A388" s="29"/>
      <c r="B388" s="101"/>
      <c r="C388" s="41"/>
      <c r="D388" s="160"/>
      <c r="E388" s="108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31"/>
      <c r="D391" s="67"/>
      <c r="E391" s="131"/>
      <c r="F391" s="117"/>
      <c r="G391" s="35"/>
    </row>
    <row r="392" spans="1:7" x14ac:dyDescent="0.2">
      <c r="A392" s="29"/>
      <c r="B392" s="101"/>
      <c r="C392" s="41"/>
      <c r="D392" s="118"/>
      <c r="E392" s="108"/>
      <c r="F392" s="149"/>
      <c r="G392" s="35"/>
    </row>
    <row r="393" spans="1:7" x14ac:dyDescent="0.2">
      <c r="A393" s="29"/>
      <c r="B393" s="101"/>
      <c r="C393" s="41"/>
      <c r="D393" s="144"/>
      <c r="E393" s="108"/>
      <c r="F393" s="149"/>
      <c r="G393" s="35"/>
    </row>
    <row r="394" spans="1:7" ht="13.5" thickBot="1" x14ac:dyDescent="0.25">
      <c r="A394" s="45"/>
      <c r="B394" s="132"/>
      <c r="C394" s="115"/>
      <c r="D394" s="115"/>
      <c r="E394" s="132"/>
      <c r="F394" s="49" t="s">
        <v>15</v>
      </c>
      <c r="G394" s="50">
        <f>SUM(G360:G393)</f>
        <v>15000</v>
      </c>
    </row>
    <row r="395" spans="1:7" ht="13.5" thickTop="1" x14ac:dyDescent="0.2">
      <c r="A395" s="875" t="s">
        <v>1622</v>
      </c>
      <c r="B395" s="899"/>
      <c r="C395" s="899"/>
      <c r="D395" s="899"/>
      <c r="E395" s="899"/>
      <c r="F395" s="899"/>
      <c r="G395" s="900"/>
    </row>
    <row r="396" spans="1:7" ht="13.5" thickBot="1" x14ac:dyDescent="0.25">
      <c r="A396" s="52"/>
      <c r="B396" s="103"/>
      <c r="C396" s="374" t="s">
        <v>1550</v>
      </c>
      <c r="D396" s="54"/>
      <c r="E396" s="103"/>
      <c r="F396" s="55"/>
      <c r="G396" s="56"/>
    </row>
    <row r="397" spans="1:7" ht="13.5" thickTop="1" x14ac:dyDescent="0.2">
      <c r="A397" s="906"/>
      <c r="B397" s="907"/>
      <c r="C397" s="907"/>
      <c r="D397" s="57" t="s">
        <v>11</v>
      </c>
      <c r="E397" s="908" t="s">
        <v>12</v>
      </c>
      <c r="F397" s="908"/>
      <c r="G397" s="909"/>
    </row>
    <row r="398" spans="1:7" x14ac:dyDescent="0.2">
      <c r="A398" s="910" t="s">
        <v>17</v>
      </c>
      <c r="B398" s="911"/>
      <c r="C398" s="911"/>
      <c r="D398" s="39"/>
      <c r="E398" s="912"/>
      <c r="F398" s="913"/>
      <c r="G398" s="914"/>
    </row>
    <row r="399" spans="1:7" x14ac:dyDescent="0.2">
      <c r="A399" s="910" t="s">
        <v>38</v>
      </c>
      <c r="B399" s="911"/>
      <c r="C399" s="911"/>
      <c r="D399" s="58" t="s">
        <v>336</v>
      </c>
      <c r="E399" s="868" t="s">
        <v>142</v>
      </c>
      <c r="F399" s="868"/>
      <c r="G399" s="869"/>
    </row>
    <row r="400" spans="1:7" ht="13.5" thickBot="1" x14ac:dyDescent="0.25">
      <c r="A400" s="901" t="s">
        <v>39</v>
      </c>
      <c r="B400" s="902"/>
      <c r="C400" s="902"/>
      <c r="D400" s="59" t="s">
        <v>337</v>
      </c>
      <c r="E400" s="904" t="s">
        <v>0</v>
      </c>
      <c r="F400" s="904"/>
      <c r="G400" s="905"/>
    </row>
    <row r="401" spans="1:7" ht="16.5" x14ac:dyDescent="0.25">
      <c r="A401" s="885" t="s">
        <v>29</v>
      </c>
      <c r="B401" s="886"/>
      <c r="C401" s="886"/>
      <c r="D401" s="886"/>
      <c r="E401" s="886"/>
      <c r="F401" s="886"/>
      <c r="G401" s="887"/>
    </row>
    <row r="402" spans="1:7" x14ac:dyDescent="0.2">
      <c r="A402" s="888" t="s">
        <v>48</v>
      </c>
      <c r="B402" s="889"/>
      <c r="C402" s="889"/>
      <c r="D402" s="889"/>
      <c r="E402" s="889"/>
      <c r="F402" s="889"/>
      <c r="G402" s="890"/>
    </row>
    <row r="403" spans="1:7" x14ac:dyDescent="0.2">
      <c r="A403" s="915" t="s">
        <v>49</v>
      </c>
      <c r="B403" s="916"/>
      <c r="C403" s="916"/>
      <c r="D403" s="916"/>
      <c r="E403" s="916"/>
      <c r="F403" s="916"/>
      <c r="G403" s="917"/>
    </row>
    <row r="404" spans="1:7" x14ac:dyDescent="0.2">
      <c r="A404" s="6"/>
      <c r="B404" s="99"/>
      <c r="C404" s="8"/>
      <c r="D404" s="9"/>
      <c r="E404" s="99"/>
      <c r="F404" s="10"/>
      <c r="G404" s="11" t="s">
        <v>20</v>
      </c>
    </row>
    <row r="405" spans="1:7" x14ac:dyDescent="0.2">
      <c r="A405" s="12" t="s">
        <v>1</v>
      </c>
      <c r="B405" s="13"/>
      <c r="C405" s="14" t="s">
        <v>61</v>
      </c>
      <c r="D405" s="13"/>
      <c r="E405" s="362" t="s">
        <v>1645</v>
      </c>
      <c r="F405" s="98"/>
      <c r="G405" s="363" t="s">
        <v>1638</v>
      </c>
    </row>
    <row r="406" spans="1:7" x14ac:dyDescent="0.2">
      <c r="A406" s="17" t="s">
        <v>8</v>
      </c>
      <c r="B406" s="100"/>
      <c r="C406" s="19"/>
      <c r="D406" s="4"/>
      <c r="E406" s="918"/>
      <c r="F406" s="919"/>
      <c r="G406" s="20"/>
    </row>
    <row r="407" spans="1:7" x14ac:dyDescent="0.2">
      <c r="A407" s="21" t="s">
        <v>37</v>
      </c>
      <c r="B407" s="22"/>
      <c r="C407" s="22"/>
      <c r="D407" s="22"/>
      <c r="E407" s="23" t="s">
        <v>46</v>
      </c>
      <c r="F407" s="24"/>
      <c r="G407" s="20" t="s">
        <v>50</v>
      </c>
    </row>
    <row r="408" spans="1:7" x14ac:dyDescent="0.2">
      <c r="A408" s="6"/>
      <c r="B408" s="99"/>
      <c r="C408" s="8"/>
      <c r="D408" s="8"/>
      <c r="E408" s="920"/>
      <c r="F408" s="921"/>
      <c r="G408" s="25"/>
    </row>
    <row r="409" spans="1:7" ht="26.25" thickBot="1" x14ac:dyDescent="0.25">
      <c r="A409" s="207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29">
        <v>1</v>
      </c>
      <c r="B410" s="101"/>
      <c r="C410" s="371" t="s">
        <v>149</v>
      </c>
      <c r="D410" s="376" t="s">
        <v>1646</v>
      </c>
      <c r="E410" s="158">
        <v>40</v>
      </c>
      <c r="F410" s="128">
        <v>200</v>
      </c>
      <c r="G410" s="35">
        <f>F410*E410</f>
        <v>8000</v>
      </c>
    </row>
    <row r="411" spans="1:7" x14ac:dyDescent="0.2">
      <c r="A411" s="29"/>
      <c r="B411" s="101"/>
      <c r="C411" s="41"/>
      <c r="D411" s="370"/>
      <c r="E411" s="156"/>
      <c r="F411" s="128"/>
      <c r="G411" s="35"/>
    </row>
    <row r="412" spans="1:7" x14ac:dyDescent="0.2">
      <c r="A412" s="29"/>
      <c r="B412" s="101"/>
      <c r="C412" s="371"/>
      <c r="D412" s="370"/>
      <c r="E412" s="108"/>
      <c r="F412" s="149"/>
      <c r="G412" s="35"/>
    </row>
    <row r="413" spans="1:7" x14ac:dyDescent="0.2">
      <c r="A413" s="29"/>
      <c r="B413" s="101"/>
      <c r="C413" s="41"/>
      <c r="D413" s="370"/>
      <c r="E413" s="108"/>
      <c r="F413" s="128"/>
      <c r="G413" s="372"/>
    </row>
    <row r="414" spans="1:7" x14ac:dyDescent="0.2">
      <c r="A414" s="29"/>
      <c r="B414" s="105"/>
      <c r="C414" s="371"/>
      <c r="D414" s="376"/>
      <c r="E414" s="102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51"/>
      <c r="C416" s="119"/>
      <c r="D416" s="376"/>
      <c r="E416" s="108"/>
      <c r="F416" s="150"/>
      <c r="G416" s="35"/>
    </row>
    <row r="417" spans="1:10" x14ac:dyDescent="0.2">
      <c r="A417" s="29"/>
      <c r="B417" s="151"/>
      <c r="C417" s="119"/>
      <c r="D417" s="383"/>
      <c r="E417" s="108"/>
      <c r="F417" s="150"/>
      <c r="G417" s="35"/>
    </row>
    <row r="418" spans="1:10" x14ac:dyDescent="0.2">
      <c r="A418" s="29"/>
      <c r="B418" s="101"/>
      <c r="C418" s="41"/>
      <c r="D418" s="383"/>
      <c r="E418" s="155"/>
      <c r="F418" s="128"/>
      <c r="G418" s="35"/>
    </row>
    <row r="419" spans="1:10" x14ac:dyDescent="0.2">
      <c r="A419" s="29"/>
      <c r="B419" s="106"/>
      <c r="C419" s="41"/>
      <c r="D419" s="136"/>
      <c r="E419" s="104"/>
      <c r="F419" s="128"/>
      <c r="G419" s="35"/>
    </row>
    <row r="420" spans="1:10" x14ac:dyDescent="0.2">
      <c r="A420" s="29"/>
      <c r="B420" s="105"/>
      <c r="C420" s="41"/>
      <c r="D420" s="136"/>
      <c r="E420" s="108"/>
      <c r="F420" s="152"/>
      <c r="G420" s="35"/>
    </row>
    <row r="421" spans="1:10" x14ac:dyDescent="0.2">
      <c r="A421" s="29"/>
      <c r="B421" s="107"/>
      <c r="C421" s="41"/>
      <c r="D421" s="136"/>
      <c r="E421" s="153"/>
      <c r="F421" s="128"/>
      <c r="G421" s="35"/>
    </row>
    <row r="422" spans="1:10" x14ac:dyDescent="0.2">
      <c r="A422" s="29"/>
      <c r="B422" s="107"/>
      <c r="C422" s="41"/>
      <c r="D422" s="67"/>
      <c r="E422" s="153"/>
      <c r="F422" s="128"/>
      <c r="G422" s="35"/>
    </row>
    <row r="423" spans="1:10" x14ac:dyDescent="0.2">
      <c r="A423" s="29"/>
      <c r="B423" s="101"/>
      <c r="C423" s="41"/>
      <c r="D423" s="67"/>
      <c r="E423" s="108"/>
      <c r="F423" s="128"/>
      <c r="G423" s="35"/>
      <c r="J423" s="430" t="s">
        <v>8</v>
      </c>
    </row>
    <row r="424" spans="1:10" x14ac:dyDescent="0.2">
      <c r="A424" s="29"/>
      <c r="B424" s="101"/>
      <c r="C424" s="41"/>
      <c r="D424" s="67"/>
      <c r="E424" s="153"/>
      <c r="F424" s="128"/>
      <c r="G424" s="35"/>
    </row>
    <row r="425" spans="1:10" x14ac:dyDescent="0.2">
      <c r="A425" s="29"/>
      <c r="B425" s="106"/>
      <c r="C425" s="41"/>
      <c r="D425" s="67"/>
      <c r="E425" s="104"/>
      <c r="F425" s="154"/>
      <c r="G425" s="35"/>
    </row>
    <row r="426" spans="1:10" x14ac:dyDescent="0.2">
      <c r="A426" s="29"/>
      <c r="B426" s="105"/>
      <c r="C426" s="41"/>
      <c r="D426" s="130"/>
      <c r="E426" s="104"/>
      <c r="F426" s="154"/>
      <c r="G426" s="35"/>
    </row>
    <row r="427" spans="1:10" x14ac:dyDescent="0.2">
      <c r="A427" s="29"/>
      <c r="B427" s="105"/>
      <c r="C427" s="41"/>
      <c r="D427" s="67"/>
      <c r="E427" s="104"/>
      <c r="F427" s="154"/>
      <c r="G427" s="35"/>
    </row>
    <row r="428" spans="1:10" x14ac:dyDescent="0.2">
      <c r="A428" s="29"/>
      <c r="B428" s="101"/>
      <c r="C428" s="41"/>
      <c r="D428" s="67"/>
      <c r="E428" s="104"/>
      <c r="F428" s="154"/>
      <c r="G428" s="35"/>
    </row>
    <row r="429" spans="1:10" x14ac:dyDescent="0.2">
      <c r="A429" s="29"/>
      <c r="B429" s="101"/>
      <c r="C429" s="41"/>
      <c r="D429" s="136"/>
      <c r="E429" s="104"/>
      <c r="F429" s="154"/>
      <c r="G429" s="35"/>
    </row>
    <row r="430" spans="1:10" x14ac:dyDescent="0.2">
      <c r="A430" s="29"/>
      <c r="B430" s="101"/>
      <c r="C430" s="41"/>
      <c r="D430" s="136"/>
      <c r="E430" s="104"/>
      <c r="F430" s="154"/>
      <c r="G430" s="35"/>
    </row>
    <row r="431" spans="1:10" x14ac:dyDescent="0.2">
      <c r="A431" s="29"/>
      <c r="B431" s="101"/>
      <c r="C431" s="41"/>
      <c r="D431" s="136"/>
      <c r="E431" s="104"/>
      <c r="F431" s="154"/>
      <c r="G431" s="35"/>
    </row>
    <row r="432" spans="1:10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136"/>
      <c r="E433" s="104"/>
      <c r="F433" s="154"/>
      <c r="G433" s="35"/>
    </row>
    <row r="434" spans="1:7" x14ac:dyDescent="0.2">
      <c r="A434" s="29"/>
      <c r="B434" s="101"/>
      <c r="C434" s="41"/>
      <c r="D434" s="136"/>
      <c r="E434" s="104"/>
      <c r="F434" s="154"/>
      <c r="G434" s="35"/>
    </row>
    <row r="435" spans="1:7" x14ac:dyDescent="0.2">
      <c r="A435" s="29"/>
      <c r="B435" s="101"/>
      <c r="C435" s="41"/>
      <c r="D435" s="62"/>
      <c r="E435" s="104"/>
      <c r="F435" s="154"/>
      <c r="G435" s="35"/>
    </row>
    <row r="436" spans="1:7" x14ac:dyDescent="0.2">
      <c r="A436" s="29"/>
      <c r="B436" s="101"/>
      <c r="C436" s="41"/>
      <c r="D436" s="67"/>
      <c r="E436" s="104"/>
      <c r="F436" s="154"/>
      <c r="G436" s="35"/>
    </row>
    <row r="437" spans="1:7" x14ac:dyDescent="0.2">
      <c r="A437" s="29"/>
      <c r="B437" s="101"/>
      <c r="C437" s="41"/>
      <c r="D437" s="159"/>
      <c r="E437" s="104"/>
      <c r="F437" s="154"/>
      <c r="G437" s="35"/>
    </row>
    <row r="438" spans="1:7" x14ac:dyDescent="0.2">
      <c r="A438" s="29"/>
      <c r="B438" s="101"/>
      <c r="C438" s="41"/>
      <c r="D438" s="160"/>
      <c r="E438" s="108"/>
      <c r="F438" s="128"/>
      <c r="G438" s="35"/>
    </row>
    <row r="439" spans="1:7" x14ac:dyDescent="0.2">
      <c r="A439" s="29"/>
      <c r="B439" s="101"/>
      <c r="C439" s="41"/>
      <c r="D439" s="136"/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31"/>
      <c r="D441" s="67"/>
      <c r="E441" s="131"/>
      <c r="F441" s="117"/>
      <c r="G441" s="35"/>
    </row>
    <row r="442" spans="1:7" x14ac:dyDescent="0.2">
      <c r="A442" s="29"/>
      <c r="B442" s="101"/>
      <c r="C442" s="41"/>
      <c r="D442" s="118"/>
      <c r="E442" s="108"/>
      <c r="F442" s="149"/>
      <c r="G442" s="35"/>
    </row>
    <row r="443" spans="1:7" x14ac:dyDescent="0.2">
      <c r="A443" s="29"/>
      <c r="B443" s="101"/>
      <c r="C443" s="41"/>
      <c r="D443" s="144"/>
      <c r="E443" s="108"/>
      <c r="F443" s="149"/>
      <c r="G443" s="35"/>
    </row>
    <row r="444" spans="1:7" ht="13.5" thickBot="1" x14ac:dyDescent="0.25">
      <c r="A444" s="45"/>
      <c r="B444" s="132"/>
      <c r="C444" s="115"/>
      <c r="D444" s="115"/>
      <c r="E444" s="132"/>
      <c r="F444" s="49" t="s">
        <v>15</v>
      </c>
      <c r="G444" s="50">
        <f>SUM(G410:G443)</f>
        <v>8000</v>
      </c>
    </row>
    <row r="445" spans="1:7" ht="13.5" thickTop="1" x14ac:dyDescent="0.2">
      <c r="A445" s="875" t="s">
        <v>1647</v>
      </c>
      <c r="B445" s="899"/>
      <c r="C445" s="899"/>
      <c r="D445" s="899"/>
      <c r="E445" s="899"/>
      <c r="F445" s="899"/>
      <c r="G445" s="900"/>
    </row>
    <row r="446" spans="1:7" ht="13.5" thickBot="1" x14ac:dyDescent="0.25">
      <c r="A446" s="52"/>
      <c r="B446" s="103"/>
      <c r="C446" s="374" t="s">
        <v>8</v>
      </c>
      <c r="D446" s="54"/>
      <c r="E446" s="103"/>
      <c r="F446" s="55"/>
      <c r="G446" s="56"/>
    </row>
    <row r="447" spans="1:7" ht="13.5" thickTop="1" x14ac:dyDescent="0.2">
      <c r="A447" s="906"/>
      <c r="B447" s="907"/>
      <c r="C447" s="907"/>
      <c r="D447" s="57" t="s">
        <v>11</v>
      </c>
      <c r="E447" s="908" t="s">
        <v>12</v>
      </c>
      <c r="F447" s="908"/>
      <c r="G447" s="909"/>
    </row>
    <row r="448" spans="1:7" x14ac:dyDescent="0.2">
      <c r="A448" s="910" t="s">
        <v>17</v>
      </c>
      <c r="B448" s="911"/>
      <c r="C448" s="911"/>
      <c r="D448" s="39"/>
      <c r="E448" s="912"/>
      <c r="F448" s="913"/>
      <c r="G448" s="914"/>
    </row>
    <row r="449" spans="1:8" x14ac:dyDescent="0.2">
      <c r="A449" s="910" t="s">
        <v>38</v>
      </c>
      <c r="B449" s="911"/>
      <c r="C449" s="911"/>
      <c r="D449" s="58" t="s">
        <v>336</v>
      </c>
      <c r="E449" s="868" t="s">
        <v>142</v>
      </c>
      <c r="F449" s="868"/>
      <c r="G449" s="869"/>
    </row>
    <row r="450" spans="1:8" ht="13.5" thickBot="1" x14ac:dyDescent="0.25">
      <c r="A450" s="901" t="s">
        <v>39</v>
      </c>
      <c r="B450" s="902"/>
      <c r="C450" s="902"/>
      <c r="D450" s="59" t="s">
        <v>337</v>
      </c>
      <c r="E450" s="904" t="s">
        <v>0</v>
      </c>
      <c r="F450" s="904"/>
      <c r="G450" s="905"/>
      <c r="H450" s="1" t="s">
        <v>152</v>
      </c>
    </row>
    <row r="451" spans="1:8" ht="16.5" x14ac:dyDescent="0.25">
      <c r="A451" s="885" t="s">
        <v>29</v>
      </c>
      <c r="B451" s="886"/>
      <c r="C451" s="886"/>
      <c r="D451" s="886"/>
      <c r="E451" s="886"/>
      <c r="F451" s="886"/>
      <c r="G451" s="887"/>
    </row>
    <row r="452" spans="1:8" x14ac:dyDescent="0.2">
      <c r="A452" s="888" t="s">
        <v>48</v>
      </c>
      <c r="B452" s="889"/>
      <c r="C452" s="889"/>
      <c r="D452" s="889"/>
      <c r="E452" s="889"/>
      <c r="F452" s="889"/>
      <c r="G452" s="890"/>
    </row>
    <row r="453" spans="1:8" x14ac:dyDescent="0.2">
      <c r="A453" s="915" t="s">
        <v>49</v>
      </c>
      <c r="B453" s="916"/>
      <c r="C453" s="916"/>
      <c r="D453" s="916"/>
      <c r="E453" s="916"/>
      <c r="F453" s="916"/>
      <c r="G453" s="917"/>
    </row>
    <row r="454" spans="1:8" x14ac:dyDescent="0.2">
      <c r="A454" s="6"/>
      <c r="B454" s="99"/>
      <c r="C454" s="8"/>
      <c r="D454" s="9"/>
      <c r="E454" s="99"/>
      <c r="F454" s="10"/>
      <c r="G454" s="11" t="s">
        <v>20</v>
      </c>
    </row>
    <row r="455" spans="1:8" x14ac:dyDescent="0.2">
      <c r="A455" s="12" t="s">
        <v>1</v>
      </c>
      <c r="B455" s="13"/>
      <c r="C455" s="14" t="s">
        <v>61</v>
      </c>
      <c r="D455" s="13"/>
      <c r="E455" s="362" t="s">
        <v>1990</v>
      </c>
      <c r="F455" s="98"/>
      <c r="G455" s="363" t="s">
        <v>1946</v>
      </c>
    </row>
    <row r="456" spans="1:8" x14ac:dyDescent="0.2">
      <c r="A456" s="17" t="s">
        <v>8</v>
      </c>
      <c r="B456" s="100"/>
      <c r="C456" s="19"/>
      <c r="D456" s="4"/>
      <c r="E456" s="918"/>
      <c r="F456" s="919"/>
      <c r="G456" s="20"/>
    </row>
    <row r="457" spans="1:8" x14ac:dyDescent="0.2">
      <c r="A457" s="21" t="s">
        <v>37</v>
      </c>
      <c r="B457" s="22"/>
      <c r="C457" s="22"/>
      <c r="D457" s="22"/>
      <c r="E457" s="23" t="s">
        <v>46</v>
      </c>
      <c r="F457" s="24"/>
      <c r="G457" s="20" t="s">
        <v>50</v>
      </c>
    </row>
    <row r="458" spans="1:8" x14ac:dyDescent="0.2">
      <c r="A458" s="6"/>
      <c r="B458" s="99"/>
      <c r="C458" s="8"/>
      <c r="D458" s="8"/>
      <c r="E458" s="920"/>
      <c r="F458" s="921"/>
      <c r="G458" s="25"/>
    </row>
    <row r="459" spans="1:8" ht="26.25" thickBot="1" x14ac:dyDescent="0.25">
      <c r="A459" s="207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8" ht="13.5" thickTop="1" x14ac:dyDescent="0.2">
      <c r="A460" s="29">
        <v>1</v>
      </c>
      <c r="B460" s="101"/>
      <c r="C460" s="371" t="s">
        <v>149</v>
      </c>
      <c r="D460" s="376" t="s">
        <v>1164</v>
      </c>
      <c r="E460" s="158">
        <v>40</v>
      </c>
      <c r="F460" s="128">
        <v>200</v>
      </c>
      <c r="G460" s="35">
        <f>F460*E460</f>
        <v>8000</v>
      </c>
    </row>
    <row r="461" spans="1:8" x14ac:dyDescent="0.2">
      <c r="A461" s="29"/>
      <c r="B461" s="101"/>
      <c r="C461" s="41"/>
      <c r="D461" s="370"/>
      <c r="E461" s="156"/>
      <c r="F461" s="128"/>
      <c r="G461" s="35"/>
    </row>
    <row r="462" spans="1:8" x14ac:dyDescent="0.2">
      <c r="A462" s="29"/>
      <c r="B462" s="101"/>
      <c r="C462" s="371"/>
      <c r="D462" s="370"/>
      <c r="E462" s="108"/>
      <c r="F462" s="149"/>
      <c r="G462" s="35"/>
    </row>
    <row r="463" spans="1:8" x14ac:dyDescent="0.2">
      <c r="A463" s="29"/>
      <c r="B463" s="101"/>
      <c r="C463" s="41"/>
      <c r="D463" s="370"/>
      <c r="E463" s="108"/>
      <c r="F463" s="128"/>
      <c r="G463" s="372"/>
    </row>
    <row r="464" spans="1:8" x14ac:dyDescent="0.2">
      <c r="A464" s="29"/>
      <c r="B464" s="105"/>
      <c r="C464" s="371"/>
      <c r="D464" s="376"/>
      <c r="E464" s="102"/>
      <c r="F464" s="128"/>
      <c r="G464" s="35"/>
    </row>
    <row r="465" spans="1:7" x14ac:dyDescent="0.2">
      <c r="A465" s="29"/>
      <c r="B465" s="105"/>
      <c r="C465" s="41"/>
      <c r="D465" s="136"/>
      <c r="E465" s="102"/>
      <c r="F465" s="128"/>
      <c r="G465" s="35"/>
    </row>
    <row r="466" spans="1:7" x14ac:dyDescent="0.2">
      <c r="A466" s="29"/>
      <c r="B466" s="151"/>
      <c r="C466" s="119"/>
      <c r="D466" s="376"/>
      <c r="E466" s="108"/>
      <c r="F466" s="150"/>
      <c r="G466" s="35"/>
    </row>
    <row r="467" spans="1:7" x14ac:dyDescent="0.2">
      <c r="A467" s="29"/>
      <c r="B467" s="151"/>
      <c r="C467" s="119"/>
      <c r="D467" s="383"/>
      <c r="E467" s="108"/>
      <c r="F467" s="150"/>
      <c r="G467" s="35"/>
    </row>
    <row r="468" spans="1:7" x14ac:dyDescent="0.2">
      <c r="A468" s="29"/>
      <c r="B468" s="101"/>
      <c r="C468" s="41"/>
      <c r="D468" s="383"/>
      <c r="E468" s="155"/>
      <c r="F468" s="128"/>
      <c r="G468" s="35"/>
    </row>
    <row r="469" spans="1:7" x14ac:dyDescent="0.2">
      <c r="A469" s="29"/>
      <c r="B469" s="106"/>
      <c r="C469" s="41"/>
      <c r="D469" s="136"/>
      <c r="E469" s="104"/>
      <c r="F469" s="128"/>
      <c r="G469" s="35"/>
    </row>
    <row r="470" spans="1:7" x14ac:dyDescent="0.2">
      <c r="A470" s="29"/>
      <c r="B470" s="105"/>
      <c r="C470" s="41"/>
      <c r="D470" s="136"/>
      <c r="E470" s="108"/>
      <c r="F470" s="152"/>
      <c r="G470" s="35"/>
    </row>
    <row r="471" spans="1:7" x14ac:dyDescent="0.2">
      <c r="A471" s="29"/>
      <c r="B471" s="107"/>
      <c r="C471" s="41"/>
      <c r="D471" s="136"/>
      <c r="E471" s="153"/>
      <c r="F471" s="128"/>
      <c r="G471" s="35"/>
    </row>
    <row r="472" spans="1:7" x14ac:dyDescent="0.2">
      <c r="A472" s="29"/>
      <c r="B472" s="107"/>
      <c r="C472" s="41"/>
      <c r="D472" s="67"/>
      <c r="E472" s="153"/>
      <c r="F472" s="128"/>
      <c r="G472" s="35"/>
    </row>
    <row r="473" spans="1:7" x14ac:dyDescent="0.2">
      <c r="A473" s="29"/>
      <c r="B473" s="101"/>
      <c r="C473" s="41"/>
      <c r="D473" s="67"/>
      <c r="E473" s="108"/>
      <c r="F473" s="128"/>
      <c r="G473" s="35"/>
    </row>
    <row r="474" spans="1:7" x14ac:dyDescent="0.2">
      <c r="A474" s="29"/>
      <c r="B474" s="101"/>
      <c r="C474" s="41"/>
      <c r="D474" s="67"/>
      <c r="E474" s="153"/>
      <c r="F474" s="128"/>
      <c r="G474" s="35"/>
    </row>
    <row r="475" spans="1:7" x14ac:dyDescent="0.2">
      <c r="A475" s="29"/>
      <c r="B475" s="106"/>
      <c r="C475" s="41"/>
      <c r="D475" s="67"/>
      <c r="E475" s="104"/>
      <c r="F475" s="154"/>
      <c r="G475" s="35"/>
    </row>
    <row r="476" spans="1:7" x14ac:dyDescent="0.2">
      <c r="A476" s="29"/>
      <c r="B476" s="105"/>
      <c r="C476" s="41"/>
      <c r="D476" s="130"/>
      <c r="E476" s="104"/>
      <c r="F476" s="154"/>
      <c r="G476" s="35"/>
    </row>
    <row r="477" spans="1:7" x14ac:dyDescent="0.2">
      <c r="A477" s="29"/>
      <c r="B477" s="105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136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136"/>
      <c r="E483" s="104"/>
      <c r="F483" s="418" t="s">
        <v>8</v>
      </c>
      <c r="G483" s="35"/>
    </row>
    <row r="484" spans="1:7" x14ac:dyDescent="0.2">
      <c r="A484" s="29"/>
      <c r="B484" s="101"/>
      <c r="C484" s="41"/>
      <c r="D484" s="136"/>
      <c r="E484" s="104"/>
      <c r="F484" s="154"/>
      <c r="G484" s="35"/>
    </row>
    <row r="485" spans="1:7" x14ac:dyDescent="0.2">
      <c r="A485" s="29"/>
      <c r="B485" s="101"/>
      <c r="C485" s="41"/>
      <c r="D485" s="62"/>
      <c r="E485" s="104"/>
      <c r="F485" s="154"/>
      <c r="G485" s="35"/>
    </row>
    <row r="486" spans="1:7" x14ac:dyDescent="0.2">
      <c r="A486" s="29"/>
      <c r="B486" s="101"/>
      <c r="C486" s="41"/>
      <c r="D486" s="67"/>
      <c r="E486" s="104"/>
      <c r="F486" s="154"/>
      <c r="G486" s="35"/>
    </row>
    <row r="487" spans="1:7" x14ac:dyDescent="0.2">
      <c r="A487" s="29"/>
      <c r="B487" s="101"/>
      <c r="C487" s="41"/>
      <c r="D487" s="159"/>
      <c r="E487" s="104"/>
      <c r="F487" s="154"/>
      <c r="G487" s="35"/>
    </row>
    <row r="488" spans="1:7" x14ac:dyDescent="0.2">
      <c r="A488" s="29"/>
      <c r="B488" s="101"/>
      <c r="C488" s="41"/>
      <c r="D488" s="160"/>
      <c r="E488" s="108"/>
      <c r="F488" s="128"/>
      <c r="G488" s="35"/>
    </row>
    <row r="489" spans="1:7" x14ac:dyDescent="0.2">
      <c r="A489" s="29"/>
      <c r="B489" s="101"/>
      <c r="C489" s="41"/>
      <c r="D489" s="136"/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31"/>
      <c r="D491" s="67"/>
      <c r="E491" s="131"/>
      <c r="F491" s="117"/>
      <c r="G491" s="35"/>
    </row>
    <row r="492" spans="1:7" x14ac:dyDescent="0.2">
      <c r="A492" s="29"/>
      <c r="B492" s="101"/>
      <c r="C492" s="41"/>
      <c r="D492" s="118"/>
      <c r="E492" s="108"/>
      <c r="F492" s="149"/>
      <c r="G492" s="35"/>
    </row>
    <row r="493" spans="1:7" x14ac:dyDescent="0.2">
      <c r="A493" s="29"/>
      <c r="B493" s="101"/>
      <c r="C493" s="41"/>
      <c r="D493" s="144"/>
      <c r="E493" s="108"/>
      <c r="F493" s="149"/>
      <c r="G493" s="35"/>
    </row>
    <row r="494" spans="1:7" ht="13.5" thickBot="1" x14ac:dyDescent="0.25">
      <c r="A494" s="45"/>
      <c r="B494" s="132"/>
      <c r="C494" s="115"/>
      <c r="D494" s="115"/>
      <c r="E494" s="132"/>
      <c r="F494" s="49" t="s">
        <v>15</v>
      </c>
      <c r="G494" s="50">
        <f>SUM(G460:G493)</f>
        <v>8000</v>
      </c>
    </row>
    <row r="495" spans="1:7" ht="13.5" thickTop="1" x14ac:dyDescent="0.2">
      <c r="A495" s="875" t="s">
        <v>1648</v>
      </c>
      <c r="B495" s="899"/>
      <c r="C495" s="899"/>
      <c r="D495" s="899"/>
      <c r="E495" s="899"/>
      <c r="F495" s="899"/>
      <c r="G495" s="900"/>
    </row>
    <row r="496" spans="1:7" ht="13.5" thickBot="1" x14ac:dyDescent="0.25">
      <c r="A496" s="52"/>
      <c r="B496" s="103"/>
      <c r="C496" s="374" t="s">
        <v>8</v>
      </c>
      <c r="D496" s="54"/>
      <c r="E496" s="103"/>
      <c r="F496" s="55"/>
      <c r="G496" s="56"/>
    </row>
    <row r="497" spans="1:7" ht="13.5" thickTop="1" x14ac:dyDescent="0.2">
      <c r="A497" s="906"/>
      <c r="B497" s="907"/>
      <c r="C497" s="907"/>
      <c r="D497" s="57" t="s">
        <v>11</v>
      </c>
      <c r="E497" s="908" t="s">
        <v>12</v>
      </c>
      <c r="F497" s="908"/>
      <c r="G497" s="909"/>
    </row>
    <row r="498" spans="1:7" x14ac:dyDescent="0.2">
      <c r="A498" s="910" t="s">
        <v>17</v>
      </c>
      <c r="B498" s="911"/>
      <c r="C498" s="911"/>
      <c r="D498" s="39"/>
      <c r="E498" s="912"/>
      <c r="F498" s="913"/>
      <c r="G498" s="914"/>
    </row>
    <row r="499" spans="1:7" x14ac:dyDescent="0.2">
      <c r="A499" s="910" t="s">
        <v>38</v>
      </c>
      <c r="B499" s="911"/>
      <c r="C499" s="911"/>
      <c r="D499" s="58" t="s">
        <v>336</v>
      </c>
      <c r="E499" s="868" t="s">
        <v>142</v>
      </c>
      <c r="F499" s="868"/>
      <c r="G499" s="869"/>
    </row>
    <row r="500" spans="1:7" ht="13.5" thickBot="1" x14ac:dyDescent="0.25">
      <c r="A500" s="901" t="s">
        <v>39</v>
      </c>
      <c r="B500" s="902"/>
      <c r="C500" s="902"/>
      <c r="D500" s="59" t="s">
        <v>337</v>
      </c>
      <c r="E500" s="904" t="s">
        <v>0</v>
      </c>
      <c r="F500" s="904"/>
      <c r="G500" s="905"/>
    </row>
    <row r="501" spans="1:7" ht="16.5" x14ac:dyDescent="0.25">
      <c r="A501" s="885" t="s">
        <v>29</v>
      </c>
      <c r="B501" s="886"/>
      <c r="C501" s="886"/>
      <c r="D501" s="886"/>
      <c r="E501" s="886"/>
      <c r="F501" s="886"/>
      <c r="G501" s="887"/>
    </row>
    <row r="502" spans="1:7" x14ac:dyDescent="0.2">
      <c r="A502" s="888" t="s">
        <v>48</v>
      </c>
      <c r="B502" s="889"/>
      <c r="C502" s="889"/>
      <c r="D502" s="889"/>
      <c r="E502" s="889"/>
      <c r="F502" s="889"/>
      <c r="G502" s="890"/>
    </row>
    <row r="503" spans="1:7" x14ac:dyDescent="0.2">
      <c r="A503" s="915" t="s">
        <v>49</v>
      </c>
      <c r="B503" s="916"/>
      <c r="C503" s="916"/>
      <c r="D503" s="916"/>
      <c r="E503" s="916"/>
      <c r="F503" s="916"/>
      <c r="G503" s="917"/>
    </row>
    <row r="504" spans="1:7" x14ac:dyDescent="0.2">
      <c r="A504" s="6"/>
      <c r="B504" s="99"/>
      <c r="C504" s="8"/>
      <c r="D504" s="9"/>
      <c r="E504" s="99"/>
      <c r="F504" s="10"/>
      <c r="G504" s="11" t="s">
        <v>20</v>
      </c>
    </row>
    <row r="505" spans="1:7" x14ac:dyDescent="0.2">
      <c r="A505" s="12" t="s">
        <v>1</v>
      </c>
      <c r="B505" s="13"/>
      <c r="C505" s="14" t="s">
        <v>61</v>
      </c>
      <c r="D505" s="13"/>
      <c r="E505" s="362" t="s">
        <v>1782</v>
      </c>
      <c r="F505" s="98"/>
      <c r="G505" s="363" t="s">
        <v>1781</v>
      </c>
    </row>
    <row r="506" spans="1:7" x14ac:dyDescent="0.2">
      <c r="A506" s="17" t="s">
        <v>8</v>
      </c>
      <c r="B506" s="100"/>
      <c r="C506" s="19"/>
      <c r="D506" s="4"/>
      <c r="E506" s="918"/>
      <c r="F506" s="919"/>
      <c r="G506" s="20"/>
    </row>
    <row r="507" spans="1:7" x14ac:dyDescent="0.2">
      <c r="A507" s="21" t="s">
        <v>37</v>
      </c>
      <c r="B507" s="22"/>
      <c r="C507" s="22"/>
      <c r="D507" s="22"/>
      <c r="E507" s="23" t="s">
        <v>46</v>
      </c>
      <c r="F507" s="24"/>
      <c r="G507" s="20" t="s">
        <v>50</v>
      </c>
    </row>
    <row r="508" spans="1:7" x14ac:dyDescent="0.2">
      <c r="A508" s="6"/>
      <c r="B508" s="99"/>
      <c r="C508" s="8"/>
      <c r="D508" s="8"/>
      <c r="E508" s="920"/>
      <c r="F508" s="921"/>
      <c r="G508" s="25"/>
    </row>
    <row r="509" spans="1:7" ht="26.25" thickBot="1" x14ac:dyDescent="0.25">
      <c r="A509" s="207" t="s">
        <v>47</v>
      </c>
      <c r="B509" s="28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29">
        <v>1</v>
      </c>
      <c r="B510" s="101"/>
      <c r="C510" s="371" t="s">
        <v>149</v>
      </c>
      <c r="D510" s="376" t="s">
        <v>1649</v>
      </c>
      <c r="E510" s="158">
        <v>100</v>
      </c>
      <c r="F510" s="128">
        <v>200</v>
      </c>
      <c r="G510" s="35">
        <f>F510*E510</f>
        <v>20000</v>
      </c>
    </row>
    <row r="511" spans="1:7" x14ac:dyDescent="0.2">
      <c r="A511" s="29"/>
      <c r="B511" s="101"/>
      <c r="C511" s="41"/>
      <c r="D511" s="370"/>
      <c r="E511" s="156"/>
      <c r="F511" s="128"/>
      <c r="G511" s="35"/>
    </row>
    <row r="512" spans="1:7" x14ac:dyDescent="0.2">
      <c r="A512" s="29"/>
      <c r="B512" s="101"/>
      <c r="C512" s="371"/>
      <c r="D512" s="370"/>
      <c r="E512" s="108"/>
      <c r="F512" s="149"/>
      <c r="G512" s="35"/>
    </row>
    <row r="513" spans="1:7" x14ac:dyDescent="0.2">
      <c r="A513" s="29"/>
      <c r="B513" s="101"/>
      <c r="C513" s="41"/>
      <c r="D513" s="370"/>
      <c r="E513" s="108"/>
      <c r="F513" s="128"/>
      <c r="G513" s="372"/>
    </row>
    <row r="514" spans="1:7" x14ac:dyDescent="0.2">
      <c r="A514" s="29"/>
      <c r="B514" s="105"/>
      <c r="C514" s="371"/>
      <c r="D514" s="376"/>
      <c r="E514" s="102"/>
      <c r="F514" s="128"/>
      <c r="G514" s="35"/>
    </row>
    <row r="515" spans="1:7" x14ac:dyDescent="0.2">
      <c r="A515" s="29"/>
      <c r="B515" s="105"/>
      <c r="C515" s="41"/>
      <c r="D515" s="136"/>
      <c r="E515" s="102"/>
      <c r="F515" s="128"/>
      <c r="G515" s="35"/>
    </row>
    <row r="516" spans="1:7" x14ac:dyDescent="0.2">
      <c r="A516" s="29"/>
      <c r="B516" s="151"/>
      <c r="C516" s="119"/>
      <c r="D516" s="376"/>
      <c r="E516" s="108"/>
      <c r="F516" s="150"/>
      <c r="G516" s="35"/>
    </row>
    <row r="517" spans="1:7" x14ac:dyDescent="0.2">
      <c r="A517" s="29"/>
      <c r="B517" s="151"/>
      <c r="C517" s="119"/>
      <c r="D517" s="383"/>
      <c r="E517" s="108"/>
      <c r="F517" s="150"/>
      <c r="G517" s="35"/>
    </row>
    <row r="518" spans="1:7" x14ac:dyDescent="0.2">
      <c r="A518" s="29"/>
      <c r="B518" s="101"/>
      <c r="C518" s="41"/>
      <c r="D518" s="383"/>
      <c r="E518" s="155"/>
      <c r="F518" s="128"/>
      <c r="G518" s="35"/>
    </row>
    <row r="519" spans="1:7" x14ac:dyDescent="0.2">
      <c r="A519" s="29"/>
      <c r="B519" s="106"/>
      <c r="C519" s="41"/>
      <c r="D519" s="136"/>
      <c r="E519" s="104"/>
      <c r="F519" s="128"/>
      <c r="G519" s="35"/>
    </row>
    <row r="520" spans="1:7" x14ac:dyDescent="0.2">
      <c r="A520" s="29"/>
      <c r="B520" s="105"/>
      <c r="C520" s="41"/>
      <c r="D520" s="136"/>
      <c r="E520" s="108"/>
      <c r="F520" s="152"/>
      <c r="G520" s="35"/>
    </row>
    <row r="521" spans="1:7" x14ac:dyDescent="0.2">
      <c r="A521" s="29"/>
      <c r="B521" s="107"/>
      <c r="C521" s="41"/>
      <c r="D521" s="136"/>
      <c r="E521" s="153"/>
      <c r="F521" s="128"/>
      <c r="G521" s="35"/>
    </row>
    <row r="522" spans="1:7" x14ac:dyDescent="0.2">
      <c r="A522" s="29"/>
      <c r="B522" s="107"/>
      <c r="C522" s="41"/>
      <c r="D522" s="67"/>
      <c r="E522" s="153"/>
      <c r="F522" s="128"/>
      <c r="G522" s="35"/>
    </row>
    <row r="523" spans="1:7" x14ac:dyDescent="0.2">
      <c r="A523" s="29"/>
      <c r="B523" s="101"/>
      <c r="C523" s="41"/>
      <c r="D523" s="67"/>
      <c r="E523" s="108"/>
      <c r="F523" s="128"/>
      <c r="G523" s="35"/>
    </row>
    <row r="524" spans="1:7" x14ac:dyDescent="0.2">
      <c r="A524" s="29"/>
      <c r="B524" s="101"/>
      <c r="C524" s="41"/>
      <c r="D524" s="67"/>
      <c r="E524" s="153"/>
      <c r="F524" s="128"/>
      <c r="G524" s="35"/>
    </row>
    <row r="525" spans="1:7" x14ac:dyDescent="0.2">
      <c r="A525" s="29"/>
      <c r="B525" s="106"/>
      <c r="C525" s="41"/>
      <c r="D525" s="67"/>
      <c r="E525" s="104"/>
      <c r="F525" s="154"/>
      <c r="G525" s="35"/>
    </row>
    <row r="526" spans="1:7" x14ac:dyDescent="0.2">
      <c r="A526" s="29"/>
      <c r="B526" s="105"/>
      <c r="C526" s="41"/>
      <c r="D526" s="130"/>
      <c r="E526" s="104"/>
      <c r="F526" s="154"/>
      <c r="G526" s="35"/>
    </row>
    <row r="527" spans="1:7" x14ac:dyDescent="0.2">
      <c r="A527" s="29"/>
      <c r="B527" s="105"/>
      <c r="C527" s="41"/>
      <c r="D527" s="67"/>
      <c r="E527" s="104"/>
      <c r="F527" s="154"/>
      <c r="G527" s="35"/>
    </row>
    <row r="528" spans="1:7" x14ac:dyDescent="0.2">
      <c r="A528" s="29"/>
      <c r="B528" s="101"/>
      <c r="C528" s="41"/>
      <c r="D528" s="67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136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136"/>
      <c r="E533" s="104"/>
      <c r="F533" s="154"/>
      <c r="G533" s="35"/>
    </row>
    <row r="534" spans="1:7" x14ac:dyDescent="0.2">
      <c r="A534" s="29"/>
      <c r="B534" s="101"/>
      <c r="C534" s="41"/>
      <c r="D534" s="136"/>
      <c r="E534" s="104"/>
      <c r="F534" s="154"/>
      <c r="G534" s="35"/>
    </row>
    <row r="535" spans="1:7" x14ac:dyDescent="0.2">
      <c r="A535" s="29"/>
      <c r="B535" s="101"/>
      <c r="C535" s="41"/>
      <c r="D535" s="62"/>
      <c r="E535" s="104"/>
      <c r="F535" s="154"/>
      <c r="G535" s="35"/>
    </row>
    <row r="536" spans="1:7" x14ac:dyDescent="0.2">
      <c r="A536" s="29"/>
      <c r="B536" s="101"/>
      <c r="C536" s="41"/>
      <c r="D536" s="67"/>
      <c r="E536" s="104"/>
      <c r="F536" s="154"/>
      <c r="G536" s="35"/>
    </row>
    <row r="537" spans="1:7" x14ac:dyDescent="0.2">
      <c r="A537" s="29"/>
      <c r="B537" s="101"/>
      <c r="C537" s="41"/>
      <c r="D537" s="159"/>
      <c r="E537" s="104"/>
      <c r="F537" s="154"/>
      <c r="G537" s="35"/>
    </row>
    <row r="538" spans="1:7" x14ac:dyDescent="0.2">
      <c r="A538" s="29"/>
      <c r="B538" s="101"/>
      <c r="C538" s="41"/>
      <c r="D538" s="160"/>
      <c r="E538" s="108"/>
      <c r="F538" s="128"/>
      <c r="G538" s="35"/>
    </row>
    <row r="539" spans="1:7" x14ac:dyDescent="0.2">
      <c r="A539" s="29"/>
      <c r="B539" s="101"/>
      <c r="C539" s="41"/>
      <c r="D539" s="136"/>
      <c r="E539" s="153"/>
      <c r="F539" s="128"/>
      <c r="G539" s="35"/>
    </row>
    <row r="540" spans="1:7" x14ac:dyDescent="0.2">
      <c r="A540" s="29"/>
      <c r="B540" s="101"/>
      <c r="C540" s="41"/>
      <c r="D540" s="136"/>
      <c r="E540" s="102"/>
      <c r="F540" s="128"/>
      <c r="G540" s="35"/>
    </row>
    <row r="541" spans="1:7" x14ac:dyDescent="0.2">
      <c r="A541" s="29"/>
      <c r="B541" s="101"/>
      <c r="C541" s="31"/>
      <c r="D541" s="67"/>
      <c r="E541" s="131"/>
      <c r="F541" s="117"/>
      <c r="G541" s="35"/>
    </row>
    <row r="542" spans="1:7" x14ac:dyDescent="0.2">
      <c r="A542" s="29"/>
      <c r="B542" s="101"/>
      <c r="C542" s="41"/>
      <c r="D542" s="118"/>
      <c r="E542" s="108"/>
      <c r="F542" s="149"/>
      <c r="G542" s="35"/>
    </row>
    <row r="543" spans="1:7" x14ac:dyDescent="0.2">
      <c r="A543" s="29"/>
      <c r="B543" s="101"/>
      <c r="C543" s="41"/>
      <c r="D543" s="144"/>
      <c r="E543" s="108"/>
      <c r="F543" s="149"/>
      <c r="G543" s="35"/>
    </row>
    <row r="544" spans="1:7" ht="13.5" thickBot="1" x14ac:dyDescent="0.25">
      <c r="A544" s="45"/>
      <c r="B544" s="132"/>
      <c r="C544" s="115"/>
      <c r="D544" s="115"/>
      <c r="E544" s="132"/>
      <c r="F544" s="49" t="s">
        <v>15</v>
      </c>
      <c r="G544" s="50">
        <f>SUM(G510:G543)</f>
        <v>20000</v>
      </c>
    </row>
    <row r="545" spans="1:7" ht="13.5" thickTop="1" x14ac:dyDescent="0.2">
      <c r="A545" s="875" t="s">
        <v>1650</v>
      </c>
      <c r="B545" s="899"/>
      <c r="C545" s="899"/>
      <c r="D545" s="899"/>
      <c r="E545" s="899"/>
      <c r="F545" s="899"/>
      <c r="G545" s="900"/>
    </row>
    <row r="546" spans="1:7" ht="13.5" thickBot="1" x14ac:dyDescent="0.25">
      <c r="A546" s="52"/>
      <c r="B546" s="103"/>
      <c r="C546" s="374" t="s">
        <v>8</v>
      </c>
      <c r="D546" s="54"/>
      <c r="E546" s="103"/>
      <c r="F546" s="55"/>
      <c r="G546" s="56"/>
    </row>
    <row r="547" spans="1:7" ht="13.5" thickTop="1" x14ac:dyDescent="0.2">
      <c r="A547" s="906"/>
      <c r="B547" s="907"/>
      <c r="C547" s="907"/>
      <c r="D547" s="57" t="s">
        <v>11</v>
      </c>
      <c r="E547" s="908" t="s">
        <v>12</v>
      </c>
      <c r="F547" s="908"/>
      <c r="G547" s="909"/>
    </row>
    <row r="548" spans="1:7" x14ac:dyDescent="0.2">
      <c r="A548" s="910" t="s">
        <v>17</v>
      </c>
      <c r="B548" s="911"/>
      <c r="C548" s="911"/>
      <c r="D548" s="39"/>
      <c r="E548" s="912"/>
      <c r="F548" s="913"/>
      <c r="G548" s="914"/>
    </row>
    <row r="549" spans="1:7" x14ac:dyDescent="0.2">
      <c r="A549" s="910" t="s">
        <v>38</v>
      </c>
      <c r="B549" s="911"/>
      <c r="C549" s="911"/>
      <c r="D549" s="58" t="s">
        <v>336</v>
      </c>
      <c r="E549" s="868" t="s">
        <v>142</v>
      </c>
      <c r="F549" s="868"/>
      <c r="G549" s="869"/>
    </row>
    <row r="550" spans="1:7" ht="13.5" thickBot="1" x14ac:dyDescent="0.25">
      <c r="A550" s="901" t="s">
        <v>39</v>
      </c>
      <c r="B550" s="902"/>
      <c r="C550" s="902"/>
      <c r="D550" s="59" t="s">
        <v>337</v>
      </c>
      <c r="E550" s="904" t="s">
        <v>0</v>
      </c>
      <c r="F550" s="904"/>
      <c r="G550" s="905"/>
    </row>
    <row r="551" spans="1:7" ht="16.5" x14ac:dyDescent="0.25">
      <c r="A551" s="885" t="s">
        <v>29</v>
      </c>
      <c r="B551" s="886"/>
      <c r="C551" s="886"/>
      <c r="D551" s="886"/>
      <c r="E551" s="886"/>
      <c r="F551" s="886"/>
      <c r="G551" s="887"/>
    </row>
    <row r="552" spans="1:7" x14ac:dyDescent="0.2">
      <c r="A552" s="888" t="s">
        <v>48</v>
      </c>
      <c r="B552" s="889"/>
      <c r="C552" s="889"/>
      <c r="D552" s="889"/>
      <c r="E552" s="889"/>
      <c r="F552" s="889"/>
      <c r="G552" s="890"/>
    </row>
    <row r="553" spans="1:7" x14ac:dyDescent="0.2">
      <c r="A553" s="915" t="s">
        <v>49</v>
      </c>
      <c r="B553" s="916"/>
      <c r="C553" s="916"/>
      <c r="D553" s="916"/>
      <c r="E553" s="916"/>
      <c r="F553" s="916"/>
      <c r="G553" s="917"/>
    </row>
    <row r="554" spans="1:7" x14ac:dyDescent="0.2">
      <c r="A554" s="6"/>
      <c r="B554" s="99"/>
      <c r="C554" s="8"/>
      <c r="D554" s="9"/>
      <c r="E554" s="99"/>
      <c r="F554" s="10"/>
      <c r="G554" s="11" t="s">
        <v>20</v>
      </c>
    </row>
    <row r="555" spans="1:7" x14ac:dyDescent="0.2">
      <c r="A555" s="12" t="s">
        <v>1</v>
      </c>
      <c r="B555" s="13"/>
      <c r="C555" s="14" t="s">
        <v>61</v>
      </c>
      <c r="D555" s="13"/>
      <c r="E555" s="362" t="s">
        <v>1783</v>
      </c>
      <c r="F555" s="98"/>
      <c r="G555" s="363" t="s">
        <v>1781</v>
      </c>
    </row>
    <row r="556" spans="1:7" x14ac:dyDescent="0.2">
      <c r="A556" s="17" t="s">
        <v>8</v>
      </c>
      <c r="B556" s="100"/>
      <c r="C556" s="19"/>
      <c r="D556" s="4"/>
      <c r="E556" s="918"/>
      <c r="F556" s="919"/>
      <c r="G556" s="20"/>
    </row>
    <row r="557" spans="1:7" x14ac:dyDescent="0.2">
      <c r="A557" s="21" t="s">
        <v>37</v>
      </c>
      <c r="B557" s="22"/>
      <c r="C557" s="22"/>
      <c r="D557" s="22"/>
      <c r="E557" s="23" t="s">
        <v>46</v>
      </c>
      <c r="F557" s="24"/>
      <c r="G557" s="20" t="s">
        <v>50</v>
      </c>
    </row>
    <row r="558" spans="1:7" x14ac:dyDescent="0.2">
      <c r="A558" s="6"/>
      <c r="B558" s="99"/>
      <c r="C558" s="8"/>
      <c r="D558" s="8"/>
      <c r="E558" s="920"/>
      <c r="F558" s="921"/>
      <c r="G558" s="25"/>
    </row>
    <row r="559" spans="1:7" ht="26.25" thickBot="1" x14ac:dyDescent="0.25">
      <c r="A559" s="207" t="s">
        <v>47</v>
      </c>
      <c r="B559" s="28" t="s">
        <v>23</v>
      </c>
      <c r="C559" s="28" t="s">
        <v>34</v>
      </c>
      <c r="D559" s="110" t="s">
        <v>53</v>
      </c>
      <c r="E559" s="114" t="s">
        <v>54</v>
      </c>
      <c r="F559" s="111" t="s">
        <v>55</v>
      </c>
      <c r="G559" s="112" t="s">
        <v>35</v>
      </c>
    </row>
    <row r="560" spans="1:7" ht="13.5" thickTop="1" x14ac:dyDescent="0.2">
      <c r="A560" s="29">
        <v>1</v>
      </c>
      <c r="B560" s="101"/>
      <c r="C560" s="371" t="s">
        <v>149</v>
      </c>
      <c r="D560" s="376" t="s">
        <v>1649</v>
      </c>
      <c r="E560" s="158">
        <v>150</v>
      </c>
      <c r="F560" s="128">
        <v>200</v>
      </c>
      <c r="G560" s="35">
        <f>F560*E560</f>
        <v>30000</v>
      </c>
    </row>
    <row r="561" spans="1:7" x14ac:dyDescent="0.2">
      <c r="A561" s="29"/>
      <c r="B561" s="101"/>
      <c r="C561" s="41"/>
      <c r="D561" s="370"/>
      <c r="E561" s="156"/>
      <c r="F561" s="128"/>
      <c r="G561" s="35"/>
    </row>
    <row r="562" spans="1:7" x14ac:dyDescent="0.2">
      <c r="A562" s="29"/>
      <c r="B562" s="101"/>
      <c r="C562" s="371"/>
      <c r="D562" s="370"/>
      <c r="E562" s="108"/>
      <c r="F562" s="149"/>
      <c r="G562" s="35"/>
    </row>
    <row r="563" spans="1:7" x14ac:dyDescent="0.2">
      <c r="A563" s="29"/>
      <c r="B563" s="101"/>
      <c r="C563" s="41"/>
      <c r="D563" s="370"/>
      <c r="E563" s="108"/>
      <c r="F563" s="128"/>
      <c r="G563" s="372"/>
    </row>
    <row r="564" spans="1:7" x14ac:dyDescent="0.2">
      <c r="A564" s="29"/>
      <c r="B564" s="105"/>
      <c r="C564" s="371"/>
      <c r="D564" s="376"/>
      <c r="E564" s="102"/>
      <c r="F564" s="128"/>
      <c r="G564" s="35"/>
    </row>
    <row r="565" spans="1:7" x14ac:dyDescent="0.2">
      <c r="A565" s="29"/>
      <c r="B565" s="105"/>
      <c r="C565" s="41"/>
      <c r="D565" s="136"/>
      <c r="E565" s="102"/>
      <c r="F565" s="128"/>
      <c r="G565" s="35"/>
    </row>
    <row r="566" spans="1:7" x14ac:dyDescent="0.2">
      <c r="A566" s="29"/>
      <c r="B566" s="151"/>
      <c r="C566" s="119"/>
      <c r="D566" s="376"/>
      <c r="E566" s="108"/>
      <c r="F566" s="150"/>
      <c r="G566" s="35"/>
    </row>
    <row r="567" spans="1:7" x14ac:dyDescent="0.2">
      <c r="A567" s="29"/>
      <c r="B567" s="151"/>
      <c r="C567" s="119"/>
      <c r="D567" s="383"/>
      <c r="E567" s="108"/>
      <c r="F567" s="150"/>
      <c r="G567" s="35"/>
    </row>
    <row r="568" spans="1:7" x14ac:dyDescent="0.2">
      <c r="A568" s="29"/>
      <c r="B568" s="101"/>
      <c r="C568" s="41"/>
      <c r="D568" s="383"/>
      <c r="E568" s="155"/>
      <c r="F568" s="128"/>
      <c r="G568" s="35"/>
    </row>
    <row r="569" spans="1:7" x14ac:dyDescent="0.2">
      <c r="A569" s="29"/>
      <c r="B569" s="106"/>
      <c r="C569" s="41"/>
      <c r="D569" s="136"/>
      <c r="E569" s="104"/>
      <c r="F569" s="128"/>
      <c r="G569" s="35"/>
    </row>
    <row r="570" spans="1:7" x14ac:dyDescent="0.2">
      <c r="A570" s="29"/>
      <c r="B570" s="105"/>
      <c r="C570" s="41"/>
      <c r="D570" s="136"/>
      <c r="E570" s="108"/>
      <c r="F570" s="152"/>
      <c r="G570" s="35"/>
    </row>
    <row r="571" spans="1:7" x14ac:dyDescent="0.2">
      <c r="A571" s="29"/>
      <c r="B571" s="107"/>
      <c r="C571" s="41"/>
      <c r="D571" s="136"/>
      <c r="E571" s="153"/>
      <c r="F571" s="128"/>
      <c r="G571" s="35"/>
    </row>
    <row r="572" spans="1:7" x14ac:dyDescent="0.2">
      <c r="A572" s="29"/>
      <c r="B572" s="107"/>
      <c r="C572" s="41"/>
      <c r="D572" s="67"/>
      <c r="E572" s="153"/>
      <c r="F572" s="128"/>
      <c r="G572" s="35"/>
    </row>
    <row r="573" spans="1:7" x14ac:dyDescent="0.2">
      <c r="A573" s="29"/>
      <c r="B573" s="101"/>
      <c r="C573" s="41"/>
      <c r="D573" s="67"/>
      <c r="E573" s="108"/>
      <c r="F573" s="128"/>
      <c r="G573" s="35"/>
    </row>
    <row r="574" spans="1:7" x14ac:dyDescent="0.2">
      <c r="A574" s="29"/>
      <c r="B574" s="101"/>
      <c r="C574" s="41"/>
      <c r="D574" s="67"/>
      <c r="E574" s="153"/>
      <c r="F574" s="128"/>
      <c r="G574" s="35"/>
    </row>
    <row r="575" spans="1:7" x14ac:dyDescent="0.2">
      <c r="A575" s="29"/>
      <c r="B575" s="106"/>
      <c r="C575" s="41"/>
      <c r="D575" s="67"/>
      <c r="E575" s="104"/>
      <c r="F575" s="154"/>
      <c r="G575" s="35"/>
    </row>
    <row r="576" spans="1:7" x14ac:dyDescent="0.2">
      <c r="A576" s="29"/>
      <c r="B576" s="105"/>
      <c r="C576" s="41"/>
      <c r="D576" s="130"/>
      <c r="E576" s="104"/>
      <c r="F576" s="154"/>
      <c r="G576" s="35"/>
    </row>
    <row r="577" spans="1:7" x14ac:dyDescent="0.2">
      <c r="A577" s="29"/>
      <c r="B577" s="105"/>
      <c r="C577" s="41"/>
      <c r="D577" s="67"/>
      <c r="E577" s="104"/>
      <c r="F577" s="154"/>
      <c r="G577" s="35"/>
    </row>
    <row r="578" spans="1:7" x14ac:dyDescent="0.2">
      <c r="A578" s="29"/>
      <c r="B578" s="101"/>
      <c r="C578" s="41"/>
      <c r="D578" s="67"/>
      <c r="E578" s="104"/>
      <c r="F578" s="154"/>
      <c r="G578" s="35"/>
    </row>
    <row r="579" spans="1:7" x14ac:dyDescent="0.2">
      <c r="A579" s="29"/>
      <c r="B579" s="101"/>
      <c r="C579" s="41"/>
      <c r="D579" s="136"/>
      <c r="E579" s="104"/>
      <c r="F579" s="154"/>
      <c r="G579" s="35"/>
    </row>
    <row r="580" spans="1:7" x14ac:dyDescent="0.2">
      <c r="A580" s="29"/>
      <c r="B580" s="101"/>
      <c r="C580" s="41"/>
      <c r="D580" s="136"/>
      <c r="E580" s="104"/>
      <c r="F580" s="154"/>
      <c r="G580" s="35"/>
    </row>
    <row r="581" spans="1:7" x14ac:dyDescent="0.2">
      <c r="A581" s="29"/>
      <c r="B581" s="101"/>
      <c r="C581" s="41"/>
      <c r="D581" s="136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136"/>
      <c r="E583" s="104"/>
      <c r="F583" s="154"/>
      <c r="G583" s="35"/>
    </row>
    <row r="584" spans="1:7" x14ac:dyDescent="0.2">
      <c r="A584" s="29"/>
      <c r="B584" s="101"/>
      <c r="C584" s="41"/>
      <c r="D584" s="136"/>
      <c r="E584" s="104"/>
      <c r="F584" s="154"/>
      <c r="G584" s="35"/>
    </row>
    <row r="585" spans="1:7" x14ac:dyDescent="0.2">
      <c r="A585" s="29"/>
      <c r="B585" s="101"/>
      <c r="C585" s="41"/>
      <c r="D585" s="62"/>
      <c r="E585" s="104"/>
      <c r="F585" s="154"/>
      <c r="G585" s="35"/>
    </row>
    <row r="586" spans="1:7" x14ac:dyDescent="0.2">
      <c r="A586" s="29"/>
      <c r="B586" s="101"/>
      <c r="C586" s="41"/>
      <c r="D586" s="67"/>
      <c r="E586" s="104"/>
      <c r="F586" s="154"/>
      <c r="G586" s="35"/>
    </row>
    <row r="587" spans="1:7" x14ac:dyDescent="0.2">
      <c r="A587" s="29"/>
      <c r="B587" s="101"/>
      <c r="C587" s="41"/>
      <c r="D587" s="159"/>
      <c r="E587" s="104"/>
      <c r="F587" s="154"/>
      <c r="G587" s="35"/>
    </row>
    <row r="588" spans="1:7" x14ac:dyDescent="0.2">
      <c r="A588" s="29"/>
      <c r="B588" s="101"/>
      <c r="C588" s="41"/>
      <c r="D588" s="160"/>
      <c r="E588" s="108"/>
      <c r="F588" s="128"/>
      <c r="G588" s="35"/>
    </row>
    <row r="589" spans="1:7" x14ac:dyDescent="0.2">
      <c r="A589" s="29"/>
      <c r="B589" s="101"/>
      <c r="C589" s="41"/>
      <c r="D589" s="136"/>
      <c r="E589" s="153"/>
      <c r="F589" s="128"/>
      <c r="G589" s="35"/>
    </row>
    <row r="590" spans="1:7" x14ac:dyDescent="0.2">
      <c r="A590" s="29"/>
      <c r="B590" s="101"/>
      <c r="C590" s="41"/>
      <c r="D590" s="136"/>
      <c r="E590" s="102"/>
      <c r="F590" s="128"/>
      <c r="G590" s="35"/>
    </row>
    <row r="591" spans="1:7" x14ac:dyDescent="0.2">
      <c r="A591" s="29"/>
      <c r="B591" s="101"/>
      <c r="C591" s="31"/>
      <c r="D591" s="67"/>
      <c r="E591" s="131"/>
      <c r="F591" s="117"/>
      <c r="G591" s="35"/>
    </row>
    <row r="592" spans="1:7" x14ac:dyDescent="0.2">
      <c r="A592" s="29"/>
      <c r="B592" s="101"/>
      <c r="C592" s="41"/>
      <c r="D592" s="118"/>
      <c r="E592" s="108"/>
      <c r="F592" s="149"/>
      <c r="G592" s="35"/>
    </row>
    <row r="593" spans="1:7" x14ac:dyDescent="0.2">
      <c r="A593" s="29"/>
      <c r="B593" s="101"/>
      <c r="C593" s="41"/>
      <c r="D593" s="144"/>
      <c r="E593" s="108"/>
      <c r="F593" s="149"/>
      <c r="G593" s="35"/>
    </row>
    <row r="594" spans="1:7" ht="13.5" thickBot="1" x14ac:dyDescent="0.25">
      <c r="A594" s="45"/>
      <c r="B594" s="132"/>
      <c r="C594" s="115"/>
      <c r="D594" s="115"/>
      <c r="E594" s="132"/>
      <c r="F594" s="49" t="s">
        <v>15</v>
      </c>
      <c r="G594" s="50">
        <f>SUM(G560:G593)</f>
        <v>30000</v>
      </c>
    </row>
    <row r="595" spans="1:7" ht="13.5" thickTop="1" x14ac:dyDescent="0.2">
      <c r="A595" s="875" t="s">
        <v>1651</v>
      </c>
      <c r="B595" s="899"/>
      <c r="C595" s="899"/>
      <c r="D595" s="899"/>
      <c r="E595" s="899"/>
      <c r="F595" s="899"/>
      <c r="G595" s="900"/>
    </row>
    <row r="596" spans="1:7" ht="13.5" thickBot="1" x14ac:dyDescent="0.25">
      <c r="A596" s="52"/>
      <c r="B596" s="103"/>
      <c r="C596" s="374" t="s">
        <v>1652</v>
      </c>
      <c r="D596" s="54"/>
      <c r="E596" s="103"/>
      <c r="F596" s="55"/>
      <c r="G596" s="56"/>
    </row>
    <row r="597" spans="1:7" ht="13.5" thickTop="1" x14ac:dyDescent="0.2">
      <c r="A597" s="906"/>
      <c r="B597" s="907"/>
      <c r="C597" s="907"/>
      <c r="D597" s="57" t="s">
        <v>11</v>
      </c>
      <c r="E597" s="908" t="s">
        <v>12</v>
      </c>
      <c r="F597" s="908"/>
      <c r="G597" s="909"/>
    </row>
    <row r="598" spans="1:7" x14ac:dyDescent="0.2">
      <c r="A598" s="910" t="s">
        <v>17</v>
      </c>
      <c r="B598" s="911"/>
      <c r="C598" s="911"/>
      <c r="D598" s="39"/>
      <c r="E598" s="912"/>
      <c r="F598" s="913"/>
      <c r="G598" s="914"/>
    </row>
    <row r="599" spans="1:7" x14ac:dyDescent="0.2">
      <c r="A599" s="910" t="s">
        <v>38</v>
      </c>
      <c r="B599" s="911"/>
      <c r="C599" s="911"/>
      <c r="D599" s="58" t="s">
        <v>336</v>
      </c>
      <c r="E599" s="868" t="s">
        <v>142</v>
      </c>
      <c r="F599" s="868"/>
      <c r="G599" s="869"/>
    </row>
    <row r="600" spans="1:7" ht="13.5" thickBot="1" x14ac:dyDescent="0.25">
      <c r="A600" s="901" t="s">
        <v>39</v>
      </c>
      <c r="B600" s="902"/>
      <c r="C600" s="902"/>
      <c r="D600" s="59" t="s">
        <v>337</v>
      </c>
      <c r="E600" s="904" t="s">
        <v>0</v>
      </c>
      <c r="F600" s="904"/>
      <c r="G600" s="905"/>
    </row>
    <row r="601" spans="1:7" ht="16.5" x14ac:dyDescent="0.25">
      <c r="A601" s="885" t="s">
        <v>29</v>
      </c>
      <c r="B601" s="886"/>
      <c r="C601" s="886"/>
      <c r="D601" s="886"/>
      <c r="E601" s="886"/>
      <c r="F601" s="886"/>
      <c r="G601" s="887"/>
    </row>
    <row r="602" spans="1:7" x14ac:dyDescent="0.2">
      <c r="A602" s="888" t="s">
        <v>48</v>
      </c>
      <c r="B602" s="889"/>
      <c r="C602" s="889"/>
      <c r="D602" s="889"/>
      <c r="E602" s="889"/>
      <c r="F602" s="889"/>
      <c r="G602" s="890"/>
    </row>
    <row r="603" spans="1:7" x14ac:dyDescent="0.2">
      <c r="A603" s="915" t="s">
        <v>49</v>
      </c>
      <c r="B603" s="916"/>
      <c r="C603" s="916"/>
      <c r="D603" s="916"/>
      <c r="E603" s="916"/>
      <c r="F603" s="916"/>
      <c r="G603" s="917"/>
    </row>
    <row r="604" spans="1:7" x14ac:dyDescent="0.2">
      <c r="A604" s="6"/>
      <c r="B604" s="99"/>
      <c r="C604" s="8"/>
      <c r="D604" s="9"/>
      <c r="E604" s="99"/>
      <c r="F604" s="10"/>
      <c r="G604" s="11" t="s">
        <v>20</v>
      </c>
    </row>
    <row r="605" spans="1:7" x14ac:dyDescent="0.2">
      <c r="A605" s="12" t="s">
        <v>1</v>
      </c>
      <c r="B605" s="13"/>
      <c r="C605" s="14" t="s">
        <v>61</v>
      </c>
      <c r="D605" s="13"/>
      <c r="E605" s="362" t="s">
        <v>1784</v>
      </c>
      <c r="F605" s="98"/>
      <c r="G605" s="363" t="s">
        <v>1781</v>
      </c>
    </row>
    <row r="606" spans="1:7" x14ac:dyDescent="0.2">
      <c r="A606" s="17" t="s">
        <v>8</v>
      </c>
      <c r="B606" s="100"/>
      <c r="C606" s="19"/>
      <c r="D606" s="4"/>
      <c r="E606" s="918"/>
      <c r="F606" s="919"/>
      <c r="G606" s="20"/>
    </row>
    <row r="607" spans="1:7" x14ac:dyDescent="0.2">
      <c r="A607" s="21" t="s">
        <v>37</v>
      </c>
      <c r="B607" s="22"/>
      <c r="C607" s="22"/>
      <c r="D607" s="22"/>
      <c r="E607" s="23" t="s">
        <v>46</v>
      </c>
      <c r="F607" s="24"/>
      <c r="G607" s="20" t="s">
        <v>50</v>
      </c>
    </row>
    <row r="608" spans="1:7" x14ac:dyDescent="0.2">
      <c r="A608" s="6"/>
      <c r="B608" s="99"/>
      <c r="C608" s="8"/>
      <c r="D608" s="8"/>
      <c r="E608" s="920"/>
      <c r="F608" s="921"/>
      <c r="G608" s="25"/>
    </row>
    <row r="609" spans="1:7" ht="26.25" thickBot="1" x14ac:dyDescent="0.25">
      <c r="A609" s="207" t="s">
        <v>47</v>
      </c>
      <c r="B609" s="28" t="s">
        <v>23</v>
      </c>
      <c r="C609" s="28" t="s">
        <v>34</v>
      </c>
      <c r="D609" s="110" t="s">
        <v>53</v>
      </c>
      <c r="E609" s="114" t="s">
        <v>54</v>
      </c>
      <c r="F609" s="111" t="s">
        <v>55</v>
      </c>
      <c r="G609" s="112" t="s">
        <v>35</v>
      </c>
    </row>
    <row r="610" spans="1:7" ht="13.5" thickTop="1" x14ac:dyDescent="0.2">
      <c r="A610" s="29">
        <v>1</v>
      </c>
      <c r="B610" s="101"/>
      <c r="C610" s="371" t="s">
        <v>149</v>
      </c>
      <c r="D610" s="376" t="s">
        <v>1649</v>
      </c>
      <c r="E610" s="158">
        <v>150</v>
      </c>
      <c r="F610" s="128">
        <v>200</v>
      </c>
      <c r="G610" s="35">
        <f>F610*E610</f>
        <v>30000</v>
      </c>
    </row>
    <row r="611" spans="1:7" x14ac:dyDescent="0.2">
      <c r="A611" s="29"/>
      <c r="B611" s="101"/>
      <c r="C611" s="41"/>
      <c r="D611" s="370"/>
      <c r="E611" s="156"/>
      <c r="F611" s="128"/>
      <c r="G611" s="35"/>
    </row>
    <row r="612" spans="1:7" x14ac:dyDescent="0.2">
      <c r="A612" s="29"/>
      <c r="B612" s="101"/>
      <c r="C612" s="371"/>
      <c r="D612" s="370"/>
      <c r="E612" s="108"/>
      <c r="F612" s="149"/>
      <c r="G612" s="35"/>
    </row>
    <row r="613" spans="1:7" x14ac:dyDescent="0.2">
      <c r="A613" s="29"/>
      <c r="B613" s="101"/>
      <c r="C613" s="41"/>
      <c r="D613" s="370"/>
      <c r="E613" s="108"/>
      <c r="F613" s="128"/>
      <c r="G613" s="372"/>
    </row>
    <row r="614" spans="1:7" x14ac:dyDescent="0.2">
      <c r="A614" s="29"/>
      <c r="B614" s="105"/>
      <c r="C614" s="371"/>
      <c r="D614" s="376"/>
      <c r="E614" s="102"/>
      <c r="F614" s="128"/>
      <c r="G614" s="35"/>
    </row>
    <row r="615" spans="1:7" x14ac:dyDescent="0.2">
      <c r="A615" s="29"/>
      <c r="B615" s="105"/>
      <c r="C615" s="41"/>
      <c r="D615" s="136"/>
      <c r="E615" s="102"/>
      <c r="F615" s="128"/>
      <c r="G615" s="35"/>
    </row>
    <row r="616" spans="1:7" x14ac:dyDescent="0.2">
      <c r="A616" s="29"/>
      <c r="B616" s="151"/>
      <c r="C616" s="119"/>
      <c r="D616" s="376"/>
      <c r="E616" s="108"/>
      <c r="F616" s="150"/>
      <c r="G616" s="35"/>
    </row>
    <row r="617" spans="1:7" x14ac:dyDescent="0.2">
      <c r="A617" s="29"/>
      <c r="B617" s="151"/>
      <c r="C617" s="119"/>
      <c r="D617" s="383"/>
      <c r="E617" s="108"/>
      <c r="F617" s="150"/>
      <c r="G617" s="35"/>
    </row>
    <row r="618" spans="1:7" x14ac:dyDescent="0.2">
      <c r="A618" s="29"/>
      <c r="B618" s="101"/>
      <c r="C618" s="41"/>
      <c r="D618" s="383"/>
      <c r="E618" s="155"/>
      <c r="F618" s="128"/>
      <c r="G618" s="35"/>
    </row>
    <row r="619" spans="1:7" x14ac:dyDescent="0.2">
      <c r="A619" s="29"/>
      <c r="B619" s="106"/>
      <c r="C619" s="41"/>
      <c r="D619" s="136"/>
      <c r="E619" s="104"/>
      <c r="F619" s="128"/>
      <c r="G619" s="35"/>
    </row>
    <row r="620" spans="1:7" x14ac:dyDescent="0.2">
      <c r="A620" s="29"/>
      <c r="B620" s="105"/>
      <c r="C620" s="41"/>
      <c r="D620" s="136"/>
      <c r="E620" s="108"/>
      <c r="F620" s="152"/>
      <c r="G620" s="35"/>
    </row>
    <row r="621" spans="1:7" x14ac:dyDescent="0.2">
      <c r="A621" s="29"/>
      <c r="B621" s="107"/>
      <c r="C621" s="41"/>
      <c r="D621" s="136"/>
      <c r="E621" s="153"/>
      <c r="F621" s="128"/>
      <c r="G621" s="35"/>
    </row>
    <row r="622" spans="1:7" x14ac:dyDescent="0.2">
      <c r="A622" s="29"/>
      <c r="B622" s="107"/>
      <c r="C622" s="41"/>
      <c r="D622" s="67"/>
      <c r="E622" s="153"/>
      <c r="F622" s="128"/>
      <c r="G622" s="35"/>
    </row>
    <row r="623" spans="1:7" x14ac:dyDescent="0.2">
      <c r="A623" s="29"/>
      <c r="B623" s="101"/>
      <c r="C623" s="41"/>
      <c r="D623" s="67"/>
      <c r="E623" s="108"/>
      <c r="F623" s="128"/>
      <c r="G623" s="35"/>
    </row>
    <row r="624" spans="1:7" x14ac:dyDescent="0.2">
      <c r="A624" s="29"/>
      <c r="B624" s="101"/>
      <c r="C624" s="41"/>
      <c r="D624" s="67"/>
      <c r="E624" s="153"/>
      <c r="F624" s="128"/>
      <c r="G624" s="35"/>
    </row>
    <row r="625" spans="1:7" x14ac:dyDescent="0.2">
      <c r="A625" s="29"/>
      <c r="B625" s="106"/>
      <c r="C625" s="41"/>
      <c r="D625" s="67"/>
      <c r="E625" s="104"/>
      <c r="F625" s="154"/>
      <c r="G625" s="35"/>
    </row>
    <row r="626" spans="1:7" x14ac:dyDescent="0.2">
      <c r="A626" s="29"/>
      <c r="B626" s="105"/>
      <c r="C626" s="41"/>
      <c r="D626" s="130"/>
      <c r="E626" s="104"/>
      <c r="F626" s="154"/>
      <c r="G626" s="35"/>
    </row>
    <row r="627" spans="1:7" x14ac:dyDescent="0.2">
      <c r="A627" s="29"/>
      <c r="B627" s="105"/>
      <c r="C627" s="41"/>
      <c r="D627" s="67"/>
      <c r="E627" s="104"/>
      <c r="F627" s="154"/>
      <c r="G627" s="35"/>
    </row>
    <row r="628" spans="1:7" x14ac:dyDescent="0.2">
      <c r="A628" s="29"/>
      <c r="B628" s="101"/>
      <c r="C628" s="41"/>
      <c r="D628" s="67"/>
      <c r="E628" s="104"/>
      <c r="F628" s="154"/>
      <c r="G628" s="35"/>
    </row>
    <row r="629" spans="1:7" x14ac:dyDescent="0.2">
      <c r="A629" s="29"/>
      <c r="B629" s="101"/>
      <c r="C629" s="41"/>
      <c r="D629" s="136"/>
      <c r="E629" s="104"/>
      <c r="F629" s="154"/>
      <c r="G629" s="35"/>
    </row>
    <row r="630" spans="1:7" x14ac:dyDescent="0.2">
      <c r="A630" s="29"/>
      <c r="B630" s="101"/>
      <c r="C630" s="41"/>
      <c r="D630" s="136"/>
      <c r="E630" s="104"/>
      <c r="F630" s="154"/>
      <c r="G630" s="35"/>
    </row>
    <row r="631" spans="1:7" x14ac:dyDescent="0.2">
      <c r="A631" s="29"/>
      <c r="B631" s="101"/>
      <c r="C631" s="41"/>
      <c r="D631" s="136"/>
      <c r="E631" s="104"/>
      <c r="F631" s="154"/>
      <c r="G631" s="35"/>
    </row>
    <row r="632" spans="1:7" x14ac:dyDescent="0.2">
      <c r="A632" s="29"/>
      <c r="B632" s="101"/>
      <c r="C632" s="41"/>
      <c r="D632" s="136"/>
      <c r="E632" s="104"/>
      <c r="F632" s="154"/>
      <c r="G632" s="35"/>
    </row>
    <row r="633" spans="1:7" x14ac:dyDescent="0.2">
      <c r="A633" s="29"/>
      <c r="B633" s="101"/>
      <c r="C633" s="41"/>
      <c r="D633" s="136"/>
      <c r="E633" s="104"/>
      <c r="F633" s="154"/>
      <c r="G633" s="35"/>
    </row>
    <row r="634" spans="1:7" x14ac:dyDescent="0.2">
      <c r="A634" s="29"/>
      <c r="B634" s="101"/>
      <c r="C634" s="41"/>
      <c r="D634" s="136"/>
      <c r="E634" s="104"/>
      <c r="F634" s="154"/>
      <c r="G634" s="35"/>
    </row>
    <row r="635" spans="1:7" x14ac:dyDescent="0.2">
      <c r="A635" s="29"/>
      <c r="B635" s="101"/>
      <c r="C635" s="41"/>
      <c r="D635" s="62"/>
      <c r="E635" s="104"/>
      <c r="F635" s="154"/>
      <c r="G635" s="35"/>
    </row>
    <row r="636" spans="1:7" x14ac:dyDescent="0.2">
      <c r="A636" s="29"/>
      <c r="B636" s="101"/>
      <c r="C636" s="41"/>
      <c r="D636" s="67"/>
      <c r="E636" s="104"/>
      <c r="F636" s="154"/>
      <c r="G636" s="35"/>
    </row>
    <row r="637" spans="1:7" x14ac:dyDescent="0.2">
      <c r="A637" s="29"/>
      <c r="B637" s="101"/>
      <c r="C637" s="41"/>
      <c r="D637" s="159"/>
      <c r="E637" s="104"/>
      <c r="F637" s="154"/>
      <c r="G637" s="35"/>
    </row>
    <row r="638" spans="1:7" x14ac:dyDescent="0.2">
      <c r="A638" s="29"/>
      <c r="B638" s="101"/>
      <c r="C638" s="41"/>
      <c r="D638" s="160"/>
      <c r="E638" s="108"/>
      <c r="F638" s="128"/>
      <c r="G638" s="35"/>
    </row>
    <row r="639" spans="1:7" x14ac:dyDescent="0.2">
      <c r="A639" s="29"/>
      <c r="B639" s="101"/>
      <c r="C639" s="41"/>
      <c r="D639" s="136"/>
      <c r="E639" s="153"/>
      <c r="F639" s="128"/>
      <c r="G639" s="35"/>
    </row>
    <row r="640" spans="1:7" x14ac:dyDescent="0.2">
      <c r="A640" s="29"/>
      <c r="B640" s="101"/>
      <c r="C640" s="41"/>
      <c r="D640" s="136"/>
      <c r="E640" s="102"/>
      <c r="F640" s="128"/>
      <c r="G640" s="35"/>
    </row>
    <row r="641" spans="1:7" x14ac:dyDescent="0.2">
      <c r="A641" s="29"/>
      <c r="B641" s="101"/>
      <c r="C641" s="31"/>
      <c r="D641" s="67"/>
      <c r="E641" s="131"/>
      <c r="F641" s="117"/>
      <c r="G641" s="35"/>
    </row>
    <row r="642" spans="1:7" x14ac:dyDescent="0.2">
      <c r="A642" s="29"/>
      <c r="B642" s="101"/>
      <c r="C642" s="41"/>
      <c r="D642" s="118"/>
      <c r="E642" s="108"/>
      <c r="F642" s="149"/>
      <c r="G642" s="35"/>
    </row>
    <row r="643" spans="1:7" x14ac:dyDescent="0.2">
      <c r="A643" s="29"/>
      <c r="B643" s="101"/>
      <c r="C643" s="41"/>
      <c r="D643" s="144"/>
      <c r="E643" s="108"/>
      <c r="F643" s="149"/>
      <c r="G643" s="35"/>
    </row>
    <row r="644" spans="1:7" ht="13.5" thickBot="1" x14ac:dyDescent="0.25">
      <c r="A644" s="45"/>
      <c r="B644" s="132"/>
      <c r="C644" s="115"/>
      <c r="D644" s="115"/>
      <c r="E644" s="132"/>
      <c r="F644" s="49" t="s">
        <v>15</v>
      </c>
      <c r="G644" s="50">
        <f>SUM(G610:G643)</f>
        <v>30000</v>
      </c>
    </row>
    <row r="645" spans="1:7" ht="13.5" thickTop="1" x14ac:dyDescent="0.2">
      <c r="A645" s="875" t="s">
        <v>1653</v>
      </c>
      <c r="B645" s="899"/>
      <c r="C645" s="899"/>
      <c r="D645" s="899"/>
      <c r="E645" s="899"/>
      <c r="F645" s="899"/>
      <c r="G645" s="900"/>
    </row>
    <row r="646" spans="1:7" ht="13.5" thickBot="1" x14ac:dyDescent="0.25">
      <c r="A646" s="52"/>
      <c r="B646" s="103"/>
      <c r="C646" s="374" t="s">
        <v>1654</v>
      </c>
      <c r="D646" s="54"/>
      <c r="E646" s="103"/>
      <c r="F646" s="55"/>
      <c r="G646" s="56"/>
    </row>
    <row r="647" spans="1:7" ht="13.5" thickTop="1" x14ac:dyDescent="0.2">
      <c r="A647" s="906"/>
      <c r="B647" s="907"/>
      <c r="C647" s="907"/>
      <c r="D647" s="57" t="s">
        <v>11</v>
      </c>
      <c r="E647" s="908" t="s">
        <v>12</v>
      </c>
      <c r="F647" s="908"/>
      <c r="G647" s="909"/>
    </row>
    <row r="648" spans="1:7" x14ac:dyDescent="0.2">
      <c r="A648" s="910" t="s">
        <v>17</v>
      </c>
      <c r="B648" s="911"/>
      <c r="C648" s="911"/>
      <c r="D648" s="39"/>
      <c r="E648" s="912"/>
      <c r="F648" s="913"/>
      <c r="G648" s="914"/>
    </row>
    <row r="649" spans="1:7" x14ac:dyDescent="0.2">
      <c r="A649" s="910" t="s">
        <v>38</v>
      </c>
      <c r="B649" s="911"/>
      <c r="C649" s="911"/>
      <c r="D649" s="58" t="s">
        <v>336</v>
      </c>
      <c r="E649" s="868" t="s">
        <v>142</v>
      </c>
      <c r="F649" s="868"/>
      <c r="G649" s="869"/>
    </row>
    <row r="650" spans="1:7" ht="13.5" thickBot="1" x14ac:dyDescent="0.25">
      <c r="A650" s="901" t="s">
        <v>39</v>
      </c>
      <c r="B650" s="902"/>
      <c r="C650" s="902"/>
      <c r="D650" s="59" t="s">
        <v>337</v>
      </c>
      <c r="E650" s="904" t="s">
        <v>0</v>
      </c>
      <c r="F650" s="904"/>
      <c r="G650" s="905"/>
    </row>
    <row r="651" spans="1:7" ht="16.5" x14ac:dyDescent="0.25">
      <c r="A651" s="885" t="s">
        <v>29</v>
      </c>
      <c r="B651" s="886"/>
      <c r="C651" s="886"/>
      <c r="D651" s="886"/>
      <c r="E651" s="886"/>
      <c r="F651" s="886"/>
      <c r="G651" s="887"/>
    </row>
    <row r="652" spans="1:7" x14ac:dyDescent="0.2">
      <c r="A652" s="888" t="s">
        <v>48</v>
      </c>
      <c r="B652" s="889"/>
      <c r="C652" s="889"/>
      <c r="D652" s="889"/>
      <c r="E652" s="889"/>
      <c r="F652" s="889"/>
      <c r="G652" s="890"/>
    </row>
    <row r="653" spans="1:7" x14ac:dyDescent="0.2">
      <c r="A653" s="915" t="s">
        <v>49</v>
      </c>
      <c r="B653" s="916"/>
      <c r="C653" s="916"/>
      <c r="D653" s="916"/>
      <c r="E653" s="916"/>
      <c r="F653" s="916"/>
      <c r="G653" s="917"/>
    </row>
    <row r="654" spans="1:7" x14ac:dyDescent="0.2">
      <c r="A654" s="6"/>
      <c r="B654" s="99"/>
      <c r="C654" s="8"/>
      <c r="D654" s="9"/>
      <c r="E654" s="99"/>
      <c r="F654" s="10"/>
      <c r="G654" s="11" t="s">
        <v>20</v>
      </c>
    </row>
    <row r="655" spans="1:7" x14ac:dyDescent="0.2">
      <c r="A655" s="12" t="s">
        <v>1</v>
      </c>
      <c r="B655" s="13"/>
      <c r="C655" s="14" t="s">
        <v>61</v>
      </c>
      <c r="D655" s="13"/>
      <c r="E655" s="362" t="s">
        <v>2435</v>
      </c>
      <c r="F655" s="98"/>
      <c r="G655" s="363" t="s">
        <v>2434</v>
      </c>
    </row>
    <row r="656" spans="1:7" x14ac:dyDescent="0.2">
      <c r="A656" s="17" t="s">
        <v>8</v>
      </c>
      <c r="B656" s="100"/>
      <c r="C656" s="19"/>
      <c r="D656" s="4"/>
      <c r="E656" s="918"/>
      <c r="F656" s="919"/>
      <c r="G656" s="20"/>
    </row>
    <row r="657" spans="1:8" x14ac:dyDescent="0.2">
      <c r="A657" s="21" t="s">
        <v>37</v>
      </c>
      <c r="B657" s="22"/>
      <c r="C657" s="22"/>
      <c r="D657" s="22"/>
      <c r="E657" s="23" t="s">
        <v>46</v>
      </c>
      <c r="F657" s="24"/>
      <c r="G657" s="20" t="s">
        <v>50</v>
      </c>
    </row>
    <row r="658" spans="1:8" x14ac:dyDescent="0.2">
      <c r="A658" s="6"/>
      <c r="B658" s="99"/>
      <c r="C658" s="8"/>
      <c r="D658" s="8"/>
      <c r="E658" s="920"/>
      <c r="F658" s="921"/>
      <c r="G658" s="25"/>
    </row>
    <row r="659" spans="1:8" ht="26.25" thickBot="1" x14ac:dyDescent="0.25">
      <c r="A659" s="207" t="s">
        <v>47</v>
      </c>
      <c r="B659" s="28" t="s">
        <v>23</v>
      </c>
      <c r="C659" s="28" t="s">
        <v>34</v>
      </c>
      <c r="D659" s="110" t="s">
        <v>53</v>
      </c>
      <c r="E659" s="114" t="s">
        <v>54</v>
      </c>
      <c r="F659" s="111" t="s">
        <v>55</v>
      </c>
      <c r="G659" s="112" t="s">
        <v>35</v>
      </c>
    </row>
    <row r="660" spans="1:8" ht="13.5" thickTop="1" x14ac:dyDescent="0.2">
      <c r="A660" s="29">
        <v>1</v>
      </c>
      <c r="B660" s="101"/>
      <c r="C660" s="371" t="s">
        <v>2008</v>
      </c>
      <c r="D660" s="376" t="s">
        <v>2444</v>
      </c>
      <c r="E660" s="158">
        <v>1</v>
      </c>
      <c r="F660" s="128">
        <v>496</v>
      </c>
      <c r="G660" s="35">
        <f>F660*E660</f>
        <v>496</v>
      </c>
      <c r="H660" s="637">
        <f>G660</f>
        <v>496</v>
      </c>
    </row>
    <row r="661" spans="1:8" x14ac:dyDescent="0.2">
      <c r="A661" s="29"/>
      <c r="B661" s="101"/>
      <c r="C661" s="371"/>
      <c r="D661" s="376" t="s">
        <v>2443</v>
      </c>
      <c r="E661" s="158"/>
      <c r="F661" s="128"/>
      <c r="G661" s="35"/>
      <c r="H661" s="637"/>
    </row>
    <row r="662" spans="1:8" x14ac:dyDescent="0.2">
      <c r="A662" s="29">
        <f>A660+1</f>
        <v>2</v>
      </c>
      <c r="B662" s="101"/>
      <c r="C662" s="371" t="s">
        <v>149</v>
      </c>
      <c r="D662" s="370" t="s">
        <v>2414</v>
      </c>
      <c r="E662" s="108">
        <v>4</v>
      </c>
      <c r="F662" s="128">
        <v>335</v>
      </c>
      <c r="G662" s="35">
        <f t="shared" ref="G662:G670" si="1">F662*E662</f>
        <v>1340</v>
      </c>
      <c r="H662" s="637">
        <f>G662</f>
        <v>1340</v>
      </c>
    </row>
    <row r="663" spans="1:8" x14ac:dyDescent="0.2">
      <c r="A663" s="29">
        <f t="shared" ref="A663:A670" si="2">A662+1</f>
        <v>3</v>
      </c>
      <c r="B663" s="101"/>
      <c r="C663" s="371" t="s">
        <v>149</v>
      </c>
      <c r="D663" s="370" t="s">
        <v>2415</v>
      </c>
      <c r="E663" s="108">
        <v>1</v>
      </c>
      <c r="F663" s="149">
        <v>50</v>
      </c>
      <c r="G663" s="35">
        <f t="shared" si="1"/>
        <v>50</v>
      </c>
    </row>
    <row r="664" spans="1:8" x14ac:dyDescent="0.2">
      <c r="A664" s="29">
        <f t="shared" si="2"/>
        <v>4</v>
      </c>
      <c r="B664" s="101"/>
      <c r="C664" s="371" t="s">
        <v>1931</v>
      </c>
      <c r="D664" s="370" t="s">
        <v>2125</v>
      </c>
      <c r="E664" s="108">
        <v>2</v>
      </c>
      <c r="F664" s="128">
        <v>30</v>
      </c>
      <c r="G664" s="35">
        <f t="shared" si="1"/>
        <v>60</v>
      </c>
    </row>
    <row r="665" spans="1:8" x14ac:dyDescent="0.2">
      <c r="A665" s="29">
        <f t="shared" si="2"/>
        <v>5</v>
      </c>
      <c r="B665" s="105"/>
      <c r="C665" s="371" t="s">
        <v>1923</v>
      </c>
      <c r="D665" s="376" t="s">
        <v>2416</v>
      </c>
      <c r="E665" s="102">
        <v>0.27</v>
      </c>
      <c r="F665" s="128">
        <v>201</v>
      </c>
      <c r="G665" s="35">
        <f t="shared" si="1"/>
        <v>54.27</v>
      </c>
    </row>
    <row r="666" spans="1:8" x14ac:dyDescent="0.2">
      <c r="A666" s="29">
        <f t="shared" si="2"/>
        <v>6</v>
      </c>
      <c r="B666" s="105"/>
      <c r="C666" s="371" t="s">
        <v>149</v>
      </c>
      <c r="D666" s="376" t="s">
        <v>2417</v>
      </c>
      <c r="E666" s="102">
        <v>1</v>
      </c>
      <c r="F666" s="128">
        <v>50</v>
      </c>
      <c r="G666" s="35">
        <f t="shared" si="1"/>
        <v>50</v>
      </c>
    </row>
    <row r="667" spans="1:8" x14ac:dyDescent="0.2">
      <c r="A667" s="29"/>
      <c r="B667" s="105"/>
      <c r="C667" s="371" t="s">
        <v>1923</v>
      </c>
      <c r="D667" s="376" t="s">
        <v>2416</v>
      </c>
      <c r="E667" s="102">
        <v>0.26600000000000001</v>
      </c>
      <c r="F667" s="128">
        <v>201</v>
      </c>
      <c r="G667" s="35">
        <f t="shared" si="1"/>
        <v>53.466000000000001</v>
      </c>
    </row>
    <row r="668" spans="1:8" x14ac:dyDescent="0.2">
      <c r="A668" s="29">
        <f>A666+1</f>
        <v>7</v>
      </c>
      <c r="B668" s="151"/>
      <c r="C668" s="385" t="s">
        <v>179</v>
      </c>
      <c r="D668" s="376" t="s">
        <v>2030</v>
      </c>
      <c r="E668" s="108">
        <v>1</v>
      </c>
      <c r="F668" s="150">
        <v>12</v>
      </c>
      <c r="G668" s="35">
        <f t="shared" si="1"/>
        <v>12</v>
      </c>
    </row>
    <row r="669" spans="1:8" x14ac:dyDescent="0.2">
      <c r="A669" s="29">
        <f t="shared" si="2"/>
        <v>8</v>
      </c>
      <c r="B669" s="151"/>
      <c r="C669" s="385" t="s">
        <v>1923</v>
      </c>
      <c r="D669" s="383" t="s">
        <v>1939</v>
      </c>
      <c r="E669" s="108">
        <v>0.24</v>
      </c>
      <c r="F669" s="150">
        <v>213</v>
      </c>
      <c r="G669" s="35">
        <f t="shared" si="1"/>
        <v>51.12</v>
      </c>
    </row>
    <row r="670" spans="1:8" x14ac:dyDescent="0.2">
      <c r="A670" s="29">
        <f t="shared" si="2"/>
        <v>9</v>
      </c>
      <c r="B670" s="101"/>
      <c r="C670" s="371" t="s">
        <v>1923</v>
      </c>
      <c r="D670" s="383" t="s">
        <v>2418</v>
      </c>
      <c r="E670" s="104">
        <v>0.2</v>
      </c>
      <c r="F670" s="128">
        <v>177</v>
      </c>
      <c r="G670" s="35">
        <f t="shared" si="1"/>
        <v>35.4</v>
      </c>
      <c r="H670" s="637">
        <f>SUM(G663:G670)</f>
        <v>366.25599999999997</v>
      </c>
    </row>
    <row r="671" spans="1:8" x14ac:dyDescent="0.2">
      <c r="A671" s="29"/>
      <c r="B671" s="106"/>
      <c r="C671" s="41"/>
      <c r="D671" s="136"/>
      <c r="E671" s="104"/>
      <c r="F671" s="128"/>
      <c r="G671" s="35"/>
    </row>
    <row r="672" spans="1:8" x14ac:dyDescent="0.2">
      <c r="A672" s="29"/>
      <c r="B672" s="105"/>
      <c r="C672" s="41"/>
      <c r="D672" s="136"/>
      <c r="E672" s="108"/>
      <c r="F672" s="152"/>
      <c r="G672" s="35"/>
    </row>
    <row r="673" spans="1:7" x14ac:dyDescent="0.2">
      <c r="A673" s="29"/>
      <c r="B673" s="107"/>
      <c r="C673" s="41"/>
      <c r="D673" s="136"/>
      <c r="E673" s="153"/>
      <c r="F673" s="128"/>
      <c r="G673" s="35"/>
    </row>
    <row r="674" spans="1:7" x14ac:dyDescent="0.2">
      <c r="A674" s="29"/>
      <c r="B674" s="107"/>
      <c r="C674" s="41"/>
      <c r="D674" s="67"/>
      <c r="E674" s="153"/>
      <c r="F674" s="128"/>
      <c r="G674" s="35"/>
    </row>
    <row r="675" spans="1:7" x14ac:dyDescent="0.2">
      <c r="A675" s="29"/>
      <c r="B675" s="101"/>
      <c r="C675" s="41"/>
      <c r="D675" s="67"/>
      <c r="E675" s="153"/>
      <c r="F675" s="128"/>
      <c r="G675" s="35"/>
    </row>
    <row r="676" spans="1:7" x14ac:dyDescent="0.2">
      <c r="A676" s="29"/>
      <c r="B676" s="105"/>
      <c r="C676" s="41"/>
      <c r="D676" s="130"/>
      <c r="E676" s="104"/>
      <c r="F676" s="154"/>
      <c r="G676" s="35"/>
    </row>
    <row r="677" spans="1:7" x14ac:dyDescent="0.2">
      <c r="A677" s="29"/>
      <c r="B677" s="105"/>
      <c r="C677" s="41"/>
      <c r="D677" s="67"/>
      <c r="E677" s="104"/>
      <c r="F677" s="154"/>
      <c r="G677" s="35"/>
    </row>
    <row r="678" spans="1:7" x14ac:dyDescent="0.2">
      <c r="A678" s="29"/>
      <c r="B678" s="101"/>
      <c r="C678" s="41"/>
      <c r="D678" s="67"/>
      <c r="E678" s="104"/>
      <c r="F678" s="154"/>
      <c r="G678" s="35"/>
    </row>
    <row r="679" spans="1:7" x14ac:dyDescent="0.2">
      <c r="A679" s="29"/>
      <c r="B679" s="101"/>
      <c r="C679" s="41"/>
      <c r="D679" s="136"/>
      <c r="E679" s="104"/>
      <c r="F679" s="154"/>
      <c r="G679" s="35"/>
    </row>
    <row r="680" spans="1:7" x14ac:dyDescent="0.2">
      <c r="A680" s="29"/>
      <c r="B680" s="101"/>
      <c r="C680" s="41"/>
      <c r="D680" s="136"/>
      <c r="E680" s="104"/>
      <c r="F680" s="154"/>
      <c r="G680" s="35"/>
    </row>
    <row r="681" spans="1:7" x14ac:dyDescent="0.2">
      <c r="A681" s="29"/>
      <c r="B681" s="101"/>
      <c r="C681" s="41"/>
      <c r="D681" s="136"/>
      <c r="E681" s="104"/>
      <c r="F681" s="154"/>
      <c r="G681" s="35"/>
    </row>
    <row r="682" spans="1:7" x14ac:dyDescent="0.2">
      <c r="A682" s="29"/>
      <c r="B682" s="101"/>
      <c r="C682" s="41"/>
      <c r="D682" s="136"/>
      <c r="E682" s="104"/>
      <c r="F682" s="154"/>
      <c r="G682" s="35"/>
    </row>
    <row r="683" spans="1:7" x14ac:dyDescent="0.2">
      <c r="A683" s="29"/>
      <c r="B683" s="101"/>
      <c r="C683" s="41"/>
      <c r="D683" s="136"/>
      <c r="E683" s="104"/>
      <c r="F683" s="154"/>
      <c r="G683" s="35"/>
    </row>
    <row r="684" spans="1:7" x14ac:dyDescent="0.2">
      <c r="A684" s="29"/>
      <c r="B684" s="101"/>
      <c r="C684" s="41"/>
      <c r="D684" s="136"/>
      <c r="E684" s="104"/>
      <c r="F684" s="154"/>
      <c r="G684" s="35"/>
    </row>
    <row r="685" spans="1:7" x14ac:dyDescent="0.2">
      <c r="A685" s="29"/>
      <c r="B685" s="101"/>
      <c r="C685" s="41"/>
      <c r="D685" s="62"/>
      <c r="E685" s="104"/>
      <c r="F685" s="154"/>
      <c r="G685" s="35"/>
    </row>
    <row r="686" spans="1:7" x14ac:dyDescent="0.2">
      <c r="A686" s="29"/>
      <c r="B686" s="101"/>
      <c r="C686" s="41"/>
      <c r="D686" s="67"/>
      <c r="E686" s="104"/>
      <c r="F686" s="154"/>
      <c r="G686" s="35"/>
    </row>
    <row r="687" spans="1:7" x14ac:dyDescent="0.2">
      <c r="A687" s="29"/>
      <c r="B687" s="101"/>
      <c r="C687" s="41"/>
      <c r="D687" s="159"/>
      <c r="E687" s="104"/>
      <c r="F687" s="154"/>
      <c r="G687" s="35"/>
    </row>
    <row r="688" spans="1:7" x14ac:dyDescent="0.2">
      <c r="A688" s="29"/>
      <c r="B688" s="101"/>
      <c r="C688" s="41"/>
      <c r="D688" s="160"/>
      <c r="E688" s="108"/>
      <c r="F688" s="128"/>
      <c r="G688" s="35"/>
    </row>
    <row r="689" spans="1:7" x14ac:dyDescent="0.2">
      <c r="A689" s="29"/>
      <c r="B689" s="101"/>
      <c r="C689" s="41"/>
      <c r="D689" s="136"/>
      <c r="E689" s="153"/>
      <c r="F689" s="128"/>
      <c r="G689" s="35"/>
    </row>
    <row r="690" spans="1:7" x14ac:dyDescent="0.2">
      <c r="A690" s="29"/>
      <c r="B690" s="101"/>
      <c r="C690" s="41"/>
      <c r="D690" s="136"/>
      <c r="E690" s="102"/>
      <c r="F690" s="128"/>
      <c r="G690" s="35"/>
    </row>
    <row r="691" spans="1:7" x14ac:dyDescent="0.2">
      <c r="A691" s="29"/>
      <c r="B691" s="101"/>
      <c r="C691" s="31"/>
      <c r="D691" s="67"/>
      <c r="E691" s="131"/>
      <c r="F691" s="117"/>
      <c r="G691" s="35"/>
    </row>
    <row r="692" spans="1:7" x14ac:dyDescent="0.2">
      <c r="A692" s="29"/>
      <c r="B692" s="101"/>
      <c r="C692" s="41"/>
      <c r="D692" s="118"/>
      <c r="E692" s="108"/>
      <c r="F692" s="149"/>
      <c r="G692" s="35"/>
    </row>
    <row r="693" spans="1:7" x14ac:dyDescent="0.2">
      <c r="A693" s="29"/>
      <c r="B693" s="101"/>
      <c r="C693" s="41"/>
      <c r="D693" s="144"/>
      <c r="E693" s="108"/>
      <c r="F693" s="149"/>
      <c r="G693" s="35"/>
    </row>
    <row r="694" spans="1:7" ht="13.5" thickBot="1" x14ac:dyDescent="0.25">
      <c r="A694" s="45"/>
      <c r="B694" s="132"/>
      <c r="C694" s="115"/>
      <c r="D694" s="115"/>
      <c r="E694" s="132"/>
      <c r="F694" s="49" t="s">
        <v>15</v>
      </c>
      <c r="G694" s="50">
        <f>SUM(G660:G693)</f>
        <v>2202.2559999999999</v>
      </c>
    </row>
    <row r="695" spans="1:7" ht="13.5" thickTop="1" x14ac:dyDescent="0.2">
      <c r="A695" s="875" t="s">
        <v>2419</v>
      </c>
      <c r="B695" s="899"/>
      <c r="C695" s="899"/>
      <c r="D695" s="899"/>
      <c r="E695" s="899"/>
      <c r="F695" s="899"/>
      <c r="G695" s="900"/>
    </row>
    <row r="696" spans="1:7" ht="13.5" thickBot="1" x14ac:dyDescent="0.25">
      <c r="A696" s="52"/>
      <c r="B696" s="103"/>
      <c r="C696" s="374" t="s">
        <v>8</v>
      </c>
      <c r="D696" s="54"/>
      <c r="E696" s="103"/>
      <c r="F696" s="55"/>
      <c r="G696" s="56"/>
    </row>
    <row r="697" spans="1:7" ht="13.5" thickTop="1" x14ac:dyDescent="0.2">
      <c r="A697" s="906"/>
      <c r="B697" s="907"/>
      <c r="C697" s="907"/>
      <c r="D697" s="57" t="s">
        <v>11</v>
      </c>
      <c r="E697" s="908" t="s">
        <v>12</v>
      </c>
      <c r="F697" s="908"/>
      <c r="G697" s="909"/>
    </row>
    <row r="698" spans="1:7" x14ac:dyDescent="0.2">
      <c r="A698" s="910" t="s">
        <v>17</v>
      </c>
      <c r="B698" s="911"/>
      <c r="C698" s="911"/>
      <c r="D698" s="39"/>
      <c r="E698" s="912"/>
      <c r="F698" s="913"/>
      <c r="G698" s="914"/>
    </row>
    <row r="699" spans="1:7" x14ac:dyDescent="0.2">
      <c r="A699" s="910" t="s">
        <v>38</v>
      </c>
      <c r="B699" s="911"/>
      <c r="C699" s="911"/>
      <c r="D699" s="58" t="s">
        <v>336</v>
      </c>
      <c r="E699" s="868" t="s">
        <v>142</v>
      </c>
      <c r="F699" s="868"/>
      <c r="G699" s="869"/>
    </row>
    <row r="700" spans="1:7" ht="13.5" thickBot="1" x14ac:dyDescent="0.25">
      <c r="A700" s="901" t="s">
        <v>39</v>
      </c>
      <c r="B700" s="902"/>
      <c r="C700" s="902"/>
      <c r="D700" s="59" t="s">
        <v>337</v>
      </c>
      <c r="E700" s="904" t="s">
        <v>0</v>
      </c>
      <c r="F700" s="904"/>
      <c r="G700" s="905"/>
    </row>
    <row r="701" spans="1:7" ht="16.5" x14ac:dyDescent="0.25">
      <c r="A701" s="885" t="s">
        <v>29</v>
      </c>
      <c r="B701" s="886"/>
      <c r="C701" s="886"/>
      <c r="D701" s="886"/>
      <c r="E701" s="886"/>
      <c r="F701" s="886"/>
      <c r="G701" s="887"/>
    </row>
    <row r="702" spans="1:7" x14ac:dyDescent="0.2">
      <c r="A702" s="888" t="s">
        <v>48</v>
      </c>
      <c r="B702" s="889"/>
      <c r="C702" s="889"/>
      <c r="D702" s="889"/>
      <c r="E702" s="889"/>
      <c r="F702" s="889"/>
      <c r="G702" s="890"/>
    </row>
    <row r="703" spans="1:7" x14ac:dyDescent="0.2">
      <c r="A703" s="915" t="s">
        <v>49</v>
      </c>
      <c r="B703" s="916"/>
      <c r="C703" s="916"/>
      <c r="D703" s="916"/>
      <c r="E703" s="916"/>
      <c r="F703" s="916"/>
      <c r="G703" s="917"/>
    </row>
    <row r="704" spans="1:7" x14ac:dyDescent="0.2">
      <c r="A704" s="6"/>
      <c r="B704" s="99"/>
      <c r="C704" s="8"/>
      <c r="D704" s="9"/>
      <c r="E704" s="99"/>
      <c r="F704" s="10"/>
      <c r="G704" s="11" t="s">
        <v>20</v>
      </c>
    </row>
    <row r="705" spans="1:7" x14ac:dyDescent="0.2">
      <c r="A705" s="12" t="s">
        <v>1</v>
      </c>
      <c r="B705" s="13"/>
      <c r="C705" s="14" t="s">
        <v>61</v>
      </c>
      <c r="D705" s="13"/>
      <c r="E705" s="362" t="s">
        <v>2707</v>
      </c>
      <c r="F705" s="98"/>
      <c r="G705" s="363" t="s">
        <v>2680</v>
      </c>
    </row>
    <row r="706" spans="1:7" x14ac:dyDescent="0.2">
      <c r="A706" s="17" t="s">
        <v>8</v>
      </c>
      <c r="B706" s="100"/>
      <c r="C706" s="19"/>
      <c r="D706" s="4"/>
      <c r="E706" s="918"/>
      <c r="F706" s="919"/>
      <c r="G706" s="20"/>
    </row>
    <row r="707" spans="1:7" x14ac:dyDescent="0.2">
      <c r="A707" s="21" t="s">
        <v>37</v>
      </c>
      <c r="B707" s="22"/>
      <c r="C707" s="22"/>
      <c r="D707" s="22"/>
      <c r="E707" s="23" t="s">
        <v>46</v>
      </c>
      <c r="F707" s="24"/>
      <c r="G707" s="20" t="s">
        <v>50</v>
      </c>
    </row>
    <row r="708" spans="1:7" x14ac:dyDescent="0.2">
      <c r="A708" s="6"/>
      <c r="B708" s="99"/>
      <c r="C708" s="8"/>
      <c r="D708" s="8"/>
      <c r="E708" s="920"/>
      <c r="F708" s="921"/>
      <c r="G708" s="25"/>
    </row>
    <row r="709" spans="1:7" ht="26.25" thickBot="1" x14ac:dyDescent="0.25">
      <c r="A709" s="207" t="s">
        <v>47</v>
      </c>
      <c r="B709" s="28" t="s">
        <v>23</v>
      </c>
      <c r="C709" s="28" t="s">
        <v>34</v>
      </c>
      <c r="D709" s="110" t="s">
        <v>53</v>
      </c>
      <c r="E709" s="114" t="s">
        <v>54</v>
      </c>
      <c r="F709" s="111" t="s">
        <v>55</v>
      </c>
      <c r="G709" s="112" t="s">
        <v>35</v>
      </c>
    </row>
    <row r="710" spans="1:7" ht="13.5" thickTop="1" x14ac:dyDescent="0.2">
      <c r="A710" s="29">
        <v>1</v>
      </c>
      <c r="B710" s="101"/>
      <c r="C710" s="371" t="s">
        <v>149</v>
      </c>
      <c r="D710" s="376" t="s">
        <v>1646</v>
      </c>
      <c r="E710" s="158">
        <v>50</v>
      </c>
      <c r="F710" s="128">
        <v>200</v>
      </c>
      <c r="G710" s="35">
        <f>F710*E710</f>
        <v>10000</v>
      </c>
    </row>
    <row r="711" spans="1:7" x14ac:dyDescent="0.2">
      <c r="A711" s="29"/>
      <c r="B711" s="101"/>
      <c r="C711" s="371"/>
      <c r="D711" s="370"/>
      <c r="E711" s="108"/>
      <c r="F711" s="128"/>
      <c r="G711" s="35"/>
    </row>
    <row r="712" spans="1:7" x14ac:dyDescent="0.2">
      <c r="A712" s="29"/>
      <c r="B712" s="101"/>
      <c r="C712" s="371"/>
      <c r="D712" s="370"/>
      <c r="E712" s="108"/>
      <c r="F712" s="149"/>
      <c r="G712" s="35"/>
    </row>
    <row r="713" spans="1:7" x14ac:dyDescent="0.2">
      <c r="A713" s="29"/>
      <c r="B713" s="101"/>
      <c r="C713" s="371"/>
      <c r="D713" s="370"/>
      <c r="E713" s="108"/>
      <c r="F713" s="128"/>
      <c r="G713" s="35"/>
    </row>
    <row r="714" spans="1:7" x14ac:dyDescent="0.2">
      <c r="A714" s="29"/>
      <c r="B714" s="105"/>
      <c r="C714" s="371"/>
      <c r="D714" s="376"/>
      <c r="E714" s="102"/>
      <c r="F714" s="128"/>
      <c r="G714" s="35"/>
    </row>
    <row r="715" spans="1:7" x14ac:dyDescent="0.2">
      <c r="A715" s="29"/>
      <c r="B715" s="105"/>
      <c r="C715" s="371"/>
      <c r="D715" s="376"/>
      <c r="E715" s="102"/>
      <c r="F715" s="128"/>
      <c r="G715" s="35"/>
    </row>
    <row r="716" spans="1:7" x14ac:dyDescent="0.2">
      <c r="A716" s="29"/>
      <c r="B716" s="105"/>
      <c r="C716" s="371"/>
      <c r="D716" s="376"/>
      <c r="E716" s="102"/>
      <c r="F716" s="128"/>
      <c r="G716" s="35"/>
    </row>
    <row r="717" spans="1:7" x14ac:dyDescent="0.2">
      <c r="A717" s="29"/>
      <c r="B717" s="151"/>
      <c r="C717" s="385"/>
      <c r="D717" s="376"/>
      <c r="E717" s="108"/>
      <c r="F717" s="150"/>
      <c r="G717" s="35"/>
    </row>
    <row r="718" spans="1:7" x14ac:dyDescent="0.2">
      <c r="A718" s="29"/>
      <c r="B718" s="151"/>
      <c r="C718" s="385"/>
      <c r="D718" s="383"/>
      <c r="E718" s="108"/>
      <c r="F718" s="150"/>
      <c r="G718" s="35"/>
    </row>
    <row r="719" spans="1:7" x14ac:dyDescent="0.2">
      <c r="A719" s="29"/>
      <c r="B719" s="101"/>
      <c r="C719" s="371"/>
      <c r="D719" s="383"/>
      <c r="E719" s="104"/>
      <c r="F719" s="128"/>
      <c r="G719" s="35"/>
    </row>
    <row r="720" spans="1:7" x14ac:dyDescent="0.2">
      <c r="A720" s="29"/>
      <c r="B720" s="106"/>
      <c r="C720" s="41"/>
      <c r="D720" s="136"/>
      <c r="E720" s="104"/>
      <c r="F720" s="128"/>
      <c r="G720" s="35"/>
    </row>
    <row r="721" spans="1:7" x14ac:dyDescent="0.2">
      <c r="A721" s="29"/>
      <c r="B721" s="105"/>
      <c r="C721" s="41"/>
      <c r="D721" s="136"/>
      <c r="E721" s="108"/>
      <c r="F721" s="152"/>
      <c r="G721" s="35"/>
    </row>
    <row r="722" spans="1:7" x14ac:dyDescent="0.2">
      <c r="A722" s="29"/>
      <c r="B722" s="107"/>
      <c r="C722" s="41"/>
      <c r="D722" s="136"/>
      <c r="E722" s="153"/>
      <c r="F722" s="128"/>
      <c r="G722" s="35"/>
    </row>
    <row r="723" spans="1:7" x14ac:dyDescent="0.2">
      <c r="A723" s="29"/>
      <c r="B723" s="107"/>
      <c r="C723" s="41"/>
      <c r="D723" s="67"/>
      <c r="E723" s="153"/>
      <c r="F723" s="128"/>
      <c r="G723" s="35"/>
    </row>
    <row r="724" spans="1:7" x14ac:dyDescent="0.2">
      <c r="A724" s="29"/>
      <c r="B724" s="101"/>
      <c r="C724" s="41"/>
      <c r="D724" s="67"/>
      <c r="E724" s="108"/>
      <c r="F724" s="128"/>
      <c r="G724" s="35"/>
    </row>
    <row r="725" spans="1:7" x14ac:dyDescent="0.2">
      <c r="A725" s="29"/>
      <c r="B725" s="101"/>
      <c r="C725" s="41"/>
      <c r="D725" s="67"/>
      <c r="E725" s="153"/>
      <c r="F725" s="128"/>
      <c r="G725" s="35"/>
    </row>
    <row r="726" spans="1:7" x14ac:dyDescent="0.2">
      <c r="A726" s="29"/>
      <c r="B726" s="105"/>
      <c r="C726" s="41"/>
      <c r="D726" s="130"/>
      <c r="E726" s="104"/>
      <c r="F726" s="154"/>
      <c r="G726" s="35"/>
    </row>
    <row r="727" spans="1:7" x14ac:dyDescent="0.2">
      <c r="A727" s="29"/>
      <c r="B727" s="105"/>
      <c r="C727" s="41"/>
      <c r="D727" s="67"/>
      <c r="E727" s="104"/>
      <c r="F727" s="154"/>
      <c r="G727" s="35"/>
    </row>
    <row r="728" spans="1:7" x14ac:dyDescent="0.2">
      <c r="A728" s="29"/>
      <c r="B728" s="101"/>
      <c r="C728" s="41"/>
      <c r="D728" s="67"/>
      <c r="E728" s="104"/>
      <c r="F728" s="154"/>
      <c r="G728" s="35"/>
    </row>
    <row r="729" spans="1:7" x14ac:dyDescent="0.2">
      <c r="A729" s="29"/>
      <c r="B729" s="101"/>
      <c r="C729" s="41"/>
      <c r="D729" s="136"/>
      <c r="E729" s="104"/>
      <c r="F729" s="154"/>
      <c r="G729" s="35"/>
    </row>
    <row r="730" spans="1:7" x14ac:dyDescent="0.2">
      <c r="A730" s="29"/>
      <c r="B730" s="101"/>
      <c r="C730" s="41"/>
      <c r="D730" s="136"/>
      <c r="E730" s="104"/>
      <c r="F730" s="154"/>
      <c r="G730" s="35"/>
    </row>
    <row r="731" spans="1:7" x14ac:dyDescent="0.2">
      <c r="A731" s="29"/>
      <c r="B731" s="101"/>
      <c r="C731" s="41"/>
      <c r="D731" s="136"/>
      <c r="E731" s="104"/>
      <c r="F731" s="154"/>
      <c r="G731" s="35"/>
    </row>
    <row r="732" spans="1:7" x14ac:dyDescent="0.2">
      <c r="A732" s="29"/>
      <c r="B732" s="101"/>
      <c r="C732" s="41"/>
      <c r="D732" s="136"/>
      <c r="E732" s="104"/>
      <c r="F732" s="154"/>
      <c r="G732" s="35"/>
    </row>
    <row r="733" spans="1:7" x14ac:dyDescent="0.2">
      <c r="A733" s="29"/>
      <c r="B733" s="101"/>
      <c r="C733" s="41"/>
      <c r="D733" s="136"/>
      <c r="E733" s="104"/>
      <c r="F733" s="154"/>
      <c r="G733" s="35"/>
    </row>
    <row r="734" spans="1:7" x14ac:dyDescent="0.2">
      <c r="A734" s="29"/>
      <c r="B734" s="101"/>
      <c r="C734" s="41"/>
      <c r="D734" s="136"/>
      <c r="E734" s="104"/>
      <c r="F734" s="154"/>
      <c r="G734" s="35"/>
    </row>
    <row r="735" spans="1:7" x14ac:dyDescent="0.2">
      <c r="A735" s="29"/>
      <c r="B735" s="101"/>
      <c r="C735" s="41"/>
      <c r="D735" s="62"/>
      <c r="E735" s="104"/>
      <c r="F735" s="154"/>
      <c r="G735" s="35"/>
    </row>
    <row r="736" spans="1:7" x14ac:dyDescent="0.2">
      <c r="A736" s="29"/>
      <c r="B736" s="101"/>
      <c r="C736" s="41"/>
      <c r="D736" s="67"/>
      <c r="E736" s="104"/>
      <c r="F736" s="154"/>
      <c r="G736" s="35"/>
    </row>
    <row r="737" spans="1:7" x14ac:dyDescent="0.2">
      <c r="A737" s="29"/>
      <c r="B737" s="101"/>
      <c r="C737" s="41"/>
      <c r="D737" s="159"/>
      <c r="E737" s="104"/>
      <c r="F737" s="154"/>
      <c r="G737" s="35"/>
    </row>
    <row r="738" spans="1:7" x14ac:dyDescent="0.2">
      <c r="A738" s="29"/>
      <c r="B738" s="101"/>
      <c r="C738" s="41"/>
      <c r="D738" s="160"/>
      <c r="E738" s="108"/>
      <c r="F738" s="128"/>
      <c r="G738" s="35"/>
    </row>
    <row r="739" spans="1:7" x14ac:dyDescent="0.2">
      <c r="A739" s="29"/>
      <c r="B739" s="101"/>
      <c r="C739" s="41"/>
      <c r="D739" s="136"/>
      <c r="E739" s="153"/>
      <c r="F739" s="128"/>
      <c r="G739" s="35"/>
    </row>
    <row r="740" spans="1:7" x14ac:dyDescent="0.2">
      <c r="A740" s="29"/>
      <c r="B740" s="101"/>
      <c r="C740" s="41"/>
      <c r="D740" s="136"/>
      <c r="E740" s="102"/>
      <c r="F740" s="128"/>
      <c r="G740" s="35"/>
    </row>
    <row r="741" spans="1:7" x14ac:dyDescent="0.2">
      <c r="A741" s="29"/>
      <c r="B741" s="101"/>
      <c r="C741" s="31"/>
      <c r="D741" s="67"/>
      <c r="E741" s="131"/>
      <c r="F741" s="117"/>
      <c r="G741" s="35"/>
    </row>
    <row r="742" spans="1:7" x14ac:dyDescent="0.2">
      <c r="A742" s="29"/>
      <c r="B742" s="101"/>
      <c r="C742" s="41"/>
      <c r="D742" s="118"/>
      <c r="E742" s="108"/>
      <c r="F742" s="149"/>
      <c r="G742" s="35"/>
    </row>
    <row r="743" spans="1:7" x14ac:dyDescent="0.2">
      <c r="A743" s="29"/>
      <c r="B743" s="101"/>
      <c r="C743" s="41"/>
      <c r="D743" s="144"/>
      <c r="E743" s="108"/>
      <c r="F743" s="149"/>
      <c r="G743" s="35"/>
    </row>
    <row r="744" spans="1:7" ht="13.5" thickBot="1" x14ac:dyDescent="0.25">
      <c r="A744" s="45"/>
      <c r="B744" s="132"/>
      <c r="C744" s="115"/>
      <c r="D744" s="115"/>
      <c r="E744" s="132"/>
      <c r="F744" s="49" t="s">
        <v>15</v>
      </c>
      <c r="G744" s="50">
        <f>SUM(G710:G743)</f>
        <v>10000</v>
      </c>
    </row>
    <row r="745" spans="1:7" ht="13.5" thickTop="1" x14ac:dyDescent="0.2">
      <c r="A745" s="875" t="s">
        <v>2445</v>
      </c>
      <c r="B745" s="899"/>
      <c r="C745" s="899"/>
      <c r="D745" s="899"/>
      <c r="E745" s="899"/>
      <c r="F745" s="899"/>
      <c r="G745" s="900"/>
    </row>
    <row r="746" spans="1:7" ht="13.5" thickBot="1" x14ac:dyDescent="0.25">
      <c r="A746" s="52"/>
      <c r="B746" s="103"/>
      <c r="C746" s="374" t="s">
        <v>2446</v>
      </c>
      <c r="D746" s="54"/>
      <c r="E746" s="103"/>
      <c r="F746" s="55"/>
      <c r="G746" s="56"/>
    </row>
    <row r="747" spans="1:7" ht="13.5" thickTop="1" x14ac:dyDescent="0.2">
      <c r="A747" s="906"/>
      <c r="B747" s="907"/>
      <c r="C747" s="907"/>
      <c r="D747" s="57" t="s">
        <v>11</v>
      </c>
      <c r="E747" s="908" t="s">
        <v>12</v>
      </c>
      <c r="F747" s="908"/>
      <c r="G747" s="909"/>
    </row>
    <row r="748" spans="1:7" x14ac:dyDescent="0.2">
      <c r="A748" s="910" t="s">
        <v>17</v>
      </c>
      <c r="B748" s="911"/>
      <c r="C748" s="911"/>
      <c r="D748" s="39"/>
      <c r="E748" s="912"/>
      <c r="F748" s="913"/>
      <c r="G748" s="914"/>
    </row>
    <row r="749" spans="1:7" x14ac:dyDescent="0.2">
      <c r="A749" s="910" t="s">
        <v>38</v>
      </c>
      <c r="B749" s="911"/>
      <c r="C749" s="911"/>
      <c r="D749" s="58" t="s">
        <v>336</v>
      </c>
      <c r="E749" s="868" t="s">
        <v>142</v>
      </c>
      <c r="F749" s="868"/>
      <c r="G749" s="869"/>
    </row>
    <row r="750" spans="1:7" ht="13.5" thickBot="1" x14ac:dyDescent="0.25">
      <c r="A750" s="901" t="s">
        <v>39</v>
      </c>
      <c r="B750" s="902"/>
      <c r="C750" s="902"/>
      <c r="D750" s="59" t="s">
        <v>337</v>
      </c>
      <c r="E750" s="904" t="s">
        <v>0</v>
      </c>
      <c r="F750" s="904"/>
      <c r="G750" s="905"/>
    </row>
    <row r="751" spans="1:7" ht="16.5" x14ac:dyDescent="0.25">
      <c r="A751" s="885" t="s">
        <v>29</v>
      </c>
      <c r="B751" s="886"/>
      <c r="C751" s="886"/>
      <c r="D751" s="886"/>
      <c r="E751" s="886"/>
      <c r="F751" s="886"/>
      <c r="G751" s="887"/>
    </row>
    <row r="752" spans="1:7" x14ac:dyDescent="0.2">
      <c r="A752" s="888" t="s">
        <v>48</v>
      </c>
      <c r="B752" s="889"/>
      <c r="C752" s="889"/>
      <c r="D752" s="889"/>
      <c r="E752" s="889"/>
      <c r="F752" s="889"/>
      <c r="G752" s="890"/>
    </row>
    <row r="753" spans="1:7" x14ac:dyDescent="0.2">
      <c r="A753" s="915" t="s">
        <v>49</v>
      </c>
      <c r="B753" s="916"/>
      <c r="C753" s="916"/>
      <c r="D753" s="916"/>
      <c r="E753" s="916"/>
      <c r="F753" s="916"/>
      <c r="G753" s="917"/>
    </row>
    <row r="754" spans="1:7" x14ac:dyDescent="0.2">
      <c r="A754" s="6"/>
      <c r="B754" s="99"/>
      <c r="C754" s="8"/>
      <c r="D754" s="9"/>
      <c r="E754" s="99"/>
      <c r="F754" s="10"/>
      <c r="G754" s="11" t="s">
        <v>20</v>
      </c>
    </row>
    <row r="755" spans="1:7" x14ac:dyDescent="0.2">
      <c r="A755" s="12" t="s">
        <v>1</v>
      </c>
      <c r="B755" s="13"/>
      <c r="C755" s="14" t="s">
        <v>61</v>
      </c>
      <c r="D755" s="13"/>
      <c r="E755" s="362" t="s">
        <v>2743</v>
      </c>
      <c r="F755" s="98"/>
      <c r="G755" s="363" t="s">
        <v>2711</v>
      </c>
    </row>
    <row r="756" spans="1:7" x14ac:dyDescent="0.2">
      <c r="A756" s="17" t="s">
        <v>8</v>
      </c>
      <c r="B756" s="100"/>
      <c r="C756" s="19"/>
      <c r="D756" s="4"/>
      <c r="E756" s="918"/>
      <c r="F756" s="919"/>
      <c r="G756" s="20"/>
    </row>
    <row r="757" spans="1:7" x14ac:dyDescent="0.2">
      <c r="A757" s="21" t="s">
        <v>37</v>
      </c>
      <c r="B757" s="22"/>
      <c r="C757" s="22"/>
      <c r="D757" s="22"/>
      <c r="E757" s="23" t="s">
        <v>46</v>
      </c>
      <c r="F757" s="24"/>
      <c r="G757" s="20" t="s">
        <v>50</v>
      </c>
    </row>
    <row r="758" spans="1:7" x14ac:dyDescent="0.2">
      <c r="A758" s="6"/>
      <c r="B758" s="99"/>
      <c r="C758" s="8"/>
      <c r="D758" s="8"/>
      <c r="E758" s="920"/>
      <c r="F758" s="921"/>
      <c r="G758" s="25"/>
    </row>
    <row r="759" spans="1:7" ht="26.25" thickBot="1" x14ac:dyDescent="0.25">
      <c r="A759" s="207" t="s">
        <v>47</v>
      </c>
      <c r="B759" s="28" t="s">
        <v>23</v>
      </c>
      <c r="C759" s="28" t="s">
        <v>34</v>
      </c>
      <c r="D759" s="110" t="s">
        <v>53</v>
      </c>
      <c r="E759" s="114" t="s">
        <v>54</v>
      </c>
      <c r="F759" s="111" t="s">
        <v>55</v>
      </c>
      <c r="G759" s="112" t="s">
        <v>35</v>
      </c>
    </row>
    <row r="760" spans="1:7" ht="13.5" thickTop="1" x14ac:dyDescent="0.2">
      <c r="A760" s="29">
        <v>1</v>
      </c>
      <c r="B760" s="101"/>
      <c r="C760" s="371" t="s">
        <v>149</v>
      </c>
      <c r="D760" s="376" t="s">
        <v>2447</v>
      </c>
      <c r="E760" s="158">
        <v>40</v>
      </c>
      <c r="F760" s="128">
        <v>200</v>
      </c>
      <c r="G760" s="35">
        <f>F760*E760</f>
        <v>8000</v>
      </c>
    </row>
    <row r="761" spans="1:7" x14ac:dyDescent="0.2">
      <c r="A761" s="29"/>
      <c r="B761" s="101"/>
      <c r="C761" s="371"/>
      <c r="D761" s="370"/>
      <c r="E761" s="108"/>
      <c r="F761" s="128"/>
      <c r="G761" s="35"/>
    </row>
    <row r="762" spans="1:7" x14ac:dyDescent="0.2">
      <c r="A762" s="29"/>
      <c r="B762" s="101"/>
      <c r="C762" s="371"/>
      <c r="D762" s="370"/>
      <c r="E762" s="108"/>
      <c r="F762" s="149"/>
      <c r="G762" s="35"/>
    </row>
    <row r="763" spans="1:7" x14ac:dyDescent="0.2">
      <c r="A763" s="29"/>
      <c r="B763" s="101"/>
      <c r="C763" s="371"/>
      <c r="D763" s="370"/>
      <c r="E763" s="108"/>
      <c r="F763" s="128"/>
      <c r="G763" s="35"/>
    </row>
    <row r="764" spans="1:7" x14ac:dyDescent="0.2">
      <c r="A764" s="29"/>
      <c r="B764" s="105"/>
      <c r="C764" s="371"/>
      <c r="D764" s="376"/>
      <c r="E764" s="102"/>
      <c r="F764" s="128"/>
      <c r="G764" s="35"/>
    </row>
    <row r="765" spans="1:7" x14ac:dyDescent="0.2">
      <c r="A765" s="29"/>
      <c r="B765" s="105"/>
      <c r="C765" s="371"/>
      <c r="D765" s="376"/>
      <c r="E765" s="102"/>
      <c r="F765" s="128"/>
      <c r="G765" s="35"/>
    </row>
    <row r="766" spans="1:7" x14ac:dyDescent="0.2">
      <c r="A766" s="29"/>
      <c r="B766" s="105"/>
      <c r="C766" s="371"/>
      <c r="D766" s="376"/>
      <c r="E766" s="102"/>
      <c r="F766" s="128"/>
      <c r="G766" s="35"/>
    </row>
    <row r="767" spans="1:7" x14ac:dyDescent="0.2">
      <c r="A767" s="29"/>
      <c r="B767" s="151"/>
      <c r="C767" s="385"/>
      <c r="D767" s="376"/>
      <c r="E767" s="108"/>
      <c r="F767" s="150"/>
      <c r="G767" s="35"/>
    </row>
    <row r="768" spans="1:7" x14ac:dyDescent="0.2">
      <c r="A768" s="29"/>
      <c r="B768" s="151"/>
      <c r="C768" s="385"/>
      <c r="D768" s="383"/>
      <c r="E768" s="108"/>
      <c r="F768" s="150"/>
      <c r="G768" s="35"/>
    </row>
    <row r="769" spans="1:7" x14ac:dyDescent="0.2">
      <c r="A769" s="29"/>
      <c r="B769" s="101"/>
      <c r="C769" s="371"/>
      <c r="D769" s="383"/>
      <c r="E769" s="104"/>
      <c r="F769" s="128"/>
      <c r="G769" s="35"/>
    </row>
    <row r="770" spans="1:7" x14ac:dyDescent="0.2">
      <c r="A770" s="29"/>
      <c r="B770" s="106"/>
      <c r="C770" s="41"/>
      <c r="D770" s="136"/>
      <c r="E770" s="104"/>
      <c r="F770" s="128"/>
      <c r="G770" s="35"/>
    </row>
    <row r="771" spans="1:7" x14ac:dyDescent="0.2">
      <c r="A771" s="29"/>
      <c r="B771" s="105"/>
      <c r="C771" s="41"/>
      <c r="D771" s="136"/>
      <c r="E771" s="108"/>
      <c r="F771" s="152"/>
      <c r="G771" s="35"/>
    </row>
    <row r="772" spans="1:7" x14ac:dyDescent="0.2">
      <c r="A772" s="29"/>
      <c r="B772" s="107"/>
      <c r="C772" s="41"/>
      <c r="D772" s="136"/>
      <c r="E772" s="153"/>
      <c r="F772" s="128"/>
      <c r="G772" s="35"/>
    </row>
    <row r="773" spans="1:7" x14ac:dyDescent="0.2">
      <c r="A773" s="29"/>
      <c r="B773" s="107"/>
      <c r="C773" s="41"/>
      <c r="D773" s="67"/>
      <c r="E773" s="153"/>
      <c r="F773" s="128"/>
      <c r="G773" s="35"/>
    </row>
    <row r="774" spans="1:7" x14ac:dyDescent="0.2">
      <c r="A774" s="29"/>
      <c r="B774" s="101"/>
      <c r="C774" s="41"/>
      <c r="D774" s="67"/>
      <c r="E774" s="108"/>
      <c r="F774" s="128"/>
      <c r="G774" s="35"/>
    </row>
    <row r="775" spans="1:7" x14ac:dyDescent="0.2">
      <c r="A775" s="29"/>
      <c r="B775" s="101"/>
      <c r="C775" s="41"/>
      <c r="D775" s="67"/>
      <c r="E775" s="153"/>
      <c r="F775" s="128"/>
      <c r="G775" s="35"/>
    </row>
    <row r="776" spans="1:7" x14ac:dyDescent="0.2">
      <c r="A776" s="29"/>
      <c r="B776" s="105"/>
      <c r="C776" s="41"/>
      <c r="D776" s="130"/>
      <c r="E776" s="104"/>
      <c r="F776" s="154"/>
      <c r="G776" s="35"/>
    </row>
    <row r="777" spans="1:7" x14ac:dyDescent="0.2">
      <c r="A777" s="29"/>
      <c r="B777" s="105"/>
      <c r="C777" s="41"/>
      <c r="D777" s="67"/>
      <c r="E777" s="104"/>
      <c r="F777" s="154"/>
      <c r="G777" s="35"/>
    </row>
    <row r="778" spans="1:7" x14ac:dyDescent="0.2">
      <c r="A778" s="29"/>
      <c r="B778" s="101"/>
      <c r="C778" s="41"/>
      <c r="D778" s="67"/>
      <c r="E778" s="104"/>
      <c r="F778" s="154"/>
      <c r="G778" s="35"/>
    </row>
    <row r="779" spans="1:7" x14ac:dyDescent="0.2">
      <c r="A779" s="29"/>
      <c r="B779" s="101"/>
      <c r="C779" s="41"/>
      <c r="D779" s="136"/>
      <c r="E779" s="104"/>
      <c r="F779" s="154"/>
      <c r="G779" s="35"/>
    </row>
    <row r="780" spans="1:7" x14ac:dyDescent="0.2">
      <c r="A780" s="29"/>
      <c r="B780" s="101"/>
      <c r="C780" s="41"/>
      <c r="D780" s="136"/>
      <c r="E780" s="104"/>
      <c r="F780" s="154"/>
      <c r="G780" s="35"/>
    </row>
    <row r="781" spans="1:7" x14ac:dyDescent="0.2">
      <c r="A781" s="29"/>
      <c r="B781" s="101"/>
      <c r="C781" s="41"/>
      <c r="D781" s="136"/>
      <c r="E781" s="104"/>
      <c r="F781" s="154"/>
      <c r="G781" s="35"/>
    </row>
    <row r="782" spans="1:7" x14ac:dyDescent="0.2">
      <c r="A782" s="29"/>
      <c r="B782" s="101"/>
      <c r="C782" s="41"/>
      <c r="D782" s="136"/>
      <c r="E782" s="104"/>
      <c r="F782" s="154"/>
      <c r="G782" s="35"/>
    </row>
    <row r="783" spans="1:7" x14ac:dyDescent="0.2">
      <c r="A783" s="29"/>
      <c r="B783" s="101"/>
      <c r="C783" s="41"/>
      <c r="D783" s="136"/>
      <c r="E783" s="104"/>
      <c r="F783" s="154"/>
      <c r="G783" s="35"/>
    </row>
    <row r="784" spans="1:7" x14ac:dyDescent="0.2">
      <c r="A784" s="29"/>
      <c r="B784" s="101"/>
      <c r="C784" s="41"/>
      <c r="D784" s="136"/>
      <c r="E784" s="104"/>
      <c r="F784" s="154"/>
      <c r="G784" s="35"/>
    </row>
    <row r="785" spans="1:7" x14ac:dyDescent="0.2">
      <c r="A785" s="29"/>
      <c r="B785" s="101"/>
      <c r="C785" s="41"/>
      <c r="D785" s="62"/>
      <c r="E785" s="104"/>
      <c r="F785" s="154"/>
      <c r="G785" s="35"/>
    </row>
    <row r="786" spans="1:7" x14ac:dyDescent="0.2">
      <c r="A786" s="29"/>
      <c r="B786" s="101"/>
      <c r="C786" s="41"/>
      <c r="D786" s="67"/>
      <c r="E786" s="104"/>
      <c r="F786" s="154"/>
      <c r="G786" s="35"/>
    </row>
    <row r="787" spans="1:7" x14ac:dyDescent="0.2">
      <c r="A787" s="29"/>
      <c r="B787" s="101"/>
      <c r="C787" s="41"/>
      <c r="D787" s="159"/>
      <c r="E787" s="104"/>
      <c r="F787" s="154"/>
      <c r="G787" s="35"/>
    </row>
    <row r="788" spans="1:7" x14ac:dyDescent="0.2">
      <c r="A788" s="29"/>
      <c r="B788" s="101"/>
      <c r="C788" s="41"/>
      <c r="D788" s="160"/>
      <c r="E788" s="108"/>
      <c r="F788" s="128"/>
      <c r="G788" s="35"/>
    </row>
    <row r="789" spans="1:7" x14ac:dyDescent="0.2">
      <c r="A789" s="29"/>
      <c r="B789" s="101"/>
      <c r="C789" s="41"/>
      <c r="D789" s="136"/>
      <c r="E789" s="153"/>
      <c r="F789" s="128"/>
      <c r="G789" s="35"/>
    </row>
    <row r="790" spans="1:7" x14ac:dyDescent="0.2">
      <c r="A790" s="29"/>
      <c r="B790" s="101"/>
      <c r="C790" s="41"/>
      <c r="D790" s="136"/>
      <c r="E790" s="102"/>
      <c r="F790" s="128"/>
      <c r="G790" s="35"/>
    </row>
    <row r="791" spans="1:7" x14ac:dyDescent="0.2">
      <c r="A791" s="29"/>
      <c r="B791" s="101"/>
      <c r="C791" s="31"/>
      <c r="D791" s="67"/>
      <c r="E791" s="131"/>
      <c r="F791" s="117"/>
      <c r="G791" s="35"/>
    </row>
    <row r="792" spans="1:7" x14ac:dyDescent="0.2">
      <c r="A792" s="29"/>
      <c r="B792" s="101"/>
      <c r="C792" s="41"/>
      <c r="D792" s="118"/>
      <c r="E792" s="108"/>
      <c r="F792" s="149"/>
      <c r="G792" s="35"/>
    </row>
    <row r="793" spans="1:7" x14ac:dyDescent="0.2">
      <c r="A793" s="29"/>
      <c r="B793" s="101"/>
      <c r="C793" s="41"/>
      <c r="D793" s="144"/>
      <c r="E793" s="108"/>
      <c r="F793" s="149"/>
      <c r="G793" s="35"/>
    </row>
    <row r="794" spans="1:7" ht="13.5" thickBot="1" x14ac:dyDescent="0.25">
      <c r="A794" s="45"/>
      <c r="B794" s="132"/>
      <c r="C794" s="115"/>
      <c r="D794" s="115"/>
      <c r="E794" s="132"/>
      <c r="F794" s="49" t="s">
        <v>15</v>
      </c>
      <c r="G794" s="50">
        <f>SUM(G760:G793)</f>
        <v>8000</v>
      </c>
    </row>
    <row r="795" spans="1:7" ht="13.5" thickTop="1" x14ac:dyDescent="0.2">
      <c r="A795" s="875" t="s">
        <v>2448</v>
      </c>
      <c r="B795" s="899"/>
      <c r="C795" s="899"/>
      <c r="D795" s="899"/>
      <c r="E795" s="899"/>
      <c r="F795" s="899"/>
      <c r="G795" s="900"/>
    </row>
    <row r="796" spans="1:7" ht="13.5" thickBot="1" x14ac:dyDescent="0.25">
      <c r="A796" s="52"/>
      <c r="B796" s="103"/>
      <c r="C796" s="374" t="s">
        <v>2449</v>
      </c>
      <c r="D796" s="54"/>
      <c r="E796" s="103"/>
      <c r="F796" s="55"/>
      <c r="G796" s="56"/>
    </row>
    <row r="797" spans="1:7" ht="13.5" thickTop="1" x14ac:dyDescent="0.2">
      <c r="A797" s="906"/>
      <c r="B797" s="907"/>
      <c r="C797" s="907"/>
      <c r="D797" s="57" t="s">
        <v>11</v>
      </c>
      <c r="E797" s="908" t="s">
        <v>12</v>
      </c>
      <c r="F797" s="908"/>
      <c r="G797" s="909"/>
    </row>
    <row r="798" spans="1:7" x14ac:dyDescent="0.2">
      <c r="A798" s="910" t="s">
        <v>17</v>
      </c>
      <c r="B798" s="911"/>
      <c r="C798" s="911"/>
      <c r="D798" s="39"/>
      <c r="E798" s="912"/>
      <c r="F798" s="913"/>
      <c r="G798" s="914"/>
    </row>
    <row r="799" spans="1:7" x14ac:dyDescent="0.2">
      <c r="A799" s="910" t="s">
        <v>38</v>
      </c>
      <c r="B799" s="911"/>
      <c r="C799" s="911"/>
      <c r="D799" s="58" t="s">
        <v>336</v>
      </c>
      <c r="E799" s="868" t="s">
        <v>142</v>
      </c>
      <c r="F799" s="868"/>
      <c r="G799" s="869"/>
    </row>
    <row r="800" spans="1:7" ht="13.5" thickBot="1" x14ac:dyDescent="0.25">
      <c r="A800" s="901" t="s">
        <v>39</v>
      </c>
      <c r="B800" s="902"/>
      <c r="C800" s="902"/>
      <c r="D800" s="59" t="s">
        <v>337</v>
      </c>
      <c r="E800" s="904" t="s">
        <v>0</v>
      </c>
      <c r="F800" s="904"/>
      <c r="G800" s="905"/>
    </row>
  </sheetData>
  <mergeCells count="225">
    <mergeCell ref="A795:G795"/>
    <mergeCell ref="A797:C797"/>
    <mergeCell ref="E797:G797"/>
    <mergeCell ref="A798:C798"/>
    <mergeCell ref="E798:G798"/>
    <mergeCell ref="A799:C799"/>
    <mergeCell ref="E799:G799"/>
    <mergeCell ref="A800:C800"/>
    <mergeCell ref="E800:G800"/>
    <mergeCell ref="A749:C749"/>
    <mergeCell ref="E749:G749"/>
    <mergeCell ref="A750:C750"/>
    <mergeCell ref="E750:G750"/>
    <mergeCell ref="A751:G751"/>
    <mergeCell ref="A752:G752"/>
    <mergeCell ref="A753:G753"/>
    <mergeCell ref="E756:F756"/>
    <mergeCell ref="E758:F758"/>
    <mergeCell ref="A701:G701"/>
    <mergeCell ref="A702:G702"/>
    <mergeCell ref="A703:G703"/>
    <mergeCell ref="E706:F706"/>
    <mergeCell ref="E708:F708"/>
    <mergeCell ref="A745:G745"/>
    <mergeCell ref="A747:C747"/>
    <mergeCell ref="E747:G747"/>
    <mergeCell ref="A748:C748"/>
    <mergeCell ref="E748:G748"/>
    <mergeCell ref="A649:C649"/>
    <mergeCell ref="E649:G649"/>
    <mergeCell ref="A650:C650"/>
    <mergeCell ref="E650:G650"/>
    <mergeCell ref="A601:G601"/>
    <mergeCell ref="A602:G602"/>
    <mergeCell ref="A603:G603"/>
    <mergeCell ref="E606:F606"/>
    <mergeCell ref="E608:F608"/>
    <mergeCell ref="A645:G645"/>
    <mergeCell ref="A647:C647"/>
    <mergeCell ref="E647:G647"/>
    <mergeCell ref="A648:C648"/>
    <mergeCell ref="E648:G648"/>
    <mergeCell ref="A595:G595"/>
    <mergeCell ref="A597:C597"/>
    <mergeCell ref="E597:G597"/>
    <mergeCell ref="A598:C598"/>
    <mergeCell ref="E598:G598"/>
    <mergeCell ref="A599:C599"/>
    <mergeCell ref="E599:G599"/>
    <mergeCell ref="A600:C600"/>
    <mergeCell ref="E600:G600"/>
    <mergeCell ref="A549:C549"/>
    <mergeCell ref="E549:G549"/>
    <mergeCell ref="A550:C550"/>
    <mergeCell ref="E550:G550"/>
    <mergeCell ref="A551:G551"/>
    <mergeCell ref="A552:G552"/>
    <mergeCell ref="A553:G553"/>
    <mergeCell ref="E556:F556"/>
    <mergeCell ref="E558:F558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495:G495"/>
    <mergeCell ref="A497:C497"/>
    <mergeCell ref="E497:G497"/>
    <mergeCell ref="A498:C498"/>
    <mergeCell ref="E498:G498"/>
    <mergeCell ref="A499:C499"/>
    <mergeCell ref="E499:G499"/>
    <mergeCell ref="A500:C500"/>
    <mergeCell ref="E500:G500"/>
    <mergeCell ref="A449:C449"/>
    <mergeCell ref="E449:G449"/>
    <mergeCell ref="A450:C450"/>
    <mergeCell ref="E450:G450"/>
    <mergeCell ref="A451:G451"/>
    <mergeCell ref="A452:G452"/>
    <mergeCell ref="A453:G453"/>
    <mergeCell ref="E456:F456"/>
    <mergeCell ref="E458:F458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399:C399"/>
    <mergeCell ref="E399:G399"/>
    <mergeCell ref="A400:C400"/>
    <mergeCell ref="E400:G400"/>
    <mergeCell ref="A395:G395"/>
    <mergeCell ref="A397:C397"/>
    <mergeCell ref="E397:G397"/>
    <mergeCell ref="A398:C398"/>
    <mergeCell ref="E398:G398"/>
    <mergeCell ref="A351:G351"/>
    <mergeCell ref="A352:G352"/>
    <mergeCell ref="A353:G353"/>
    <mergeCell ref="E356:F356"/>
    <mergeCell ref="E358:F358"/>
    <mergeCell ref="A198:C198"/>
    <mergeCell ref="E198:G198"/>
    <mergeCell ref="A199:C199"/>
    <mergeCell ref="E199:G199"/>
    <mergeCell ref="A200:C200"/>
    <mergeCell ref="E200:G200"/>
    <mergeCell ref="A201:G201"/>
    <mergeCell ref="A202:G202"/>
    <mergeCell ref="A203:G203"/>
    <mergeCell ref="E206:F206"/>
    <mergeCell ref="E208:F208"/>
    <mergeCell ref="A245:G245"/>
    <mergeCell ref="A247:C247"/>
    <mergeCell ref="E247:G247"/>
    <mergeCell ref="A248:C248"/>
    <mergeCell ref="E248:G248"/>
    <mergeCell ref="A249:C249"/>
    <mergeCell ref="E249:G249"/>
    <mergeCell ref="A250:C250"/>
    <mergeCell ref="E156:F156"/>
    <mergeCell ref="E158:F158"/>
    <mergeCell ref="A195:G195"/>
    <mergeCell ref="A197:C197"/>
    <mergeCell ref="E197:G197"/>
    <mergeCell ref="A150:C150"/>
    <mergeCell ref="E150:G150"/>
    <mergeCell ref="A151:G151"/>
    <mergeCell ref="A152:G152"/>
    <mergeCell ref="A153:G153"/>
    <mergeCell ref="A147:C147"/>
    <mergeCell ref="E147:G147"/>
    <mergeCell ref="A148:C148"/>
    <mergeCell ref="E148:G148"/>
    <mergeCell ref="A149:C149"/>
    <mergeCell ref="E149:G149"/>
    <mergeCell ref="A102:G102"/>
    <mergeCell ref="A103:G103"/>
    <mergeCell ref="E106:F106"/>
    <mergeCell ref="E108:F108"/>
    <mergeCell ref="A145:G145"/>
    <mergeCell ref="A99:C99"/>
    <mergeCell ref="E99:G99"/>
    <mergeCell ref="A100:C100"/>
    <mergeCell ref="E100:G100"/>
    <mergeCell ref="A101:G101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1:G1"/>
    <mergeCell ref="A2:G2"/>
    <mergeCell ref="A3:G3"/>
    <mergeCell ref="E6:F6"/>
    <mergeCell ref="E8:F8"/>
    <mergeCell ref="A48:C48"/>
    <mergeCell ref="E48:G48"/>
    <mergeCell ref="A49:C49"/>
    <mergeCell ref="E49:G49"/>
    <mergeCell ref="A45:G45"/>
    <mergeCell ref="A47:C47"/>
    <mergeCell ref="E47:G47"/>
    <mergeCell ref="A345:G345"/>
    <mergeCell ref="A347:C347"/>
    <mergeCell ref="E347:G347"/>
    <mergeCell ref="A348:C348"/>
    <mergeCell ref="E348:G348"/>
    <mergeCell ref="E250:G250"/>
    <mergeCell ref="A251:G251"/>
    <mergeCell ref="A252:G252"/>
    <mergeCell ref="A253:G253"/>
    <mergeCell ref="E256:F256"/>
    <mergeCell ref="E258:F258"/>
    <mergeCell ref="A295:G295"/>
    <mergeCell ref="A300:C300"/>
    <mergeCell ref="E300:G300"/>
    <mergeCell ref="A297:C297"/>
    <mergeCell ref="E297:G297"/>
    <mergeCell ref="A298:C298"/>
    <mergeCell ref="E298:G298"/>
    <mergeCell ref="A299:C299"/>
    <mergeCell ref="E299:G299"/>
    <mergeCell ref="I195:O195"/>
    <mergeCell ref="A699:C699"/>
    <mergeCell ref="E699:G699"/>
    <mergeCell ref="A700:C700"/>
    <mergeCell ref="E700:G700"/>
    <mergeCell ref="A651:G651"/>
    <mergeCell ref="A652:G652"/>
    <mergeCell ref="A653:G653"/>
    <mergeCell ref="E656:F656"/>
    <mergeCell ref="E658:F658"/>
    <mergeCell ref="A695:G695"/>
    <mergeCell ref="A697:C697"/>
    <mergeCell ref="E697:G697"/>
    <mergeCell ref="A698:C698"/>
    <mergeCell ref="E698:G698"/>
    <mergeCell ref="A301:G301"/>
    <mergeCell ref="A302:G302"/>
    <mergeCell ref="A303:G303"/>
    <mergeCell ref="E306:F306"/>
    <mergeCell ref="E308:F308"/>
    <mergeCell ref="A349:C349"/>
    <mergeCell ref="E349:G349"/>
    <mergeCell ref="A350:C350"/>
    <mergeCell ref="E350:G350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A3CC4"/>
  </sheetPr>
  <dimension ref="A1:I99"/>
  <sheetViews>
    <sheetView topLeftCell="A66" zoomScale="115" zoomScaleNormal="115" workbookViewId="0">
      <selection activeCell="H90" sqref="H9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99"/>
      <c r="C4" s="8"/>
      <c r="D4" s="9"/>
      <c r="E4" s="99"/>
      <c r="F4" s="10"/>
      <c r="G4" s="11" t="s">
        <v>8</v>
      </c>
    </row>
    <row r="5" spans="1:9" x14ac:dyDescent="0.2">
      <c r="A5" s="12" t="s">
        <v>1</v>
      </c>
      <c r="B5" s="13"/>
      <c r="C5" s="14" t="s">
        <v>919</v>
      </c>
      <c r="D5" s="13"/>
      <c r="E5" s="362" t="s">
        <v>1350</v>
      </c>
      <c r="F5" s="98"/>
      <c r="G5" s="363" t="s">
        <v>1349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71" t="s">
        <v>149</v>
      </c>
      <c r="D10" s="376" t="s">
        <v>1351</v>
      </c>
      <c r="E10" s="158">
        <v>12</v>
      </c>
      <c r="F10" s="128">
        <v>202</v>
      </c>
      <c r="G10" s="35">
        <f>F10*E10</f>
        <v>2424</v>
      </c>
      <c r="I10" s="2" t="s">
        <v>8</v>
      </c>
    </row>
    <row r="11" spans="1:9" x14ac:dyDescent="0.2">
      <c r="A11" s="29"/>
      <c r="B11" s="101"/>
      <c r="C11" s="41"/>
      <c r="D11" s="136"/>
      <c r="E11" s="158"/>
      <c r="F11" s="128"/>
      <c r="G11" s="35"/>
    </row>
    <row r="12" spans="1:9" x14ac:dyDescent="0.2">
      <c r="A12" s="29"/>
      <c r="B12" s="101"/>
      <c r="C12" s="41"/>
      <c r="D12" s="129"/>
      <c r="E12" s="156"/>
      <c r="F12" s="128"/>
      <c r="G12" s="35"/>
    </row>
    <row r="13" spans="1:9" x14ac:dyDescent="0.2">
      <c r="A13" s="29"/>
      <c r="B13" s="101"/>
      <c r="C13" s="41"/>
      <c r="D13" s="129"/>
      <c r="E13" s="157"/>
      <c r="F13" s="149"/>
      <c r="G13" s="35"/>
    </row>
    <row r="14" spans="1:9" x14ac:dyDescent="0.2">
      <c r="A14" s="29"/>
      <c r="B14" s="101"/>
      <c r="C14" s="41"/>
      <c r="D14" s="129"/>
      <c r="E14" s="108"/>
      <c r="F14" s="128"/>
      <c r="G14" s="35"/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05"/>
      <c r="C16" s="41"/>
      <c r="D16" s="136"/>
      <c r="E16" s="102"/>
      <c r="F16" s="128"/>
      <c r="G16" s="35"/>
    </row>
    <row r="17" spans="1:7" x14ac:dyDescent="0.2">
      <c r="A17" s="29"/>
      <c r="B17" s="105"/>
      <c r="C17" s="41"/>
      <c r="D17" s="136"/>
      <c r="E17" s="102"/>
      <c r="F17" s="128"/>
      <c r="G17" s="35"/>
    </row>
    <row r="18" spans="1:7" x14ac:dyDescent="0.2">
      <c r="A18" s="29"/>
      <c r="B18" s="151"/>
      <c r="C18" s="119"/>
      <c r="D18" s="136"/>
      <c r="E18" s="108"/>
      <c r="F18" s="150"/>
      <c r="G18" s="35"/>
    </row>
    <row r="19" spans="1:7" x14ac:dyDescent="0.2">
      <c r="A19" s="29"/>
      <c r="B19" s="151"/>
      <c r="C19" s="119"/>
      <c r="D19" s="144"/>
      <c r="E19" s="108"/>
      <c r="F19" s="150"/>
      <c r="G19" s="35"/>
    </row>
    <row r="20" spans="1:7" x14ac:dyDescent="0.2">
      <c r="A20" s="29"/>
      <c r="B20" s="101"/>
      <c r="C20" s="41"/>
      <c r="D20" s="144"/>
      <c r="E20" s="155"/>
      <c r="F20" s="128"/>
      <c r="G20" s="35"/>
    </row>
    <row r="21" spans="1:7" x14ac:dyDescent="0.2">
      <c r="A21" s="29"/>
      <c r="B21" s="106"/>
      <c r="C21" s="41"/>
      <c r="D21" s="136"/>
      <c r="E21" s="104"/>
      <c r="F21" s="128"/>
      <c r="G21" s="35"/>
    </row>
    <row r="22" spans="1:7" x14ac:dyDescent="0.2">
      <c r="A22" s="29"/>
      <c r="B22" s="105"/>
      <c r="C22" s="41"/>
      <c r="D22" s="136"/>
      <c r="E22" s="108"/>
      <c r="F22" s="152"/>
      <c r="G22" s="35"/>
    </row>
    <row r="23" spans="1:7" x14ac:dyDescent="0.2">
      <c r="A23" s="29"/>
      <c r="B23" s="107"/>
      <c r="C23" s="41"/>
      <c r="D23" s="136"/>
      <c r="E23" s="153"/>
      <c r="F23" s="128"/>
      <c r="G23" s="35"/>
    </row>
    <row r="24" spans="1:7" x14ac:dyDescent="0.2">
      <c r="A24" s="29"/>
      <c r="B24" s="107"/>
      <c r="C24" s="41"/>
      <c r="D24" s="136"/>
      <c r="E24" s="153"/>
      <c r="F24" s="128"/>
      <c r="G24" s="35"/>
    </row>
    <row r="25" spans="1:7" x14ac:dyDescent="0.2">
      <c r="A25" s="29"/>
      <c r="B25" s="107"/>
      <c r="C25" s="41"/>
      <c r="D25" s="136"/>
      <c r="E25" s="153"/>
      <c r="F25" s="128"/>
      <c r="G25" s="35"/>
    </row>
    <row r="26" spans="1:7" x14ac:dyDescent="0.2">
      <c r="A26" s="29"/>
      <c r="B26" s="107"/>
      <c r="C26" s="41"/>
      <c r="D26" s="136"/>
      <c r="E26" s="153"/>
      <c r="F26" s="128"/>
      <c r="G26" s="35"/>
    </row>
    <row r="27" spans="1:7" x14ac:dyDescent="0.2">
      <c r="A27" s="29"/>
      <c r="B27" s="101"/>
      <c r="C27" s="41"/>
      <c r="D27" s="144"/>
      <c r="E27" s="108"/>
      <c r="F27" s="128"/>
      <c r="G27" s="35"/>
    </row>
    <row r="28" spans="1:7" x14ac:dyDescent="0.2">
      <c r="A28" s="29"/>
      <c r="B28" s="101"/>
      <c r="C28" s="41"/>
      <c r="D28" s="144"/>
      <c r="E28" s="153"/>
      <c r="F28" s="128"/>
      <c r="G28" s="35"/>
    </row>
    <row r="29" spans="1:7" x14ac:dyDescent="0.2">
      <c r="A29" s="29"/>
      <c r="B29" s="106"/>
      <c r="C29" s="41"/>
      <c r="D29" s="136"/>
      <c r="E29" s="104"/>
      <c r="F29" s="154"/>
      <c r="G29" s="35"/>
    </row>
    <row r="30" spans="1:7" x14ac:dyDescent="0.2">
      <c r="A30" s="29"/>
      <c r="B30" s="105"/>
      <c r="C30" s="41"/>
      <c r="D30" s="130"/>
      <c r="E30" s="104"/>
      <c r="F30" s="154"/>
      <c r="G30" s="35"/>
    </row>
    <row r="31" spans="1:7" x14ac:dyDescent="0.2">
      <c r="A31" s="29"/>
      <c r="B31" s="105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136"/>
      <c r="E35" s="104"/>
      <c r="F35" s="154"/>
      <c r="G35" s="35"/>
    </row>
    <row r="36" spans="1:7" x14ac:dyDescent="0.2">
      <c r="A36" s="29"/>
      <c r="B36" s="101"/>
      <c r="C36" s="41"/>
      <c r="D36" s="136"/>
      <c r="E36" s="104"/>
      <c r="F36" s="154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x14ac:dyDescent="0.2">
      <c r="A42" s="61"/>
      <c r="B42" s="101"/>
      <c r="C42" s="41"/>
      <c r="D42" s="144"/>
      <c r="E42" s="108"/>
      <c r="F42" s="149"/>
      <c r="G42" s="71"/>
    </row>
    <row r="43" spans="1:7" ht="13.5" thickBot="1" x14ac:dyDescent="0.25">
      <c r="A43" s="209"/>
      <c r="B43" s="132"/>
      <c r="C43" s="115"/>
      <c r="D43" s="115"/>
      <c r="E43" s="132"/>
      <c r="F43" s="49" t="s">
        <v>15</v>
      </c>
      <c r="G43" s="210">
        <f>SUM(G10:G41)</f>
        <v>2424</v>
      </c>
    </row>
    <row r="44" spans="1:7" ht="13.5" thickTop="1" x14ac:dyDescent="0.2">
      <c r="A44" s="875" t="s">
        <v>1332</v>
      </c>
      <c r="B44" s="899"/>
      <c r="C44" s="899"/>
      <c r="D44" s="899"/>
      <c r="E44" s="899"/>
      <c r="F44" s="899"/>
      <c r="G44" s="900"/>
    </row>
    <row r="45" spans="1:7" ht="13.5" thickBot="1" x14ac:dyDescent="0.25">
      <c r="A45" s="52"/>
      <c r="B45" s="103"/>
      <c r="C45" s="374" t="s">
        <v>1333</v>
      </c>
      <c r="D45" s="54"/>
      <c r="E45" s="103"/>
      <c r="F45" s="55"/>
      <c r="G45" s="56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73" t="s">
        <v>920</v>
      </c>
      <c r="E48" s="868" t="s">
        <v>142</v>
      </c>
      <c r="F48" s="868"/>
      <c r="G48" s="869"/>
    </row>
    <row r="49" spans="1:9" ht="13.5" thickBot="1" x14ac:dyDescent="0.25">
      <c r="A49" s="901" t="s">
        <v>39</v>
      </c>
      <c r="B49" s="902"/>
      <c r="C49" s="902"/>
      <c r="D49" s="59" t="s">
        <v>921</v>
      </c>
      <c r="E49" s="903" t="s">
        <v>0</v>
      </c>
      <c r="F49" s="904"/>
      <c r="G49" s="905"/>
    </row>
    <row r="50" spans="1:9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9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9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9" x14ac:dyDescent="0.2">
      <c r="A53" s="6"/>
      <c r="B53" s="99"/>
      <c r="C53" s="8"/>
      <c r="D53" s="9"/>
      <c r="E53" s="99"/>
      <c r="F53" s="10"/>
      <c r="G53" s="11" t="s">
        <v>8</v>
      </c>
    </row>
    <row r="54" spans="1:9" x14ac:dyDescent="0.2">
      <c r="A54" s="12" t="s">
        <v>1</v>
      </c>
      <c r="B54" s="13"/>
      <c r="C54" s="14" t="s">
        <v>919</v>
      </c>
      <c r="D54" s="13"/>
      <c r="E54" s="362" t="s">
        <v>2548</v>
      </c>
      <c r="F54" s="98"/>
      <c r="G54" s="363" t="s">
        <v>2547</v>
      </c>
    </row>
    <row r="55" spans="1:9" x14ac:dyDescent="0.2">
      <c r="A55" s="17" t="s">
        <v>8</v>
      </c>
      <c r="B55" s="100"/>
      <c r="C55" s="19"/>
      <c r="D55" s="4"/>
      <c r="E55" s="918"/>
      <c r="F55" s="919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920"/>
      <c r="F57" s="921"/>
      <c r="G57" s="25"/>
    </row>
    <row r="58" spans="1:9" ht="26.25" customHeight="1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71" t="s">
        <v>149</v>
      </c>
      <c r="D59" s="376" t="s">
        <v>2549</v>
      </c>
      <c r="E59" s="158">
        <v>30</v>
      </c>
      <c r="F59" s="128">
        <v>200</v>
      </c>
      <c r="G59" s="35">
        <f>F59*E59</f>
        <v>6000</v>
      </c>
      <c r="I59" s="2" t="s">
        <v>8</v>
      </c>
    </row>
    <row r="60" spans="1:9" x14ac:dyDescent="0.2">
      <c r="A60" s="29"/>
      <c r="B60" s="101"/>
      <c r="C60" s="41"/>
      <c r="D60" s="376" t="s">
        <v>2550</v>
      </c>
      <c r="E60" s="158"/>
      <c r="F60" s="128"/>
      <c r="G60" s="35"/>
    </row>
    <row r="61" spans="1:9" x14ac:dyDescent="0.2">
      <c r="A61" s="29"/>
      <c r="B61" s="101"/>
      <c r="C61" s="41"/>
      <c r="D61" s="129"/>
      <c r="E61" s="156"/>
      <c r="F61" s="128"/>
      <c r="G61" s="35"/>
    </row>
    <row r="62" spans="1:9" x14ac:dyDescent="0.2">
      <c r="A62" s="29"/>
      <c r="B62" s="101"/>
      <c r="C62" s="41"/>
      <c r="D62" s="129"/>
      <c r="E62" s="157"/>
      <c r="F62" s="149"/>
      <c r="G62" s="35"/>
    </row>
    <row r="63" spans="1:9" x14ac:dyDescent="0.2">
      <c r="A63" s="29"/>
      <c r="B63" s="101"/>
      <c r="C63" s="41"/>
      <c r="D63" s="129"/>
      <c r="E63" s="108"/>
      <c r="F63" s="128"/>
      <c r="G63" s="35"/>
    </row>
    <row r="64" spans="1:9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05"/>
      <c r="C66" s="41"/>
      <c r="D66" s="136"/>
      <c r="E66" s="102"/>
      <c r="F66" s="128"/>
      <c r="G66" s="35"/>
    </row>
    <row r="67" spans="1:7" x14ac:dyDescent="0.2">
      <c r="A67" s="29"/>
      <c r="B67" s="151"/>
      <c r="C67" s="119"/>
      <c r="D67" s="136"/>
      <c r="E67" s="108"/>
      <c r="F67" s="150"/>
      <c r="G67" s="35"/>
    </row>
    <row r="68" spans="1:7" x14ac:dyDescent="0.2">
      <c r="A68" s="29"/>
      <c r="B68" s="151"/>
      <c r="C68" s="119"/>
      <c r="D68" s="144"/>
      <c r="E68" s="108"/>
      <c r="F68" s="150"/>
      <c r="G68" s="35"/>
    </row>
    <row r="69" spans="1:7" x14ac:dyDescent="0.2">
      <c r="A69" s="29"/>
      <c r="B69" s="101"/>
      <c r="C69" s="41"/>
      <c r="D69" s="144"/>
      <c r="E69" s="155"/>
      <c r="F69" s="128"/>
      <c r="G69" s="35"/>
    </row>
    <row r="70" spans="1:7" x14ac:dyDescent="0.2">
      <c r="A70" s="29"/>
      <c r="B70" s="106"/>
      <c r="C70" s="41"/>
      <c r="D70" s="136"/>
      <c r="E70" s="104"/>
      <c r="F70" s="128"/>
      <c r="G70" s="35"/>
    </row>
    <row r="71" spans="1:7" x14ac:dyDescent="0.2">
      <c r="A71" s="29"/>
      <c r="B71" s="105"/>
      <c r="C71" s="41"/>
      <c r="D71" s="136"/>
      <c r="E71" s="108"/>
      <c r="F71" s="152"/>
      <c r="G71" s="35"/>
    </row>
    <row r="72" spans="1:7" x14ac:dyDescent="0.2">
      <c r="A72" s="29"/>
      <c r="B72" s="107"/>
      <c r="C72" s="41"/>
      <c r="D72" s="136"/>
      <c r="E72" s="153"/>
      <c r="F72" s="128"/>
      <c r="G72" s="35"/>
    </row>
    <row r="73" spans="1:7" x14ac:dyDescent="0.2">
      <c r="A73" s="29"/>
      <c r="B73" s="107"/>
      <c r="C73" s="41"/>
      <c r="D73" s="136"/>
      <c r="E73" s="153"/>
      <c r="F73" s="128"/>
      <c r="G73" s="35"/>
    </row>
    <row r="74" spans="1:7" x14ac:dyDescent="0.2">
      <c r="A74" s="29"/>
      <c r="B74" s="107"/>
      <c r="C74" s="41"/>
      <c r="D74" s="136"/>
      <c r="E74" s="153"/>
      <c r="F74" s="128"/>
      <c r="G74" s="35"/>
    </row>
    <row r="75" spans="1:7" x14ac:dyDescent="0.2">
      <c r="A75" s="29"/>
      <c r="B75" s="107"/>
      <c r="C75" s="41"/>
      <c r="D75" s="136"/>
      <c r="E75" s="153"/>
      <c r="F75" s="128"/>
      <c r="G75" s="35"/>
    </row>
    <row r="76" spans="1:7" x14ac:dyDescent="0.2">
      <c r="A76" s="29"/>
      <c r="B76" s="101"/>
      <c r="C76" s="41"/>
      <c r="D76" s="144"/>
      <c r="E76" s="108"/>
      <c r="F76" s="128"/>
      <c r="G76" s="35"/>
    </row>
    <row r="77" spans="1:7" x14ac:dyDescent="0.2">
      <c r="A77" s="29"/>
      <c r="B77" s="101"/>
      <c r="C77" s="41"/>
      <c r="D77" s="144"/>
      <c r="E77" s="153"/>
      <c r="F77" s="128"/>
      <c r="G77" s="35"/>
    </row>
    <row r="78" spans="1:7" x14ac:dyDescent="0.2">
      <c r="A78" s="29"/>
      <c r="B78" s="106"/>
      <c r="C78" s="41"/>
      <c r="D78" s="136"/>
      <c r="E78" s="104"/>
      <c r="F78" s="154"/>
      <c r="G78" s="35"/>
    </row>
    <row r="79" spans="1:7" x14ac:dyDescent="0.2">
      <c r="A79" s="29"/>
      <c r="B79" s="105"/>
      <c r="C79" s="41"/>
      <c r="D79" s="130"/>
      <c r="E79" s="104"/>
      <c r="F79" s="154"/>
      <c r="G79" s="35"/>
    </row>
    <row r="80" spans="1:7" x14ac:dyDescent="0.2">
      <c r="A80" s="29"/>
      <c r="B80" s="105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x14ac:dyDescent="0.2">
      <c r="A92" s="61"/>
      <c r="B92" s="101"/>
      <c r="C92" s="41"/>
      <c r="D92" s="144"/>
      <c r="E92" s="108"/>
      <c r="F92" s="149"/>
      <c r="G92" s="71"/>
    </row>
    <row r="93" spans="1:7" ht="13.5" thickBot="1" x14ac:dyDescent="0.25">
      <c r="A93" s="209"/>
      <c r="B93" s="132"/>
      <c r="C93" s="115"/>
      <c r="D93" s="115"/>
      <c r="E93" s="132"/>
      <c r="F93" s="49" t="s">
        <v>15</v>
      </c>
      <c r="G93" s="210">
        <f>SUM(G59:G91)</f>
        <v>6000</v>
      </c>
    </row>
    <row r="94" spans="1:7" ht="13.5" thickTop="1" x14ac:dyDescent="0.2">
      <c r="A94" s="875" t="s">
        <v>2558</v>
      </c>
      <c r="B94" s="899"/>
      <c r="C94" s="899"/>
      <c r="D94" s="899"/>
      <c r="E94" s="899"/>
      <c r="F94" s="899"/>
      <c r="G94" s="900"/>
    </row>
    <row r="95" spans="1:7" ht="13.5" thickBot="1" x14ac:dyDescent="0.25">
      <c r="A95" s="52"/>
      <c r="B95" s="103"/>
      <c r="C95" s="374" t="s">
        <v>2551</v>
      </c>
      <c r="D95" s="54"/>
      <c r="E95" s="103"/>
      <c r="F95" s="55"/>
      <c r="G95" s="56"/>
    </row>
    <row r="96" spans="1:7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</row>
    <row r="97" spans="1:7" x14ac:dyDescent="0.2">
      <c r="A97" s="910" t="s">
        <v>17</v>
      </c>
      <c r="B97" s="911"/>
      <c r="C97" s="911"/>
      <c r="D97" s="39"/>
      <c r="E97" s="912"/>
      <c r="F97" s="913"/>
      <c r="G97" s="914"/>
    </row>
    <row r="98" spans="1:7" x14ac:dyDescent="0.2">
      <c r="A98" s="910" t="s">
        <v>38</v>
      </c>
      <c r="B98" s="911"/>
      <c r="C98" s="911"/>
      <c r="D98" s="73" t="s">
        <v>920</v>
      </c>
      <c r="E98" s="868" t="s">
        <v>142</v>
      </c>
      <c r="F98" s="868"/>
      <c r="G98" s="869"/>
    </row>
    <row r="99" spans="1:7" ht="13.5" thickBot="1" x14ac:dyDescent="0.25">
      <c r="A99" s="901" t="s">
        <v>39</v>
      </c>
      <c r="B99" s="902"/>
      <c r="C99" s="902"/>
      <c r="D99" s="59" t="s">
        <v>921</v>
      </c>
      <c r="E99" s="903" t="s">
        <v>0</v>
      </c>
      <c r="F99" s="904"/>
      <c r="G99" s="905"/>
    </row>
  </sheetData>
  <mergeCells count="28"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50:G50"/>
    <mergeCell ref="A51:G51"/>
    <mergeCell ref="A52:G52"/>
    <mergeCell ref="E55:F55"/>
    <mergeCell ref="E57:F57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8A3CC4"/>
  </sheetPr>
  <dimension ref="A1:O520"/>
  <sheetViews>
    <sheetView topLeftCell="A418" zoomScale="110" zoomScaleNormal="110" workbookViewId="0">
      <selection activeCell="J427" sqref="J42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10.140625" style="3" customWidth="1"/>
    <col min="6" max="6" width="12.5703125" style="5" customWidth="1"/>
    <col min="7" max="7" width="16.28515625" style="2" customWidth="1"/>
    <col min="8" max="8" width="11.28515625" style="1" bestFit="1" customWidth="1"/>
    <col min="9" max="9" width="16" style="2" customWidth="1"/>
    <col min="10" max="10" width="41.140625" style="2" customWidth="1"/>
    <col min="11" max="11" width="11.7109375" style="2" customWidth="1"/>
    <col min="12" max="12" width="10.7109375" style="2" customWidth="1"/>
    <col min="13" max="13" width="10.5703125" style="2" bestFit="1" customWidth="1"/>
    <col min="14" max="14" width="10.42578125" style="2" bestFit="1" customWidth="1"/>
    <col min="15" max="15" width="9.28515625" style="2" bestFit="1" customWidth="1"/>
    <col min="16" max="16" width="10.28515625" style="2" bestFit="1" customWidth="1"/>
    <col min="17" max="18" width="9.140625" style="2"/>
    <col min="19" max="20" width="9.28515625" style="2" bestFit="1" customWidth="1"/>
    <col min="21" max="21" width="11.28515625" style="2" customWidth="1"/>
    <col min="22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  <c r="H1" s="1">
        <v>1</v>
      </c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  <c r="H2" s="72">
        <v>46106</v>
      </c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  <c r="I3" s="774">
        <v>46105</v>
      </c>
    </row>
    <row r="4" spans="1:9" x14ac:dyDescent="0.2">
      <c r="A4" s="6"/>
      <c r="B4" s="99"/>
      <c r="C4" s="8"/>
      <c r="D4" s="9"/>
      <c r="E4" s="99"/>
      <c r="F4" s="10"/>
      <c r="G4" s="392" t="s">
        <v>8</v>
      </c>
      <c r="I4" s="774">
        <v>46106</v>
      </c>
    </row>
    <row r="5" spans="1:9" x14ac:dyDescent="0.2">
      <c r="A5" s="12" t="s">
        <v>1</v>
      </c>
      <c r="B5" s="13"/>
      <c r="C5" s="14" t="s">
        <v>7</v>
      </c>
      <c r="D5" s="13"/>
      <c r="E5" s="362" t="s">
        <v>2765</v>
      </c>
      <c r="F5" s="98"/>
      <c r="G5" s="363" t="s">
        <v>2764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71" t="s">
        <v>375</v>
      </c>
      <c r="D10" s="376" t="s">
        <v>2761</v>
      </c>
      <c r="E10" s="158">
        <v>139</v>
      </c>
      <c r="F10" s="128">
        <v>1430</v>
      </c>
      <c r="G10" s="35">
        <f>F10*E10</f>
        <v>198770</v>
      </c>
    </row>
    <row r="11" spans="1:9" x14ac:dyDescent="0.2">
      <c r="A11" s="29">
        <v>2</v>
      </c>
      <c r="B11" s="101"/>
      <c r="C11" s="371" t="s">
        <v>375</v>
      </c>
      <c r="D11" s="370" t="s">
        <v>2762</v>
      </c>
      <c r="E11" s="108">
        <v>90</v>
      </c>
      <c r="F11" s="128">
        <v>3300</v>
      </c>
      <c r="G11" s="35">
        <f>F11*E11</f>
        <v>297000</v>
      </c>
    </row>
    <row r="12" spans="1:9" x14ac:dyDescent="0.2">
      <c r="A12" s="29"/>
      <c r="B12" s="101"/>
      <c r="C12" s="371"/>
      <c r="D12" s="370"/>
      <c r="E12" s="108"/>
      <c r="F12" s="149"/>
      <c r="G12" s="35"/>
    </row>
    <row r="13" spans="1:9" x14ac:dyDescent="0.2">
      <c r="A13" s="29"/>
      <c r="B13" s="101"/>
      <c r="C13" s="41"/>
      <c r="D13" s="357"/>
      <c r="E13" s="157"/>
      <c r="F13" s="149"/>
      <c r="G13" s="35"/>
    </row>
    <row r="14" spans="1:9" x14ac:dyDescent="0.2">
      <c r="A14" s="29"/>
      <c r="B14" s="101"/>
      <c r="C14" s="371"/>
      <c r="D14" s="370"/>
      <c r="E14" s="108"/>
      <c r="F14" s="128"/>
      <c r="G14" s="35"/>
    </row>
    <row r="15" spans="1:9" x14ac:dyDescent="0.2">
      <c r="A15" s="29"/>
      <c r="B15" s="105"/>
      <c r="C15" s="41"/>
      <c r="D15" s="370"/>
      <c r="E15" s="102"/>
      <c r="F15" s="128"/>
      <c r="G15" s="35"/>
    </row>
    <row r="16" spans="1:9" x14ac:dyDescent="0.2">
      <c r="A16" s="29"/>
      <c r="B16" s="105"/>
      <c r="C16" s="41"/>
      <c r="D16" s="376"/>
      <c r="E16" s="102"/>
      <c r="F16" s="128"/>
      <c r="G16" s="35"/>
    </row>
    <row r="17" spans="1:11" x14ac:dyDescent="0.2">
      <c r="A17" s="29"/>
      <c r="B17" s="105"/>
      <c r="C17" s="371"/>
      <c r="D17" s="370"/>
      <c r="E17" s="102"/>
      <c r="F17" s="128"/>
      <c r="G17" s="35"/>
    </row>
    <row r="18" spans="1:11" x14ac:dyDescent="0.2">
      <c r="A18" s="29"/>
      <c r="B18" s="151"/>
      <c r="C18" s="119"/>
      <c r="D18" s="370"/>
      <c r="E18" s="108"/>
      <c r="F18" s="150"/>
      <c r="G18" s="35"/>
    </row>
    <row r="19" spans="1:11" x14ac:dyDescent="0.2">
      <c r="A19" s="29"/>
      <c r="B19" s="151"/>
      <c r="C19" s="119"/>
      <c r="D19" s="144"/>
      <c r="E19" s="108"/>
      <c r="F19" s="150"/>
      <c r="G19" s="35"/>
    </row>
    <row r="20" spans="1:11" x14ac:dyDescent="0.2">
      <c r="A20" s="29"/>
      <c r="B20" s="101"/>
      <c r="C20" s="41"/>
      <c r="D20" s="144"/>
      <c r="E20" s="155"/>
      <c r="F20" s="128"/>
      <c r="G20" s="35"/>
    </row>
    <row r="21" spans="1:11" x14ac:dyDescent="0.2">
      <c r="A21" s="29"/>
      <c r="B21" s="106"/>
      <c r="C21" s="41"/>
      <c r="D21" s="136"/>
      <c r="E21" s="104"/>
      <c r="F21" s="128"/>
      <c r="G21" s="35"/>
      <c r="K21" s="774"/>
    </row>
    <row r="22" spans="1:11" x14ac:dyDescent="0.2">
      <c r="A22" s="29"/>
      <c r="B22" s="105"/>
      <c r="C22" s="41"/>
      <c r="D22" s="136"/>
      <c r="E22" s="108"/>
      <c r="F22" s="152"/>
      <c r="G22" s="35"/>
    </row>
    <row r="23" spans="1:11" x14ac:dyDescent="0.2">
      <c r="A23" s="29"/>
      <c r="B23" s="107"/>
      <c r="C23" s="41"/>
      <c r="D23" s="136"/>
      <c r="E23" s="153"/>
      <c r="F23" s="128"/>
      <c r="G23" s="35"/>
    </row>
    <row r="24" spans="1:11" x14ac:dyDescent="0.2">
      <c r="A24" s="29"/>
      <c r="B24" s="107"/>
      <c r="C24" s="41"/>
      <c r="D24" s="136"/>
      <c r="E24" s="153"/>
      <c r="F24" s="128"/>
      <c r="G24" s="35"/>
    </row>
    <row r="25" spans="1:11" x14ac:dyDescent="0.2">
      <c r="A25" s="29"/>
      <c r="B25" s="107"/>
      <c r="C25" s="41"/>
      <c r="D25" s="136"/>
      <c r="E25" s="153"/>
      <c r="F25" s="128"/>
      <c r="G25" s="35"/>
    </row>
    <row r="26" spans="1:11" x14ac:dyDescent="0.2">
      <c r="A26" s="29"/>
      <c r="B26" s="107"/>
      <c r="C26" s="41"/>
      <c r="D26" s="136"/>
      <c r="E26" s="153"/>
      <c r="F26" s="128"/>
      <c r="G26" s="35"/>
    </row>
    <row r="27" spans="1:11" x14ac:dyDescent="0.2">
      <c r="A27" s="29"/>
      <c r="B27" s="101"/>
      <c r="C27" s="41"/>
      <c r="D27" s="144"/>
      <c r="E27" s="108"/>
      <c r="F27" s="128"/>
      <c r="G27" s="35"/>
    </row>
    <row r="28" spans="1:11" x14ac:dyDescent="0.2">
      <c r="A28" s="29"/>
      <c r="B28" s="101"/>
      <c r="C28" s="41"/>
      <c r="D28" s="144"/>
      <c r="E28" s="153"/>
      <c r="F28" s="128"/>
      <c r="G28" s="35"/>
    </row>
    <row r="29" spans="1:11" x14ac:dyDescent="0.2">
      <c r="A29" s="29"/>
      <c r="B29" s="106"/>
      <c r="C29" s="41"/>
      <c r="D29" s="136"/>
      <c r="E29" s="104"/>
      <c r="F29" s="154"/>
      <c r="G29" s="35"/>
    </row>
    <row r="30" spans="1:11" x14ac:dyDescent="0.2">
      <c r="A30" s="29"/>
      <c r="B30" s="105"/>
      <c r="C30" s="41"/>
      <c r="D30" s="130"/>
      <c r="E30" s="104"/>
      <c r="F30" s="154"/>
      <c r="G30" s="35"/>
    </row>
    <row r="31" spans="1:11" x14ac:dyDescent="0.2">
      <c r="A31" s="29"/>
      <c r="B31" s="105"/>
      <c r="C31" s="41"/>
      <c r="D31" s="136"/>
      <c r="E31" s="104"/>
      <c r="F31" s="154"/>
      <c r="G31" s="35"/>
    </row>
    <row r="32" spans="1:11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136"/>
      <c r="E35" s="104"/>
      <c r="F35" s="154"/>
      <c r="G35" s="35"/>
    </row>
    <row r="36" spans="1:7" x14ac:dyDescent="0.2">
      <c r="A36" s="29"/>
      <c r="B36" s="101"/>
      <c r="C36" s="41"/>
      <c r="D36" s="144"/>
      <c r="E36" s="104"/>
      <c r="F36" s="154"/>
      <c r="G36" s="35"/>
    </row>
    <row r="37" spans="1:7" x14ac:dyDescent="0.2">
      <c r="A37" s="29"/>
      <c r="B37" s="101"/>
      <c r="C37" s="41"/>
      <c r="D37" s="67"/>
      <c r="E37" s="104"/>
      <c r="F37" s="154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53"/>
      <c r="F40" s="128"/>
      <c r="G40" s="35"/>
    </row>
    <row r="41" spans="1:7" x14ac:dyDescent="0.2">
      <c r="A41" s="29"/>
      <c r="B41" s="101"/>
      <c r="C41" s="41"/>
      <c r="D41" s="136"/>
      <c r="E41" s="153"/>
      <c r="F41" s="128"/>
      <c r="G41" s="35"/>
    </row>
    <row r="42" spans="1:7" x14ac:dyDescent="0.2">
      <c r="A42" s="29"/>
      <c r="B42" s="101"/>
      <c r="C42" s="41"/>
      <c r="D42" s="136"/>
      <c r="E42" s="153"/>
      <c r="F42" s="128"/>
      <c r="G42" s="35"/>
    </row>
    <row r="43" spans="1:7" x14ac:dyDescent="0.2">
      <c r="A43" s="29"/>
      <c r="B43" s="101"/>
      <c r="C43" s="41"/>
      <c r="D43" s="136"/>
      <c r="E43" s="102"/>
      <c r="F43" s="128"/>
      <c r="G43" s="35"/>
    </row>
    <row r="44" spans="1:7" x14ac:dyDescent="0.2">
      <c r="A44" s="29"/>
      <c r="B44" s="101"/>
      <c r="C44" s="41"/>
      <c r="D44" s="144"/>
      <c r="E44" s="108"/>
      <c r="F44" s="149"/>
      <c r="G44" s="35"/>
    </row>
    <row r="45" spans="1:7" x14ac:dyDescent="0.2">
      <c r="A45" s="61"/>
      <c r="B45" s="101"/>
      <c r="C45" s="41"/>
      <c r="D45" s="144"/>
      <c r="E45" s="108"/>
      <c r="F45" s="149"/>
      <c r="G45" s="71"/>
    </row>
    <row r="46" spans="1:7" ht="13.5" thickBot="1" x14ac:dyDescent="0.25">
      <c r="A46" s="209"/>
      <c r="B46" s="132"/>
      <c r="C46" s="115"/>
      <c r="D46" s="115"/>
      <c r="E46" s="132"/>
      <c r="F46" s="49" t="s">
        <v>15</v>
      </c>
      <c r="G46" s="210">
        <f>SUM(G10:G45)</f>
        <v>495770</v>
      </c>
    </row>
    <row r="47" spans="1:7" ht="13.5" thickTop="1" x14ac:dyDescent="0.2">
      <c r="A47" s="875" t="s">
        <v>2763</v>
      </c>
      <c r="B47" s="899"/>
      <c r="C47" s="899"/>
      <c r="D47" s="899"/>
      <c r="E47" s="899"/>
      <c r="F47" s="899"/>
      <c r="G47" s="900"/>
    </row>
    <row r="48" spans="1:7" ht="13.5" thickBot="1" x14ac:dyDescent="0.25">
      <c r="A48" s="52"/>
      <c r="B48" s="103"/>
      <c r="C48" s="927"/>
      <c r="D48" s="927"/>
      <c r="E48" s="927"/>
      <c r="F48" s="927"/>
      <c r="G48" s="928"/>
    </row>
    <row r="49" spans="1:9" ht="13.5" thickTop="1" x14ac:dyDescent="0.2">
      <c r="A49" s="906"/>
      <c r="B49" s="907"/>
      <c r="C49" s="907"/>
      <c r="D49" s="57" t="s">
        <v>11</v>
      </c>
      <c r="E49" s="908" t="s">
        <v>12</v>
      </c>
      <c r="F49" s="908"/>
      <c r="G49" s="909"/>
    </row>
    <row r="50" spans="1:9" ht="28.5" customHeight="1" x14ac:dyDescent="0.2">
      <c r="A50" s="910" t="s">
        <v>17</v>
      </c>
      <c r="B50" s="911"/>
      <c r="C50" s="911"/>
      <c r="D50" s="39"/>
      <c r="E50" s="912"/>
      <c r="F50" s="913"/>
      <c r="G50" s="914"/>
    </row>
    <row r="51" spans="1:9" x14ac:dyDescent="0.2">
      <c r="A51" s="910" t="s">
        <v>38</v>
      </c>
      <c r="B51" s="911"/>
      <c r="C51" s="911"/>
      <c r="D51" s="73" t="s">
        <v>147</v>
      </c>
      <c r="E51" s="868" t="s">
        <v>142</v>
      </c>
      <c r="F51" s="868"/>
      <c r="G51" s="869"/>
    </row>
    <row r="52" spans="1:9" ht="13.5" thickBot="1" x14ac:dyDescent="0.25">
      <c r="A52" s="901" t="s">
        <v>39</v>
      </c>
      <c r="B52" s="902"/>
      <c r="C52" s="902"/>
      <c r="D52" s="59" t="s">
        <v>148</v>
      </c>
      <c r="E52" s="903" t="s">
        <v>0</v>
      </c>
      <c r="F52" s="904"/>
      <c r="G52" s="905"/>
    </row>
    <row r="53" spans="1:9" ht="16.5" x14ac:dyDescent="0.25">
      <c r="A53" s="885" t="s">
        <v>29</v>
      </c>
      <c r="B53" s="886"/>
      <c r="C53" s="886"/>
      <c r="D53" s="886"/>
      <c r="E53" s="886"/>
      <c r="F53" s="886"/>
      <c r="G53" s="887"/>
      <c r="H53" s="1">
        <v>2</v>
      </c>
    </row>
    <row r="54" spans="1:9" x14ac:dyDescent="0.2">
      <c r="A54" s="888" t="s">
        <v>48</v>
      </c>
      <c r="B54" s="889"/>
      <c r="C54" s="889"/>
      <c r="D54" s="889"/>
      <c r="E54" s="889"/>
      <c r="F54" s="889"/>
      <c r="G54" s="890"/>
      <c r="H54" s="784">
        <v>46112</v>
      </c>
    </row>
    <row r="55" spans="1:9" x14ac:dyDescent="0.2">
      <c r="A55" s="915" t="s">
        <v>49</v>
      </c>
      <c r="B55" s="916"/>
      <c r="C55" s="916"/>
      <c r="D55" s="916"/>
      <c r="E55" s="916"/>
      <c r="F55" s="916"/>
      <c r="G55" s="917"/>
      <c r="I55" s="774"/>
    </row>
    <row r="56" spans="1:9" x14ac:dyDescent="0.2">
      <c r="A56" s="6"/>
      <c r="B56" s="99"/>
      <c r="C56" s="8"/>
      <c r="D56" s="9"/>
      <c r="E56" s="99"/>
      <c r="F56" s="10"/>
      <c r="G56" s="679" t="s">
        <v>20</v>
      </c>
      <c r="I56" s="774"/>
    </row>
    <row r="57" spans="1:9" x14ac:dyDescent="0.2">
      <c r="A57" s="12" t="s">
        <v>1</v>
      </c>
      <c r="B57" s="13"/>
      <c r="C57" s="14" t="s">
        <v>7</v>
      </c>
      <c r="D57" s="13"/>
      <c r="E57" s="362" t="s">
        <v>2818</v>
      </c>
      <c r="F57" s="98"/>
      <c r="G57" s="363" t="s">
        <v>2817</v>
      </c>
    </row>
    <row r="58" spans="1:9" x14ac:dyDescent="0.2">
      <c r="A58" s="17" t="s">
        <v>8</v>
      </c>
      <c r="B58" s="100"/>
      <c r="C58" s="19"/>
      <c r="D58" s="4"/>
      <c r="E58" s="918"/>
      <c r="F58" s="919"/>
      <c r="G58" s="20"/>
    </row>
    <row r="59" spans="1:9" x14ac:dyDescent="0.2">
      <c r="A59" s="21" t="s">
        <v>37</v>
      </c>
      <c r="B59" s="22"/>
      <c r="C59" s="22"/>
      <c r="D59" s="22"/>
      <c r="E59" s="23" t="s">
        <v>46</v>
      </c>
      <c r="F59" s="24"/>
      <c r="G59" s="20" t="s">
        <v>50</v>
      </c>
    </row>
    <row r="60" spans="1:9" x14ac:dyDescent="0.2">
      <c r="A60" s="6"/>
      <c r="B60" s="99"/>
      <c r="C60" s="8"/>
      <c r="D60" s="8"/>
      <c r="E60" s="920"/>
      <c r="F60" s="921"/>
      <c r="G60" s="25"/>
    </row>
    <row r="61" spans="1:9" ht="26.25" thickBot="1" x14ac:dyDescent="0.25">
      <c r="A61" s="207" t="s">
        <v>47</v>
      </c>
      <c r="B61" s="28" t="s">
        <v>23</v>
      </c>
      <c r="C61" s="28" t="s">
        <v>34</v>
      </c>
      <c r="D61" s="110" t="s">
        <v>53</v>
      </c>
      <c r="E61" s="114" t="s">
        <v>54</v>
      </c>
      <c r="F61" s="111" t="s">
        <v>55</v>
      </c>
      <c r="G61" s="112" t="s">
        <v>35</v>
      </c>
    </row>
    <row r="62" spans="1:9" ht="13.5" thickTop="1" x14ac:dyDescent="0.2">
      <c r="A62" s="29">
        <v>1</v>
      </c>
      <c r="B62" s="101"/>
      <c r="C62" s="371" t="s">
        <v>177</v>
      </c>
      <c r="D62" s="376" t="s">
        <v>2775</v>
      </c>
      <c r="E62" s="158">
        <v>204</v>
      </c>
      <c r="F62" s="128">
        <v>2000</v>
      </c>
      <c r="G62" s="35">
        <f>F62*E62</f>
        <v>408000</v>
      </c>
      <c r="H62" s="158">
        <v>273</v>
      </c>
    </row>
    <row r="63" spans="1:9" x14ac:dyDescent="0.2">
      <c r="A63" s="29"/>
      <c r="B63" s="101"/>
      <c r="C63" s="371"/>
      <c r="D63" s="370" t="s">
        <v>2776</v>
      </c>
      <c r="E63" s="108"/>
      <c r="F63" s="128"/>
      <c r="G63" s="35"/>
    </row>
    <row r="64" spans="1:9" x14ac:dyDescent="0.2">
      <c r="A64" s="29">
        <v>2</v>
      </c>
      <c r="B64" s="101"/>
      <c r="C64" s="371" t="s">
        <v>153</v>
      </c>
      <c r="D64" s="370" t="s">
        <v>2777</v>
      </c>
      <c r="E64" s="205">
        <v>2033</v>
      </c>
      <c r="F64" s="149">
        <v>15</v>
      </c>
      <c r="G64" s="35">
        <f t="shared" ref="G64:G65" si="0">F64*E64</f>
        <v>30495</v>
      </c>
    </row>
    <row r="65" spans="1:11" x14ac:dyDescent="0.2">
      <c r="A65" s="29">
        <v>3</v>
      </c>
      <c r="B65" s="101"/>
      <c r="C65" s="371" t="s">
        <v>2779</v>
      </c>
      <c r="D65" s="376" t="s">
        <v>2778</v>
      </c>
      <c r="E65" s="108">
        <v>13</v>
      </c>
      <c r="F65" s="149">
        <v>4500</v>
      </c>
      <c r="G65" s="35">
        <f t="shared" si="0"/>
        <v>58500</v>
      </c>
      <c r="H65" s="108">
        <v>15</v>
      </c>
    </row>
    <row r="66" spans="1:11" x14ac:dyDescent="0.2">
      <c r="A66" s="29"/>
      <c r="B66" s="101"/>
      <c r="C66" s="371"/>
      <c r="D66" s="370"/>
      <c r="E66" s="108"/>
      <c r="F66" s="128"/>
      <c r="G66" s="35"/>
    </row>
    <row r="67" spans="1:11" x14ac:dyDescent="0.2">
      <c r="A67" s="29"/>
      <c r="B67" s="105"/>
      <c r="C67" s="41"/>
      <c r="D67" s="370"/>
      <c r="E67" s="102"/>
      <c r="F67" s="128"/>
      <c r="G67" s="35"/>
    </row>
    <row r="68" spans="1:11" x14ac:dyDescent="0.2">
      <c r="A68" s="29"/>
      <c r="B68" s="105"/>
      <c r="C68" s="41"/>
      <c r="D68" s="357"/>
      <c r="E68" s="102"/>
      <c r="F68" s="128"/>
      <c r="G68" s="35"/>
    </row>
    <row r="69" spans="1:11" x14ac:dyDescent="0.2">
      <c r="A69" s="29"/>
      <c r="B69" s="105"/>
      <c r="C69" s="371"/>
      <c r="D69" s="370"/>
      <c r="E69" s="102"/>
      <c r="F69" s="128"/>
      <c r="G69" s="35"/>
    </row>
    <row r="70" spans="1:11" x14ac:dyDescent="0.2">
      <c r="A70" s="29"/>
      <c r="B70" s="151"/>
      <c r="C70" s="119"/>
      <c r="D70" s="370"/>
      <c r="E70" s="108"/>
      <c r="F70" s="150"/>
      <c r="G70" s="35"/>
    </row>
    <row r="71" spans="1:11" x14ac:dyDescent="0.2">
      <c r="A71" s="29"/>
      <c r="B71" s="151"/>
      <c r="C71" s="119"/>
      <c r="D71" s="144"/>
      <c r="E71" s="108"/>
      <c r="F71" s="150"/>
      <c r="G71" s="35"/>
    </row>
    <row r="72" spans="1:11" x14ac:dyDescent="0.2">
      <c r="A72" s="29"/>
      <c r="B72" s="101"/>
      <c r="C72" s="41"/>
      <c r="D72" s="144"/>
      <c r="E72" s="155"/>
      <c r="F72" s="128"/>
      <c r="G72" s="35"/>
    </row>
    <row r="73" spans="1:11" x14ac:dyDescent="0.2">
      <c r="A73" s="29"/>
      <c r="B73" s="106"/>
      <c r="C73" s="41"/>
      <c r="D73" s="136"/>
      <c r="E73" s="104"/>
      <c r="F73" s="128"/>
      <c r="G73" s="35"/>
      <c r="K73" s="774"/>
    </row>
    <row r="74" spans="1:11" x14ac:dyDescent="0.2">
      <c r="A74" s="29"/>
      <c r="B74" s="105"/>
      <c r="C74" s="41"/>
      <c r="D74" s="136"/>
      <c r="E74" s="108"/>
      <c r="F74" s="152"/>
      <c r="G74" s="35"/>
    </row>
    <row r="75" spans="1:11" x14ac:dyDescent="0.2">
      <c r="A75" s="29"/>
      <c r="B75" s="107"/>
      <c r="C75" s="41"/>
      <c r="D75" s="136"/>
      <c r="E75" s="153"/>
      <c r="F75" s="128"/>
      <c r="G75" s="35"/>
    </row>
    <row r="76" spans="1:11" x14ac:dyDescent="0.2">
      <c r="A76" s="29"/>
      <c r="B76" s="107"/>
      <c r="C76" s="41"/>
      <c r="D76" s="136"/>
      <c r="E76" s="153"/>
      <c r="F76" s="128"/>
      <c r="G76" s="35"/>
    </row>
    <row r="77" spans="1:11" x14ac:dyDescent="0.2">
      <c r="A77" s="29"/>
      <c r="B77" s="107"/>
      <c r="C77" s="41"/>
      <c r="D77" s="136"/>
      <c r="E77" s="153"/>
      <c r="F77" s="128"/>
      <c r="G77" s="35"/>
    </row>
    <row r="78" spans="1:11" x14ac:dyDescent="0.2">
      <c r="A78" s="29"/>
      <c r="B78" s="107"/>
      <c r="C78" s="41"/>
      <c r="D78" s="136"/>
      <c r="E78" s="153"/>
      <c r="F78" s="128"/>
      <c r="G78" s="35"/>
    </row>
    <row r="79" spans="1:11" x14ac:dyDescent="0.2">
      <c r="A79" s="29"/>
      <c r="B79" s="101"/>
      <c r="C79" s="41"/>
      <c r="D79" s="144"/>
      <c r="E79" s="108"/>
      <c r="F79" s="128"/>
      <c r="G79" s="35"/>
    </row>
    <row r="80" spans="1:11" x14ac:dyDescent="0.2">
      <c r="A80" s="29"/>
      <c r="B80" s="101"/>
      <c r="C80" s="41"/>
      <c r="D80" s="144"/>
      <c r="E80" s="153"/>
      <c r="F80" s="128"/>
      <c r="G80" s="35"/>
    </row>
    <row r="81" spans="1:7" x14ac:dyDescent="0.2">
      <c r="A81" s="29"/>
      <c r="B81" s="106"/>
      <c r="C81" s="41"/>
      <c r="D81" s="136"/>
      <c r="E81" s="104"/>
      <c r="F81" s="154"/>
      <c r="G81" s="35"/>
    </row>
    <row r="82" spans="1:7" x14ac:dyDescent="0.2">
      <c r="A82" s="29"/>
      <c r="B82" s="105"/>
      <c r="C82" s="41"/>
      <c r="D82" s="130"/>
      <c r="E82" s="104"/>
      <c r="F82" s="154"/>
      <c r="G82" s="35"/>
    </row>
    <row r="83" spans="1:7" x14ac:dyDescent="0.2">
      <c r="A83" s="29"/>
      <c r="B83" s="105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136"/>
      <c r="E85" s="104"/>
      <c r="F85" s="154"/>
      <c r="G85" s="35"/>
    </row>
    <row r="86" spans="1:7" x14ac:dyDescent="0.2">
      <c r="A86" s="29"/>
      <c r="B86" s="101"/>
      <c r="C86" s="41"/>
      <c r="D86" s="136"/>
      <c r="E86" s="104"/>
      <c r="F86" s="154"/>
      <c r="G86" s="35"/>
    </row>
    <row r="87" spans="1:7" x14ac:dyDescent="0.2">
      <c r="A87" s="29"/>
      <c r="B87" s="101"/>
      <c r="C87" s="41"/>
      <c r="D87" s="136"/>
      <c r="E87" s="104"/>
      <c r="F87" s="154"/>
      <c r="G87" s="35"/>
    </row>
    <row r="88" spans="1:7" x14ac:dyDescent="0.2">
      <c r="A88" s="29"/>
      <c r="B88" s="101"/>
      <c r="C88" s="41"/>
      <c r="D88" s="144"/>
      <c r="E88" s="104"/>
      <c r="F88" s="154"/>
      <c r="G88" s="35"/>
    </row>
    <row r="89" spans="1:7" x14ac:dyDescent="0.2">
      <c r="A89" s="29"/>
      <c r="B89" s="101"/>
      <c r="C89" s="41"/>
      <c r="D89" s="67"/>
      <c r="E89" s="104"/>
      <c r="F89" s="154"/>
      <c r="G89" s="35"/>
    </row>
    <row r="90" spans="1:7" x14ac:dyDescent="0.2">
      <c r="A90" s="29"/>
      <c r="B90" s="101"/>
      <c r="C90" s="41"/>
      <c r="D90" s="136"/>
      <c r="E90" s="153"/>
      <c r="F90" s="128"/>
      <c r="G90" s="35"/>
    </row>
    <row r="91" spans="1:7" x14ac:dyDescent="0.2">
      <c r="A91" s="29"/>
      <c r="B91" s="101"/>
      <c r="C91" s="41"/>
      <c r="D91" s="136"/>
      <c r="E91" s="153"/>
      <c r="F91" s="128"/>
      <c r="G91" s="35"/>
    </row>
    <row r="92" spans="1:7" x14ac:dyDescent="0.2">
      <c r="A92" s="29"/>
      <c r="B92" s="101"/>
      <c r="C92" s="41"/>
      <c r="D92" s="136"/>
      <c r="E92" s="153"/>
      <c r="F92" s="128"/>
      <c r="G92" s="35"/>
    </row>
    <row r="93" spans="1:7" x14ac:dyDescent="0.2">
      <c r="A93" s="29"/>
      <c r="B93" s="101"/>
      <c r="C93" s="41"/>
      <c r="D93" s="136"/>
      <c r="E93" s="153"/>
      <c r="F93" s="128"/>
      <c r="G93" s="35"/>
    </row>
    <row r="94" spans="1:7" x14ac:dyDescent="0.2">
      <c r="A94" s="29"/>
      <c r="B94" s="101"/>
      <c r="C94" s="41"/>
      <c r="D94" s="136"/>
      <c r="E94" s="153"/>
      <c r="F94" s="128"/>
      <c r="G94" s="35"/>
    </row>
    <row r="95" spans="1:7" x14ac:dyDescent="0.2">
      <c r="A95" s="29"/>
      <c r="B95" s="101"/>
      <c r="C95" s="41"/>
      <c r="D95" s="136"/>
      <c r="E95" s="102"/>
      <c r="F95" s="128"/>
      <c r="G95" s="35"/>
    </row>
    <row r="96" spans="1:7" x14ac:dyDescent="0.2">
      <c r="A96" s="29"/>
      <c r="B96" s="101"/>
      <c r="C96" s="41"/>
      <c r="D96" s="144"/>
      <c r="E96" s="108"/>
      <c r="F96" s="149"/>
      <c r="G96" s="35"/>
    </row>
    <row r="97" spans="1:9" x14ac:dyDescent="0.2">
      <c r="A97" s="61"/>
      <c r="B97" s="101"/>
      <c r="C97" s="41"/>
      <c r="D97" s="144"/>
      <c r="E97" s="108"/>
      <c r="F97" s="149"/>
      <c r="G97" s="71"/>
    </row>
    <row r="98" spans="1:9" ht="13.5" thickBot="1" x14ac:dyDescent="0.25">
      <c r="A98" s="209"/>
      <c r="B98" s="132"/>
      <c r="C98" s="115"/>
      <c r="D98" s="115"/>
      <c r="E98" s="132"/>
      <c r="F98" s="49" t="s">
        <v>15</v>
      </c>
      <c r="G98" s="210">
        <f>SUM(G62:G97)</f>
        <v>496995</v>
      </c>
    </row>
    <row r="99" spans="1:9" ht="13.5" thickTop="1" x14ac:dyDescent="0.2">
      <c r="A99" s="875" t="s">
        <v>2780</v>
      </c>
      <c r="B99" s="899"/>
      <c r="C99" s="899"/>
      <c r="D99" s="899"/>
      <c r="E99" s="899"/>
      <c r="F99" s="899"/>
      <c r="G99" s="900"/>
    </row>
    <row r="100" spans="1:9" ht="13.5" thickBot="1" x14ac:dyDescent="0.25">
      <c r="A100" s="52"/>
      <c r="B100" s="103"/>
      <c r="C100" s="927"/>
      <c r="D100" s="927"/>
      <c r="E100" s="927"/>
      <c r="F100" s="927"/>
      <c r="G100" s="928"/>
    </row>
    <row r="101" spans="1:9" ht="13.5" thickTop="1" x14ac:dyDescent="0.2">
      <c r="A101" s="906"/>
      <c r="B101" s="907"/>
      <c r="C101" s="907"/>
      <c r="D101" s="57" t="s">
        <v>11</v>
      </c>
      <c r="E101" s="908" t="s">
        <v>12</v>
      </c>
      <c r="F101" s="908"/>
      <c r="G101" s="909"/>
    </row>
    <row r="102" spans="1:9" ht="28.5" customHeight="1" x14ac:dyDescent="0.2">
      <c r="A102" s="910" t="s">
        <v>17</v>
      </c>
      <c r="B102" s="911"/>
      <c r="C102" s="911"/>
      <c r="D102" s="39"/>
      <c r="E102" s="912"/>
      <c r="F102" s="913"/>
      <c r="G102" s="914"/>
    </row>
    <row r="103" spans="1:9" x14ac:dyDescent="0.2">
      <c r="A103" s="910" t="s">
        <v>38</v>
      </c>
      <c r="B103" s="911"/>
      <c r="C103" s="911"/>
      <c r="D103" s="73" t="s">
        <v>147</v>
      </c>
      <c r="E103" s="868" t="s">
        <v>142</v>
      </c>
      <c r="F103" s="868"/>
      <c r="G103" s="869"/>
    </row>
    <row r="104" spans="1:9" ht="13.5" thickBot="1" x14ac:dyDescent="0.25">
      <c r="A104" s="901" t="s">
        <v>39</v>
      </c>
      <c r="B104" s="902"/>
      <c r="C104" s="902"/>
      <c r="D104" s="59" t="s">
        <v>148</v>
      </c>
      <c r="E104" s="903" t="s">
        <v>0</v>
      </c>
      <c r="F104" s="904"/>
      <c r="G104" s="905"/>
    </row>
    <row r="105" spans="1:9" ht="16.5" x14ac:dyDescent="0.25">
      <c r="A105" s="885" t="s">
        <v>29</v>
      </c>
      <c r="B105" s="886"/>
      <c r="C105" s="886"/>
      <c r="D105" s="886"/>
      <c r="E105" s="886"/>
      <c r="F105" s="886"/>
      <c r="G105" s="887"/>
      <c r="H105" s="1">
        <v>3</v>
      </c>
    </row>
    <row r="106" spans="1:9" x14ac:dyDescent="0.2">
      <c r="A106" s="888" t="s">
        <v>48</v>
      </c>
      <c r="B106" s="889"/>
      <c r="C106" s="889"/>
      <c r="D106" s="889"/>
      <c r="E106" s="889"/>
      <c r="F106" s="889"/>
      <c r="G106" s="890"/>
      <c r="H106" s="784">
        <v>46112</v>
      </c>
    </row>
    <row r="107" spans="1:9" x14ac:dyDescent="0.2">
      <c r="A107" s="915" t="s">
        <v>49</v>
      </c>
      <c r="B107" s="916"/>
      <c r="C107" s="916"/>
      <c r="D107" s="916"/>
      <c r="E107" s="916"/>
      <c r="F107" s="916"/>
      <c r="G107" s="917"/>
      <c r="I107" s="774"/>
    </row>
    <row r="108" spans="1:9" x14ac:dyDescent="0.2">
      <c r="A108" s="6"/>
      <c r="B108" s="99"/>
      <c r="C108" s="8"/>
      <c r="D108" s="9"/>
      <c r="E108" s="99"/>
      <c r="F108" s="10"/>
      <c r="G108" s="679" t="s">
        <v>20</v>
      </c>
      <c r="I108" s="774"/>
    </row>
    <row r="109" spans="1:9" x14ac:dyDescent="0.2">
      <c r="A109" s="12" t="s">
        <v>1</v>
      </c>
      <c r="B109" s="13"/>
      <c r="C109" s="14" t="s">
        <v>7</v>
      </c>
      <c r="D109" s="13"/>
      <c r="E109" s="362" t="s">
        <v>2819</v>
      </c>
      <c r="F109" s="98"/>
      <c r="G109" s="363" t="s">
        <v>2817</v>
      </c>
    </row>
    <row r="110" spans="1:9" x14ac:dyDescent="0.2">
      <c r="A110" s="17" t="s">
        <v>8</v>
      </c>
      <c r="B110" s="100"/>
      <c r="C110" s="19"/>
      <c r="D110" s="4"/>
      <c r="E110" s="918"/>
      <c r="F110" s="919"/>
      <c r="G110" s="20"/>
    </row>
    <row r="111" spans="1:9" x14ac:dyDescent="0.2">
      <c r="A111" s="21" t="s">
        <v>37</v>
      </c>
      <c r="B111" s="22"/>
      <c r="C111" s="22"/>
      <c r="D111" s="22"/>
      <c r="E111" s="23" t="s">
        <v>46</v>
      </c>
      <c r="F111" s="24"/>
      <c r="G111" s="20" t="s">
        <v>50</v>
      </c>
    </row>
    <row r="112" spans="1:9" x14ac:dyDescent="0.2">
      <c r="A112" s="6"/>
      <c r="B112" s="99"/>
      <c r="C112" s="8"/>
      <c r="D112" s="8"/>
      <c r="E112" s="920"/>
      <c r="F112" s="921"/>
      <c r="G112" s="25"/>
    </row>
    <row r="113" spans="1:11" ht="26.25" thickBot="1" x14ac:dyDescent="0.25">
      <c r="A113" s="207" t="s">
        <v>47</v>
      </c>
      <c r="B113" s="28" t="s">
        <v>23</v>
      </c>
      <c r="C113" s="28" t="s">
        <v>34</v>
      </c>
      <c r="D113" s="110" t="s">
        <v>53</v>
      </c>
      <c r="E113" s="114" t="s">
        <v>54</v>
      </c>
      <c r="F113" s="111" t="s">
        <v>55</v>
      </c>
      <c r="G113" s="112" t="s">
        <v>35</v>
      </c>
    </row>
    <row r="114" spans="1:11" ht="13.5" thickTop="1" x14ac:dyDescent="0.2">
      <c r="A114" s="29">
        <v>1</v>
      </c>
      <c r="B114" s="101"/>
      <c r="C114" s="371" t="s">
        <v>153</v>
      </c>
      <c r="D114" s="785" t="s">
        <v>2781</v>
      </c>
      <c r="E114" s="158">
        <v>12</v>
      </c>
      <c r="F114" s="128">
        <v>6000</v>
      </c>
      <c r="G114" s="35">
        <f>F114*E114</f>
        <v>72000</v>
      </c>
    </row>
    <row r="115" spans="1:11" x14ac:dyDescent="0.2">
      <c r="A115" s="29">
        <v>2</v>
      </c>
      <c r="B115" s="101"/>
      <c r="C115" s="371" t="s">
        <v>153</v>
      </c>
      <c r="D115" s="370" t="s">
        <v>2782</v>
      </c>
      <c r="E115" s="108">
        <v>12</v>
      </c>
      <c r="F115" s="128">
        <v>6000</v>
      </c>
      <c r="G115" s="35">
        <f>F115*E115</f>
        <v>72000</v>
      </c>
    </row>
    <row r="116" spans="1:11" x14ac:dyDescent="0.2">
      <c r="A116" s="29">
        <v>3</v>
      </c>
      <c r="B116" s="101"/>
      <c r="C116" s="371" t="s">
        <v>153</v>
      </c>
      <c r="D116" s="370" t="s">
        <v>2783</v>
      </c>
      <c r="E116" s="205">
        <v>25</v>
      </c>
      <c r="F116" s="149">
        <v>1500</v>
      </c>
      <c r="G116" s="35">
        <f t="shared" ref="G116:G120" si="1">F116*E116</f>
        <v>37500</v>
      </c>
    </row>
    <row r="117" spans="1:11" x14ac:dyDescent="0.2">
      <c r="A117" s="29"/>
      <c r="B117" s="101"/>
      <c r="C117" s="371"/>
      <c r="D117" s="376" t="s">
        <v>2784</v>
      </c>
      <c r="E117" s="157"/>
      <c r="F117" s="149"/>
      <c r="G117" s="35"/>
    </row>
    <row r="118" spans="1:11" x14ac:dyDescent="0.2">
      <c r="A118" s="29">
        <v>4</v>
      </c>
      <c r="B118" s="101"/>
      <c r="C118" s="371" t="s">
        <v>153</v>
      </c>
      <c r="D118" s="370" t="s">
        <v>2814</v>
      </c>
      <c r="E118" s="108">
        <v>15</v>
      </c>
      <c r="F118" s="128">
        <v>2500</v>
      </c>
      <c r="G118" s="35">
        <f t="shared" si="1"/>
        <v>37500</v>
      </c>
    </row>
    <row r="119" spans="1:11" x14ac:dyDescent="0.2">
      <c r="A119" s="29"/>
      <c r="B119" s="105"/>
      <c r="C119" s="41"/>
      <c r="D119" s="370" t="s">
        <v>2785</v>
      </c>
      <c r="E119" s="102"/>
      <c r="F119" s="128"/>
      <c r="G119" s="35"/>
    </row>
    <row r="120" spans="1:11" x14ac:dyDescent="0.2">
      <c r="A120" s="29">
        <v>5</v>
      </c>
      <c r="B120" s="105"/>
      <c r="C120" s="371" t="s">
        <v>2779</v>
      </c>
      <c r="D120" s="376" t="s">
        <v>2786</v>
      </c>
      <c r="E120" s="102">
        <v>25</v>
      </c>
      <c r="F120" s="128">
        <v>3500</v>
      </c>
      <c r="G120" s="35">
        <f t="shared" si="1"/>
        <v>87500</v>
      </c>
    </row>
    <row r="121" spans="1:11" x14ac:dyDescent="0.2">
      <c r="A121" s="29"/>
      <c r="B121" s="786"/>
      <c r="C121" s="665"/>
      <c r="D121" s="787" t="s">
        <v>2815</v>
      </c>
      <c r="E121" s="788"/>
      <c r="F121" s="668"/>
      <c r="G121" s="35"/>
    </row>
    <row r="122" spans="1:11" x14ac:dyDescent="0.2">
      <c r="A122" s="29"/>
      <c r="B122" s="105"/>
      <c r="C122" s="371"/>
      <c r="D122" s="370" t="s">
        <v>2787</v>
      </c>
      <c r="E122" s="102"/>
      <c r="F122" s="128"/>
      <c r="G122" s="35"/>
    </row>
    <row r="123" spans="1:11" x14ac:dyDescent="0.2">
      <c r="A123" s="29"/>
      <c r="B123" s="151"/>
      <c r="C123" s="119"/>
      <c r="D123" s="370" t="s">
        <v>2788</v>
      </c>
      <c r="E123" s="108"/>
      <c r="F123" s="150"/>
      <c r="G123" s="35"/>
    </row>
    <row r="124" spans="1:11" x14ac:dyDescent="0.2">
      <c r="A124" s="29"/>
      <c r="B124" s="151"/>
      <c r="C124" s="119"/>
      <c r="D124" s="383" t="s">
        <v>2789</v>
      </c>
      <c r="E124" s="108"/>
      <c r="F124" s="150"/>
      <c r="G124" s="35"/>
    </row>
    <row r="125" spans="1:11" x14ac:dyDescent="0.2">
      <c r="A125" s="29"/>
      <c r="B125" s="101"/>
      <c r="C125" s="41"/>
      <c r="D125" s="383" t="s">
        <v>2790</v>
      </c>
      <c r="E125" s="155"/>
      <c r="F125" s="128"/>
      <c r="G125" s="35"/>
    </row>
    <row r="126" spans="1:11" x14ac:dyDescent="0.2">
      <c r="A126" s="29"/>
      <c r="B126" s="106"/>
      <c r="C126" s="41"/>
      <c r="D126" s="376" t="s">
        <v>2791</v>
      </c>
      <c r="E126" s="104"/>
      <c r="F126" s="128"/>
      <c r="G126" s="35"/>
      <c r="K126" s="774"/>
    </row>
    <row r="127" spans="1:11" x14ac:dyDescent="0.2">
      <c r="A127" s="29"/>
      <c r="B127" s="105"/>
      <c r="C127" s="41"/>
      <c r="D127" s="376" t="s">
        <v>2792</v>
      </c>
      <c r="E127" s="108"/>
      <c r="F127" s="152"/>
      <c r="G127" s="35"/>
    </row>
    <row r="128" spans="1:11" x14ac:dyDescent="0.2">
      <c r="A128" s="29"/>
      <c r="B128" s="107"/>
      <c r="C128" s="41"/>
      <c r="D128" s="376" t="s">
        <v>2793</v>
      </c>
      <c r="E128" s="153"/>
      <c r="F128" s="128"/>
      <c r="G128" s="35"/>
    </row>
    <row r="129" spans="1:7" x14ac:dyDescent="0.2">
      <c r="A129" s="29"/>
      <c r="B129" s="107"/>
      <c r="C129" s="41"/>
      <c r="D129" s="376" t="s">
        <v>2794</v>
      </c>
      <c r="E129" s="153"/>
      <c r="F129" s="128"/>
      <c r="G129" s="35"/>
    </row>
    <row r="130" spans="1:7" x14ac:dyDescent="0.2">
      <c r="A130" s="29"/>
      <c r="B130" s="107"/>
      <c r="C130" s="41"/>
      <c r="D130" s="376" t="s">
        <v>2795</v>
      </c>
      <c r="E130" s="153"/>
      <c r="F130" s="128"/>
      <c r="G130" s="35"/>
    </row>
    <row r="131" spans="1:7" x14ac:dyDescent="0.2">
      <c r="A131" s="29"/>
      <c r="B131" s="107"/>
      <c r="C131" s="41"/>
      <c r="D131" s="376" t="s">
        <v>2796</v>
      </c>
      <c r="E131" s="153"/>
      <c r="F131" s="128"/>
      <c r="G131" s="35"/>
    </row>
    <row r="132" spans="1:7" x14ac:dyDescent="0.2">
      <c r="A132" s="29"/>
      <c r="B132" s="101"/>
      <c r="C132" s="41"/>
      <c r="D132" s="383" t="s">
        <v>2797</v>
      </c>
      <c r="E132" s="108"/>
      <c r="F132" s="128"/>
      <c r="G132" s="35"/>
    </row>
    <row r="133" spans="1:7" x14ac:dyDescent="0.2">
      <c r="A133" s="29"/>
      <c r="B133" s="101"/>
      <c r="C133" s="41"/>
      <c r="D133" s="383" t="s">
        <v>2798</v>
      </c>
      <c r="E133" s="153"/>
      <c r="F133" s="128"/>
      <c r="G133" s="35"/>
    </row>
    <row r="134" spans="1:7" x14ac:dyDescent="0.2">
      <c r="A134" s="29"/>
      <c r="B134" s="106"/>
      <c r="C134" s="41"/>
      <c r="D134" s="376" t="s">
        <v>2799</v>
      </c>
      <c r="E134" s="104"/>
      <c r="F134" s="154"/>
      <c r="G134" s="35"/>
    </row>
    <row r="135" spans="1:7" x14ac:dyDescent="0.2">
      <c r="A135" s="29"/>
      <c r="B135" s="105"/>
      <c r="C135" s="41"/>
      <c r="D135" s="419" t="s">
        <v>2800</v>
      </c>
      <c r="E135" s="104"/>
      <c r="F135" s="154"/>
      <c r="G135" s="35"/>
    </row>
    <row r="136" spans="1:7" x14ac:dyDescent="0.2">
      <c r="A136" s="29"/>
      <c r="B136" s="105"/>
      <c r="C136" s="41"/>
      <c r="D136" s="376" t="s">
        <v>2801</v>
      </c>
      <c r="E136" s="104"/>
      <c r="F136" s="154"/>
      <c r="G136" s="35"/>
    </row>
    <row r="137" spans="1:7" x14ac:dyDescent="0.2">
      <c r="A137" s="29"/>
      <c r="B137" s="101"/>
      <c r="C137" s="41"/>
      <c r="D137" s="376" t="s">
        <v>2802</v>
      </c>
      <c r="E137" s="104"/>
      <c r="F137" s="154"/>
      <c r="G137" s="35"/>
    </row>
    <row r="138" spans="1:7" x14ac:dyDescent="0.2">
      <c r="A138" s="29"/>
      <c r="B138" s="101"/>
      <c r="C138" s="41"/>
      <c r="D138" s="376" t="s">
        <v>2803</v>
      </c>
      <c r="E138" s="104"/>
      <c r="F138" s="154"/>
      <c r="G138" s="35"/>
    </row>
    <row r="139" spans="1:7" x14ac:dyDescent="0.2">
      <c r="A139" s="29"/>
      <c r="B139" s="101"/>
      <c r="C139" s="41"/>
      <c r="D139" s="376" t="s">
        <v>2804</v>
      </c>
      <c r="E139" s="104"/>
      <c r="F139" s="154"/>
      <c r="G139" s="35"/>
    </row>
    <row r="140" spans="1:7" x14ac:dyDescent="0.2">
      <c r="A140" s="29"/>
      <c r="B140" s="101"/>
      <c r="C140" s="41"/>
      <c r="D140" s="376" t="s">
        <v>2805</v>
      </c>
      <c r="E140" s="104"/>
      <c r="F140" s="154"/>
      <c r="G140" s="35"/>
    </row>
    <row r="141" spans="1:7" x14ac:dyDescent="0.2">
      <c r="A141" s="29"/>
      <c r="B141" s="101"/>
      <c r="C141" s="41"/>
      <c r="D141" s="383" t="s">
        <v>2806</v>
      </c>
      <c r="E141" s="104"/>
      <c r="F141" s="154"/>
      <c r="G141" s="35"/>
    </row>
    <row r="142" spans="1:7" x14ac:dyDescent="0.2">
      <c r="A142" s="29"/>
      <c r="B142" s="101"/>
      <c r="C142" s="41"/>
      <c r="D142" s="384" t="s">
        <v>2807</v>
      </c>
      <c r="E142" s="104"/>
      <c r="F142" s="154"/>
      <c r="G142" s="35"/>
    </row>
    <row r="143" spans="1:7" x14ac:dyDescent="0.2">
      <c r="A143" s="29"/>
      <c r="B143" s="101"/>
      <c r="C143" s="41"/>
      <c r="D143" s="376" t="s">
        <v>2808</v>
      </c>
      <c r="E143" s="153"/>
      <c r="F143" s="128"/>
      <c r="G143" s="35"/>
    </row>
    <row r="144" spans="1:7" x14ac:dyDescent="0.2">
      <c r="A144" s="29"/>
      <c r="B144" s="101"/>
      <c r="C144" s="41"/>
      <c r="D144" s="376" t="s">
        <v>2809</v>
      </c>
      <c r="E144" s="153"/>
      <c r="F144" s="128"/>
      <c r="G144" s="35"/>
    </row>
    <row r="145" spans="1:9" x14ac:dyDescent="0.2">
      <c r="A145" s="29"/>
      <c r="B145" s="101"/>
      <c r="C145" s="41"/>
      <c r="D145" s="376" t="s">
        <v>2810</v>
      </c>
      <c r="E145" s="153"/>
      <c r="F145" s="128"/>
      <c r="G145" s="35"/>
    </row>
    <row r="146" spans="1:9" x14ac:dyDescent="0.2">
      <c r="A146" s="29"/>
      <c r="B146" s="101"/>
      <c r="C146" s="41"/>
      <c r="D146" s="376" t="s">
        <v>2811</v>
      </c>
      <c r="E146" s="153"/>
      <c r="F146" s="128"/>
      <c r="G146" s="35"/>
    </row>
    <row r="147" spans="1:9" x14ac:dyDescent="0.2">
      <c r="A147" s="29"/>
      <c r="B147" s="101"/>
      <c r="C147" s="41"/>
      <c r="D147" s="376" t="s">
        <v>2812</v>
      </c>
      <c r="E147" s="153"/>
      <c r="F147" s="128"/>
      <c r="G147" s="35"/>
    </row>
    <row r="148" spans="1:9" x14ac:dyDescent="0.2">
      <c r="A148" s="29"/>
      <c r="B148" s="101"/>
      <c r="C148" s="41"/>
      <c r="D148" s="376" t="s">
        <v>2813</v>
      </c>
      <c r="E148" s="102"/>
      <c r="F148" s="128"/>
      <c r="G148" s="35"/>
    </row>
    <row r="149" spans="1:9" x14ac:dyDescent="0.2">
      <c r="A149" s="61"/>
      <c r="B149" s="101"/>
      <c r="C149" s="41"/>
      <c r="D149" s="383"/>
      <c r="E149" s="108"/>
      <c r="F149" s="149"/>
      <c r="G149" s="71"/>
    </row>
    <row r="150" spans="1:9" ht="13.5" thickBot="1" x14ac:dyDescent="0.25">
      <c r="A150" s="209"/>
      <c r="B150" s="132"/>
      <c r="C150" s="115"/>
      <c r="D150" s="115"/>
      <c r="E150" s="132"/>
      <c r="F150" s="49" t="s">
        <v>15</v>
      </c>
      <c r="G150" s="210">
        <f>SUM(G114:G149)</f>
        <v>306500</v>
      </c>
    </row>
    <row r="151" spans="1:9" ht="13.5" thickTop="1" x14ac:dyDescent="0.2">
      <c r="A151" s="875" t="s">
        <v>2780</v>
      </c>
      <c r="B151" s="899"/>
      <c r="C151" s="899"/>
      <c r="D151" s="899"/>
      <c r="E151" s="899"/>
      <c r="F151" s="899"/>
      <c r="G151" s="900"/>
    </row>
    <row r="152" spans="1:9" ht="13.5" thickBot="1" x14ac:dyDescent="0.25">
      <c r="A152" s="52"/>
      <c r="B152" s="103"/>
      <c r="C152" s="927"/>
      <c r="D152" s="927"/>
      <c r="E152" s="927"/>
      <c r="F152" s="927"/>
      <c r="G152" s="928"/>
    </row>
    <row r="153" spans="1:9" ht="13.5" thickTop="1" x14ac:dyDescent="0.2">
      <c r="A153" s="906"/>
      <c r="B153" s="907"/>
      <c r="C153" s="907"/>
      <c r="D153" s="57" t="s">
        <v>11</v>
      </c>
      <c r="E153" s="908" t="s">
        <v>12</v>
      </c>
      <c r="F153" s="908"/>
      <c r="G153" s="909"/>
    </row>
    <row r="154" spans="1:9" ht="28.5" customHeight="1" x14ac:dyDescent="0.2">
      <c r="A154" s="910" t="s">
        <v>17</v>
      </c>
      <c r="B154" s="911"/>
      <c r="C154" s="911"/>
      <c r="D154" s="39"/>
      <c r="E154" s="912"/>
      <c r="F154" s="913"/>
      <c r="G154" s="914"/>
    </row>
    <row r="155" spans="1:9" x14ac:dyDescent="0.2">
      <c r="A155" s="910" t="s">
        <v>38</v>
      </c>
      <c r="B155" s="911"/>
      <c r="C155" s="911"/>
      <c r="D155" s="73" t="s">
        <v>147</v>
      </c>
      <c r="E155" s="868" t="s">
        <v>142</v>
      </c>
      <c r="F155" s="868"/>
      <c r="G155" s="869"/>
    </row>
    <row r="156" spans="1:9" ht="13.5" thickBot="1" x14ac:dyDescent="0.25">
      <c r="A156" s="901" t="s">
        <v>39</v>
      </c>
      <c r="B156" s="902"/>
      <c r="C156" s="902"/>
      <c r="D156" s="59" t="s">
        <v>148</v>
      </c>
      <c r="E156" s="903" t="s">
        <v>0</v>
      </c>
      <c r="F156" s="904"/>
      <c r="G156" s="905"/>
    </row>
    <row r="157" spans="1:9" ht="16.5" x14ac:dyDescent="0.25">
      <c r="A157" s="885" t="s">
        <v>29</v>
      </c>
      <c r="B157" s="886"/>
      <c r="C157" s="886"/>
      <c r="D157" s="886"/>
      <c r="E157" s="886"/>
      <c r="F157" s="886"/>
      <c r="G157" s="887"/>
      <c r="H157" s="1">
        <v>4</v>
      </c>
    </row>
    <row r="158" spans="1:9" x14ac:dyDescent="0.2">
      <c r="A158" s="888" t="s">
        <v>48</v>
      </c>
      <c r="B158" s="889"/>
      <c r="C158" s="889"/>
      <c r="D158" s="889"/>
      <c r="E158" s="889"/>
      <c r="F158" s="889"/>
      <c r="G158" s="890"/>
      <c r="H158" s="784">
        <v>46118</v>
      </c>
    </row>
    <row r="159" spans="1:9" x14ac:dyDescent="0.2">
      <c r="A159" s="915" t="s">
        <v>49</v>
      </c>
      <c r="B159" s="916"/>
      <c r="C159" s="916"/>
      <c r="D159" s="916"/>
      <c r="E159" s="916"/>
      <c r="F159" s="916"/>
      <c r="G159" s="917"/>
      <c r="H159" s="784">
        <v>46119</v>
      </c>
      <c r="I159" s="774"/>
    </row>
    <row r="160" spans="1:9" x14ac:dyDescent="0.2">
      <c r="A160" s="6"/>
      <c r="B160" s="99"/>
      <c r="C160" s="8"/>
      <c r="D160" s="9"/>
      <c r="E160" s="99"/>
      <c r="F160" s="10"/>
      <c r="G160" s="679" t="s">
        <v>20</v>
      </c>
      <c r="H160" s="784">
        <v>46127</v>
      </c>
      <c r="I160" s="774"/>
    </row>
    <row r="161" spans="1:7" x14ac:dyDescent="0.2">
      <c r="A161" s="12" t="s">
        <v>1</v>
      </c>
      <c r="B161" s="13"/>
      <c r="C161" s="14" t="s">
        <v>7</v>
      </c>
      <c r="D161" s="13"/>
      <c r="E161" s="362" t="s">
        <v>2878</v>
      </c>
      <c r="F161" s="98"/>
      <c r="G161" s="363" t="s">
        <v>2877</v>
      </c>
    </row>
    <row r="162" spans="1:7" x14ac:dyDescent="0.2">
      <c r="A162" s="17" t="s">
        <v>8</v>
      </c>
      <c r="B162" s="100"/>
      <c r="C162" s="19"/>
      <c r="D162" s="4"/>
      <c r="E162" s="918"/>
      <c r="F162" s="919"/>
      <c r="G162" s="20"/>
    </row>
    <row r="163" spans="1:7" x14ac:dyDescent="0.2">
      <c r="A163" s="21" t="s">
        <v>37</v>
      </c>
      <c r="B163" s="22"/>
      <c r="C163" s="22"/>
      <c r="D163" s="22"/>
      <c r="E163" s="23" t="s">
        <v>46</v>
      </c>
      <c r="F163" s="24"/>
      <c r="G163" s="20" t="s">
        <v>50</v>
      </c>
    </row>
    <row r="164" spans="1:7" x14ac:dyDescent="0.2">
      <c r="A164" s="6"/>
      <c r="B164" s="99"/>
      <c r="C164" s="8"/>
      <c r="D164" s="8"/>
      <c r="E164" s="920"/>
      <c r="F164" s="921"/>
      <c r="G164" s="25"/>
    </row>
    <row r="165" spans="1:7" ht="26.25" thickBot="1" x14ac:dyDescent="0.25">
      <c r="A165" s="207" t="s">
        <v>47</v>
      </c>
      <c r="B165" s="28" t="s">
        <v>23</v>
      </c>
      <c r="C165" s="28" t="s">
        <v>34</v>
      </c>
      <c r="D165" s="110" t="s">
        <v>53</v>
      </c>
      <c r="E165" s="114" t="s">
        <v>54</v>
      </c>
      <c r="F165" s="111" t="s">
        <v>55</v>
      </c>
      <c r="G165" s="112" t="s">
        <v>35</v>
      </c>
    </row>
    <row r="166" spans="1:7" ht="13.5" thickTop="1" x14ac:dyDescent="0.2">
      <c r="A166" s="29">
        <v>1</v>
      </c>
      <c r="B166" s="101"/>
      <c r="C166" s="371" t="s">
        <v>177</v>
      </c>
      <c r="D166" s="803" t="s">
        <v>2873</v>
      </c>
      <c r="E166" s="205">
        <v>3580</v>
      </c>
      <c r="F166" s="128">
        <v>300</v>
      </c>
      <c r="G166" s="35">
        <f>F166*E166</f>
        <v>1074000</v>
      </c>
    </row>
    <row r="167" spans="1:7" x14ac:dyDescent="0.2">
      <c r="A167" s="29"/>
      <c r="B167" s="101"/>
      <c r="C167" s="371"/>
      <c r="D167" s="370" t="s">
        <v>2874</v>
      </c>
      <c r="E167" s="108"/>
      <c r="F167" s="128"/>
      <c r="G167" s="35"/>
    </row>
    <row r="168" spans="1:7" x14ac:dyDescent="0.2">
      <c r="A168" s="29">
        <v>2</v>
      </c>
      <c r="B168" s="101"/>
      <c r="C168" s="371" t="s">
        <v>177</v>
      </c>
      <c r="D168" s="370" t="s">
        <v>2875</v>
      </c>
      <c r="E168" s="205">
        <v>252</v>
      </c>
      <c r="F168" s="149">
        <v>240</v>
      </c>
      <c r="G168" s="35">
        <f t="shared" ref="G168" si="2">F168*E168</f>
        <v>60480</v>
      </c>
    </row>
    <row r="169" spans="1:7" x14ac:dyDescent="0.2">
      <c r="A169" s="29"/>
      <c r="B169" s="101"/>
      <c r="C169" s="371"/>
      <c r="D169" s="376" t="s">
        <v>2876</v>
      </c>
      <c r="E169" s="157"/>
      <c r="F169" s="149"/>
      <c r="G169" s="35"/>
    </row>
    <row r="170" spans="1:7" x14ac:dyDescent="0.2">
      <c r="A170" s="29"/>
      <c r="B170" s="101"/>
      <c r="C170" s="371"/>
      <c r="D170" s="370"/>
      <c r="E170" s="108"/>
      <c r="F170" s="128"/>
      <c r="G170" s="35"/>
    </row>
    <row r="171" spans="1:7" x14ac:dyDescent="0.2">
      <c r="A171" s="29"/>
      <c r="B171" s="105"/>
      <c r="C171" s="41"/>
      <c r="D171" s="370"/>
      <c r="E171" s="102"/>
      <c r="F171" s="128"/>
      <c r="G171" s="35"/>
    </row>
    <row r="172" spans="1:7" x14ac:dyDescent="0.2">
      <c r="A172" s="29"/>
      <c r="B172" s="105"/>
      <c r="C172" s="371"/>
      <c r="D172" s="376"/>
      <c r="E172" s="102"/>
      <c r="F172" s="128"/>
      <c r="G172" s="35"/>
    </row>
    <row r="173" spans="1:7" x14ac:dyDescent="0.2">
      <c r="A173" s="29"/>
      <c r="B173" s="786"/>
      <c r="C173" s="665"/>
      <c r="D173" s="787"/>
      <c r="E173" s="788"/>
      <c r="F173" s="668"/>
      <c r="G173" s="35"/>
    </row>
    <row r="174" spans="1:7" x14ac:dyDescent="0.2">
      <c r="A174" s="29"/>
      <c r="B174" s="105"/>
      <c r="C174" s="371"/>
      <c r="D174" s="370"/>
      <c r="E174" s="102"/>
      <c r="F174" s="128"/>
      <c r="G174" s="35"/>
    </row>
    <row r="175" spans="1:7" x14ac:dyDescent="0.2">
      <c r="A175" s="29"/>
      <c r="B175" s="151"/>
      <c r="C175" s="119"/>
      <c r="D175" s="370"/>
      <c r="E175" s="108"/>
      <c r="F175" s="150"/>
      <c r="G175" s="35"/>
    </row>
    <row r="176" spans="1:7" x14ac:dyDescent="0.2">
      <c r="A176" s="29"/>
      <c r="B176" s="151"/>
      <c r="C176" s="119"/>
      <c r="D176" s="383"/>
      <c r="E176" s="108"/>
      <c r="F176" s="150"/>
      <c r="G176" s="35"/>
    </row>
    <row r="177" spans="1:11" x14ac:dyDescent="0.2">
      <c r="A177" s="29"/>
      <c r="B177" s="101"/>
      <c r="C177" s="41"/>
      <c r="D177" s="383"/>
      <c r="E177" s="155"/>
      <c r="F177" s="128"/>
      <c r="G177" s="35"/>
    </row>
    <row r="178" spans="1:11" x14ac:dyDescent="0.2">
      <c r="A178" s="29"/>
      <c r="B178" s="106"/>
      <c r="C178" s="41"/>
      <c r="D178" s="376"/>
      <c r="E178" s="104"/>
      <c r="F178" s="128"/>
      <c r="G178" s="35"/>
      <c r="K178" s="774"/>
    </row>
    <row r="179" spans="1:11" x14ac:dyDescent="0.2">
      <c r="A179" s="29"/>
      <c r="B179" s="105"/>
      <c r="C179" s="41"/>
      <c r="D179" s="376"/>
      <c r="E179" s="108"/>
      <c r="F179" s="152"/>
      <c r="G179" s="35"/>
    </row>
    <row r="180" spans="1:11" x14ac:dyDescent="0.2">
      <c r="A180" s="29"/>
      <c r="B180" s="107"/>
      <c r="C180" s="41"/>
      <c r="D180" s="376"/>
      <c r="E180" s="153"/>
      <c r="F180" s="128"/>
      <c r="G180" s="35"/>
    </row>
    <row r="181" spans="1:11" x14ac:dyDescent="0.2">
      <c r="A181" s="29"/>
      <c r="B181" s="107"/>
      <c r="C181" s="41"/>
      <c r="D181" s="376"/>
      <c r="E181" s="153"/>
      <c r="F181" s="128"/>
      <c r="G181" s="35"/>
    </row>
    <row r="182" spans="1:11" x14ac:dyDescent="0.2">
      <c r="A182" s="29"/>
      <c r="B182" s="107"/>
      <c r="C182" s="41"/>
      <c r="D182" s="376"/>
      <c r="E182" s="153"/>
      <c r="F182" s="128"/>
      <c r="G182" s="35"/>
    </row>
    <row r="183" spans="1:11" x14ac:dyDescent="0.2">
      <c r="A183" s="29"/>
      <c r="B183" s="107"/>
      <c r="C183" s="41"/>
      <c r="D183" s="376"/>
      <c r="E183" s="153"/>
      <c r="F183" s="128"/>
      <c r="G183" s="35"/>
    </row>
    <row r="184" spans="1:11" x14ac:dyDescent="0.2">
      <c r="A184" s="29"/>
      <c r="B184" s="101"/>
      <c r="C184" s="41"/>
      <c r="D184" s="383"/>
      <c r="E184" s="108"/>
      <c r="F184" s="128"/>
      <c r="G184" s="35"/>
    </row>
    <row r="185" spans="1:11" x14ac:dyDescent="0.2">
      <c r="A185" s="29"/>
      <c r="B185" s="101"/>
      <c r="C185" s="41"/>
      <c r="D185" s="383"/>
      <c r="E185" s="153"/>
      <c r="F185" s="128"/>
      <c r="G185" s="35"/>
    </row>
    <row r="186" spans="1:11" x14ac:dyDescent="0.2">
      <c r="A186" s="29"/>
      <c r="B186" s="106"/>
      <c r="C186" s="41"/>
      <c r="D186" s="376"/>
      <c r="E186" s="104"/>
      <c r="F186" s="154"/>
      <c r="G186" s="35"/>
    </row>
    <row r="187" spans="1:11" x14ac:dyDescent="0.2">
      <c r="A187" s="29"/>
      <c r="B187" s="105"/>
      <c r="C187" s="41"/>
      <c r="D187" s="419"/>
      <c r="E187" s="104"/>
      <c r="F187" s="154"/>
      <c r="G187" s="35"/>
    </row>
    <row r="188" spans="1:11" x14ac:dyDescent="0.2">
      <c r="A188" s="29"/>
      <c r="B188" s="105"/>
      <c r="C188" s="41"/>
      <c r="D188" s="376"/>
      <c r="E188" s="104"/>
      <c r="F188" s="154"/>
      <c r="G188" s="35"/>
    </row>
    <row r="189" spans="1:11" x14ac:dyDescent="0.2">
      <c r="A189" s="29"/>
      <c r="B189" s="101"/>
      <c r="C189" s="41"/>
      <c r="D189" s="376"/>
      <c r="E189" s="104"/>
      <c r="F189" s="154"/>
      <c r="G189" s="35"/>
    </row>
    <row r="190" spans="1:11" x14ac:dyDescent="0.2">
      <c r="A190" s="29"/>
      <c r="B190" s="101"/>
      <c r="C190" s="41"/>
      <c r="D190" s="376"/>
      <c r="E190" s="104"/>
      <c r="F190" s="154"/>
      <c r="G190" s="35"/>
    </row>
    <row r="191" spans="1:11" x14ac:dyDescent="0.2">
      <c r="A191" s="29"/>
      <c r="B191" s="101"/>
      <c r="C191" s="41"/>
      <c r="D191" s="376"/>
      <c r="E191" s="104"/>
      <c r="F191" s="154"/>
      <c r="G191" s="35"/>
    </row>
    <row r="192" spans="1:11" x14ac:dyDescent="0.2">
      <c r="A192" s="29"/>
      <c r="B192" s="101"/>
      <c r="C192" s="41"/>
      <c r="D192" s="376"/>
      <c r="E192" s="104"/>
      <c r="F192" s="154"/>
      <c r="G192" s="35"/>
    </row>
    <row r="193" spans="1:15" x14ac:dyDescent="0.2">
      <c r="A193" s="29"/>
      <c r="B193" s="101"/>
      <c r="C193" s="41"/>
      <c r="D193" s="383"/>
      <c r="E193" s="104"/>
      <c r="F193" s="154"/>
      <c r="G193" s="35"/>
    </row>
    <row r="194" spans="1:15" x14ac:dyDescent="0.2">
      <c r="A194" s="29"/>
      <c r="B194" s="101"/>
      <c r="C194" s="41"/>
      <c r="D194" s="384"/>
      <c r="E194" s="104"/>
      <c r="F194" s="154"/>
      <c r="G194" s="35"/>
    </row>
    <row r="195" spans="1:15" x14ac:dyDescent="0.2">
      <c r="A195" s="29"/>
      <c r="B195" s="101"/>
      <c r="C195" s="41"/>
      <c r="D195" s="376"/>
      <c r="E195" s="153"/>
      <c r="F195" s="128"/>
      <c r="G195" s="35"/>
    </row>
    <row r="196" spans="1:15" x14ac:dyDescent="0.2">
      <c r="A196" s="29"/>
      <c r="B196" s="101"/>
      <c r="C196" s="41"/>
      <c r="D196" s="376"/>
      <c r="E196" s="153"/>
      <c r="F196" s="128"/>
      <c r="G196" s="35"/>
    </row>
    <row r="197" spans="1:15" x14ac:dyDescent="0.2">
      <c r="A197" s="29"/>
      <c r="B197" s="101"/>
      <c r="C197" s="41"/>
      <c r="D197" s="376"/>
      <c r="E197" s="153"/>
      <c r="F197" s="128"/>
      <c r="G197" s="35"/>
    </row>
    <row r="198" spans="1:15" x14ac:dyDescent="0.2">
      <c r="A198" s="29"/>
      <c r="B198" s="101"/>
      <c r="C198" s="41"/>
      <c r="D198" s="376"/>
      <c r="E198" s="153"/>
      <c r="F198" s="128"/>
      <c r="G198" s="35"/>
    </row>
    <row r="199" spans="1:15" x14ac:dyDescent="0.2">
      <c r="A199" s="29"/>
      <c r="B199" s="101"/>
      <c r="C199" s="41"/>
      <c r="D199" s="376"/>
      <c r="E199" s="153"/>
      <c r="F199" s="128"/>
      <c r="G199" s="35"/>
    </row>
    <row r="200" spans="1:15" x14ac:dyDescent="0.2">
      <c r="A200" s="29"/>
      <c r="B200" s="101"/>
      <c r="C200" s="41"/>
      <c r="D200" s="376"/>
      <c r="E200" s="102"/>
      <c r="F200" s="128"/>
      <c r="G200" s="35"/>
    </row>
    <row r="201" spans="1:15" x14ac:dyDescent="0.2">
      <c r="A201" s="61"/>
      <c r="B201" s="101"/>
      <c r="C201" s="41"/>
      <c r="D201" s="383"/>
      <c r="E201" s="108"/>
      <c r="F201" s="149"/>
      <c r="G201" s="71"/>
    </row>
    <row r="202" spans="1:15" ht="13.5" thickBot="1" x14ac:dyDescent="0.25">
      <c r="A202" s="209"/>
      <c r="B202" s="132"/>
      <c r="C202" s="115"/>
      <c r="D202" s="115"/>
      <c r="E202" s="132"/>
      <c r="F202" s="49" t="s">
        <v>15</v>
      </c>
      <c r="G202" s="210">
        <f>SUM(G166:G201)</f>
        <v>1134480</v>
      </c>
    </row>
    <row r="203" spans="1:15" ht="13.5" thickTop="1" x14ac:dyDescent="0.2">
      <c r="A203" s="875" t="s">
        <v>3227</v>
      </c>
      <c r="B203" s="899"/>
      <c r="C203" s="899"/>
      <c r="D203" s="899"/>
      <c r="E203" s="899"/>
      <c r="F203" s="899"/>
      <c r="G203" s="900"/>
      <c r="I203" s="875" t="s">
        <v>2780</v>
      </c>
      <c r="J203" s="899"/>
      <c r="K203" s="899"/>
      <c r="L203" s="899"/>
      <c r="M203" s="899"/>
      <c r="N203" s="899"/>
      <c r="O203" s="900"/>
    </row>
    <row r="204" spans="1:15" ht="13.5" thickBot="1" x14ac:dyDescent="0.25">
      <c r="A204" s="52"/>
      <c r="B204" s="103"/>
      <c r="C204" s="927" t="s">
        <v>3228</v>
      </c>
      <c r="D204" s="927"/>
      <c r="E204" s="927"/>
      <c r="F204" s="927"/>
      <c r="G204" s="928"/>
    </row>
    <row r="205" spans="1:15" ht="13.5" thickTop="1" x14ac:dyDescent="0.2">
      <c r="A205" s="906"/>
      <c r="B205" s="907"/>
      <c r="C205" s="907"/>
      <c r="D205" s="57" t="s">
        <v>11</v>
      </c>
      <c r="E205" s="908" t="s">
        <v>12</v>
      </c>
      <c r="F205" s="908"/>
      <c r="G205" s="909"/>
    </row>
    <row r="206" spans="1:15" ht="28.5" customHeight="1" x14ac:dyDescent="0.2">
      <c r="A206" s="910" t="s">
        <v>17</v>
      </c>
      <c r="B206" s="911"/>
      <c r="C206" s="911"/>
      <c r="D206" s="39"/>
      <c r="E206" s="912"/>
      <c r="F206" s="913"/>
      <c r="G206" s="914"/>
    </row>
    <row r="207" spans="1:15" x14ac:dyDescent="0.2">
      <c r="A207" s="910" t="s">
        <v>38</v>
      </c>
      <c r="B207" s="911"/>
      <c r="C207" s="911"/>
      <c r="D207" s="73" t="s">
        <v>147</v>
      </c>
      <c r="E207" s="868" t="s">
        <v>142</v>
      </c>
      <c r="F207" s="868"/>
      <c r="G207" s="869"/>
    </row>
    <row r="208" spans="1:15" ht="13.5" thickBot="1" x14ac:dyDescent="0.25">
      <c r="A208" s="901" t="s">
        <v>39</v>
      </c>
      <c r="B208" s="902"/>
      <c r="C208" s="902"/>
      <c r="D208" s="59" t="s">
        <v>148</v>
      </c>
      <c r="E208" s="903" t="s">
        <v>0</v>
      </c>
      <c r="F208" s="904"/>
      <c r="G208" s="905"/>
    </row>
    <row r="209" spans="1:9" ht="16.5" x14ac:dyDescent="0.2">
      <c r="A209" s="997" t="s">
        <v>29</v>
      </c>
      <c r="B209" s="998"/>
      <c r="C209" s="998"/>
      <c r="D209" s="998"/>
      <c r="E209" s="998"/>
      <c r="F209" s="998"/>
      <c r="G209" s="999"/>
      <c r="H209" s="1">
        <v>5</v>
      </c>
    </row>
    <row r="210" spans="1:9" x14ac:dyDescent="0.2">
      <c r="A210" s="1000" t="s">
        <v>48</v>
      </c>
      <c r="B210" s="1001"/>
      <c r="C210" s="1001"/>
      <c r="D210" s="1001"/>
      <c r="E210" s="1001"/>
      <c r="F210" s="1001"/>
      <c r="G210" s="1002"/>
      <c r="H210" s="784">
        <v>46125</v>
      </c>
    </row>
    <row r="211" spans="1:9" x14ac:dyDescent="0.2">
      <c r="A211" s="1003" t="s">
        <v>49</v>
      </c>
      <c r="B211" s="1004"/>
      <c r="C211" s="1004"/>
      <c r="D211" s="1004"/>
      <c r="E211" s="1004"/>
      <c r="F211" s="1004"/>
      <c r="G211" s="1005"/>
      <c r="H211" s="784">
        <v>46125</v>
      </c>
      <c r="I211" s="774"/>
    </row>
    <row r="212" spans="1:9" x14ac:dyDescent="0.2">
      <c r="A212" s="674"/>
      <c r="B212" s="675"/>
      <c r="C212" s="676"/>
      <c r="D212" s="677"/>
      <c r="E212" s="675"/>
      <c r="F212" s="678"/>
      <c r="G212" s="737" t="s">
        <v>3016</v>
      </c>
      <c r="I212" s="774"/>
    </row>
    <row r="213" spans="1:9" x14ac:dyDescent="0.2">
      <c r="A213" s="680" t="s">
        <v>1</v>
      </c>
      <c r="B213" s="681"/>
      <c r="C213" s="682" t="s">
        <v>7</v>
      </c>
      <c r="D213" s="681"/>
      <c r="E213" s="683" t="s">
        <v>3025</v>
      </c>
      <c r="F213" s="684"/>
      <c r="G213" s="685" t="s">
        <v>3020</v>
      </c>
    </row>
    <row r="214" spans="1:9" x14ac:dyDescent="0.2">
      <c r="A214" s="686" t="s">
        <v>8</v>
      </c>
      <c r="B214" s="687"/>
      <c r="C214" s="688"/>
      <c r="D214" s="673"/>
      <c r="E214" s="1006"/>
      <c r="F214" s="1007"/>
      <c r="G214" s="689"/>
    </row>
    <row r="215" spans="1:9" x14ac:dyDescent="0.2">
      <c r="A215" s="690" t="s">
        <v>37</v>
      </c>
      <c r="B215" s="261"/>
      <c r="C215" s="261"/>
      <c r="D215" s="261"/>
      <c r="E215" s="691" t="s">
        <v>46</v>
      </c>
      <c r="F215" s="692"/>
      <c r="G215" s="689" t="s">
        <v>50</v>
      </c>
    </row>
    <row r="216" spans="1:9" x14ac:dyDescent="0.2">
      <c r="A216" s="674"/>
      <c r="B216" s="675"/>
      <c r="C216" s="676"/>
      <c r="D216" s="676"/>
      <c r="E216" s="1008"/>
      <c r="F216" s="1009"/>
      <c r="G216" s="693"/>
    </row>
    <row r="217" spans="1:9" ht="26.25" thickBot="1" x14ac:dyDescent="0.25">
      <c r="A217" s="694" t="s">
        <v>47</v>
      </c>
      <c r="B217" s="110" t="s">
        <v>23</v>
      </c>
      <c r="C217" s="110" t="s">
        <v>34</v>
      </c>
      <c r="D217" s="110" t="s">
        <v>53</v>
      </c>
      <c r="E217" s="114" t="s">
        <v>54</v>
      </c>
      <c r="F217" s="111" t="s">
        <v>55</v>
      </c>
      <c r="G217" s="112" t="s">
        <v>35</v>
      </c>
    </row>
    <row r="218" spans="1:9" ht="13.5" thickTop="1" x14ac:dyDescent="0.2">
      <c r="A218" s="695">
        <v>1</v>
      </c>
      <c r="B218" s="698"/>
      <c r="C218" s="385" t="s">
        <v>177</v>
      </c>
      <c r="D218" s="811" t="s">
        <v>2820</v>
      </c>
      <c r="E218" s="205">
        <v>15</v>
      </c>
      <c r="F218" s="163">
        <v>125</v>
      </c>
      <c r="G218" s="697">
        <f>F218*E218</f>
        <v>1875</v>
      </c>
    </row>
    <row r="219" spans="1:9" x14ac:dyDescent="0.2">
      <c r="A219" s="695">
        <v>2</v>
      </c>
      <c r="B219" s="698"/>
      <c r="C219" s="385" t="s">
        <v>177</v>
      </c>
      <c r="D219" s="370" t="s">
        <v>2925</v>
      </c>
      <c r="E219" s="108">
        <v>4</v>
      </c>
      <c r="F219" s="163">
        <v>680</v>
      </c>
      <c r="G219" s="697">
        <f t="shared" ref="G219:G252" si="3">F219*E219</f>
        <v>2720</v>
      </c>
    </row>
    <row r="220" spans="1:9" x14ac:dyDescent="0.2">
      <c r="A220" s="695">
        <v>3</v>
      </c>
      <c r="B220" s="698"/>
      <c r="C220" s="385" t="s">
        <v>177</v>
      </c>
      <c r="D220" s="370" t="s">
        <v>2926</v>
      </c>
      <c r="E220" s="205">
        <v>2</v>
      </c>
      <c r="F220" s="149">
        <v>190</v>
      </c>
      <c r="G220" s="697">
        <f t="shared" si="3"/>
        <v>380</v>
      </c>
    </row>
    <row r="221" spans="1:9" x14ac:dyDescent="0.2">
      <c r="A221" s="695">
        <v>4</v>
      </c>
      <c r="B221" s="698"/>
      <c r="C221" s="385" t="s">
        <v>177</v>
      </c>
      <c r="D221" s="376" t="s">
        <v>2927</v>
      </c>
      <c r="E221" s="108">
        <v>2</v>
      </c>
      <c r="F221" s="149">
        <v>420</v>
      </c>
      <c r="G221" s="697">
        <f t="shared" si="3"/>
        <v>840</v>
      </c>
    </row>
    <row r="222" spans="1:9" x14ac:dyDescent="0.2">
      <c r="A222" s="695">
        <v>5</v>
      </c>
      <c r="B222" s="698"/>
      <c r="C222" s="385" t="s">
        <v>177</v>
      </c>
      <c r="D222" s="370" t="s">
        <v>2915</v>
      </c>
      <c r="E222" s="108">
        <v>10</v>
      </c>
      <c r="F222" s="163">
        <v>175</v>
      </c>
      <c r="G222" s="697">
        <f t="shared" si="3"/>
        <v>1750</v>
      </c>
    </row>
    <row r="223" spans="1:9" x14ac:dyDescent="0.2">
      <c r="A223" s="695"/>
      <c r="B223" s="776"/>
      <c r="C223" s="794"/>
      <c r="D223" s="666" t="s">
        <v>2969</v>
      </c>
      <c r="E223" s="779"/>
      <c r="F223" s="780"/>
      <c r="G223" s="697"/>
    </row>
    <row r="224" spans="1:9" x14ac:dyDescent="0.2">
      <c r="A224" s="695">
        <v>6</v>
      </c>
      <c r="B224" s="105"/>
      <c r="C224" s="119" t="s">
        <v>185</v>
      </c>
      <c r="D224" s="370" t="s">
        <v>2915</v>
      </c>
      <c r="E224" s="108">
        <v>60</v>
      </c>
      <c r="F224" s="163">
        <v>95</v>
      </c>
      <c r="G224" s="697">
        <f t="shared" si="3"/>
        <v>5700</v>
      </c>
      <c r="H224" s="108">
        <v>72</v>
      </c>
    </row>
    <row r="225" spans="1:11" x14ac:dyDescent="0.2">
      <c r="A225" s="695"/>
      <c r="B225" s="786"/>
      <c r="C225" s="777"/>
      <c r="D225" s="666" t="s">
        <v>2970</v>
      </c>
      <c r="E225" s="779"/>
      <c r="F225" s="780"/>
      <c r="G225" s="697"/>
    </row>
    <row r="226" spans="1:11" x14ac:dyDescent="0.2">
      <c r="A226" s="695">
        <v>7</v>
      </c>
      <c r="B226" s="105"/>
      <c r="C226" s="385" t="s">
        <v>177</v>
      </c>
      <c r="D226" s="376" t="s">
        <v>2821</v>
      </c>
      <c r="E226" s="108">
        <v>25</v>
      </c>
      <c r="F226" s="163">
        <v>150</v>
      </c>
      <c r="G226" s="697">
        <f t="shared" si="3"/>
        <v>3750</v>
      </c>
    </row>
    <row r="227" spans="1:11" x14ac:dyDescent="0.2">
      <c r="A227" s="695">
        <v>8</v>
      </c>
      <c r="B227" s="786"/>
      <c r="C227" s="794" t="s">
        <v>177</v>
      </c>
      <c r="D227" s="787" t="s">
        <v>2928</v>
      </c>
      <c r="E227" s="779">
        <v>750</v>
      </c>
      <c r="F227" s="780">
        <v>120</v>
      </c>
      <c r="G227" s="697">
        <f t="shared" si="3"/>
        <v>90000</v>
      </c>
    </row>
    <row r="228" spans="1:11" x14ac:dyDescent="0.2">
      <c r="A228" s="695">
        <v>9</v>
      </c>
      <c r="B228" s="105"/>
      <c r="C228" s="385" t="s">
        <v>177</v>
      </c>
      <c r="D228" s="370" t="s">
        <v>2929</v>
      </c>
      <c r="E228" s="108">
        <v>500</v>
      </c>
      <c r="F228" s="163">
        <v>290</v>
      </c>
      <c r="G228" s="697">
        <f t="shared" si="3"/>
        <v>145000</v>
      </c>
    </row>
    <row r="229" spans="1:11" x14ac:dyDescent="0.2">
      <c r="A229" s="695">
        <v>10</v>
      </c>
      <c r="B229" s="105"/>
      <c r="C229" s="385" t="s">
        <v>185</v>
      </c>
      <c r="D229" s="370" t="s">
        <v>2971</v>
      </c>
      <c r="E229" s="108">
        <v>540</v>
      </c>
      <c r="F229" s="150">
        <v>45</v>
      </c>
      <c r="G229" s="697">
        <f t="shared" si="3"/>
        <v>24300</v>
      </c>
    </row>
    <row r="230" spans="1:11" x14ac:dyDescent="0.2">
      <c r="A230" s="695"/>
      <c r="B230" s="786"/>
      <c r="C230" s="794"/>
      <c r="D230" s="666" t="s">
        <v>2972</v>
      </c>
      <c r="E230" s="779"/>
      <c r="F230" s="812"/>
      <c r="G230" s="697"/>
    </row>
    <row r="231" spans="1:11" x14ac:dyDescent="0.2">
      <c r="A231" s="695">
        <v>11</v>
      </c>
      <c r="B231" s="105"/>
      <c r="C231" s="385" t="s">
        <v>185</v>
      </c>
      <c r="D231" s="383" t="s">
        <v>2930</v>
      </c>
      <c r="E231" s="108">
        <v>720</v>
      </c>
      <c r="F231" s="150">
        <v>28</v>
      </c>
      <c r="G231" s="697">
        <f t="shared" si="3"/>
        <v>20160</v>
      </c>
    </row>
    <row r="232" spans="1:11" x14ac:dyDescent="0.2">
      <c r="A232" s="695">
        <v>12</v>
      </c>
      <c r="B232" s="698"/>
      <c r="C232" s="385" t="s">
        <v>185</v>
      </c>
      <c r="D232" s="383" t="s">
        <v>2931</v>
      </c>
      <c r="E232" s="699">
        <v>270</v>
      </c>
      <c r="F232" s="163">
        <v>38</v>
      </c>
      <c r="G232" s="697">
        <f t="shared" si="3"/>
        <v>10260</v>
      </c>
    </row>
    <row r="233" spans="1:11" x14ac:dyDescent="0.2">
      <c r="A233" s="695">
        <v>13</v>
      </c>
      <c r="B233" s="106"/>
      <c r="C233" s="385" t="s">
        <v>185</v>
      </c>
      <c r="D233" s="376" t="s">
        <v>2932</v>
      </c>
      <c r="E233" s="131">
        <v>72</v>
      </c>
      <c r="F233" s="163">
        <v>24</v>
      </c>
      <c r="G233" s="697">
        <f t="shared" si="3"/>
        <v>1728</v>
      </c>
      <c r="K233" s="774"/>
    </row>
    <row r="234" spans="1:11" x14ac:dyDescent="0.2">
      <c r="A234" s="695">
        <v>14</v>
      </c>
      <c r="B234" s="105"/>
      <c r="C234" s="119" t="s">
        <v>177</v>
      </c>
      <c r="D234" s="376" t="s">
        <v>2823</v>
      </c>
      <c r="E234" s="108">
        <v>300</v>
      </c>
      <c r="F234" s="152">
        <v>220</v>
      </c>
      <c r="G234" s="697">
        <f t="shared" si="3"/>
        <v>66000</v>
      </c>
    </row>
    <row r="235" spans="1:11" x14ac:dyDescent="0.2">
      <c r="A235" s="695">
        <v>15</v>
      </c>
      <c r="B235" s="700"/>
      <c r="C235" s="119" t="s">
        <v>177</v>
      </c>
      <c r="D235" s="376" t="s">
        <v>2822</v>
      </c>
      <c r="E235" s="108">
        <v>10</v>
      </c>
      <c r="F235" s="163">
        <v>120</v>
      </c>
      <c r="G235" s="697">
        <f t="shared" si="3"/>
        <v>1200</v>
      </c>
    </row>
    <row r="236" spans="1:11" x14ac:dyDescent="0.2">
      <c r="A236" s="695">
        <v>16</v>
      </c>
      <c r="B236" s="700"/>
      <c r="C236" s="119" t="s">
        <v>177</v>
      </c>
      <c r="D236" s="376" t="s">
        <v>2933</v>
      </c>
      <c r="E236" s="108">
        <v>25</v>
      </c>
      <c r="F236" s="163">
        <v>425</v>
      </c>
      <c r="G236" s="697">
        <f t="shared" si="3"/>
        <v>10625</v>
      </c>
    </row>
    <row r="237" spans="1:11" x14ac:dyDescent="0.2">
      <c r="A237" s="695">
        <v>17</v>
      </c>
      <c r="B237" s="700"/>
      <c r="C237" s="119" t="s">
        <v>177</v>
      </c>
      <c r="D237" s="376" t="s">
        <v>2934</v>
      </c>
      <c r="E237" s="108">
        <v>25</v>
      </c>
      <c r="F237" s="163">
        <v>795</v>
      </c>
      <c r="G237" s="697">
        <f t="shared" si="3"/>
        <v>19875</v>
      </c>
    </row>
    <row r="238" spans="1:11" x14ac:dyDescent="0.2">
      <c r="A238" s="695">
        <v>18</v>
      </c>
      <c r="B238" s="700"/>
      <c r="C238" s="119" t="s">
        <v>177</v>
      </c>
      <c r="D238" s="376" t="s">
        <v>2824</v>
      </c>
      <c r="E238" s="108">
        <v>135</v>
      </c>
      <c r="F238" s="163">
        <v>108</v>
      </c>
      <c r="G238" s="697">
        <f t="shared" si="3"/>
        <v>14580</v>
      </c>
    </row>
    <row r="239" spans="1:11" x14ac:dyDescent="0.2">
      <c r="A239" s="695">
        <v>19</v>
      </c>
      <c r="B239" s="698"/>
      <c r="C239" s="385" t="s">
        <v>185</v>
      </c>
      <c r="D239" s="383" t="s">
        <v>2973</v>
      </c>
      <c r="E239" s="108">
        <v>5</v>
      </c>
      <c r="F239" s="163">
        <v>275</v>
      </c>
      <c r="G239" s="697">
        <f t="shared" si="3"/>
        <v>1375</v>
      </c>
    </row>
    <row r="240" spans="1:11" x14ac:dyDescent="0.2">
      <c r="A240" s="695"/>
      <c r="B240" s="776"/>
      <c r="C240" s="794"/>
      <c r="D240" s="795" t="s">
        <v>2974</v>
      </c>
      <c r="E240" s="779"/>
      <c r="F240" s="780"/>
      <c r="G240" s="697"/>
    </row>
    <row r="241" spans="1:7" x14ac:dyDescent="0.2">
      <c r="A241" s="695">
        <v>20</v>
      </c>
      <c r="B241" s="698"/>
      <c r="C241" s="119" t="s">
        <v>177</v>
      </c>
      <c r="D241" s="383" t="s">
        <v>2975</v>
      </c>
      <c r="E241" s="108">
        <v>10</v>
      </c>
      <c r="F241" s="163">
        <v>970</v>
      </c>
      <c r="G241" s="697">
        <f t="shared" si="3"/>
        <v>9700</v>
      </c>
    </row>
    <row r="242" spans="1:7" x14ac:dyDescent="0.2">
      <c r="A242" s="695"/>
      <c r="B242" s="776"/>
      <c r="C242" s="777"/>
      <c r="D242" s="795" t="s">
        <v>2976</v>
      </c>
      <c r="E242" s="779"/>
      <c r="F242" s="780"/>
      <c r="G242" s="697"/>
    </row>
    <row r="243" spans="1:7" x14ac:dyDescent="0.2">
      <c r="A243" s="695">
        <v>21</v>
      </c>
      <c r="B243" s="106"/>
      <c r="C243" s="119" t="s">
        <v>177</v>
      </c>
      <c r="D243" s="376" t="s">
        <v>2975</v>
      </c>
      <c r="E243" s="131">
        <v>10</v>
      </c>
      <c r="F243" s="717">
        <v>4500</v>
      </c>
      <c r="G243" s="697">
        <f t="shared" si="3"/>
        <v>45000</v>
      </c>
    </row>
    <row r="244" spans="1:7" x14ac:dyDescent="0.2">
      <c r="A244" s="695"/>
      <c r="B244" s="813"/>
      <c r="C244" s="777"/>
      <c r="D244" s="787" t="s">
        <v>2977</v>
      </c>
      <c r="E244" s="808"/>
      <c r="F244" s="814"/>
      <c r="G244" s="697"/>
    </row>
    <row r="245" spans="1:7" x14ac:dyDescent="0.2">
      <c r="A245" s="695">
        <v>22</v>
      </c>
      <c r="B245" s="105"/>
      <c r="C245" s="385" t="s">
        <v>153</v>
      </c>
      <c r="D245" s="383" t="s">
        <v>2935</v>
      </c>
      <c r="E245" s="131">
        <v>25</v>
      </c>
      <c r="F245" s="717">
        <v>95</v>
      </c>
      <c r="G245" s="697">
        <f t="shared" si="3"/>
        <v>2375</v>
      </c>
    </row>
    <row r="246" spans="1:7" x14ac:dyDescent="0.2">
      <c r="A246" s="695">
        <v>23</v>
      </c>
      <c r="B246" s="105"/>
      <c r="C246" s="385" t="s">
        <v>375</v>
      </c>
      <c r="D246" s="376" t="s">
        <v>2978</v>
      </c>
      <c r="E246" s="131">
        <v>25</v>
      </c>
      <c r="F246" s="717">
        <v>1350</v>
      </c>
      <c r="G246" s="697">
        <f t="shared" si="3"/>
        <v>33750</v>
      </c>
    </row>
    <row r="247" spans="1:7" x14ac:dyDescent="0.2">
      <c r="A247" s="695"/>
      <c r="B247" s="786"/>
      <c r="C247" s="794"/>
      <c r="D247" s="787" t="s">
        <v>2979</v>
      </c>
      <c r="E247" s="808"/>
      <c r="F247" s="814"/>
      <c r="G247" s="697"/>
    </row>
    <row r="248" spans="1:7" x14ac:dyDescent="0.2">
      <c r="A248" s="695">
        <v>24</v>
      </c>
      <c r="B248" s="698"/>
      <c r="C248" s="119" t="s">
        <v>177</v>
      </c>
      <c r="D248" s="376" t="s">
        <v>2936</v>
      </c>
      <c r="E248" s="131">
        <v>1</v>
      </c>
      <c r="F248" s="717">
        <v>300</v>
      </c>
      <c r="G248" s="697">
        <f t="shared" si="3"/>
        <v>300</v>
      </c>
    </row>
    <row r="249" spans="1:7" x14ac:dyDescent="0.2">
      <c r="A249" s="695">
        <v>25</v>
      </c>
      <c r="B249" s="698"/>
      <c r="C249" s="119" t="s">
        <v>187</v>
      </c>
      <c r="D249" s="376" t="s">
        <v>2938</v>
      </c>
      <c r="E249" s="131">
        <v>200</v>
      </c>
      <c r="F249" s="717">
        <v>5.75</v>
      </c>
      <c r="G249" s="697">
        <f t="shared" si="3"/>
        <v>1150</v>
      </c>
    </row>
    <row r="250" spans="1:7" x14ac:dyDescent="0.2">
      <c r="A250" s="695">
        <v>26</v>
      </c>
      <c r="B250" s="698"/>
      <c r="C250" s="119" t="s">
        <v>177</v>
      </c>
      <c r="D250" s="376" t="s">
        <v>2980</v>
      </c>
      <c r="E250" s="131">
        <v>2</v>
      </c>
      <c r="F250" s="717">
        <v>1617</v>
      </c>
      <c r="G250" s="697">
        <f t="shared" si="3"/>
        <v>3234</v>
      </c>
    </row>
    <row r="251" spans="1:7" x14ac:dyDescent="0.2">
      <c r="A251" s="695"/>
      <c r="B251" s="776"/>
      <c r="C251" s="777"/>
      <c r="D251" s="787" t="s">
        <v>2981</v>
      </c>
      <c r="E251" s="808"/>
      <c r="F251" s="814"/>
      <c r="G251" s="697"/>
    </row>
    <row r="252" spans="1:7" x14ac:dyDescent="0.2">
      <c r="A252" s="695">
        <v>27</v>
      </c>
      <c r="B252" s="698"/>
      <c r="C252" s="119" t="s">
        <v>177</v>
      </c>
      <c r="D252" s="376" t="s">
        <v>2937</v>
      </c>
      <c r="E252" s="131">
        <v>10</v>
      </c>
      <c r="F252" s="717">
        <v>1200</v>
      </c>
      <c r="G252" s="697">
        <f t="shared" si="3"/>
        <v>12000</v>
      </c>
    </row>
    <row r="253" spans="1:7" x14ac:dyDescent="0.2">
      <c r="A253" s="725"/>
      <c r="B253" s="776"/>
      <c r="C253" s="777"/>
      <c r="D253" s="787"/>
      <c r="E253" s="808"/>
      <c r="F253" s="815"/>
      <c r="G253" s="124"/>
    </row>
    <row r="254" spans="1:7" ht="13.5" thickBot="1" x14ac:dyDescent="0.25">
      <c r="A254" s="726"/>
      <c r="B254" s="703"/>
      <c r="C254" s="704"/>
      <c r="D254" s="704"/>
      <c r="E254" s="703"/>
      <c r="F254" s="705" t="s">
        <v>158</v>
      </c>
      <c r="G254" s="727">
        <f>SUM(G218:G253)</f>
        <v>529627</v>
      </c>
    </row>
    <row r="255" spans="1:7" ht="13.5" thickTop="1" x14ac:dyDescent="0.2">
      <c r="A255" s="985" t="s">
        <v>2924</v>
      </c>
      <c r="B255" s="1019"/>
      <c r="C255" s="1019"/>
      <c r="D255" s="1019"/>
      <c r="E255" s="1019"/>
      <c r="F255" s="1019"/>
      <c r="G255" s="1020"/>
    </row>
    <row r="256" spans="1:7" ht="13.5" thickBot="1" x14ac:dyDescent="0.25">
      <c r="A256" s="707"/>
      <c r="B256" s="708"/>
      <c r="C256" s="1021"/>
      <c r="D256" s="1021"/>
      <c r="E256" s="1021"/>
      <c r="F256" s="1021"/>
      <c r="G256" s="1022"/>
    </row>
    <row r="257" spans="1:9" ht="13.5" thickTop="1" x14ac:dyDescent="0.2">
      <c r="A257" s="1023"/>
      <c r="B257" s="1024"/>
      <c r="C257" s="1024"/>
      <c r="D257" s="344" t="s">
        <v>11</v>
      </c>
      <c r="E257" s="1025" t="s">
        <v>12</v>
      </c>
      <c r="F257" s="1025"/>
      <c r="G257" s="1026"/>
    </row>
    <row r="258" spans="1:9" ht="28.5" customHeight="1" x14ac:dyDescent="0.2">
      <c r="A258" s="1010" t="s">
        <v>17</v>
      </c>
      <c r="B258" s="1011"/>
      <c r="C258" s="1011"/>
      <c r="D258" s="121"/>
      <c r="E258" s="1027"/>
      <c r="F258" s="1028"/>
      <c r="G258" s="1029"/>
    </row>
    <row r="259" spans="1:9" x14ac:dyDescent="0.2">
      <c r="A259" s="1010" t="s">
        <v>38</v>
      </c>
      <c r="B259" s="1011"/>
      <c r="C259" s="1011"/>
      <c r="D259" s="710" t="s">
        <v>147</v>
      </c>
      <c r="E259" s="1012" t="s">
        <v>142</v>
      </c>
      <c r="F259" s="1012"/>
      <c r="G259" s="1013"/>
    </row>
    <row r="260" spans="1:9" ht="13.5" thickBot="1" x14ac:dyDescent="0.25">
      <c r="A260" s="1014" t="s">
        <v>39</v>
      </c>
      <c r="B260" s="1015"/>
      <c r="C260" s="1015"/>
      <c r="D260" s="125" t="s">
        <v>148</v>
      </c>
      <c r="E260" s="1016" t="s">
        <v>0</v>
      </c>
      <c r="F260" s="1017"/>
      <c r="G260" s="1018"/>
    </row>
    <row r="261" spans="1:9" ht="16.5" x14ac:dyDescent="0.2">
      <c r="A261" s="997" t="s">
        <v>29</v>
      </c>
      <c r="B261" s="998"/>
      <c r="C261" s="998"/>
      <c r="D261" s="998"/>
      <c r="E261" s="998"/>
      <c r="F261" s="998"/>
      <c r="G261" s="999"/>
      <c r="H261" s="1">
        <v>6</v>
      </c>
    </row>
    <row r="262" spans="1:9" x14ac:dyDescent="0.2">
      <c r="A262" s="1000" t="s">
        <v>48</v>
      </c>
      <c r="B262" s="1001"/>
      <c r="C262" s="1001"/>
      <c r="D262" s="1001"/>
      <c r="E262" s="1001"/>
      <c r="F262" s="1001"/>
      <c r="G262" s="1002"/>
      <c r="H262" s="784"/>
    </row>
    <row r="263" spans="1:9" x14ac:dyDescent="0.2">
      <c r="A263" s="1003" t="s">
        <v>49</v>
      </c>
      <c r="B263" s="1004"/>
      <c r="C263" s="1004"/>
      <c r="D263" s="1004"/>
      <c r="E263" s="1004"/>
      <c r="F263" s="1004"/>
      <c r="G263" s="1005"/>
      <c r="H263" s="784"/>
      <c r="I263" s="774"/>
    </row>
    <row r="264" spans="1:9" x14ac:dyDescent="0.2">
      <c r="A264" s="674"/>
      <c r="B264" s="675"/>
      <c r="C264" s="676"/>
      <c r="D264" s="677"/>
      <c r="E264" s="675"/>
      <c r="F264" s="678"/>
      <c r="G264" s="737" t="s">
        <v>3017</v>
      </c>
      <c r="I264" s="774"/>
    </row>
    <row r="265" spans="1:9" x14ac:dyDescent="0.2">
      <c r="A265" s="680" t="s">
        <v>1</v>
      </c>
      <c r="B265" s="681"/>
      <c r="C265" s="682" t="s">
        <v>7</v>
      </c>
      <c r="D265" s="681"/>
      <c r="E265" s="683" t="s">
        <v>3025</v>
      </c>
      <c r="F265" s="684"/>
      <c r="G265" s="685" t="s">
        <v>3020</v>
      </c>
    </row>
    <row r="266" spans="1:9" x14ac:dyDescent="0.2">
      <c r="A266" s="686" t="s">
        <v>8</v>
      </c>
      <c r="B266" s="687"/>
      <c r="C266" s="688"/>
      <c r="D266" s="673"/>
      <c r="E266" s="1006"/>
      <c r="F266" s="1007"/>
      <c r="G266" s="689"/>
    </row>
    <row r="267" spans="1:9" x14ac:dyDescent="0.2">
      <c r="A267" s="690" t="s">
        <v>37</v>
      </c>
      <c r="B267" s="261"/>
      <c r="C267" s="261"/>
      <c r="D267" s="261"/>
      <c r="E267" s="691" t="s">
        <v>46</v>
      </c>
      <c r="F267" s="692"/>
      <c r="G267" s="689" t="s">
        <v>50</v>
      </c>
    </row>
    <row r="268" spans="1:9" x14ac:dyDescent="0.2">
      <c r="A268" s="674"/>
      <c r="B268" s="675"/>
      <c r="C268" s="676"/>
      <c r="D268" s="676"/>
      <c r="E268" s="1008"/>
      <c r="F268" s="1009"/>
      <c r="G268" s="693"/>
    </row>
    <row r="269" spans="1:9" ht="26.25" thickBot="1" x14ac:dyDescent="0.25">
      <c r="A269" s="694" t="s">
        <v>47</v>
      </c>
      <c r="B269" s="110" t="s">
        <v>23</v>
      </c>
      <c r="C269" s="110" t="s">
        <v>34</v>
      </c>
      <c r="D269" s="110" t="s">
        <v>53</v>
      </c>
      <c r="E269" s="114" t="s">
        <v>54</v>
      </c>
      <c r="F269" s="111" t="s">
        <v>55</v>
      </c>
      <c r="G269" s="112" t="s">
        <v>35</v>
      </c>
    </row>
    <row r="270" spans="1:9" ht="13.5" thickTop="1" x14ac:dyDescent="0.2">
      <c r="A270" s="695"/>
      <c r="B270" s="698"/>
      <c r="C270" s="385"/>
      <c r="D270" s="810" t="s">
        <v>160</v>
      </c>
      <c r="E270" s="205"/>
      <c r="F270" s="163"/>
      <c r="G270" s="728">
        <f>G254</f>
        <v>529627</v>
      </c>
    </row>
    <row r="271" spans="1:9" x14ac:dyDescent="0.2">
      <c r="A271" s="695">
        <v>28</v>
      </c>
      <c r="B271" s="698"/>
      <c r="C271" s="385" t="s">
        <v>185</v>
      </c>
      <c r="D271" s="383" t="s">
        <v>2982</v>
      </c>
      <c r="E271" s="131">
        <v>72</v>
      </c>
      <c r="F271" s="717">
        <v>155</v>
      </c>
      <c r="G271" s="697">
        <f>F271*E271</f>
        <v>11160</v>
      </c>
    </row>
    <row r="272" spans="1:9" x14ac:dyDescent="0.2">
      <c r="A272" s="695"/>
      <c r="B272" s="776"/>
      <c r="C272" s="794"/>
      <c r="D272" s="795" t="s">
        <v>2983</v>
      </c>
      <c r="E272" s="808"/>
      <c r="F272" s="814"/>
      <c r="G272" s="697"/>
    </row>
    <row r="273" spans="1:8" x14ac:dyDescent="0.2">
      <c r="A273" s="695">
        <v>29</v>
      </c>
      <c r="B273" s="698"/>
      <c r="C273" s="119" t="s">
        <v>177</v>
      </c>
      <c r="D273" s="376" t="s">
        <v>2939</v>
      </c>
      <c r="E273" s="131">
        <v>10</v>
      </c>
      <c r="F273" s="717">
        <v>650</v>
      </c>
      <c r="G273" s="697">
        <f t="shared" ref="G273:G304" si="4">F273*E273</f>
        <v>6500</v>
      </c>
    </row>
    <row r="274" spans="1:8" x14ac:dyDescent="0.2">
      <c r="A274" s="695">
        <v>30</v>
      </c>
      <c r="B274" s="698"/>
      <c r="C274" s="119" t="s">
        <v>177</v>
      </c>
      <c r="D274" s="376" t="s">
        <v>2826</v>
      </c>
      <c r="E274" s="108">
        <v>10</v>
      </c>
      <c r="F274" s="163">
        <v>259</v>
      </c>
      <c r="G274" s="697">
        <f t="shared" si="4"/>
        <v>2590</v>
      </c>
    </row>
    <row r="275" spans="1:8" x14ac:dyDescent="0.2">
      <c r="A275" s="695">
        <v>31</v>
      </c>
      <c r="B275" s="698"/>
      <c r="C275" s="119" t="s">
        <v>177</v>
      </c>
      <c r="D275" s="376" t="s">
        <v>2827</v>
      </c>
      <c r="E275" s="108">
        <v>100</v>
      </c>
      <c r="F275" s="163">
        <v>140</v>
      </c>
      <c r="G275" s="697">
        <f t="shared" si="4"/>
        <v>14000</v>
      </c>
    </row>
    <row r="276" spans="1:8" x14ac:dyDescent="0.2">
      <c r="A276" s="695">
        <v>32</v>
      </c>
      <c r="B276" s="698"/>
      <c r="C276" s="119" t="s">
        <v>177</v>
      </c>
      <c r="D276" s="376" t="s">
        <v>2828</v>
      </c>
      <c r="E276" s="108">
        <v>10</v>
      </c>
      <c r="F276" s="163">
        <v>695</v>
      </c>
      <c r="G276" s="697">
        <f t="shared" si="4"/>
        <v>6950</v>
      </c>
    </row>
    <row r="277" spans="1:8" x14ac:dyDescent="0.2">
      <c r="A277" s="695">
        <v>33</v>
      </c>
      <c r="B277" s="698"/>
      <c r="C277" s="119" t="s">
        <v>177</v>
      </c>
      <c r="D277" s="376" t="s">
        <v>2940</v>
      </c>
      <c r="E277" s="108">
        <v>100</v>
      </c>
      <c r="F277" s="163">
        <v>300</v>
      </c>
      <c r="G277" s="697">
        <f t="shared" si="4"/>
        <v>30000</v>
      </c>
      <c r="H277" s="108">
        <v>300</v>
      </c>
    </row>
    <row r="278" spans="1:8" x14ac:dyDescent="0.2">
      <c r="A278" s="695">
        <v>34</v>
      </c>
      <c r="B278" s="698"/>
      <c r="C278" s="119" t="s">
        <v>185</v>
      </c>
      <c r="D278" s="376" t="s">
        <v>2984</v>
      </c>
      <c r="E278" s="108">
        <v>72</v>
      </c>
      <c r="F278" s="163">
        <v>38</v>
      </c>
      <c r="G278" s="697">
        <f t="shared" si="4"/>
        <v>2736</v>
      </c>
    </row>
    <row r="279" spans="1:8" x14ac:dyDescent="0.2">
      <c r="A279" s="695"/>
      <c r="B279" s="776"/>
      <c r="C279" s="777"/>
      <c r="D279" s="787" t="s">
        <v>2985</v>
      </c>
      <c r="E279" s="779"/>
      <c r="F279" s="780"/>
      <c r="G279" s="697"/>
    </row>
    <row r="280" spans="1:8" x14ac:dyDescent="0.2">
      <c r="A280" s="695">
        <v>35</v>
      </c>
      <c r="B280" s="698"/>
      <c r="C280" s="119" t="s">
        <v>185</v>
      </c>
      <c r="D280" s="376" t="s">
        <v>2851</v>
      </c>
      <c r="E280" s="108">
        <v>288</v>
      </c>
      <c r="F280" s="163">
        <v>42</v>
      </c>
      <c r="G280" s="697">
        <f t="shared" si="4"/>
        <v>12096</v>
      </c>
    </row>
    <row r="281" spans="1:8" x14ac:dyDescent="0.2">
      <c r="A281" s="695"/>
      <c r="B281" s="776"/>
      <c r="C281" s="777"/>
      <c r="D281" s="787" t="s">
        <v>2852</v>
      </c>
      <c r="E281" s="779"/>
      <c r="F281" s="780"/>
      <c r="G281" s="697"/>
    </row>
    <row r="282" spans="1:8" x14ac:dyDescent="0.2">
      <c r="A282" s="695">
        <v>36</v>
      </c>
      <c r="B282" s="698"/>
      <c r="C282" s="385" t="s">
        <v>177</v>
      </c>
      <c r="D282" s="370" t="s">
        <v>2941</v>
      </c>
      <c r="E282" s="108">
        <v>1</v>
      </c>
      <c r="F282" s="163">
        <v>350</v>
      </c>
      <c r="G282" s="697">
        <f t="shared" si="4"/>
        <v>350</v>
      </c>
    </row>
    <row r="283" spans="1:8" x14ac:dyDescent="0.2">
      <c r="A283" s="695">
        <v>37</v>
      </c>
      <c r="B283" s="698"/>
      <c r="C283" s="385" t="s">
        <v>177</v>
      </c>
      <c r="D283" s="370" t="s">
        <v>2942</v>
      </c>
      <c r="E283" s="205">
        <v>10</v>
      </c>
      <c r="F283" s="149">
        <v>110</v>
      </c>
      <c r="G283" s="697">
        <f t="shared" si="4"/>
        <v>1100</v>
      </c>
    </row>
    <row r="284" spans="1:8" x14ac:dyDescent="0.2">
      <c r="A284" s="695">
        <v>38</v>
      </c>
      <c r="B284" s="698"/>
      <c r="C284" s="385" t="s">
        <v>177</v>
      </c>
      <c r="D284" s="376" t="s">
        <v>2986</v>
      </c>
      <c r="E284" s="108">
        <v>5</v>
      </c>
      <c r="F284" s="149">
        <v>675</v>
      </c>
      <c r="G284" s="697">
        <f t="shared" si="4"/>
        <v>3375</v>
      </c>
    </row>
    <row r="285" spans="1:8" x14ac:dyDescent="0.2">
      <c r="A285" s="695"/>
      <c r="B285" s="776"/>
      <c r="C285" s="794"/>
      <c r="D285" s="787" t="s">
        <v>2987</v>
      </c>
      <c r="E285" s="779"/>
      <c r="F285" s="816"/>
      <c r="G285" s="697"/>
    </row>
    <row r="286" spans="1:8" x14ac:dyDescent="0.2">
      <c r="A286" s="695">
        <v>39</v>
      </c>
      <c r="B286" s="698"/>
      <c r="C286" s="385" t="s">
        <v>177</v>
      </c>
      <c r="D286" s="370" t="s">
        <v>2943</v>
      </c>
      <c r="E286" s="108">
        <v>25</v>
      </c>
      <c r="F286" s="163">
        <v>159</v>
      </c>
      <c r="G286" s="697">
        <f t="shared" si="4"/>
        <v>3975</v>
      </c>
    </row>
    <row r="287" spans="1:8" x14ac:dyDescent="0.2">
      <c r="A287" s="695">
        <v>40</v>
      </c>
      <c r="B287" s="105"/>
      <c r="C287" s="119" t="s">
        <v>177</v>
      </c>
      <c r="D287" s="370" t="s">
        <v>2988</v>
      </c>
      <c r="E287" s="108">
        <v>5</v>
      </c>
      <c r="F287" s="163">
        <v>950</v>
      </c>
      <c r="G287" s="697">
        <f t="shared" si="4"/>
        <v>4750</v>
      </c>
    </row>
    <row r="288" spans="1:8" x14ac:dyDescent="0.2">
      <c r="A288" s="695"/>
      <c r="B288" s="786"/>
      <c r="C288" s="777"/>
      <c r="D288" s="666" t="s">
        <v>2918</v>
      </c>
      <c r="E288" s="779"/>
      <c r="F288" s="780"/>
      <c r="G288" s="697"/>
    </row>
    <row r="289" spans="1:11" x14ac:dyDescent="0.2">
      <c r="A289" s="695">
        <v>41</v>
      </c>
      <c r="B289" s="105"/>
      <c r="C289" s="385" t="s">
        <v>178</v>
      </c>
      <c r="D289" s="376" t="s">
        <v>507</v>
      </c>
      <c r="E289" s="108">
        <v>50</v>
      </c>
      <c r="F289" s="818">
        <v>490</v>
      </c>
      <c r="G289" s="697">
        <f t="shared" si="4"/>
        <v>24500</v>
      </c>
    </row>
    <row r="290" spans="1:11" x14ac:dyDescent="0.2">
      <c r="A290" s="695">
        <v>42</v>
      </c>
      <c r="B290" s="786"/>
      <c r="C290" s="794" t="s">
        <v>177</v>
      </c>
      <c r="D290" s="787" t="s">
        <v>2831</v>
      </c>
      <c r="E290" s="779">
        <v>25</v>
      </c>
      <c r="F290" s="780">
        <v>220</v>
      </c>
      <c r="G290" s="697">
        <f t="shared" si="4"/>
        <v>5500</v>
      </c>
    </row>
    <row r="291" spans="1:11" x14ac:dyDescent="0.2">
      <c r="A291" s="695">
        <v>43</v>
      </c>
      <c r="B291" s="105"/>
      <c r="C291" s="385" t="s">
        <v>177</v>
      </c>
      <c r="D291" s="370" t="s">
        <v>2989</v>
      </c>
      <c r="E291" s="108">
        <v>10</v>
      </c>
      <c r="F291" s="163">
        <v>360</v>
      </c>
      <c r="G291" s="697">
        <f t="shared" si="4"/>
        <v>3600</v>
      </c>
    </row>
    <row r="292" spans="1:11" x14ac:dyDescent="0.2">
      <c r="A292" s="695"/>
      <c r="B292" s="786"/>
      <c r="C292" s="794"/>
      <c r="D292" s="666" t="s">
        <v>2990</v>
      </c>
      <c r="E292" s="779"/>
      <c r="F292" s="780"/>
      <c r="G292" s="697"/>
    </row>
    <row r="293" spans="1:11" x14ac:dyDescent="0.2">
      <c r="A293" s="695">
        <v>44</v>
      </c>
      <c r="B293" s="105"/>
      <c r="C293" s="119" t="s">
        <v>185</v>
      </c>
      <c r="D293" s="370" t="s">
        <v>2991</v>
      </c>
      <c r="E293" s="108">
        <v>72</v>
      </c>
      <c r="F293" s="150">
        <v>395</v>
      </c>
      <c r="G293" s="697">
        <f t="shared" si="4"/>
        <v>28440</v>
      </c>
    </row>
    <row r="294" spans="1:11" x14ac:dyDescent="0.2">
      <c r="A294" s="695"/>
      <c r="B294" s="786"/>
      <c r="C294" s="777"/>
      <c r="D294" s="666" t="s">
        <v>2992</v>
      </c>
      <c r="E294" s="779"/>
      <c r="F294" s="812"/>
      <c r="G294" s="697"/>
    </row>
    <row r="295" spans="1:11" x14ac:dyDescent="0.2">
      <c r="A295" s="695">
        <v>45</v>
      </c>
      <c r="B295" s="105"/>
      <c r="C295" s="119" t="s">
        <v>187</v>
      </c>
      <c r="D295" s="383" t="s">
        <v>2944</v>
      </c>
      <c r="E295" s="205">
        <v>15000</v>
      </c>
      <c r="F295" s="150">
        <v>11.95</v>
      </c>
      <c r="G295" s="697">
        <f t="shared" si="4"/>
        <v>179250</v>
      </c>
    </row>
    <row r="296" spans="1:11" x14ac:dyDescent="0.2">
      <c r="A296" s="695">
        <v>46</v>
      </c>
      <c r="B296" s="698"/>
      <c r="C296" s="119" t="s">
        <v>177</v>
      </c>
      <c r="D296" s="383" t="s">
        <v>2834</v>
      </c>
      <c r="E296" s="699">
        <v>10</v>
      </c>
      <c r="F296" s="163">
        <v>220</v>
      </c>
      <c r="G296" s="697">
        <f t="shared" si="4"/>
        <v>2200</v>
      </c>
    </row>
    <row r="297" spans="1:11" x14ac:dyDescent="0.2">
      <c r="A297" s="695">
        <v>47</v>
      </c>
      <c r="B297" s="106"/>
      <c r="C297" s="119" t="s">
        <v>177</v>
      </c>
      <c r="D297" s="376" t="s">
        <v>2902</v>
      </c>
      <c r="E297" s="131">
        <v>5</v>
      </c>
      <c r="F297" s="163">
        <v>600</v>
      </c>
      <c r="G297" s="697">
        <f t="shared" si="4"/>
        <v>3000</v>
      </c>
      <c r="K297" s="774"/>
    </row>
    <row r="298" spans="1:11" x14ac:dyDescent="0.2">
      <c r="A298" s="695">
        <v>48</v>
      </c>
      <c r="B298" s="105"/>
      <c r="C298" s="119" t="s">
        <v>177</v>
      </c>
      <c r="D298" s="376" t="s">
        <v>2945</v>
      </c>
      <c r="E298" s="108">
        <v>5</v>
      </c>
      <c r="F298" s="152">
        <v>190</v>
      </c>
      <c r="G298" s="697">
        <f t="shared" si="4"/>
        <v>950</v>
      </c>
      <c r="H298" s="108">
        <v>10</v>
      </c>
    </row>
    <row r="299" spans="1:11" x14ac:dyDescent="0.2">
      <c r="A299" s="695">
        <v>49</v>
      </c>
      <c r="B299" s="700"/>
      <c r="C299" s="119" t="s">
        <v>177</v>
      </c>
      <c r="D299" s="376" t="s">
        <v>2917</v>
      </c>
      <c r="E299" s="108">
        <v>2</v>
      </c>
      <c r="F299" s="163">
        <v>220</v>
      </c>
      <c r="G299" s="697">
        <f t="shared" si="4"/>
        <v>440</v>
      </c>
    </row>
    <row r="300" spans="1:11" x14ac:dyDescent="0.2">
      <c r="A300" s="695"/>
      <c r="B300" s="806"/>
      <c r="C300" s="777"/>
      <c r="D300" s="787" t="s">
        <v>2918</v>
      </c>
      <c r="E300" s="779"/>
      <c r="F300" s="780"/>
      <c r="G300" s="697"/>
    </row>
    <row r="301" spans="1:11" x14ac:dyDescent="0.2">
      <c r="A301" s="695">
        <v>50</v>
      </c>
      <c r="B301" s="700"/>
      <c r="C301" s="119" t="s">
        <v>177</v>
      </c>
      <c r="D301" s="376" t="s">
        <v>2946</v>
      </c>
      <c r="E301" s="108">
        <v>3</v>
      </c>
      <c r="F301" s="163">
        <v>520</v>
      </c>
      <c r="G301" s="697">
        <f t="shared" si="4"/>
        <v>1560</v>
      </c>
    </row>
    <row r="302" spans="1:11" x14ac:dyDescent="0.2">
      <c r="A302" s="695">
        <v>51</v>
      </c>
      <c r="B302" s="700"/>
      <c r="C302" s="119" t="s">
        <v>177</v>
      </c>
      <c r="D302" s="376" t="s">
        <v>2947</v>
      </c>
      <c r="E302" s="108">
        <v>2</v>
      </c>
      <c r="F302" s="163">
        <v>1200</v>
      </c>
      <c r="G302" s="697">
        <f t="shared" si="4"/>
        <v>2400</v>
      </c>
    </row>
    <row r="303" spans="1:11" x14ac:dyDescent="0.2">
      <c r="A303" s="695">
        <v>52</v>
      </c>
      <c r="B303" s="700"/>
      <c r="C303" s="119" t="s">
        <v>177</v>
      </c>
      <c r="D303" s="376" t="s">
        <v>2903</v>
      </c>
      <c r="E303" s="108">
        <v>5</v>
      </c>
      <c r="F303" s="163">
        <v>1600</v>
      </c>
      <c r="G303" s="697">
        <f t="shared" si="4"/>
        <v>8000</v>
      </c>
    </row>
    <row r="304" spans="1:11" x14ac:dyDescent="0.2">
      <c r="A304" s="695">
        <v>53</v>
      </c>
      <c r="B304" s="698"/>
      <c r="C304" s="119" t="s">
        <v>177</v>
      </c>
      <c r="D304" s="383" t="s">
        <v>2872</v>
      </c>
      <c r="E304" s="108">
        <v>5</v>
      </c>
      <c r="F304" s="163">
        <v>2700</v>
      </c>
      <c r="G304" s="697">
        <f t="shared" si="4"/>
        <v>13500</v>
      </c>
    </row>
    <row r="305" spans="1:9" x14ac:dyDescent="0.2">
      <c r="A305" s="725"/>
      <c r="B305" s="776"/>
      <c r="C305" s="777"/>
      <c r="D305" s="795"/>
      <c r="E305" s="779"/>
      <c r="F305" s="817"/>
      <c r="G305" s="124"/>
    </row>
    <row r="306" spans="1:9" ht="13.5" thickBot="1" x14ac:dyDescent="0.25">
      <c r="A306" s="726"/>
      <c r="B306" s="703"/>
      <c r="C306" s="704"/>
      <c r="D306" s="704"/>
      <c r="E306" s="703"/>
      <c r="F306" s="705" t="s">
        <v>158</v>
      </c>
      <c r="G306" s="727">
        <f>SUM(G270:G305)</f>
        <v>902549</v>
      </c>
    </row>
    <row r="307" spans="1:9" ht="13.5" thickTop="1" x14ac:dyDescent="0.2">
      <c r="A307" s="985" t="s">
        <v>2924</v>
      </c>
      <c r="B307" s="1019"/>
      <c r="C307" s="1019"/>
      <c r="D307" s="1019"/>
      <c r="E307" s="1019"/>
      <c r="F307" s="1019"/>
      <c r="G307" s="1020"/>
    </row>
    <row r="308" spans="1:9" ht="13.5" thickBot="1" x14ac:dyDescent="0.25">
      <c r="A308" s="707"/>
      <c r="B308" s="708"/>
      <c r="C308" s="1021"/>
      <c r="D308" s="1021"/>
      <c r="E308" s="1021"/>
      <c r="F308" s="1021"/>
      <c r="G308" s="1022"/>
    </row>
    <row r="309" spans="1:9" ht="13.5" thickTop="1" x14ac:dyDescent="0.2">
      <c r="A309" s="1023"/>
      <c r="B309" s="1024"/>
      <c r="C309" s="1024"/>
      <c r="D309" s="344" t="s">
        <v>11</v>
      </c>
      <c r="E309" s="1025" t="s">
        <v>12</v>
      </c>
      <c r="F309" s="1025"/>
      <c r="G309" s="1026"/>
    </row>
    <row r="310" spans="1:9" ht="28.5" customHeight="1" x14ac:dyDescent="0.2">
      <c r="A310" s="1010" t="s">
        <v>17</v>
      </c>
      <c r="B310" s="1011"/>
      <c r="C310" s="1011"/>
      <c r="D310" s="121"/>
      <c r="E310" s="1027"/>
      <c r="F310" s="1028"/>
      <c r="G310" s="1029"/>
    </row>
    <row r="311" spans="1:9" x14ac:dyDescent="0.2">
      <c r="A311" s="1010" t="s">
        <v>38</v>
      </c>
      <c r="B311" s="1011"/>
      <c r="C311" s="1011"/>
      <c r="D311" s="710" t="s">
        <v>147</v>
      </c>
      <c r="E311" s="1012" t="s">
        <v>142</v>
      </c>
      <c r="F311" s="1012"/>
      <c r="G311" s="1013"/>
    </row>
    <row r="312" spans="1:9" ht="13.5" thickBot="1" x14ac:dyDescent="0.25">
      <c r="A312" s="1014" t="s">
        <v>39</v>
      </c>
      <c r="B312" s="1015"/>
      <c r="C312" s="1015"/>
      <c r="D312" s="125" t="s">
        <v>148</v>
      </c>
      <c r="E312" s="1016" t="s">
        <v>0</v>
      </c>
      <c r="F312" s="1017"/>
      <c r="G312" s="1018"/>
    </row>
    <row r="313" spans="1:9" ht="16.5" x14ac:dyDescent="0.2">
      <c r="A313" s="997" t="s">
        <v>29</v>
      </c>
      <c r="B313" s="998"/>
      <c r="C313" s="998"/>
      <c r="D313" s="998"/>
      <c r="E313" s="998"/>
      <c r="F313" s="998"/>
      <c r="G313" s="999"/>
      <c r="H313" s="1">
        <v>7</v>
      </c>
    </row>
    <row r="314" spans="1:9" x14ac:dyDescent="0.2">
      <c r="A314" s="1000" t="s">
        <v>48</v>
      </c>
      <c r="B314" s="1001"/>
      <c r="C314" s="1001"/>
      <c r="D314" s="1001"/>
      <c r="E314" s="1001"/>
      <c r="F314" s="1001"/>
      <c r="G314" s="1002"/>
      <c r="H314" s="784"/>
    </row>
    <row r="315" spans="1:9" x14ac:dyDescent="0.2">
      <c r="A315" s="1003" t="s">
        <v>49</v>
      </c>
      <c r="B315" s="1004"/>
      <c r="C315" s="1004"/>
      <c r="D315" s="1004"/>
      <c r="E315" s="1004"/>
      <c r="F315" s="1004"/>
      <c r="G315" s="1005"/>
      <c r="H315" s="784"/>
      <c r="I315" s="774"/>
    </row>
    <row r="316" spans="1:9" x14ac:dyDescent="0.2">
      <c r="A316" s="674"/>
      <c r="B316" s="675"/>
      <c r="C316" s="676"/>
      <c r="D316" s="677"/>
      <c r="E316" s="675"/>
      <c r="F316" s="678"/>
      <c r="G316" s="737" t="s">
        <v>3018</v>
      </c>
      <c r="I316" s="774"/>
    </row>
    <row r="317" spans="1:9" x14ac:dyDescent="0.2">
      <c r="A317" s="680" t="s">
        <v>1</v>
      </c>
      <c r="B317" s="681"/>
      <c r="C317" s="682" t="s">
        <v>7</v>
      </c>
      <c r="D317" s="681"/>
      <c r="E317" s="683" t="s">
        <v>3025</v>
      </c>
      <c r="F317" s="684"/>
      <c r="G317" s="685" t="s">
        <v>3020</v>
      </c>
    </row>
    <row r="318" spans="1:9" x14ac:dyDescent="0.2">
      <c r="A318" s="686" t="s">
        <v>8</v>
      </c>
      <c r="B318" s="687"/>
      <c r="C318" s="688"/>
      <c r="D318" s="673"/>
      <c r="E318" s="1006"/>
      <c r="F318" s="1007"/>
      <c r="G318" s="689"/>
    </row>
    <row r="319" spans="1:9" x14ac:dyDescent="0.2">
      <c r="A319" s="690" t="s">
        <v>37</v>
      </c>
      <c r="B319" s="261"/>
      <c r="C319" s="261"/>
      <c r="D319" s="261"/>
      <c r="E319" s="691" t="s">
        <v>46</v>
      </c>
      <c r="F319" s="692"/>
      <c r="G319" s="689" t="s">
        <v>50</v>
      </c>
    </row>
    <row r="320" spans="1:9" x14ac:dyDescent="0.2">
      <c r="A320" s="674"/>
      <c r="B320" s="675"/>
      <c r="C320" s="676"/>
      <c r="D320" s="676"/>
      <c r="E320" s="1008"/>
      <c r="F320" s="1009"/>
      <c r="G320" s="693"/>
    </row>
    <row r="321" spans="1:8" ht="26.25" thickBot="1" x14ac:dyDescent="0.25">
      <c r="A321" s="694" t="s">
        <v>47</v>
      </c>
      <c r="B321" s="110" t="s">
        <v>23</v>
      </c>
      <c r="C321" s="110" t="s">
        <v>34</v>
      </c>
      <c r="D321" s="110" t="s">
        <v>53</v>
      </c>
      <c r="E321" s="114" t="s">
        <v>54</v>
      </c>
      <c r="F321" s="111" t="s">
        <v>55</v>
      </c>
      <c r="G321" s="112" t="s">
        <v>35</v>
      </c>
    </row>
    <row r="322" spans="1:8" ht="13.5" thickTop="1" x14ac:dyDescent="0.2">
      <c r="A322" s="695"/>
      <c r="B322" s="698"/>
      <c r="C322" s="385"/>
      <c r="D322" s="810" t="s">
        <v>160</v>
      </c>
      <c r="E322" s="205"/>
      <c r="F322" s="163"/>
      <c r="G322" s="728">
        <f>G306</f>
        <v>902549</v>
      </c>
    </row>
    <row r="323" spans="1:8" x14ac:dyDescent="0.2">
      <c r="A323" s="695">
        <v>54</v>
      </c>
      <c r="B323" s="698"/>
      <c r="C323" s="119" t="s">
        <v>177</v>
      </c>
      <c r="D323" s="383" t="s">
        <v>2993</v>
      </c>
      <c r="E323" s="108">
        <v>10</v>
      </c>
      <c r="F323" s="163">
        <v>325</v>
      </c>
      <c r="G323" s="697">
        <f>F323*E323</f>
        <v>3250</v>
      </c>
    </row>
    <row r="324" spans="1:8" x14ac:dyDescent="0.2">
      <c r="A324" s="695"/>
      <c r="B324" s="776"/>
      <c r="C324" s="777"/>
      <c r="D324" s="795" t="s">
        <v>2987</v>
      </c>
      <c r="E324" s="779"/>
      <c r="F324" s="780"/>
      <c r="G324" s="697"/>
    </row>
    <row r="325" spans="1:8" x14ac:dyDescent="0.2">
      <c r="A325" s="695">
        <v>55</v>
      </c>
      <c r="B325" s="106"/>
      <c r="C325" s="119" t="s">
        <v>177</v>
      </c>
      <c r="D325" s="376" t="s">
        <v>2994</v>
      </c>
      <c r="E325" s="131">
        <v>10</v>
      </c>
      <c r="F325" s="717">
        <v>420</v>
      </c>
      <c r="G325" s="697">
        <f t="shared" ref="G325:G357" si="5">F325*E325</f>
        <v>4200</v>
      </c>
    </row>
    <row r="326" spans="1:8" x14ac:dyDescent="0.2">
      <c r="A326" s="695"/>
      <c r="B326" s="813"/>
      <c r="C326" s="777"/>
      <c r="D326" s="787" t="s">
        <v>2918</v>
      </c>
      <c r="E326" s="808"/>
      <c r="F326" s="814"/>
      <c r="G326" s="697"/>
    </row>
    <row r="327" spans="1:8" x14ac:dyDescent="0.2">
      <c r="A327" s="695">
        <v>56</v>
      </c>
      <c r="B327" s="105"/>
      <c r="C327" s="119" t="s">
        <v>153</v>
      </c>
      <c r="D327" s="383" t="s">
        <v>2948</v>
      </c>
      <c r="E327" s="131">
        <v>50</v>
      </c>
      <c r="F327" s="717">
        <v>210</v>
      </c>
      <c r="G327" s="697">
        <f t="shared" si="5"/>
        <v>10500</v>
      </c>
    </row>
    <row r="328" spans="1:8" x14ac:dyDescent="0.2">
      <c r="A328" s="695">
        <v>57</v>
      </c>
      <c r="B328" s="105"/>
      <c r="C328" s="119" t="s">
        <v>177</v>
      </c>
      <c r="D328" s="376" t="s">
        <v>2949</v>
      </c>
      <c r="E328" s="131">
        <v>10</v>
      </c>
      <c r="F328" s="717">
        <v>1450</v>
      </c>
      <c r="G328" s="697">
        <f t="shared" si="5"/>
        <v>14500</v>
      </c>
    </row>
    <row r="329" spans="1:8" x14ac:dyDescent="0.2">
      <c r="A329" s="695">
        <v>58</v>
      </c>
      <c r="B329" s="698"/>
      <c r="C329" s="385" t="s">
        <v>153</v>
      </c>
      <c r="D329" s="376" t="s">
        <v>2950</v>
      </c>
      <c r="E329" s="131">
        <v>25</v>
      </c>
      <c r="F329" s="717">
        <v>89</v>
      </c>
      <c r="G329" s="697">
        <f t="shared" si="5"/>
        <v>2225</v>
      </c>
    </row>
    <row r="330" spans="1:8" x14ac:dyDescent="0.2">
      <c r="A330" s="695">
        <v>59</v>
      </c>
      <c r="B330" s="698"/>
      <c r="C330" s="119" t="s">
        <v>177</v>
      </c>
      <c r="D330" s="376" t="s">
        <v>2855</v>
      </c>
      <c r="E330" s="131">
        <v>10</v>
      </c>
      <c r="F330" s="717">
        <v>615</v>
      </c>
      <c r="G330" s="697">
        <f t="shared" si="5"/>
        <v>6150</v>
      </c>
    </row>
    <row r="331" spans="1:8" x14ac:dyDescent="0.2">
      <c r="A331" s="695"/>
      <c r="B331" s="776"/>
      <c r="C331" s="777"/>
      <c r="D331" s="787" t="s">
        <v>2995</v>
      </c>
      <c r="E331" s="808"/>
      <c r="F331" s="814"/>
      <c r="G331" s="697"/>
    </row>
    <row r="332" spans="1:8" x14ac:dyDescent="0.2">
      <c r="A332" s="695">
        <v>60</v>
      </c>
      <c r="B332" s="698"/>
      <c r="C332" s="119" t="s">
        <v>178</v>
      </c>
      <c r="D332" s="376" t="s">
        <v>656</v>
      </c>
      <c r="E332" s="131">
        <v>38</v>
      </c>
      <c r="F332" s="150">
        <v>590</v>
      </c>
      <c r="G332" s="697">
        <f t="shared" si="5"/>
        <v>22420</v>
      </c>
      <c r="H332" s="131">
        <v>50</v>
      </c>
    </row>
    <row r="333" spans="1:8" x14ac:dyDescent="0.2">
      <c r="A333" s="695">
        <v>61</v>
      </c>
      <c r="B333" s="698"/>
      <c r="C333" s="119" t="s">
        <v>177</v>
      </c>
      <c r="D333" s="376" t="s">
        <v>2951</v>
      </c>
      <c r="E333" s="131">
        <v>100</v>
      </c>
      <c r="F333" s="717">
        <v>425</v>
      </c>
      <c r="G333" s="697">
        <f t="shared" si="5"/>
        <v>42500</v>
      </c>
    </row>
    <row r="334" spans="1:8" x14ac:dyDescent="0.2">
      <c r="A334" s="695">
        <v>62</v>
      </c>
      <c r="B334" s="698"/>
      <c r="C334" s="119" t="s">
        <v>185</v>
      </c>
      <c r="D334" s="383" t="s">
        <v>2996</v>
      </c>
      <c r="E334" s="131">
        <v>540</v>
      </c>
      <c r="F334" s="717">
        <v>75</v>
      </c>
      <c r="G334" s="697">
        <f t="shared" si="5"/>
        <v>40500</v>
      </c>
    </row>
    <row r="335" spans="1:8" x14ac:dyDescent="0.2">
      <c r="A335" s="695"/>
      <c r="B335" s="776"/>
      <c r="C335" s="777"/>
      <c r="D335" s="795" t="s">
        <v>2997</v>
      </c>
      <c r="E335" s="808"/>
      <c r="F335" s="814"/>
      <c r="G335" s="697"/>
    </row>
    <row r="336" spans="1:8" x14ac:dyDescent="0.2">
      <c r="A336" s="695">
        <v>63</v>
      </c>
      <c r="B336" s="698"/>
      <c r="C336" s="385" t="s">
        <v>187</v>
      </c>
      <c r="D336" s="376" t="s">
        <v>2952</v>
      </c>
      <c r="E336" s="131">
        <v>100</v>
      </c>
      <c r="F336" s="717">
        <v>6.75</v>
      </c>
      <c r="G336" s="697">
        <f t="shared" si="5"/>
        <v>675</v>
      </c>
    </row>
    <row r="337" spans="1:7" x14ac:dyDescent="0.2">
      <c r="A337" s="695">
        <v>64</v>
      </c>
      <c r="B337" s="698"/>
      <c r="C337" s="119" t="s">
        <v>177</v>
      </c>
      <c r="D337" s="376" t="s">
        <v>2999</v>
      </c>
      <c r="E337" s="108">
        <v>100</v>
      </c>
      <c r="F337" s="163">
        <v>1200</v>
      </c>
      <c r="G337" s="697">
        <f t="shared" si="5"/>
        <v>120000</v>
      </c>
    </row>
    <row r="338" spans="1:7" x14ac:dyDescent="0.2">
      <c r="A338" s="695"/>
      <c r="B338" s="776"/>
      <c r="C338" s="777"/>
      <c r="D338" s="787" t="s">
        <v>3000</v>
      </c>
      <c r="E338" s="779"/>
      <c r="F338" s="780"/>
      <c r="G338" s="697"/>
    </row>
    <row r="339" spans="1:7" x14ac:dyDescent="0.2">
      <c r="A339" s="695">
        <v>65</v>
      </c>
      <c r="B339" s="698"/>
      <c r="C339" s="385" t="s">
        <v>177</v>
      </c>
      <c r="D339" s="376" t="s">
        <v>2953</v>
      </c>
      <c r="E339" s="108">
        <v>5</v>
      </c>
      <c r="F339" s="163">
        <v>425</v>
      </c>
      <c r="G339" s="697">
        <f t="shared" si="5"/>
        <v>2125</v>
      </c>
    </row>
    <row r="340" spans="1:7" x14ac:dyDescent="0.2">
      <c r="A340" s="695">
        <v>66</v>
      </c>
      <c r="B340" s="698"/>
      <c r="C340" s="119" t="s">
        <v>177</v>
      </c>
      <c r="D340" s="376" t="s">
        <v>2836</v>
      </c>
      <c r="E340" s="108">
        <v>750</v>
      </c>
      <c r="F340" s="163">
        <v>295</v>
      </c>
      <c r="G340" s="697">
        <f t="shared" si="5"/>
        <v>221250</v>
      </c>
    </row>
    <row r="341" spans="1:7" x14ac:dyDescent="0.2">
      <c r="A341" s="695">
        <v>67</v>
      </c>
      <c r="B341" s="698"/>
      <c r="C341" s="119" t="s">
        <v>177</v>
      </c>
      <c r="D341" s="376" t="s">
        <v>2905</v>
      </c>
      <c r="E341" s="108">
        <v>300</v>
      </c>
      <c r="F341" s="163">
        <v>220</v>
      </c>
      <c r="G341" s="697">
        <f t="shared" si="5"/>
        <v>66000</v>
      </c>
    </row>
    <row r="342" spans="1:7" x14ac:dyDescent="0.2">
      <c r="A342" s="695">
        <v>68</v>
      </c>
      <c r="B342" s="698"/>
      <c r="C342" s="119" t="s">
        <v>177</v>
      </c>
      <c r="D342" s="376" t="s">
        <v>2998</v>
      </c>
      <c r="E342" s="108">
        <v>375</v>
      </c>
      <c r="F342" s="163">
        <v>150</v>
      </c>
      <c r="G342" s="697">
        <f t="shared" si="5"/>
        <v>56250</v>
      </c>
    </row>
    <row r="343" spans="1:7" x14ac:dyDescent="0.2">
      <c r="A343" s="695"/>
      <c r="B343" s="698"/>
      <c r="C343" s="119"/>
      <c r="D343" s="376" t="s">
        <v>2990</v>
      </c>
      <c r="E343" s="108"/>
      <c r="F343" s="163"/>
      <c r="G343" s="697"/>
    </row>
    <row r="344" spans="1:7" x14ac:dyDescent="0.2">
      <c r="A344" s="695">
        <v>69</v>
      </c>
      <c r="B344" s="698"/>
      <c r="C344" s="385" t="s">
        <v>187</v>
      </c>
      <c r="D344" s="370" t="s">
        <v>2954</v>
      </c>
      <c r="E344" s="108">
        <v>600</v>
      </c>
      <c r="F344" s="163">
        <v>25</v>
      </c>
      <c r="G344" s="697">
        <f t="shared" si="5"/>
        <v>15000</v>
      </c>
    </row>
    <row r="345" spans="1:7" x14ac:dyDescent="0.2">
      <c r="A345" s="695">
        <v>70</v>
      </c>
      <c r="B345" s="698"/>
      <c r="C345" s="385" t="s">
        <v>177</v>
      </c>
      <c r="D345" s="370" t="s">
        <v>2955</v>
      </c>
      <c r="E345" s="205">
        <v>5</v>
      </c>
      <c r="F345" s="149">
        <v>800</v>
      </c>
      <c r="G345" s="697">
        <f t="shared" si="5"/>
        <v>4000</v>
      </c>
    </row>
    <row r="346" spans="1:7" x14ac:dyDescent="0.2">
      <c r="A346" s="695">
        <v>71</v>
      </c>
      <c r="B346" s="698"/>
      <c r="C346" s="385" t="s">
        <v>185</v>
      </c>
      <c r="D346" s="376" t="s">
        <v>2956</v>
      </c>
      <c r="E346" s="108">
        <v>720</v>
      </c>
      <c r="F346" s="149">
        <v>42</v>
      </c>
      <c r="G346" s="697">
        <f t="shared" si="5"/>
        <v>30240</v>
      </c>
    </row>
    <row r="347" spans="1:7" x14ac:dyDescent="0.2">
      <c r="A347" s="695">
        <v>72</v>
      </c>
      <c r="B347" s="698"/>
      <c r="C347" s="385" t="s">
        <v>177</v>
      </c>
      <c r="D347" s="370" t="s">
        <v>2957</v>
      </c>
      <c r="E347" s="108">
        <v>375</v>
      </c>
      <c r="F347" s="163">
        <v>390</v>
      </c>
      <c r="G347" s="697">
        <f t="shared" si="5"/>
        <v>146250</v>
      </c>
    </row>
    <row r="348" spans="1:7" x14ac:dyDescent="0.2">
      <c r="A348" s="695">
        <v>73</v>
      </c>
      <c r="B348" s="105"/>
      <c r="C348" s="119" t="s">
        <v>185</v>
      </c>
      <c r="D348" s="370" t="s">
        <v>2958</v>
      </c>
      <c r="E348" s="108">
        <v>216</v>
      </c>
      <c r="F348" s="163">
        <v>38</v>
      </c>
      <c r="G348" s="697">
        <f t="shared" si="5"/>
        <v>8208</v>
      </c>
    </row>
    <row r="349" spans="1:7" x14ac:dyDescent="0.2">
      <c r="A349" s="695">
        <v>74</v>
      </c>
      <c r="B349" s="105"/>
      <c r="C349" s="385" t="s">
        <v>178</v>
      </c>
      <c r="D349" s="376" t="s">
        <v>2959</v>
      </c>
      <c r="E349" s="108">
        <v>100</v>
      </c>
      <c r="F349" s="163">
        <v>125</v>
      </c>
      <c r="G349" s="697">
        <f t="shared" si="5"/>
        <v>12500</v>
      </c>
    </row>
    <row r="350" spans="1:7" x14ac:dyDescent="0.2">
      <c r="A350" s="695">
        <v>75</v>
      </c>
      <c r="B350" s="786"/>
      <c r="C350" s="794" t="s">
        <v>177</v>
      </c>
      <c r="D350" s="787" t="s">
        <v>2909</v>
      </c>
      <c r="E350" s="779">
        <v>10</v>
      </c>
      <c r="F350" s="780">
        <v>950</v>
      </c>
      <c r="G350" s="697">
        <f t="shared" si="5"/>
        <v>9500</v>
      </c>
    </row>
    <row r="351" spans="1:7" x14ac:dyDescent="0.2">
      <c r="A351" s="695">
        <v>76</v>
      </c>
      <c r="B351" s="105"/>
      <c r="C351" s="385" t="s">
        <v>177</v>
      </c>
      <c r="D351" s="370" t="s">
        <v>2960</v>
      </c>
      <c r="E351" s="108">
        <v>10</v>
      </c>
      <c r="F351" s="163">
        <v>570</v>
      </c>
      <c r="G351" s="697">
        <f t="shared" si="5"/>
        <v>5700</v>
      </c>
    </row>
    <row r="352" spans="1:7" x14ac:dyDescent="0.2">
      <c r="A352" s="695">
        <v>77</v>
      </c>
      <c r="B352" s="105"/>
      <c r="C352" s="119" t="s">
        <v>177</v>
      </c>
      <c r="D352" s="370" t="s">
        <v>3001</v>
      </c>
      <c r="E352" s="108">
        <v>100</v>
      </c>
      <c r="F352" s="150">
        <v>120</v>
      </c>
      <c r="G352" s="697">
        <f t="shared" si="5"/>
        <v>12000</v>
      </c>
    </row>
    <row r="353" spans="1:11" x14ac:dyDescent="0.2">
      <c r="A353" s="695"/>
      <c r="B353" s="786"/>
      <c r="C353" s="777"/>
      <c r="D353" s="666" t="s">
        <v>3002</v>
      </c>
      <c r="E353" s="779"/>
      <c r="F353" s="812"/>
      <c r="G353" s="697"/>
    </row>
    <row r="354" spans="1:11" x14ac:dyDescent="0.2">
      <c r="A354" s="695">
        <v>78</v>
      </c>
      <c r="B354" s="105"/>
      <c r="C354" s="119" t="s">
        <v>177</v>
      </c>
      <c r="D354" s="383" t="s">
        <v>2961</v>
      </c>
      <c r="E354" s="108">
        <v>10</v>
      </c>
      <c r="F354" s="150">
        <v>246</v>
      </c>
      <c r="G354" s="697">
        <f t="shared" si="5"/>
        <v>2460</v>
      </c>
    </row>
    <row r="355" spans="1:11" x14ac:dyDescent="0.2">
      <c r="A355" s="695">
        <v>79</v>
      </c>
      <c r="B355" s="698"/>
      <c r="C355" s="119" t="s">
        <v>177</v>
      </c>
      <c r="D355" s="383" t="s">
        <v>2838</v>
      </c>
      <c r="E355" s="699">
        <v>400</v>
      </c>
      <c r="F355" s="163">
        <v>90</v>
      </c>
      <c r="G355" s="697">
        <f t="shared" si="5"/>
        <v>36000</v>
      </c>
    </row>
    <row r="356" spans="1:11" x14ac:dyDescent="0.2">
      <c r="A356" s="695">
        <v>80</v>
      </c>
      <c r="B356" s="106"/>
      <c r="C356" s="119" t="s">
        <v>185</v>
      </c>
      <c r="D356" s="376" t="s">
        <v>2962</v>
      </c>
      <c r="E356" s="131">
        <v>144</v>
      </c>
      <c r="F356" s="163">
        <v>32</v>
      </c>
      <c r="G356" s="697">
        <f t="shared" si="5"/>
        <v>4608</v>
      </c>
      <c r="K356" s="774"/>
    </row>
    <row r="357" spans="1:11" x14ac:dyDescent="0.2">
      <c r="A357" s="695">
        <v>81</v>
      </c>
      <c r="B357" s="105"/>
      <c r="C357" s="119" t="s">
        <v>185</v>
      </c>
      <c r="D357" s="376" t="s">
        <v>2963</v>
      </c>
      <c r="E357" s="108">
        <v>144</v>
      </c>
      <c r="F357" s="152">
        <v>29.75</v>
      </c>
      <c r="G357" s="697">
        <f t="shared" si="5"/>
        <v>4284</v>
      </c>
    </row>
    <row r="358" spans="1:11" ht="13.5" thickBot="1" x14ac:dyDescent="0.25">
      <c r="A358" s="726"/>
      <c r="B358" s="703"/>
      <c r="C358" s="704"/>
      <c r="D358" s="704"/>
      <c r="E358" s="703"/>
      <c r="F358" s="705" t="s">
        <v>158</v>
      </c>
      <c r="G358" s="727">
        <f>SUM(G322:G357)</f>
        <v>1805844</v>
      </c>
    </row>
    <row r="359" spans="1:11" ht="13.5" thickTop="1" x14ac:dyDescent="0.2">
      <c r="A359" s="985" t="s">
        <v>2924</v>
      </c>
      <c r="B359" s="1019"/>
      <c r="C359" s="1019"/>
      <c r="D359" s="1019"/>
      <c r="E359" s="1019"/>
      <c r="F359" s="1019"/>
      <c r="G359" s="1020"/>
    </row>
    <row r="360" spans="1:11" ht="13.5" thickBot="1" x14ac:dyDescent="0.25">
      <c r="A360" s="707"/>
      <c r="B360" s="708"/>
      <c r="C360" s="1021"/>
      <c r="D360" s="1021"/>
      <c r="E360" s="1021"/>
      <c r="F360" s="1021"/>
      <c r="G360" s="1022"/>
    </row>
    <row r="361" spans="1:11" ht="13.5" thickTop="1" x14ac:dyDescent="0.2">
      <c r="A361" s="1023"/>
      <c r="B361" s="1024"/>
      <c r="C361" s="1024"/>
      <c r="D361" s="344" t="s">
        <v>11</v>
      </c>
      <c r="E361" s="1025" t="s">
        <v>12</v>
      </c>
      <c r="F361" s="1025"/>
      <c r="G361" s="1026"/>
    </row>
    <row r="362" spans="1:11" ht="28.5" customHeight="1" x14ac:dyDescent="0.2">
      <c r="A362" s="1010" t="s">
        <v>17</v>
      </c>
      <c r="B362" s="1011"/>
      <c r="C362" s="1011"/>
      <c r="D362" s="121"/>
      <c r="E362" s="1027"/>
      <c r="F362" s="1028"/>
      <c r="G362" s="1029"/>
    </row>
    <row r="363" spans="1:11" x14ac:dyDescent="0.2">
      <c r="A363" s="1010" t="s">
        <v>38</v>
      </c>
      <c r="B363" s="1011"/>
      <c r="C363" s="1011"/>
      <c r="D363" s="710" t="s">
        <v>147</v>
      </c>
      <c r="E363" s="1012" t="s">
        <v>142</v>
      </c>
      <c r="F363" s="1012"/>
      <c r="G363" s="1013"/>
    </row>
    <row r="364" spans="1:11" ht="13.5" thickBot="1" x14ac:dyDescent="0.25">
      <c r="A364" s="1014" t="s">
        <v>39</v>
      </c>
      <c r="B364" s="1015"/>
      <c r="C364" s="1015"/>
      <c r="D364" s="125" t="s">
        <v>148</v>
      </c>
      <c r="E364" s="1016" t="s">
        <v>0</v>
      </c>
      <c r="F364" s="1017"/>
      <c r="G364" s="1018"/>
    </row>
    <row r="365" spans="1:11" ht="16.5" x14ac:dyDescent="0.2">
      <c r="A365" s="997" t="s">
        <v>29</v>
      </c>
      <c r="B365" s="998"/>
      <c r="C365" s="998"/>
      <c r="D365" s="998"/>
      <c r="E365" s="998"/>
      <c r="F365" s="998"/>
      <c r="G365" s="999"/>
      <c r="H365" s="1">
        <v>8</v>
      </c>
    </row>
    <row r="366" spans="1:11" x14ac:dyDescent="0.2">
      <c r="A366" s="1000" t="s">
        <v>48</v>
      </c>
      <c r="B366" s="1001"/>
      <c r="C366" s="1001"/>
      <c r="D366" s="1001"/>
      <c r="E366" s="1001"/>
      <c r="F366" s="1001"/>
      <c r="G366" s="1002"/>
      <c r="H366" s="784"/>
    </row>
    <row r="367" spans="1:11" x14ac:dyDescent="0.2">
      <c r="A367" s="1003" t="s">
        <v>49</v>
      </c>
      <c r="B367" s="1004"/>
      <c r="C367" s="1004"/>
      <c r="D367" s="1004"/>
      <c r="E367" s="1004"/>
      <c r="F367" s="1004"/>
      <c r="G367" s="1005"/>
      <c r="H367" s="784"/>
      <c r="I367" s="774"/>
    </row>
    <row r="368" spans="1:11" x14ac:dyDescent="0.2">
      <c r="A368" s="674"/>
      <c r="B368" s="675"/>
      <c r="C368" s="676"/>
      <c r="D368" s="677"/>
      <c r="E368" s="675"/>
      <c r="F368" s="678"/>
      <c r="G368" s="737" t="s">
        <v>3019</v>
      </c>
      <c r="I368" s="774"/>
    </row>
    <row r="369" spans="1:7" x14ac:dyDescent="0.2">
      <c r="A369" s="680" t="s">
        <v>1</v>
      </c>
      <c r="B369" s="681"/>
      <c r="C369" s="682" t="s">
        <v>7</v>
      </c>
      <c r="D369" s="681"/>
      <c r="E369" s="683" t="s">
        <v>3025</v>
      </c>
      <c r="F369" s="684"/>
      <c r="G369" s="685" t="s">
        <v>3020</v>
      </c>
    </row>
    <row r="370" spans="1:7" x14ac:dyDescent="0.2">
      <c r="A370" s="686" t="s">
        <v>8</v>
      </c>
      <c r="B370" s="687"/>
      <c r="C370" s="688"/>
      <c r="D370" s="673"/>
      <c r="E370" s="1006"/>
      <c r="F370" s="1007"/>
      <c r="G370" s="689"/>
    </row>
    <row r="371" spans="1:7" x14ac:dyDescent="0.2">
      <c r="A371" s="690" t="s">
        <v>37</v>
      </c>
      <c r="B371" s="261"/>
      <c r="C371" s="261"/>
      <c r="D371" s="261"/>
      <c r="E371" s="691" t="s">
        <v>46</v>
      </c>
      <c r="F371" s="692"/>
      <c r="G371" s="689" t="s">
        <v>50</v>
      </c>
    </row>
    <row r="372" spans="1:7" x14ac:dyDescent="0.2">
      <c r="A372" s="674"/>
      <c r="B372" s="675"/>
      <c r="C372" s="676"/>
      <c r="D372" s="676"/>
      <c r="E372" s="1008"/>
      <c r="F372" s="1009"/>
      <c r="G372" s="693"/>
    </row>
    <row r="373" spans="1:7" ht="26.25" thickBot="1" x14ac:dyDescent="0.25">
      <c r="A373" s="694" t="s">
        <v>47</v>
      </c>
      <c r="B373" s="110" t="s">
        <v>23</v>
      </c>
      <c r="C373" s="110" t="s">
        <v>34</v>
      </c>
      <c r="D373" s="110" t="s">
        <v>53</v>
      </c>
      <c r="E373" s="114" t="s">
        <v>54</v>
      </c>
      <c r="F373" s="111" t="s">
        <v>55</v>
      </c>
      <c r="G373" s="112" t="s">
        <v>35</v>
      </c>
    </row>
    <row r="374" spans="1:7" ht="13.5" thickTop="1" x14ac:dyDescent="0.2">
      <c r="A374" s="695"/>
      <c r="B374" s="698"/>
      <c r="C374" s="385"/>
      <c r="D374" s="810" t="s">
        <v>160</v>
      </c>
      <c r="E374" s="205"/>
      <c r="F374" s="163"/>
      <c r="G374" s="728">
        <f>G358</f>
        <v>1805844</v>
      </c>
    </row>
    <row r="375" spans="1:7" x14ac:dyDescent="0.2">
      <c r="A375" s="695">
        <v>82</v>
      </c>
      <c r="B375" s="700"/>
      <c r="C375" s="119" t="s">
        <v>185</v>
      </c>
      <c r="D375" s="376" t="s">
        <v>3003</v>
      </c>
      <c r="E375" s="108">
        <v>720</v>
      </c>
      <c r="F375" s="163">
        <v>37.5</v>
      </c>
      <c r="G375" s="697">
        <f>F375*E375</f>
        <v>27000</v>
      </c>
    </row>
    <row r="376" spans="1:7" x14ac:dyDescent="0.2">
      <c r="A376" s="695"/>
      <c r="B376" s="806"/>
      <c r="C376" s="777"/>
      <c r="D376" s="787" t="s">
        <v>2997</v>
      </c>
      <c r="E376" s="779"/>
      <c r="F376" s="780"/>
      <c r="G376" s="697"/>
    </row>
    <row r="377" spans="1:7" x14ac:dyDescent="0.2">
      <c r="A377" s="695">
        <v>83</v>
      </c>
      <c r="B377" s="700"/>
      <c r="C377" s="119" t="s">
        <v>177</v>
      </c>
      <c r="D377" s="376" t="s">
        <v>3004</v>
      </c>
      <c r="E377" s="108">
        <v>100</v>
      </c>
      <c r="F377" s="163">
        <v>400</v>
      </c>
      <c r="G377" s="697">
        <f t="shared" ref="G377:G400" si="6">F377*E377</f>
        <v>40000</v>
      </c>
    </row>
    <row r="378" spans="1:7" x14ac:dyDescent="0.2">
      <c r="A378" s="695"/>
      <c r="B378" s="806"/>
      <c r="C378" s="777"/>
      <c r="D378" s="787" t="s">
        <v>3005</v>
      </c>
      <c r="E378" s="779"/>
      <c r="F378" s="780"/>
      <c r="G378" s="697"/>
    </row>
    <row r="379" spans="1:7" x14ac:dyDescent="0.2">
      <c r="A379" s="695"/>
      <c r="B379" s="806"/>
      <c r="C379" s="777"/>
      <c r="D379" s="787" t="s">
        <v>3006</v>
      </c>
      <c r="E379" s="779"/>
      <c r="F379" s="780"/>
      <c r="G379" s="697"/>
    </row>
    <row r="380" spans="1:7" x14ac:dyDescent="0.2">
      <c r="A380" s="695">
        <v>84</v>
      </c>
      <c r="B380" s="700"/>
      <c r="C380" s="119" t="s">
        <v>185</v>
      </c>
      <c r="D380" s="376" t="s">
        <v>3004</v>
      </c>
      <c r="E380" s="108">
        <v>288</v>
      </c>
      <c r="F380" s="163">
        <v>75</v>
      </c>
      <c r="G380" s="697">
        <f t="shared" si="6"/>
        <v>21600</v>
      </c>
    </row>
    <row r="381" spans="1:7" x14ac:dyDescent="0.2">
      <c r="A381" s="695"/>
      <c r="B381" s="806"/>
      <c r="C381" s="777"/>
      <c r="D381" s="787" t="s">
        <v>3005</v>
      </c>
      <c r="E381" s="779"/>
      <c r="F381" s="780"/>
      <c r="G381" s="697"/>
    </row>
    <row r="382" spans="1:7" x14ac:dyDescent="0.2">
      <c r="A382" s="695"/>
      <c r="B382" s="806"/>
      <c r="C382" s="777"/>
      <c r="D382" s="787" t="s">
        <v>3007</v>
      </c>
      <c r="E382" s="779"/>
      <c r="F382" s="780"/>
      <c r="G382" s="697"/>
    </row>
    <row r="383" spans="1:7" x14ac:dyDescent="0.2">
      <c r="A383" s="695">
        <v>85</v>
      </c>
      <c r="B383" s="700"/>
      <c r="C383" s="119" t="s">
        <v>177</v>
      </c>
      <c r="D383" s="376" t="s">
        <v>2964</v>
      </c>
      <c r="E383" s="108">
        <v>10</v>
      </c>
      <c r="F383" s="163">
        <v>375</v>
      </c>
      <c r="G383" s="697">
        <f t="shared" si="6"/>
        <v>3750</v>
      </c>
    </row>
    <row r="384" spans="1:7" x14ac:dyDescent="0.2">
      <c r="A384" s="695">
        <v>86</v>
      </c>
      <c r="B384" s="698"/>
      <c r="C384" s="119" t="s">
        <v>177</v>
      </c>
      <c r="D384" s="383" t="s">
        <v>3008</v>
      </c>
      <c r="E384" s="108">
        <v>10</v>
      </c>
      <c r="F384" s="163">
        <v>585</v>
      </c>
      <c r="G384" s="697">
        <f t="shared" si="6"/>
        <v>5850</v>
      </c>
    </row>
    <row r="385" spans="1:8" x14ac:dyDescent="0.2">
      <c r="A385" s="695"/>
      <c r="B385" s="776"/>
      <c r="C385" s="777"/>
      <c r="D385" s="795" t="s">
        <v>2990</v>
      </c>
      <c r="E385" s="779"/>
      <c r="F385" s="780"/>
      <c r="G385" s="697"/>
    </row>
    <row r="386" spans="1:8" x14ac:dyDescent="0.2">
      <c r="A386" s="695">
        <v>87</v>
      </c>
      <c r="B386" s="698"/>
      <c r="C386" s="119" t="s">
        <v>177</v>
      </c>
      <c r="D386" s="383" t="s">
        <v>3009</v>
      </c>
      <c r="E386" s="108">
        <v>10</v>
      </c>
      <c r="F386" s="163">
        <v>775</v>
      </c>
      <c r="G386" s="697">
        <f t="shared" si="6"/>
        <v>7750</v>
      </c>
    </row>
    <row r="387" spans="1:8" x14ac:dyDescent="0.2">
      <c r="A387" s="695"/>
      <c r="B387" s="776"/>
      <c r="C387" s="777"/>
      <c r="D387" s="795" t="s">
        <v>2990</v>
      </c>
      <c r="E387" s="779"/>
      <c r="F387" s="780"/>
      <c r="G387" s="697"/>
    </row>
    <row r="388" spans="1:8" x14ac:dyDescent="0.2">
      <c r="A388" s="695">
        <v>88</v>
      </c>
      <c r="B388" s="106"/>
      <c r="C388" s="119" t="s">
        <v>177</v>
      </c>
      <c r="D388" s="376" t="s">
        <v>3010</v>
      </c>
      <c r="E388" s="131">
        <v>25</v>
      </c>
      <c r="F388" s="717">
        <v>630</v>
      </c>
      <c r="G388" s="697">
        <f t="shared" si="6"/>
        <v>15750</v>
      </c>
    </row>
    <row r="389" spans="1:8" x14ac:dyDescent="0.2">
      <c r="A389" s="695"/>
      <c r="B389" s="813"/>
      <c r="C389" s="777"/>
      <c r="D389" s="787" t="s">
        <v>2981</v>
      </c>
      <c r="E389" s="808"/>
      <c r="F389" s="814"/>
      <c r="G389" s="697"/>
    </row>
    <row r="390" spans="1:8" x14ac:dyDescent="0.2">
      <c r="A390" s="695">
        <v>89</v>
      </c>
      <c r="B390" s="105"/>
      <c r="C390" s="119" t="s">
        <v>153</v>
      </c>
      <c r="D390" s="383" t="s">
        <v>3011</v>
      </c>
      <c r="E390" s="131">
        <v>25</v>
      </c>
      <c r="F390" s="717">
        <v>98.5</v>
      </c>
      <c r="G390" s="697">
        <f t="shared" si="6"/>
        <v>2462.5</v>
      </c>
    </row>
    <row r="391" spans="1:8" x14ac:dyDescent="0.2">
      <c r="A391" s="695"/>
      <c r="B391" s="786"/>
      <c r="C391" s="777"/>
      <c r="D391" s="795" t="s">
        <v>3012</v>
      </c>
      <c r="E391" s="808"/>
      <c r="F391" s="814"/>
      <c r="G391" s="697"/>
    </row>
    <row r="392" spans="1:8" x14ac:dyDescent="0.2">
      <c r="A392" s="695">
        <v>90</v>
      </c>
      <c r="B392" s="105"/>
      <c r="C392" s="119" t="s">
        <v>177</v>
      </c>
      <c r="D392" s="376" t="s">
        <v>2965</v>
      </c>
      <c r="E392" s="131">
        <v>10</v>
      </c>
      <c r="F392" s="717">
        <v>175</v>
      </c>
      <c r="G392" s="697">
        <f t="shared" si="6"/>
        <v>1750</v>
      </c>
    </row>
    <row r="393" spans="1:8" x14ac:dyDescent="0.2">
      <c r="A393" s="695">
        <v>91</v>
      </c>
      <c r="B393" s="698"/>
      <c r="C393" s="119" t="s">
        <v>177</v>
      </c>
      <c r="D393" s="376" t="s">
        <v>2966</v>
      </c>
      <c r="E393" s="131">
        <v>1</v>
      </c>
      <c r="F393" s="717">
        <v>1360</v>
      </c>
      <c r="G393" s="697">
        <f t="shared" si="6"/>
        <v>1360</v>
      </c>
      <c r="H393" s="131">
        <v>5</v>
      </c>
    </row>
    <row r="394" spans="1:8" x14ac:dyDescent="0.2">
      <c r="A394" s="695">
        <v>92</v>
      </c>
      <c r="B394" s="698"/>
      <c r="C394" s="119" t="s">
        <v>177</v>
      </c>
      <c r="D394" s="376" t="s">
        <v>2840</v>
      </c>
      <c r="E394" s="131">
        <v>10</v>
      </c>
      <c r="F394" s="717">
        <v>360</v>
      </c>
      <c r="G394" s="697">
        <f t="shared" si="6"/>
        <v>3600</v>
      </c>
    </row>
    <row r="395" spans="1:8" x14ac:dyDescent="0.2">
      <c r="A395" s="695">
        <v>93</v>
      </c>
      <c r="B395" s="698"/>
      <c r="C395" s="119" t="s">
        <v>177</v>
      </c>
      <c r="D395" s="376" t="s">
        <v>3013</v>
      </c>
      <c r="E395" s="131">
        <v>25</v>
      </c>
      <c r="F395" s="717">
        <v>2420</v>
      </c>
      <c r="G395" s="697">
        <f t="shared" si="6"/>
        <v>60500</v>
      </c>
    </row>
    <row r="396" spans="1:8" x14ac:dyDescent="0.2">
      <c r="A396" s="695"/>
      <c r="B396" s="776"/>
      <c r="C396" s="777"/>
      <c r="D396" s="787" t="s">
        <v>3014</v>
      </c>
      <c r="E396" s="808"/>
      <c r="F396" s="814"/>
      <c r="G396" s="697"/>
    </row>
    <row r="397" spans="1:8" x14ac:dyDescent="0.2">
      <c r="A397" s="695">
        <v>94</v>
      </c>
      <c r="B397" s="698"/>
      <c r="C397" s="119" t="s">
        <v>177</v>
      </c>
      <c r="D397" s="376" t="s">
        <v>2967</v>
      </c>
      <c r="E397" s="131">
        <v>20</v>
      </c>
      <c r="F397" s="717">
        <v>1750</v>
      </c>
      <c r="G397" s="697">
        <f t="shared" si="6"/>
        <v>35000</v>
      </c>
    </row>
    <row r="398" spans="1:8" x14ac:dyDescent="0.2">
      <c r="A398" s="695">
        <v>95</v>
      </c>
      <c r="B398" s="698"/>
      <c r="C398" s="119" t="s">
        <v>153</v>
      </c>
      <c r="D398" s="383" t="s">
        <v>2968</v>
      </c>
      <c r="E398" s="131">
        <v>10</v>
      </c>
      <c r="F398" s="717">
        <v>210</v>
      </c>
      <c r="G398" s="697">
        <f t="shared" si="6"/>
        <v>2100</v>
      </c>
    </row>
    <row r="399" spans="1:8" x14ac:dyDescent="0.2">
      <c r="A399" s="695">
        <v>96</v>
      </c>
      <c r="B399" s="698"/>
      <c r="C399" s="119" t="s">
        <v>177</v>
      </c>
      <c r="D399" s="376" t="s">
        <v>2841</v>
      </c>
      <c r="E399" s="131">
        <v>5</v>
      </c>
      <c r="F399" s="717">
        <v>900</v>
      </c>
      <c r="G399" s="697">
        <f t="shared" si="6"/>
        <v>4500</v>
      </c>
    </row>
    <row r="400" spans="1:8" x14ac:dyDescent="0.2">
      <c r="A400" s="695">
        <v>97</v>
      </c>
      <c r="B400" s="698"/>
      <c r="C400" s="119" t="s">
        <v>177</v>
      </c>
      <c r="D400" s="376" t="s">
        <v>3015</v>
      </c>
      <c r="E400" s="108">
        <v>300</v>
      </c>
      <c r="F400" s="163">
        <v>550</v>
      </c>
      <c r="G400" s="697">
        <f t="shared" si="6"/>
        <v>165000</v>
      </c>
    </row>
    <row r="401" spans="1:7" x14ac:dyDescent="0.2">
      <c r="A401" s="695"/>
      <c r="B401" s="698"/>
      <c r="C401" s="119"/>
      <c r="D401" s="376" t="s">
        <v>2987</v>
      </c>
      <c r="E401" s="108"/>
      <c r="F401" s="163"/>
      <c r="G401" s="697"/>
    </row>
    <row r="402" spans="1:7" x14ac:dyDescent="0.2">
      <c r="A402" s="695"/>
      <c r="B402" s="776"/>
      <c r="C402" s="777"/>
      <c r="D402" s="787"/>
      <c r="E402" s="779"/>
      <c r="F402" s="780"/>
      <c r="G402" s="697"/>
    </row>
    <row r="403" spans="1:7" x14ac:dyDescent="0.2">
      <c r="A403" s="695"/>
      <c r="B403" s="776"/>
      <c r="C403" s="777"/>
      <c r="D403" s="787"/>
      <c r="E403" s="779"/>
      <c r="F403" s="780"/>
      <c r="G403" s="697"/>
    </row>
    <row r="404" spans="1:7" x14ac:dyDescent="0.2">
      <c r="A404" s="695"/>
      <c r="B404" s="776"/>
      <c r="C404" s="777"/>
      <c r="D404" s="787"/>
      <c r="E404" s="779"/>
      <c r="F404" s="780"/>
      <c r="G404" s="697"/>
    </row>
    <row r="405" spans="1:7" x14ac:dyDescent="0.2">
      <c r="A405" s="695"/>
      <c r="B405" s="776"/>
      <c r="C405" s="777"/>
      <c r="D405" s="787"/>
      <c r="E405" s="779"/>
      <c r="F405" s="780"/>
      <c r="G405" s="697"/>
    </row>
    <row r="406" spans="1:7" x14ac:dyDescent="0.2">
      <c r="A406" s="695"/>
      <c r="B406" s="698"/>
      <c r="C406" s="119"/>
      <c r="D406" s="376"/>
      <c r="E406" s="108"/>
      <c r="F406" s="163"/>
      <c r="G406" s="697"/>
    </row>
    <row r="407" spans="1:7" x14ac:dyDescent="0.2">
      <c r="A407" s="695"/>
      <c r="B407" s="698"/>
      <c r="C407" s="119"/>
      <c r="D407" s="376"/>
      <c r="E407" s="108"/>
      <c r="F407" s="163"/>
      <c r="G407" s="697"/>
    </row>
    <row r="408" spans="1:7" x14ac:dyDescent="0.2">
      <c r="A408" s="695"/>
      <c r="B408" s="698"/>
      <c r="C408" s="119"/>
      <c r="D408" s="376"/>
      <c r="E408" s="108"/>
      <c r="F408" s="163"/>
      <c r="G408" s="697"/>
    </row>
    <row r="409" spans="1:7" x14ac:dyDescent="0.2">
      <c r="A409" s="725"/>
      <c r="B409" s="698"/>
      <c r="C409" s="119"/>
      <c r="D409" s="383"/>
      <c r="E409" s="108"/>
      <c r="F409" s="149"/>
      <c r="G409" s="124"/>
    </row>
    <row r="410" spans="1:7" ht="13.5" thickBot="1" x14ac:dyDescent="0.25">
      <c r="A410" s="726"/>
      <c r="B410" s="703"/>
      <c r="C410" s="704"/>
      <c r="D410" s="704"/>
      <c r="E410" s="703"/>
      <c r="F410" s="705" t="s">
        <v>15</v>
      </c>
      <c r="G410" s="727">
        <f>SUM(G374:G409)</f>
        <v>2203816.5</v>
      </c>
    </row>
    <row r="411" spans="1:7" ht="13.5" thickTop="1" x14ac:dyDescent="0.2">
      <c r="A411" s="985" t="s">
        <v>2924</v>
      </c>
      <c r="B411" s="1019"/>
      <c r="C411" s="1019"/>
      <c r="D411" s="1019"/>
      <c r="E411" s="1019"/>
      <c r="F411" s="1019"/>
      <c r="G411" s="1020"/>
    </row>
    <row r="412" spans="1:7" ht="13.5" thickBot="1" x14ac:dyDescent="0.25">
      <c r="A412" s="707"/>
      <c r="B412" s="708"/>
      <c r="C412" s="1021"/>
      <c r="D412" s="1021"/>
      <c r="E412" s="1021"/>
      <c r="F412" s="1021"/>
      <c r="G412" s="1022"/>
    </row>
    <row r="413" spans="1:7" ht="13.5" thickTop="1" x14ac:dyDescent="0.2">
      <c r="A413" s="1023"/>
      <c r="B413" s="1024"/>
      <c r="C413" s="1024"/>
      <c r="D413" s="344" t="s">
        <v>11</v>
      </c>
      <c r="E413" s="1025" t="s">
        <v>12</v>
      </c>
      <c r="F413" s="1025"/>
      <c r="G413" s="1026"/>
    </row>
    <row r="414" spans="1:7" ht="28.5" customHeight="1" x14ac:dyDescent="0.2">
      <c r="A414" s="1010" t="s">
        <v>17</v>
      </c>
      <c r="B414" s="1011"/>
      <c r="C414" s="1011"/>
      <c r="D414" s="121"/>
      <c r="E414" s="1027"/>
      <c r="F414" s="1028"/>
      <c r="G414" s="1029"/>
    </row>
    <row r="415" spans="1:7" x14ac:dyDescent="0.2">
      <c r="A415" s="1010" t="s">
        <v>38</v>
      </c>
      <c r="B415" s="1011"/>
      <c r="C415" s="1011"/>
      <c r="D415" s="710" t="s">
        <v>147</v>
      </c>
      <c r="E415" s="1012" t="s">
        <v>142</v>
      </c>
      <c r="F415" s="1012"/>
      <c r="G415" s="1013"/>
    </row>
    <row r="416" spans="1:7" ht="13.5" thickBot="1" x14ac:dyDescent="0.25">
      <c r="A416" s="1014" t="s">
        <v>39</v>
      </c>
      <c r="B416" s="1015"/>
      <c r="C416" s="1015"/>
      <c r="D416" s="125" t="s">
        <v>148</v>
      </c>
      <c r="E416" s="1016" t="s">
        <v>0</v>
      </c>
      <c r="F416" s="1017"/>
      <c r="G416" s="1018"/>
    </row>
    <row r="417" spans="1:10" ht="16.5" x14ac:dyDescent="0.25">
      <c r="A417" s="885" t="s">
        <v>29</v>
      </c>
      <c r="B417" s="886"/>
      <c r="C417" s="886"/>
      <c r="D417" s="886"/>
      <c r="E417" s="886"/>
      <c r="F417" s="886"/>
      <c r="G417" s="887"/>
      <c r="H417" s="1">
        <v>9</v>
      </c>
    </row>
    <row r="418" spans="1:10" x14ac:dyDescent="0.2">
      <c r="A418" s="888" t="s">
        <v>48</v>
      </c>
      <c r="B418" s="889"/>
      <c r="C418" s="889"/>
      <c r="D418" s="889"/>
      <c r="E418" s="889"/>
      <c r="F418" s="889"/>
      <c r="G418" s="890"/>
      <c r="H418" s="784" t="s">
        <v>3066</v>
      </c>
    </row>
    <row r="419" spans="1:10" x14ac:dyDescent="0.2">
      <c r="A419" s="915" t="s">
        <v>49</v>
      </c>
      <c r="B419" s="916"/>
      <c r="C419" s="916"/>
      <c r="D419" s="916"/>
      <c r="E419" s="916"/>
      <c r="F419" s="916"/>
      <c r="G419" s="917"/>
      <c r="H419" s="784" t="s">
        <v>3066</v>
      </c>
      <c r="I419" s="774"/>
    </row>
    <row r="420" spans="1:10" x14ac:dyDescent="0.2">
      <c r="A420" s="6"/>
      <c r="B420" s="99"/>
      <c r="C420" s="8"/>
      <c r="D420" s="9"/>
      <c r="E420" s="99"/>
      <c r="F420" s="10"/>
      <c r="G420" s="679" t="s">
        <v>20</v>
      </c>
      <c r="I420" s="774"/>
    </row>
    <row r="421" spans="1:10" x14ac:dyDescent="0.2">
      <c r="A421" s="12" t="s">
        <v>1</v>
      </c>
      <c r="B421" s="13"/>
      <c r="C421" s="14" t="s">
        <v>7</v>
      </c>
      <c r="D421" s="13"/>
      <c r="E421" s="362" t="s">
        <v>3086</v>
      </c>
      <c r="F421" s="98"/>
      <c r="G421" s="363" t="s">
        <v>3067</v>
      </c>
    </row>
    <row r="422" spans="1:10" x14ac:dyDescent="0.2">
      <c r="A422" s="17" t="s">
        <v>8</v>
      </c>
      <c r="B422" s="100"/>
      <c r="C422" s="19"/>
      <c r="D422" s="4"/>
      <c r="E422" s="918"/>
      <c r="F422" s="919"/>
      <c r="G422" s="20"/>
    </row>
    <row r="423" spans="1:10" x14ac:dyDescent="0.2">
      <c r="A423" s="21" t="s">
        <v>37</v>
      </c>
      <c r="B423" s="22"/>
      <c r="C423" s="22"/>
      <c r="D423" s="22"/>
      <c r="E423" s="23" t="s">
        <v>46</v>
      </c>
      <c r="F423" s="24"/>
      <c r="G423" s="20" t="s">
        <v>50</v>
      </c>
    </row>
    <row r="424" spans="1:10" x14ac:dyDescent="0.2">
      <c r="A424" s="6"/>
      <c r="B424" s="99"/>
      <c r="C424" s="8"/>
      <c r="D424" s="8"/>
      <c r="E424" s="920"/>
      <c r="F424" s="921"/>
      <c r="G424" s="25"/>
    </row>
    <row r="425" spans="1:10" ht="26.25" thickBot="1" x14ac:dyDescent="0.25">
      <c r="A425" s="207" t="s">
        <v>47</v>
      </c>
      <c r="B425" s="28" t="s">
        <v>23</v>
      </c>
      <c r="C425" s="28" t="s">
        <v>34</v>
      </c>
      <c r="D425" s="110" t="s">
        <v>53</v>
      </c>
      <c r="E425" s="114" t="s">
        <v>54</v>
      </c>
      <c r="F425" s="111" t="s">
        <v>55</v>
      </c>
      <c r="G425" s="112" t="s">
        <v>35</v>
      </c>
    </row>
    <row r="426" spans="1:10" ht="13.5" thickTop="1" x14ac:dyDescent="0.2">
      <c r="A426" s="29"/>
      <c r="B426" s="101"/>
      <c r="C426" s="371"/>
      <c r="D426" s="803" t="s">
        <v>3068</v>
      </c>
      <c r="E426" s="205"/>
      <c r="F426" s="128"/>
      <c r="G426" s="35"/>
    </row>
    <row r="427" spans="1:10" x14ac:dyDescent="0.2">
      <c r="A427" s="29">
        <v>1</v>
      </c>
      <c r="B427" s="101"/>
      <c r="C427" s="371" t="s">
        <v>153</v>
      </c>
      <c r="D427" s="370" t="s">
        <v>3077</v>
      </c>
      <c r="E427" s="205">
        <v>2</v>
      </c>
      <c r="F427" s="149">
        <v>76380</v>
      </c>
      <c r="G427" s="35">
        <f t="shared" ref="G427:G433" si="7">F427*E427</f>
        <v>152760</v>
      </c>
      <c r="J427" s="370" t="s">
        <v>3069</v>
      </c>
    </row>
    <row r="428" spans="1:10" x14ac:dyDescent="0.2">
      <c r="A428" s="29">
        <v>2</v>
      </c>
      <c r="B428" s="101"/>
      <c r="C428" s="371" t="s">
        <v>185</v>
      </c>
      <c r="D428" s="376" t="s">
        <v>3078</v>
      </c>
      <c r="E428" s="205">
        <v>2</v>
      </c>
      <c r="F428" s="149">
        <v>56373</v>
      </c>
      <c r="G428" s="35">
        <f t="shared" si="7"/>
        <v>112746</v>
      </c>
      <c r="J428" s="376" t="s">
        <v>3070</v>
      </c>
    </row>
    <row r="429" spans="1:10" x14ac:dyDescent="0.2">
      <c r="A429" s="29">
        <v>3</v>
      </c>
      <c r="B429" s="101"/>
      <c r="C429" s="371" t="s">
        <v>185</v>
      </c>
      <c r="D429" s="376" t="s">
        <v>3079</v>
      </c>
      <c r="E429" s="108">
        <v>2</v>
      </c>
      <c r="F429" s="128">
        <v>80548.12</v>
      </c>
      <c r="G429" s="35">
        <f t="shared" si="7"/>
        <v>161096.24</v>
      </c>
      <c r="J429" s="376" t="s">
        <v>3071</v>
      </c>
    </row>
    <row r="430" spans="1:10" x14ac:dyDescent="0.2">
      <c r="A430" s="29">
        <v>4</v>
      </c>
      <c r="B430" s="105"/>
      <c r="C430" s="371" t="s">
        <v>185</v>
      </c>
      <c r="D430" s="370" t="s">
        <v>3080</v>
      </c>
      <c r="E430" s="102">
        <v>2</v>
      </c>
      <c r="F430" s="128">
        <v>18201.88</v>
      </c>
      <c r="G430" s="35">
        <f t="shared" si="7"/>
        <v>36403.760000000002</v>
      </c>
      <c r="J430" s="370" t="s">
        <v>3072</v>
      </c>
    </row>
    <row r="431" spans="1:10" x14ac:dyDescent="0.2">
      <c r="A431" s="29">
        <v>5</v>
      </c>
      <c r="B431" s="105"/>
      <c r="C431" s="371" t="s">
        <v>149</v>
      </c>
      <c r="D431" s="376" t="s">
        <v>3073</v>
      </c>
      <c r="E431" s="102">
        <v>1</v>
      </c>
      <c r="F431" s="128">
        <v>46550</v>
      </c>
      <c r="G431" s="35">
        <f t="shared" si="7"/>
        <v>46550</v>
      </c>
    </row>
    <row r="432" spans="1:10" x14ac:dyDescent="0.2">
      <c r="A432" s="29">
        <v>6</v>
      </c>
      <c r="B432" s="786"/>
      <c r="C432" s="665" t="s">
        <v>185</v>
      </c>
      <c r="D432" s="787" t="s">
        <v>3074</v>
      </c>
      <c r="E432" s="788">
        <v>1</v>
      </c>
      <c r="F432" s="668">
        <v>21947</v>
      </c>
      <c r="G432" s="35">
        <f t="shared" si="7"/>
        <v>21947</v>
      </c>
    </row>
    <row r="433" spans="1:11" x14ac:dyDescent="0.2">
      <c r="A433" s="29">
        <v>7</v>
      </c>
      <c r="B433" s="105"/>
      <c r="C433" s="371" t="s">
        <v>153</v>
      </c>
      <c r="D433" s="370" t="s">
        <v>3075</v>
      </c>
      <c r="E433" s="102">
        <v>10</v>
      </c>
      <c r="F433" s="128">
        <v>250</v>
      </c>
      <c r="G433" s="35">
        <f t="shared" si="7"/>
        <v>2500</v>
      </c>
    </row>
    <row r="434" spans="1:11" x14ac:dyDescent="0.2">
      <c r="A434" s="29"/>
      <c r="B434" s="786"/>
      <c r="C434" s="665"/>
      <c r="D434" s="666"/>
      <c r="E434" s="788"/>
      <c r="F434" s="668"/>
      <c r="G434" s="35"/>
    </row>
    <row r="435" spans="1:11" x14ac:dyDescent="0.2">
      <c r="A435" s="29"/>
      <c r="B435" s="151"/>
      <c r="C435" s="119"/>
      <c r="D435" s="370"/>
      <c r="E435" s="108"/>
      <c r="F435" s="150"/>
      <c r="G435" s="35"/>
    </row>
    <row r="436" spans="1:11" x14ac:dyDescent="0.2">
      <c r="A436" s="29"/>
      <c r="B436" s="151"/>
      <c r="C436" s="119"/>
      <c r="D436" s="383"/>
      <c r="E436" s="108"/>
      <c r="F436" s="150"/>
      <c r="G436" s="35"/>
    </row>
    <row r="437" spans="1:11" x14ac:dyDescent="0.2">
      <c r="A437" s="29"/>
      <c r="B437" s="101"/>
      <c r="C437" s="41"/>
      <c r="D437" s="383"/>
      <c r="E437" s="155"/>
      <c r="F437" s="128"/>
      <c r="G437" s="35"/>
    </row>
    <row r="438" spans="1:11" x14ac:dyDescent="0.2">
      <c r="A438" s="29"/>
      <c r="B438" s="106"/>
      <c r="C438" s="41"/>
      <c r="D438" s="376"/>
      <c r="E438" s="104"/>
      <c r="F438" s="128"/>
      <c r="G438" s="35"/>
      <c r="K438" s="774"/>
    </row>
    <row r="439" spans="1:11" x14ac:dyDescent="0.2">
      <c r="A439" s="29"/>
      <c r="B439" s="105"/>
      <c r="C439" s="41"/>
      <c r="D439" s="376"/>
      <c r="E439" s="108"/>
      <c r="F439" s="152"/>
      <c r="G439" s="35"/>
    </row>
    <row r="440" spans="1:11" x14ac:dyDescent="0.2">
      <c r="A440" s="29"/>
      <c r="B440" s="107"/>
      <c r="C440" s="41"/>
      <c r="D440" s="376"/>
      <c r="E440" s="153"/>
      <c r="F440" s="128"/>
      <c r="G440" s="35"/>
    </row>
    <row r="441" spans="1:11" x14ac:dyDescent="0.2">
      <c r="A441" s="29"/>
      <c r="B441" s="107"/>
      <c r="C441" s="41"/>
      <c r="D441" s="376"/>
      <c r="E441" s="153"/>
      <c r="F441" s="128"/>
      <c r="G441" s="35"/>
    </row>
    <row r="442" spans="1:11" x14ac:dyDescent="0.2">
      <c r="A442" s="29"/>
      <c r="B442" s="107"/>
      <c r="C442" s="41"/>
      <c r="D442" s="376"/>
      <c r="E442" s="153"/>
      <c r="F442" s="128"/>
      <c r="G442" s="35"/>
    </row>
    <row r="443" spans="1:11" x14ac:dyDescent="0.2">
      <c r="A443" s="29"/>
      <c r="B443" s="107"/>
      <c r="C443" s="41"/>
      <c r="D443" s="376"/>
      <c r="E443" s="153"/>
      <c r="F443" s="128"/>
      <c r="G443" s="35"/>
    </row>
    <row r="444" spans="1:11" x14ac:dyDescent="0.2">
      <c r="A444" s="29"/>
      <c r="B444" s="101"/>
      <c r="C444" s="41"/>
      <c r="D444" s="383"/>
      <c r="E444" s="108"/>
      <c r="F444" s="128"/>
      <c r="G444" s="35"/>
    </row>
    <row r="445" spans="1:11" x14ac:dyDescent="0.2">
      <c r="A445" s="29"/>
      <c r="B445" s="101"/>
      <c r="C445" s="41"/>
      <c r="D445" s="383"/>
      <c r="E445" s="153"/>
      <c r="F445" s="128"/>
      <c r="G445" s="35"/>
    </row>
    <row r="446" spans="1:11" x14ac:dyDescent="0.2">
      <c r="A446" s="29"/>
      <c r="B446" s="106"/>
      <c r="C446" s="41"/>
      <c r="D446" s="376"/>
      <c r="E446" s="104"/>
      <c r="F446" s="154"/>
      <c r="G446" s="35"/>
    </row>
    <row r="447" spans="1:11" x14ac:dyDescent="0.2">
      <c r="A447" s="29"/>
      <c r="B447" s="105"/>
      <c r="C447" s="41"/>
      <c r="D447" s="419"/>
      <c r="E447" s="104"/>
      <c r="F447" s="154"/>
      <c r="G447" s="35"/>
    </row>
    <row r="448" spans="1:11" x14ac:dyDescent="0.2">
      <c r="A448" s="29"/>
      <c r="B448" s="105"/>
      <c r="C448" s="41"/>
      <c r="D448" s="376"/>
      <c r="E448" s="104"/>
      <c r="F448" s="154"/>
      <c r="G448" s="35"/>
    </row>
    <row r="449" spans="1:7" x14ac:dyDescent="0.2">
      <c r="A449" s="29"/>
      <c r="B449" s="101"/>
      <c r="C449" s="41"/>
      <c r="D449" s="376"/>
      <c r="E449" s="104"/>
      <c r="F449" s="154"/>
      <c r="G449" s="35"/>
    </row>
    <row r="450" spans="1:7" x14ac:dyDescent="0.2">
      <c r="A450" s="29"/>
      <c r="B450" s="101"/>
      <c r="C450" s="41"/>
      <c r="D450" s="376"/>
      <c r="E450" s="104"/>
      <c r="F450" s="154"/>
      <c r="G450" s="35"/>
    </row>
    <row r="451" spans="1:7" x14ac:dyDescent="0.2">
      <c r="A451" s="29"/>
      <c r="B451" s="101"/>
      <c r="C451" s="41"/>
      <c r="D451" s="376"/>
      <c r="E451" s="104"/>
      <c r="F451" s="154"/>
      <c r="G451" s="35"/>
    </row>
    <row r="452" spans="1:7" x14ac:dyDescent="0.2">
      <c r="A452" s="29"/>
      <c r="B452" s="101"/>
      <c r="C452" s="41"/>
      <c r="D452" s="376"/>
      <c r="E452" s="104"/>
      <c r="F452" s="154"/>
      <c r="G452" s="35"/>
    </row>
    <row r="453" spans="1:7" x14ac:dyDescent="0.2">
      <c r="A453" s="29"/>
      <c r="B453" s="101"/>
      <c r="C453" s="41"/>
      <c r="D453" s="383"/>
      <c r="E453" s="104"/>
      <c r="F453" s="154"/>
      <c r="G453" s="35"/>
    </row>
    <row r="454" spans="1:7" x14ac:dyDescent="0.2">
      <c r="A454" s="29"/>
      <c r="B454" s="101"/>
      <c r="C454" s="41"/>
      <c r="D454" s="384"/>
      <c r="E454" s="104"/>
      <c r="F454" s="154"/>
      <c r="G454" s="35"/>
    </row>
    <row r="455" spans="1:7" x14ac:dyDescent="0.2">
      <c r="A455" s="29"/>
      <c r="B455" s="101"/>
      <c r="C455" s="41"/>
      <c r="D455" s="376"/>
      <c r="E455" s="153"/>
      <c r="F455" s="128"/>
      <c r="G455" s="35"/>
    </row>
    <row r="456" spans="1:7" x14ac:dyDescent="0.2">
      <c r="A456" s="29"/>
      <c r="B456" s="101"/>
      <c r="C456" s="41"/>
      <c r="D456" s="376"/>
      <c r="E456" s="153"/>
      <c r="F456" s="128"/>
      <c r="G456" s="35"/>
    </row>
    <row r="457" spans="1:7" x14ac:dyDescent="0.2">
      <c r="A457" s="29"/>
      <c r="B457" s="101"/>
      <c r="C457" s="41"/>
      <c r="D457" s="376"/>
      <c r="E457" s="153"/>
      <c r="F457" s="128"/>
      <c r="G457" s="35"/>
    </row>
    <row r="458" spans="1:7" x14ac:dyDescent="0.2">
      <c r="A458" s="29"/>
      <c r="B458" s="101"/>
      <c r="C458" s="41"/>
      <c r="D458" s="376"/>
      <c r="E458" s="153"/>
      <c r="F458" s="128"/>
      <c r="G458" s="35"/>
    </row>
    <row r="459" spans="1:7" x14ac:dyDescent="0.2">
      <c r="A459" s="29"/>
      <c r="B459" s="101"/>
      <c r="C459" s="41"/>
      <c r="D459" s="376"/>
      <c r="E459" s="153"/>
      <c r="F459" s="128"/>
      <c r="G459" s="35"/>
    </row>
    <row r="460" spans="1:7" x14ac:dyDescent="0.2">
      <c r="A460" s="29"/>
      <c r="B460" s="101"/>
      <c r="C460" s="41"/>
      <c r="D460" s="376"/>
      <c r="E460" s="102"/>
      <c r="F460" s="128"/>
      <c r="G460" s="35"/>
    </row>
    <row r="461" spans="1:7" x14ac:dyDescent="0.2">
      <c r="A461" s="61"/>
      <c r="B461" s="101"/>
      <c r="C461" s="41"/>
      <c r="D461" s="383"/>
      <c r="E461" s="108"/>
      <c r="F461" s="149"/>
      <c r="G461" s="71"/>
    </row>
    <row r="462" spans="1:7" ht="13.5" thickBot="1" x14ac:dyDescent="0.25">
      <c r="A462" s="209"/>
      <c r="B462" s="132"/>
      <c r="C462" s="115"/>
      <c r="D462" s="115"/>
      <c r="E462" s="132"/>
      <c r="F462" s="49" t="s">
        <v>15</v>
      </c>
      <c r="G462" s="210">
        <f>SUM(G426:G461)</f>
        <v>534003</v>
      </c>
    </row>
    <row r="463" spans="1:7" ht="13.5" thickTop="1" x14ac:dyDescent="0.2">
      <c r="A463" s="875" t="s">
        <v>2780</v>
      </c>
      <c r="B463" s="899"/>
      <c r="C463" s="899"/>
      <c r="D463" s="899"/>
      <c r="E463" s="899"/>
      <c r="F463" s="899"/>
      <c r="G463" s="900"/>
    </row>
    <row r="464" spans="1:7" ht="13.5" thickBot="1" x14ac:dyDescent="0.25">
      <c r="A464" s="52"/>
      <c r="B464" s="103"/>
      <c r="C464" s="927"/>
      <c r="D464" s="927"/>
      <c r="E464" s="927"/>
      <c r="F464" s="927"/>
      <c r="G464" s="928"/>
    </row>
    <row r="465" spans="1:10" ht="13.5" thickTop="1" x14ac:dyDescent="0.2">
      <c r="A465" s="906"/>
      <c r="B465" s="907"/>
      <c r="C465" s="907"/>
      <c r="D465" s="57" t="s">
        <v>11</v>
      </c>
      <c r="E465" s="908" t="s">
        <v>12</v>
      </c>
      <c r="F465" s="908"/>
      <c r="G465" s="909"/>
    </row>
    <row r="466" spans="1:10" ht="28.5" customHeight="1" x14ac:dyDescent="0.2">
      <c r="A466" s="910" t="s">
        <v>17</v>
      </c>
      <c r="B466" s="911"/>
      <c r="C466" s="911"/>
      <c r="D466" s="39"/>
      <c r="E466" s="912"/>
      <c r="F466" s="913"/>
      <c r="G466" s="914"/>
    </row>
    <row r="467" spans="1:10" x14ac:dyDescent="0.2">
      <c r="A467" s="910" t="s">
        <v>38</v>
      </c>
      <c r="B467" s="911"/>
      <c r="C467" s="911"/>
      <c r="D467" s="73" t="s">
        <v>147</v>
      </c>
      <c r="E467" s="868" t="s">
        <v>142</v>
      </c>
      <c r="F467" s="868"/>
      <c r="G467" s="869"/>
    </row>
    <row r="468" spans="1:10" ht="13.5" thickBot="1" x14ac:dyDescent="0.25">
      <c r="A468" s="901" t="s">
        <v>39</v>
      </c>
      <c r="B468" s="902"/>
      <c r="C468" s="902"/>
      <c r="D468" s="59" t="s">
        <v>148</v>
      </c>
      <c r="E468" s="903" t="s">
        <v>0</v>
      </c>
      <c r="F468" s="904"/>
      <c r="G468" s="905"/>
    </row>
    <row r="469" spans="1:10" ht="16.5" x14ac:dyDescent="0.25">
      <c r="A469" s="885" t="s">
        <v>29</v>
      </c>
      <c r="B469" s="886"/>
      <c r="C469" s="886"/>
      <c r="D469" s="886"/>
      <c r="E469" s="886"/>
      <c r="F469" s="886"/>
      <c r="G469" s="887"/>
      <c r="H469" s="1">
        <v>10</v>
      </c>
    </row>
    <row r="470" spans="1:10" x14ac:dyDescent="0.2">
      <c r="A470" s="888" t="s">
        <v>48</v>
      </c>
      <c r="B470" s="889"/>
      <c r="C470" s="889"/>
      <c r="D470" s="889"/>
      <c r="E470" s="889"/>
      <c r="F470" s="889"/>
      <c r="G470" s="890"/>
      <c r="H470" s="784" t="s">
        <v>3066</v>
      </c>
    </row>
    <row r="471" spans="1:10" x14ac:dyDescent="0.2">
      <c r="A471" s="915" t="s">
        <v>49</v>
      </c>
      <c r="B471" s="916"/>
      <c r="C471" s="916"/>
      <c r="D471" s="916"/>
      <c r="E471" s="916"/>
      <c r="F471" s="916"/>
      <c r="G471" s="917"/>
      <c r="H471" s="784" t="s">
        <v>3180</v>
      </c>
      <c r="I471" s="774"/>
    </row>
    <row r="472" spans="1:10" x14ac:dyDescent="0.2">
      <c r="A472" s="6"/>
      <c r="B472" s="99"/>
      <c r="C472" s="8"/>
      <c r="D472" s="9"/>
      <c r="E472" s="99"/>
      <c r="F472" s="10"/>
      <c r="G472" s="679" t="s">
        <v>20</v>
      </c>
      <c r="I472" s="774"/>
    </row>
    <row r="473" spans="1:10" x14ac:dyDescent="0.2">
      <c r="A473" s="12" t="s">
        <v>1</v>
      </c>
      <c r="B473" s="13"/>
      <c r="C473" s="14" t="s">
        <v>7</v>
      </c>
      <c r="D473" s="13"/>
      <c r="E473" s="362" t="s">
        <v>3185</v>
      </c>
      <c r="F473" s="98"/>
      <c r="G473" s="363" t="s">
        <v>3177</v>
      </c>
    </row>
    <row r="474" spans="1:10" x14ac:dyDescent="0.2">
      <c r="A474" s="17" t="s">
        <v>8</v>
      </c>
      <c r="B474" s="100"/>
      <c r="C474" s="19"/>
      <c r="D474" s="4"/>
      <c r="E474" s="918"/>
      <c r="F474" s="919"/>
      <c r="G474" s="20"/>
    </row>
    <row r="475" spans="1:10" x14ac:dyDescent="0.2">
      <c r="A475" s="21" t="s">
        <v>37</v>
      </c>
      <c r="B475" s="22"/>
      <c r="C475" s="22"/>
      <c r="D475" s="22"/>
      <c r="E475" s="23" t="s">
        <v>46</v>
      </c>
      <c r="F475" s="24"/>
      <c r="G475" s="20" t="s">
        <v>50</v>
      </c>
    </row>
    <row r="476" spans="1:10" x14ac:dyDescent="0.2">
      <c r="A476" s="6"/>
      <c r="B476" s="99"/>
      <c r="C476" s="8"/>
      <c r="D476" s="8"/>
      <c r="E476" s="920"/>
      <c r="F476" s="921"/>
      <c r="G476" s="25"/>
    </row>
    <row r="477" spans="1:10" ht="26.25" thickBot="1" x14ac:dyDescent="0.25">
      <c r="A477" s="207" t="s">
        <v>47</v>
      </c>
      <c r="B477" s="28" t="s">
        <v>23</v>
      </c>
      <c r="C477" s="28" t="s">
        <v>34</v>
      </c>
      <c r="D477" s="110" t="s">
        <v>53</v>
      </c>
      <c r="E477" s="114" t="s">
        <v>54</v>
      </c>
      <c r="F477" s="111" t="s">
        <v>55</v>
      </c>
      <c r="G477" s="112" t="s">
        <v>35</v>
      </c>
    </row>
    <row r="478" spans="1:10" ht="13.5" thickTop="1" x14ac:dyDescent="0.2">
      <c r="A478" s="29">
        <v>1</v>
      </c>
      <c r="B478" s="101"/>
      <c r="C478" s="371" t="s">
        <v>2779</v>
      </c>
      <c r="D478" s="803" t="s">
        <v>3182</v>
      </c>
      <c r="E478" s="205">
        <v>5</v>
      </c>
      <c r="F478" s="128">
        <v>19046</v>
      </c>
      <c r="G478" s="35">
        <f t="shared" ref="G478:G493" si="8">F478*E478</f>
        <v>95230</v>
      </c>
    </row>
    <row r="479" spans="1:10" x14ac:dyDescent="0.2">
      <c r="A479" s="29">
        <v>2</v>
      </c>
      <c r="B479" s="101"/>
      <c r="C479" s="371" t="s">
        <v>2779</v>
      </c>
      <c r="D479" s="370" t="s">
        <v>3103</v>
      </c>
      <c r="E479" s="205">
        <v>5</v>
      </c>
      <c r="F479" s="149">
        <v>30696</v>
      </c>
      <c r="G479" s="35">
        <f t="shared" si="8"/>
        <v>153480</v>
      </c>
      <c r="J479" s="856"/>
    </row>
    <row r="480" spans="1:10" x14ac:dyDescent="0.2">
      <c r="A480" s="29">
        <v>3</v>
      </c>
      <c r="B480" s="101"/>
      <c r="C480" s="371" t="s">
        <v>2779</v>
      </c>
      <c r="D480" s="376" t="s">
        <v>3104</v>
      </c>
      <c r="E480" s="205">
        <v>5</v>
      </c>
      <c r="F480" s="149">
        <v>14252</v>
      </c>
      <c r="G480" s="35">
        <f t="shared" si="8"/>
        <v>71260</v>
      </c>
      <c r="J480" s="857"/>
    </row>
    <row r="481" spans="1:11" x14ac:dyDescent="0.2">
      <c r="A481" s="29">
        <v>4</v>
      </c>
      <c r="B481" s="101"/>
      <c r="C481" s="371" t="s">
        <v>2779</v>
      </c>
      <c r="D481" s="376" t="s">
        <v>3105</v>
      </c>
      <c r="E481" s="108">
        <v>4</v>
      </c>
      <c r="F481" s="128">
        <v>18705</v>
      </c>
      <c r="G481" s="35">
        <f t="shared" si="8"/>
        <v>74820</v>
      </c>
      <c r="H481" s="108">
        <v>5</v>
      </c>
      <c r="J481" s="857"/>
    </row>
    <row r="482" spans="1:11" x14ac:dyDescent="0.2">
      <c r="A482" s="29">
        <v>5</v>
      </c>
      <c r="B482" s="105"/>
      <c r="C482" s="371" t="s">
        <v>2779</v>
      </c>
      <c r="D482" s="370" t="s">
        <v>3186</v>
      </c>
      <c r="E482" s="102">
        <v>3</v>
      </c>
      <c r="F482" s="128">
        <v>18755</v>
      </c>
      <c r="G482" s="35">
        <f t="shared" si="8"/>
        <v>56265</v>
      </c>
      <c r="H482" s="102">
        <v>5</v>
      </c>
      <c r="J482" s="856"/>
    </row>
    <row r="483" spans="1:11" x14ac:dyDescent="0.2">
      <c r="A483" s="29">
        <v>6</v>
      </c>
      <c r="B483" s="105"/>
      <c r="C483" s="371" t="s">
        <v>2779</v>
      </c>
      <c r="D483" s="376" t="s">
        <v>3183</v>
      </c>
      <c r="E483" s="102">
        <v>3</v>
      </c>
      <c r="F483" s="128">
        <v>26000</v>
      </c>
      <c r="G483" s="35">
        <f t="shared" si="8"/>
        <v>78000</v>
      </c>
      <c r="H483" s="102">
        <v>5</v>
      </c>
    </row>
    <row r="484" spans="1:11" x14ac:dyDescent="0.2">
      <c r="A484" s="29">
        <v>7</v>
      </c>
      <c r="B484" s="786"/>
      <c r="C484" s="665" t="s">
        <v>2779</v>
      </c>
      <c r="D484" s="787" t="s">
        <v>3187</v>
      </c>
      <c r="E484" s="788">
        <v>5</v>
      </c>
      <c r="F484" s="668">
        <v>14309</v>
      </c>
      <c r="G484" s="35">
        <f t="shared" si="8"/>
        <v>71545</v>
      </c>
    </row>
    <row r="485" spans="1:11" x14ac:dyDescent="0.2">
      <c r="A485" s="29">
        <v>8</v>
      </c>
      <c r="B485" s="105"/>
      <c r="C485" s="371" t="s">
        <v>2779</v>
      </c>
      <c r="D485" s="370" t="s">
        <v>3188</v>
      </c>
      <c r="E485" s="102">
        <v>5</v>
      </c>
      <c r="F485" s="128">
        <v>14005</v>
      </c>
      <c r="G485" s="35">
        <f t="shared" si="8"/>
        <v>70025</v>
      </c>
    </row>
    <row r="486" spans="1:11" x14ac:dyDescent="0.2">
      <c r="A486" s="29">
        <v>9</v>
      </c>
      <c r="B486" s="786"/>
      <c r="C486" s="665" t="s">
        <v>2779</v>
      </c>
      <c r="D486" s="666" t="s">
        <v>3184</v>
      </c>
      <c r="E486" s="788">
        <v>5</v>
      </c>
      <c r="F486" s="668">
        <v>20790</v>
      </c>
      <c r="G486" s="35">
        <f t="shared" si="8"/>
        <v>103950</v>
      </c>
    </row>
    <row r="487" spans="1:11" x14ac:dyDescent="0.2">
      <c r="A487" s="29">
        <v>10</v>
      </c>
      <c r="B487" s="151"/>
      <c r="C487" s="119" t="s">
        <v>2779</v>
      </c>
      <c r="D487" s="370" t="s">
        <v>3099</v>
      </c>
      <c r="E487" s="108">
        <v>2</v>
      </c>
      <c r="F487" s="150">
        <v>63250</v>
      </c>
      <c r="G487" s="35">
        <f t="shared" si="8"/>
        <v>126500</v>
      </c>
    </row>
    <row r="488" spans="1:11" x14ac:dyDescent="0.2">
      <c r="A488" s="29">
        <v>11</v>
      </c>
      <c r="B488" s="151"/>
      <c r="C488" s="119" t="s">
        <v>2779</v>
      </c>
      <c r="D488" s="383" t="s">
        <v>3100</v>
      </c>
      <c r="E488" s="108">
        <v>2</v>
      </c>
      <c r="F488" s="150">
        <v>71300</v>
      </c>
      <c r="G488" s="35">
        <f t="shared" si="8"/>
        <v>142600</v>
      </c>
    </row>
    <row r="489" spans="1:11" x14ac:dyDescent="0.2">
      <c r="A489" s="29">
        <v>12</v>
      </c>
      <c r="B489" s="101"/>
      <c r="C489" s="41" t="s">
        <v>2779</v>
      </c>
      <c r="D489" s="383" t="s">
        <v>3106</v>
      </c>
      <c r="E489" s="155">
        <v>2</v>
      </c>
      <c r="F489" s="128">
        <v>86250</v>
      </c>
      <c r="G489" s="35">
        <f t="shared" si="8"/>
        <v>172500</v>
      </c>
    </row>
    <row r="490" spans="1:11" x14ac:dyDescent="0.2">
      <c r="A490" s="29">
        <v>13</v>
      </c>
      <c r="B490" s="106"/>
      <c r="C490" s="41" t="s">
        <v>177</v>
      </c>
      <c r="D490" s="376" t="s">
        <v>3107</v>
      </c>
      <c r="E490" s="104">
        <v>2</v>
      </c>
      <c r="F490" s="128">
        <v>18400</v>
      </c>
      <c r="G490" s="35">
        <f t="shared" si="8"/>
        <v>36800</v>
      </c>
      <c r="K490" s="774"/>
    </row>
    <row r="491" spans="1:11" x14ac:dyDescent="0.2">
      <c r="A491" s="29">
        <v>14</v>
      </c>
      <c r="B491" s="105"/>
      <c r="C491" s="41" t="s">
        <v>185</v>
      </c>
      <c r="D491" s="376" t="s">
        <v>3108</v>
      </c>
      <c r="E491" s="108">
        <v>2</v>
      </c>
      <c r="F491" s="152">
        <v>23187.5</v>
      </c>
      <c r="G491" s="35">
        <f t="shared" si="8"/>
        <v>46375</v>
      </c>
    </row>
    <row r="492" spans="1:11" x14ac:dyDescent="0.2">
      <c r="A492" s="29">
        <v>15</v>
      </c>
      <c r="B492" s="107"/>
      <c r="C492" s="41" t="s">
        <v>279</v>
      </c>
      <c r="D492" s="376" t="s">
        <v>3109</v>
      </c>
      <c r="E492" s="153">
        <v>2</v>
      </c>
      <c r="F492" s="128">
        <v>38840</v>
      </c>
      <c r="G492" s="35">
        <f t="shared" si="8"/>
        <v>77680</v>
      </c>
    </row>
    <row r="493" spans="1:11" x14ac:dyDescent="0.2">
      <c r="A493" s="29">
        <v>16</v>
      </c>
      <c r="B493" s="107"/>
      <c r="C493" s="41" t="s">
        <v>279</v>
      </c>
      <c r="D493" s="376" t="s">
        <v>3110</v>
      </c>
      <c r="E493" s="153">
        <v>2</v>
      </c>
      <c r="F493" s="128">
        <v>17472</v>
      </c>
      <c r="G493" s="35">
        <f t="shared" si="8"/>
        <v>34944</v>
      </c>
    </row>
    <row r="494" spans="1:11" x14ac:dyDescent="0.2">
      <c r="A494" s="29"/>
      <c r="B494" s="107"/>
      <c r="C494" s="41"/>
      <c r="D494" s="376"/>
      <c r="E494" s="153"/>
      <c r="F494" s="128"/>
      <c r="G494" s="35"/>
    </row>
    <row r="495" spans="1:11" x14ac:dyDescent="0.2">
      <c r="A495" s="29"/>
      <c r="B495" s="107"/>
      <c r="C495" s="41"/>
      <c r="D495" s="376"/>
      <c r="E495" s="153"/>
      <c r="F495" s="128"/>
      <c r="G495" s="35"/>
    </row>
    <row r="496" spans="1:11" x14ac:dyDescent="0.2">
      <c r="A496" s="29"/>
      <c r="B496" s="101"/>
      <c r="C496" s="41"/>
      <c r="D496" s="383"/>
      <c r="E496" s="108"/>
      <c r="F496" s="128"/>
      <c r="G496" s="35"/>
    </row>
    <row r="497" spans="1:7" x14ac:dyDescent="0.2">
      <c r="A497" s="29"/>
      <c r="B497" s="101"/>
      <c r="C497" s="41"/>
      <c r="D497" s="383"/>
      <c r="E497" s="153"/>
      <c r="F497" s="128"/>
      <c r="G497" s="35"/>
    </row>
    <row r="498" spans="1:7" x14ac:dyDescent="0.2">
      <c r="A498" s="29"/>
      <c r="B498" s="106"/>
      <c r="C498" s="41"/>
      <c r="D498" s="376"/>
      <c r="E498" s="104"/>
      <c r="F498" s="154"/>
      <c r="G498" s="35"/>
    </row>
    <row r="499" spans="1:7" x14ac:dyDescent="0.2">
      <c r="A499" s="29"/>
      <c r="B499" s="105"/>
      <c r="C499" s="41"/>
      <c r="D499" s="419"/>
      <c r="E499" s="104"/>
      <c r="F499" s="154"/>
      <c r="G499" s="35"/>
    </row>
    <row r="500" spans="1:7" x14ac:dyDescent="0.2">
      <c r="A500" s="29"/>
      <c r="B500" s="105"/>
      <c r="C500" s="41"/>
      <c r="D500" s="376"/>
      <c r="E500" s="104"/>
      <c r="F500" s="154"/>
      <c r="G500" s="35"/>
    </row>
    <row r="501" spans="1:7" x14ac:dyDescent="0.2">
      <c r="A501" s="29"/>
      <c r="B501" s="101"/>
      <c r="C501" s="41"/>
      <c r="D501" s="376"/>
      <c r="E501" s="104"/>
      <c r="F501" s="154"/>
      <c r="G501" s="35"/>
    </row>
    <row r="502" spans="1:7" x14ac:dyDescent="0.2">
      <c r="A502" s="29"/>
      <c r="B502" s="101"/>
      <c r="C502" s="41"/>
      <c r="D502" s="376"/>
      <c r="E502" s="104"/>
      <c r="F502" s="154"/>
      <c r="G502" s="35"/>
    </row>
    <row r="503" spans="1:7" x14ac:dyDescent="0.2">
      <c r="A503" s="29"/>
      <c r="B503" s="101"/>
      <c r="C503" s="41"/>
      <c r="D503" s="376"/>
      <c r="E503" s="104"/>
      <c r="F503" s="154"/>
      <c r="G503" s="35"/>
    </row>
    <row r="504" spans="1:7" x14ac:dyDescent="0.2">
      <c r="A504" s="29"/>
      <c r="B504" s="101"/>
      <c r="C504" s="41"/>
      <c r="D504" s="376"/>
      <c r="E504" s="104"/>
      <c r="F504" s="154"/>
      <c r="G504" s="35"/>
    </row>
    <row r="505" spans="1:7" x14ac:dyDescent="0.2">
      <c r="A505" s="29"/>
      <c r="B505" s="101"/>
      <c r="C505" s="41"/>
      <c r="D505" s="383"/>
      <c r="E505" s="104"/>
      <c r="F505" s="154"/>
      <c r="G505" s="35"/>
    </row>
    <row r="506" spans="1:7" x14ac:dyDescent="0.2">
      <c r="A506" s="29"/>
      <c r="B506" s="101"/>
      <c r="C506" s="41"/>
      <c r="D506" s="384"/>
      <c r="E506" s="104"/>
      <c r="F506" s="154"/>
      <c r="G506" s="35"/>
    </row>
    <row r="507" spans="1:7" x14ac:dyDescent="0.2">
      <c r="A507" s="29"/>
      <c r="B507" s="101"/>
      <c r="C507" s="41"/>
      <c r="D507" s="376"/>
      <c r="E507" s="153"/>
      <c r="F507" s="128"/>
      <c r="G507" s="35"/>
    </row>
    <row r="508" spans="1:7" x14ac:dyDescent="0.2">
      <c r="A508" s="29"/>
      <c r="B508" s="101"/>
      <c r="C508" s="41"/>
      <c r="D508" s="376"/>
      <c r="E508" s="153"/>
      <c r="F508" s="128"/>
      <c r="G508" s="35"/>
    </row>
    <row r="509" spans="1:7" x14ac:dyDescent="0.2">
      <c r="A509" s="29"/>
      <c r="B509" s="101"/>
      <c r="C509" s="41"/>
      <c r="D509" s="376"/>
      <c r="E509" s="153"/>
      <c r="F509" s="128"/>
      <c r="G509" s="35"/>
    </row>
    <row r="510" spans="1:7" x14ac:dyDescent="0.2">
      <c r="A510" s="29"/>
      <c r="B510" s="101"/>
      <c r="C510" s="41"/>
      <c r="D510" s="376"/>
      <c r="E510" s="153"/>
      <c r="F510" s="128"/>
      <c r="G510" s="35"/>
    </row>
    <row r="511" spans="1:7" x14ac:dyDescent="0.2">
      <c r="A511" s="29"/>
      <c r="B511" s="101"/>
      <c r="C511" s="41"/>
      <c r="D511" s="376"/>
      <c r="E511" s="153"/>
      <c r="F511" s="128"/>
      <c r="G511" s="35"/>
    </row>
    <row r="512" spans="1:7" x14ac:dyDescent="0.2">
      <c r="A512" s="29"/>
      <c r="B512" s="101"/>
      <c r="C512" s="41"/>
      <c r="D512" s="376"/>
      <c r="E512" s="102"/>
      <c r="F512" s="128"/>
      <c r="G512" s="35"/>
    </row>
    <row r="513" spans="1:7" x14ac:dyDescent="0.2">
      <c r="A513" s="61"/>
      <c r="B513" s="101"/>
      <c r="C513" s="41"/>
      <c r="D513" s="383"/>
      <c r="E513" s="108"/>
      <c r="F513" s="149"/>
      <c r="G513" s="71"/>
    </row>
    <row r="514" spans="1:7" ht="13.5" thickBot="1" x14ac:dyDescent="0.25">
      <c r="A514" s="209"/>
      <c r="B514" s="132"/>
      <c r="C514" s="115"/>
      <c r="D514" s="115"/>
      <c r="E514" s="132"/>
      <c r="F514" s="49" t="s">
        <v>15</v>
      </c>
      <c r="G514" s="210">
        <f>SUM(G478:G513)</f>
        <v>1411974</v>
      </c>
    </row>
    <row r="515" spans="1:7" ht="13.5" thickTop="1" x14ac:dyDescent="0.2">
      <c r="A515" s="875" t="s">
        <v>2780</v>
      </c>
      <c r="B515" s="899"/>
      <c r="C515" s="899"/>
      <c r="D515" s="899"/>
      <c r="E515" s="899"/>
      <c r="F515" s="899"/>
      <c r="G515" s="900"/>
    </row>
    <row r="516" spans="1:7" ht="13.5" thickBot="1" x14ac:dyDescent="0.25">
      <c r="A516" s="52"/>
      <c r="B516" s="103"/>
      <c r="C516" s="927"/>
      <c r="D516" s="927"/>
      <c r="E516" s="927"/>
      <c r="F516" s="927"/>
      <c r="G516" s="928"/>
    </row>
    <row r="517" spans="1:7" ht="13.5" thickTop="1" x14ac:dyDescent="0.2">
      <c r="A517" s="906"/>
      <c r="B517" s="907"/>
      <c r="C517" s="907"/>
      <c r="D517" s="57" t="s">
        <v>11</v>
      </c>
      <c r="E517" s="908" t="s">
        <v>12</v>
      </c>
      <c r="F517" s="908"/>
      <c r="G517" s="909"/>
    </row>
    <row r="518" spans="1:7" ht="28.5" customHeight="1" x14ac:dyDescent="0.2">
      <c r="A518" s="910" t="s">
        <v>17</v>
      </c>
      <c r="B518" s="911"/>
      <c r="C518" s="911"/>
      <c r="D518" s="39"/>
      <c r="E518" s="912"/>
      <c r="F518" s="913"/>
      <c r="G518" s="914"/>
    </row>
    <row r="519" spans="1:7" x14ac:dyDescent="0.2">
      <c r="A519" s="910" t="s">
        <v>38</v>
      </c>
      <c r="B519" s="911"/>
      <c r="C519" s="911"/>
      <c r="D519" s="73" t="s">
        <v>147</v>
      </c>
      <c r="E519" s="868" t="s">
        <v>142</v>
      </c>
      <c r="F519" s="868"/>
      <c r="G519" s="869"/>
    </row>
    <row r="520" spans="1:7" ht="13.5" thickBot="1" x14ac:dyDescent="0.25">
      <c r="A520" s="901" t="s">
        <v>39</v>
      </c>
      <c r="B520" s="902"/>
      <c r="C520" s="902"/>
      <c r="D520" s="59" t="s">
        <v>148</v>
      </c>
      <c r="E520" s="903" t="s">
        <v>0</v>
      </c>
      <c r="F520" s="904"/>
      <c r="G520" s="905"/>
    </row>
  </sheetData>
  <mergeCells count="151">
    <mergeCell ref="I203:O203"/>
    <mergeCell ref="A415:C415"/>
    <mergeCell ref="E415:G415"/>
    <mergeCell ref="A416:C416"/>
    <mergeCell ref="E416:G416"/>
    <mergeCell ref="C412:G412"/>
    <mergeCell ref="A413:C413"/>
    <mergeCell ref="E413:G413"/>
    <mergeCell ref="A414:C414"/>
    <mergeCell ref="E414:G414"/>
    <mergeCell ref="A366:G366"/>
    <mergeCell ref="A367:G367"/>
    <mergeCell ref="E370:F370"/>
    <mergeCell ref="E372:F372"/>
    <mergeCell ref="A411:G411"/>
    <mergeCell ref="A363:C363"/>
    <mergeCell ref="E363:G363"/>
    <mergeCell ref="A364:C364"/>
    <mergeCell ref="E364:G364"/>
    <mergeCell ref="A365:G365"/>
    <mergeCell ref="C360:G360"/>
    <mergeCell ref="A361:C361"/>
    <mergeCell ref="E361:G361"/>
    <mergeCell ref="A362:C362"/>
    <mergeCell ref="E362:G362"/>
    <mergeCell ref="A314:G314"/>
    <mergeCell ref="A315:G315"/>
    <mergeCell ref="E318:F318"/>
    <mergeCell ref="E320:F320"/>
    <mergeCell ref="A359:G359"/>
    <mergeCell ref="A311:C311"/>
    <mergeCell ref="E311:G311"/>
    <mergeCell ref="A312:C312"/>
    <mergeCell ref="E312:G312"/>
    <mergeCell ref="A313:G313"/>
    <mergeCell ref="C308:G308"/>
    <mergeCell ref="A309:C309"/>
    <mergeCell ref="E309:G309"/>
    <mergeCell ref="A310:C310"/>
    <mergeCell ref="E310:G310"/>
    <mergeCell ref="A262:G262"/>
    <mergeCell ref="A263:G263"/>
    <mergeCell ref="E266:F266"/>
    <mergeCell ref="E268:F268"/>
    <mergeCell ref="A307:G307"/>
    <mergeCell ref="A259:C259"/>
    <mergeCell ref="E259:G259"/>
    <mergeCell ref="A260:C260"/>
    <mergeCell ref="E260:G260"/>
    <mergeCell ref="A261:G261"/>
    <mergeCell ref="A255:G255"/>
    <mergeCell ref="C256:G256"/>
    <mergeCell ref="A257:C257"/>
    <mergeCell ref="E257:G257"/>
    <mergeCell ref="A258:C258"/>
    <mergeCell ref="E258:G258"/>
    <mergeCell ref="A209:G209"/>
    <mergeCell ref="A210:G210"/>
    <mergeCell ref="A211:G211"/>
    <mergeCell ref="E214:F214"/>
    <mergeCell ref="E216:F216"/>
    <mergeCell ref="A1:G1"/>
    <mergeCell ref="A2:G2"/>
    <mergeCell ref="A3:G3"/>
    <mergeCell ref="E6:F6"/>
    <mergeCell ref="E8:F8"/>
    <mergeCell ref="A53:G53"/>
    <mergeCell ref="A54:G54"/>
    <mergeCell ref="A55:G55"/>
    <mergeCell ref="E58:F58"/>
    <mergeCell ref="A50:C50"/>
    <mergeCell ref="E50:G50"/>
    <mergeCell ref="A51:C51"/>
    <mergeCell ref="E51:G51"/>
    <mergeCell ref="A52:C52"/>
    <mergeCell ref="E52:G52"/>
    <mergeCell ref="A47:G47"/>
    <mergeCell ref="C48:G48"/>
    <mergeCell ref="A49:C49"/>
    <mergeCell ref="E49:G49"/>
    <mergeCell ref="E60:F60"/>
    <mergeCell ref="A99:G99"/>
    <mergeCell ref="C100:G100"/>
    <mergeCell ref="A101:C101"/>
    <mergeCell ref="E101:G101"/>
    <mergeCell ref="A102:C102"/>
    <mergeCell ref="E102:G102"/>
    <mergeCell ref="A103:C103"/>
    <mergeCell ref="E103:G103"/>
    <mergeCell ref="A104:C104"/>
    <mergeCell ref="E104:G104"/>
    <mergeCell ref="A105:G105"/>
    <mergeCell ref="A106:G106"/>
    <mergeCell ref="A107:G107"/>
    <mergeCell ref="E110:F110"/>
    <mergeCell ref="E112:F112"/>
    <mergeCell ref="A151:G151"/>
    <mergeCell ref="A155:C155"/>
    <mergeCell ref="E155:G155"/>
    <mergeCell ref="A156:C156"/>
    <mergeCell ref="E156:G156"/>
    <mergeCell ref="C152:G152"/>
    <mergeCell ref="A153:C153"/>
    <mergeCell ref="E153:G153"/>
    <mergeCell ref="A154:C154"/>
    <mergeCell ref="E154:G154"/>
    <mergeCell ref="A157:G157"/>
    <mergeCell ref="A158:G158"/>
    <mergeCell ref="A159:G159"/>
    <mergeCell ref="E162:F162"/>
    <mergeCell ref="E164:F164"/>
    <mergeCell ref="A207:C207"/>
    <mergeCell ref="E207:G207"/>
    <mergeCell ref="A208:C208"/>
    <mergeCell ref="E208:G208"/>
    <mergeCell ref="A203:G203"/>
    <mergeCell ref="C204:G204"/>
    <mergeCell ref="A205:C205"/>
    <mergeCell ref="E205:G205"/>
    <mergeCell ref="A206:C206"/>
    <mergeCell ref="E206:G206"/>
    <mergeCell ref="A417:G417"/>
    <mergeCell ref="A418:G418"/>
    <mergeCell ref="A419:G419"/>
    <mergeCell ref="E422:F422"/>
    <mergeCell ref="E424:F424"/>
    <mergeCell ref="A463:G463"/>
    <mergeCell ref="C464:G464"/>
    <mergeCell ref="A465:C465"/>
    <mergeCell ref="E465:G465"/>
    <mergeCell ref="A466:C466"/>
    <mergeCell ref="E466:G466"/>
    <mergeCell ref="A467:C467"/>
    <mergeCell ref="E467:G467"/>
    <mergeCell ref="A468:C468"/>
    <mergeCell ref="E468:G468"/>
    <mergeCell ref="A469:G469"/>
    <mergeCell ref="A470:G470"/>
    <mergeCell ref="A471:G471"/>
    <mergeCell ref="A520:C520"/>
    <mergeCell ref="E520:G520"/>
    <mergeCell ref="E474:F474"/>
    <mergeCell ref="E476:F476"/>
    <mergeCell ref="A515:G515"/>
    <mergeCell ref="C516:G516"/>
    <mergeCell ref="A517:C517"/>
    <mergeCell ref="E517:G517"/>
    <mergeCell ref="A518:C518"/>
    <mergeCell ref="E518:G518"/>
    <mergeCell ref="A519:C519"/>
    <mergeCell ref="E519:G519"/>
  </mergeCells>
  <phoneticPr fontId="48" type="noConversion"/>
  <pageMargins left="0.39370078740157483" right="0.39370078740157483" top="0.59055118110236227" bottom="0.74803149606299213" header="0.51181102362204722" footer="0.51181102362204722"/>
  <pageSetup fitToWidth="0" orientation="portrait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96"/>
  <sheetViews>
    <sheetView tabSelected="1" zoomScale="110" zoomScaleNormal="110" workbookViewId="0">
      <selection activeCell="I22" sqref="I22"/>
    </sheetView>
  </sheetViews>
  <sheetFormatPr defaultRowHeight="12.75" x14ac:dyDescent="0.2"/>
  <cols>
    <col min="1" max="1" width="6.28515625" style="250" customWidth="1"/>
    <col min="2" max="2" width="6.5703125" style="711" customWidth="1"/>
    <col min="3" max="3" width="10.28515625" style="673" customWidth="1"/>
    <col min="4" max="4" width="36" style="250" customWidth="1"/>
    <col min="5" max="5" width="9.28515625" style="711" customWidth="1"/>
    <col min="6" max="6" width="12" style="712" customWidth="1"/>
    <col min="7" max="7" width="15.42578125" style="250" customWidth="1"/>
    <col min="8" max="8" width="11.28515625" style="713" bestFit="1" customWidth="1"/>
    <col min="9" max="9" width="10.28515625" style="250" bestFit="1" customWidth="1"/>
    <col min="10" max="10" width="11.28515625" style="250" customWidth="1"/>
    <col min="11" max="11" width="26.5703125" style="250" bestFit="1" customWidth="1"/>
    <col min="12" max="16384" width="9.140625" style="250"/>
  </cols>
  <sheetData>
    <row r="1" spans="1:9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9" x14ac:dyDescent="0.2">
      <c r="A2" s="1000" t="s">
        <v>48</v>
      </c>
      <c r="B2" s="1001"/>
      <c r="C2" s="1001"/>
      <c r="D2" s="1001"/>
      <c r="E2" s="1001"/>
      <c r="F2" s="1001"/>
      <c r="G2" s="1002"/>
      <c r="H2" s="819">
        <v>46125</v>
      </c>
    </row>
    <row r="3" spans="1:9" x14ac:dyDescent="0.2">
      <c r="A3" s="1003" t="s">
        <v>49</v>
      </c>
      <c r="B3" s="1004"/>
      <c r="C3" s="1004"/>
      <c r="D3" s="1004"/>
      <c r="E3" s="1004"/>
      <c r="F3" s="1004"/>
      <c r="G3" s="1005"/>
      <c r="H3" s="819">
        <v>46126</v>
      </c>
    </row>
    <row r="4" spans="1:9" x14ac:dyDescent="0.2">
      <c r="A4" s="674"/>
      <c r="B4" s="675"/>
      <c r="C4" s="676"/>
      <c r="D4" s="677"/>
      <c r="E4" s="675"/>
      <c r="F4" s="678"/>
      <c r="G4" s="679" t="s">
        <v>20</v>
      </c>
    </row>
    <row r="5" spans="1:9" x14ac:dyDescent="0.2">
      <c r="A5" s="680" t="s">
        <v>1</v>
      </c>
      <c r="B5" s="681"/>
      <c r="C5" s="682" t="s">
        <v>7</v>
      </c>
      <c r="D5" s="681"/>
      <c r="E5" s="683" t="s">
        <v>3084</v>
      </c>
      <c r="F5" s="684"/>
      <c r="G5" s="685" t="s">
        <v>3067</v>
      </c>
    </row>
    <row r="6" spans="1:9" x14ac:dyDescent="0.2">
      <c r="A6" s="686" t="s">
        <v>8</v>
      </c>
      <c r="B6" s="687"/>
      <c r="C6" s="688"/>
      <c r="D6" s="673"/>
      <c r="E6" s="1006"/>
      <c r="F6" s="1007"/>
      <c r="G6" s="689"/>
    </row>
    <row r="7" spans="1:9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9" x14ac:dyDescent="0.2">
      <c r="A8" s="674"/>
      <c r="B8" s="675"/>
      <c r="C8" s="676"/>
      <c r="D8" s="676"/>
      <c r="E8" s="1008"/>
      <c r="F8" s="1009"/>
      <c r="G8" s="693"/>
    </row>
    <row r="9" spans="1:9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2.75" customHeight="1" thickTop="1" x14ac:dyDescent="0.2">
      <c r="A10" s="825"/>
      <c r="B10" s="826"/>
      <c r="C10" s="826"/>
      <c r="D10" s="827" t="s">
        <v>3083</v>
      </c>
      <c r="E10" s="562"/>
      <c r="F10" s="563"/>
      <c r="G10" s="564"/>
    </row>
    <row r="11" spans="1:9" x14ac:dyDescent="0.2">
      <c r="A11" s="695">
        <v>1</v>
      </c>
      <c r="B11" s="696"/>
      <c r="C11" s="344" t="s">
        <v>366</v>
      </c>
      <c r="D11" s="822" t="s">
        <v>3037</v>
      </c>
      <c r="E11" s="823">
        <v>85</v>
      </c>
      <c r="F11" s="824">
        <v>1020</v>
      </c>
      <c r="G11" s="697">
        <f>F11*E11</f>
        <v>86700</v>
      </c>
      <c r="H11" s="823">
        <v>100</v>
      </c>
      <c r="I11" s="720"/>
    </row>
    <row r="12" spans="1:9" x14ac:dyDescent="0.2">
      <c r="A12" s="695"/>
      <c r="B12" s="776"/>
      <c r="C12" s="777"/>
      <c r="D12" s="820" t="s">
        <v>3038</v>
      </c>
      <c r="E12" s="667"/>
      <c r="F12" s="780"/>
      <c r="G12" s="697"/>
      <c r="H12" s="667"/>
    </row>
    <row r="13" spans="1:9" x14ac:dyDescent="0.2">
      <c r="A13" s="695">
        <v>2</v>
      </c>
      <c r="B13" s="698"/>
      <c r="C13" s="119" t="s">
        <v>366</v>
      </c>
      <c r="D13" s="370" t="s">
        <v>3036</v>
      </c>
      <c r="E13" s="158">
        <v>174</v>
      </c>
      <c r="F13" s="163">
        <v>760</v>
      </c>
      <c r="G13" s="697">
        <f t="shared" ref="G13:G21" si="0">F13*E13</f>
        <v>132240</v>
      </c>
      <c r="H13" s="158">
        <v>250</v>
      </c>
    </row>
    <row r="14" spans="1:9" x14ac:dyDescent="0.2">
      <c r="A14" s="695">
        <v>3</v>
      </c>
      <c r="B14" s="698"/>
      <c r="C14" s="714" t="s">
        <v>375</v>
      </c>
      <c r="D14" s="259" t="s">
        <v>3039</v>
      </c>
      <c r="E14" s="204">
        <v>7</v>
      </c>
      <c r="F14" s="149">
        <v>960</v>
      </c>
      <c r="G14" s="697">
        <f t="shared" si="0"/>
        <v>6720</v>
      </c>
      <c r="H14" s="204">
        <v>50</v>
      </c>
    </row>
    <row r="15" spans="1:9" x14ac:dyDescent="0.2">
      <c r="A15" s="695"/>
      <c r="B15" s="776"/>
      <c r="C15" s="714"/>
      <c r="D15" s="821" t="s">
        <v>3040</v>
      </c>
      <c r="E15" s="204"/>
      <c r="F15" s="816"/>
      <c r="G15" s="697"/>
      <c r="H15" s="204"/>
    </row>
    <row r="16" spans="1:9" x14ac:dyDescent="0.2">
      <c r="A16" s="695">
        <v>4</v>
      </c>
      <c r="B16" s="698"/>
      <c r="C16" s="119" t="s">
        <v>375</v>
      </c>
      <c r="D16" s="792" t="s">
        <v>3041</v>
      </c>
      <c r="E16" s="108">
        <v>16</v>
      </c>
      <c r="F16" s="163">
        <v>17150</v>
      </c>
      <c r="G16" s="697">
        <f t="shared" si="0"/>
        <v>274400</v>
      </c>
      <c r="H16" s="108">
        <v>24</v>
      </c>
    </row>
    <row r="17" spans="1:8" x14ac:dyDescent="0.2">
      <c r="A17" s="695"/>
      <c r="B17" s="776"/>
      <c r="C17" s="777"/>
      <c r="D17" s="792" t="s">
        <v>3042</v>
      </c>
      <c r="E17" s="779"/>
      <c r="F17" s="780"/>
      <c r="G17" s="697"/>
      <c r="H17" s="779"/>
    </row>
    <row r="18" spans="1:8" x14ac:dyDescent="0.2">
      <c r="A18" s="695">
        <v>5</v>
      </c>
      <c r="B18" s="105"/>
      <c r="C18" s="119" t="s">
        <v>153</v>
      </c>
      <c r="D18" s="376" t="s">
        <v>3043</v>
      </c>
      <c r="E18" s="108">
        <v>3</v>
      </c>
      <c r="F18" s="163">
        <v>1805</v>
      </c>
      <c r="G18" s="697">
        <f t="shared" si="0"/>
        <v>5415</v>
      </c>
      <c r="H18" s="108">
        <v>15</v>
      </c>
    </row>
    <row r="19" spans="1:8" x14ac:dyDescent="0.2">
      <c r="A19" s="695"/>
      <c r="B19" s="786"/>
      <c r="C19" s="777"/>
      <c r="D19" s="787" t="s">
        <v>3044</v>
      </c>
      <c r="E19" s="779"/>
      <c r="F19" s="780"/>
      <c r="G19" s="697"/>
      <c r="H19" s="779"/>
    </row>
    <row r="20" spans="1:8" x14ac:dyDescent="0.2">
      <c r="A20" s="695"/>
      <c r="B20" s="786"/>
      <c r="C20" s="777"/>
      <c r="D20" s="820" t="s">
        <v>3045</v>
      </c>
      <c r="E20" s="779"/>
      <c r="F20" s="780"/>
      <c r="G20" s="697"/>
      <c r="H20" s="779"/>
    </row>
    <row r="21" spans="1:8" x14ac:dyDescent="0.2">
      <c r="A21" s="695">
        <v>6</v>
      </c>
      <c r="B21" s="105"/>
      <c r="C21" s="119" t="s">
        <v>153</v>
      </c>
      <c r="D21" s="376" t="s">
        <v>3046</v>
      </c>
      <c r="E21" s="108">
        <v>3</v>
      </c>
      <c r="F21" s="163">
        <v>2475</v>
      </c>
      <c r="G21" s="697">
        <f t="shared" si="0"/>
        <v>7425</v>
      </c>
      <c r="H21" s="108">
        <v>15</v>
      </c>
    </row>
    <row r="22" spans="1:8" x14ac:dyDescent="0.2">
      <c r="A22" s="695"/>
      <c r="B22" s="105"/>
      <c r="C22" s="119"/>
      <c r="D22" s="376" t="s">
        <v>3044</v>
      </c>
      <c r="E22" s="108"/>
      <c r="F22" s="150"/>
      <c r="G22" s="697"/>
    </row>
    <row r="23" spans="1:8" x14ac:dyDescent="0.2">
      <c r="A23" s="695"/>
      <c r="B23" s="105"/>
      <c r="C23" s="119"/>
      <c r="D23" s="144" t="s">
        <v>3047</v>
      </c>
      <c r="E23" s="108"/>
      <c r="F23" s="150"/>
      <c r="G23" s="697"/>
    </row>
    <row r="24" spans="1:8" x14ac:dyDescent="0.2">
      <c r="A24" s="695"/>
      <c r="B24" s="106"/>
      <c r="C24" s="119"/>
      <c r="D24" s="136"/>
      <c r="E24" s="131"/>
      <c r="F24" s="163"/>
      <c r="G24" s="697"/>
    </row>
    <row r="25" spans="1:8" x14ac:dyDescent="0.2">
      <c r="A25" s="695"/>
      <c r="B25" s="105"/>
      <c r="C25" s="119"/>
      <c r="D25" s="136"/>
      <c r="E25" s="205"/>
      <c r="F25" s="152"/>
      <c r="G25" s="697"/>
    </row>
    <row r="26" spans="1:8" x14ac:dyDescent="0.2">
      <c r="A26" s="695"/>
      <c r="B26" s="700"/>
      <c r="C26" s="119"/>
      <c r="D26" s="136"/>
      <c r="E26" s="108"/>
      <c r="F26" s="163"/>
      <c r="G26" s="697"/>
    </row>
    <row r="27" spans="1:8" x14ac:dyDescent="0.2">
      <c r="A27" s="695"/>
      <c r="B27" s="700"/>
      <c r="C27" s="119"/>
      <c r="D27" s="136"/>
      <c r="E27" s="108"/>
      <c r="F27" s="163"/>
      <c r="G27" s="697"/>
    </row>
    <row r="28" spans="1:8" x14ac:dyDescent="0.2">
      <c r="A28" s="695"/>
      <c r="B28" s="698"/>
      <c r="C28" s="135"/>
      <c r="D28" s="259"/>
      <c r="E28" s="244"/>
      <c r="F28" s="163"/>
      <c r="G28" s="697"/>
    </row>
    <row r="29" spans="1:8" x14ac:dyDescent="0.2">
      <c r="A29" s="695"/>
      <c r="B29" s="105"/>
      <c r="C29" s="119"/>
      <c r="D29" s="136"/>
      <c r="E29" s="131"/>
      <c r="F29" s="717"/>
      <c r="G29" s="697"/>
    </row>
    <row r="30" spans="1:8" x14ac:dyDescent="0.2">
      <c r="A30" s="695"/>
      <c r="B30" s="105"/>
      <c r="C30" s="119"/>
      <c r="D30" s="136"/>
      <c r="E30" s="131"/>
      <c r="F30" s="717"/>
      <c r="G30" s="697"/>
    </row>
    <row r="31" spans="1:8" x14ac:dyDescent="0.2">
      <c r="A31" s="695"/>
      <c r="B31" s="698"/>
      <c r="C31" s="119"/>
      <c r="D31" s="136"/>
      <c r="E31" s="131"/>
      <c r="F31" s="717"/>
      <c r="G31" s="697"/>
    </row>
    <row r="32" spans="1:8" x14ac:dyDescent="0.2">
      <c r="A32" s="695"/>
      <c r="B32" s="698"/>
      <c r="C32" s="119"/>
      <c r="D32" s="136"/>
      <c r="E32" s="131"/>
      <c r="F32" s="717"/>
      <c r="G32" s="697"/>
    </row>
    <row r="33" spans="1:7" x14ac:dyDescent="0.2">
      <c r="A33" s="695"/>
      <c r="B33" s="698"/>
      <c r="C33" s="119"/>
      <c r="D33" s="136"/>
      <c r="E33" s="131"/>
      <c r="F33" s="717"/>
      <c r="G33" s="697"/>
    </row>
    <row r="34" spans="1:7" x14ac:dyDescent="0.2">
      <c r="A34" s="695"/>
      <c r="B34" s="698"/>
      <c r="C34" s="119"/>
      <c r="D34" s="136"/>
      <c r="E34" s="131"/>
      <c r="F34" s="717"/>
      <c r="G34" s="697"/>
    </row>
    <row r="35" spans="1:7" x14ac:dyDescent="0.2">
      <c r="A35" s="695"/>
      <c r="B35" s="698"/>
      <c r="C35" s="119"/>
      <c r="D35" s="136"/>
      <c r="E35" s="131"/>
      <c r="F35" s="717"/>
      <c r="G35" s="697"/>
    </row>
    <row r="36" spans="1:7" x14ac:dyDescent="0.2">
      <c r="A36" s="695"/>
      <c r="B36" s="698"/>
      <c r="C36" s="119"/>
      <c r="D36" s="144"/>
      <c r="E36" s="131"/>
      <c r="F36" s="717"/>
      <c r="G36" s="697"/>
    </row>
    <row r="37" spans="1:7" x14ac:dyDescent="0.2">
      <c r="A37" s="695"/>
      <c r="B37" s="698"/>
      <c r="C37" s="119"/>
      <c r="D37" s="144"/>
      <c r="E37" s="108"/>
      <c r="F37" s="163"/>
      <c r="G37" s="697"/>
    </row>
    <row r="38" spans="1:7" x14ac:dyDescent="0.2">
      <c r="A38" s="695"/>
      <c r="B38" s="776"/>
      <c r="C38" s="777"/>
      <c r="D38" s="778"/>
      <c r="E38" s="779"/>
      <c r="F38" s="780"/>
      <c r="G38" s="697"/>
    </row>
    <row r="39" spans="1:7" x14ac:dyDescent="0.2">
      <c r="A39" s="695"/>
      <c r="B39" s="698"/>
      <c r="C39" s="119"/>
      <c r="D39" s="136"/>
      <c r="E39" s="108"/>
      <c r="F39" s="163"/>
      <c r="G39" s="697"/>
    </row>
    <row r="40" spans="1:7" x14ac:dyDescent="0.2">
      <c r="A40" s="695"/>
      <c r="B40" s="698"/>
      <c r="C40" s="119"/>
      <c r="D40" s="136"/>
      <c r="E40" s="108"/>
      <c r="F40" s="163"/>
      <c r="G40" s="697"/>
    </row>
    <row r="41" spans="1:7" x14ac:dyDescent="0.2">
      <c r="A41" s="695"/>
      <c r="B41" s="698"/>
      <c r="C41" s="119"/>
      <c r="D41" s="136"/>
      <c r="E41" s="108"/>
      <c r="F41" s="163"/>
      <c r="G41" s="697"/>
    </row>
    <row r="42" spans="1:7" x14ac:dyDescent="0.2">
      <c r="A42" s="695"/>
      <c r="B42" s="698"/>
      <c r="C42" s="119"/>
      <c r="D42" s="144"/>
      <c r="E42" s="108"/>
      <c r="F42" s="149"/>
      <c r="G42" s="697"/>
    </row>
    <row r="43" spans="1:7" ht="13.5" thickBot="1" x14ac:dyDescent="0.25">
      <c r="A43" s="702"/>
      <c r="B43" s="703"/>
      <c r="C43" s="704"/>
      <c r="D43" s="704"/>
      <c r="E43" s="703"/>
      <c r="F43" s="705" t="s">
        <v>15</v>
      </c>
      <c r="G43" s="706">
        <f>SUM(G11:G42)</f>
        <v>512900</v>
      </c>
    </row>
    <row r="44" spans="1:7" ht="13.5" thickTop="1" x14ac:dyDescent="0.2">
      <c r="A44" s="1030" t="s">
        <v>280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9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9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9" x14ac:dyDescent="0.2">
      <c r="A51" s="1000" t="s">
        <v>48</v>
      </c>
      <c r="B51" s="1001"/>
      <c r="C51" s="1001"/>
      <c r="D51" s="1001"/>
      <c r="E51" s="1001"/>
      <c r="F51" s="1001"/>
      <c r="G51" s="1002"/>
      <c r="H51" s="819">
        <v>46127</v>
      </c>
      <c r="I51" s="819">
        <v>46146</v>
      </c>
    </row>
    <row r="52" spans="1:9" x14ac:dyDescent="0.2">
      <c r="A52" s="1003" t="s">
        <v>49</v>
      </c>
      <c r="B52" s="1004"/>
      <c r="C52" s="1004"/>
      <c r="D52" s="1004"/>
      <c r="E52" s="1004"/>
      <c r="F52" s="1004"/>
      <c r="G52" s="1005"/>
      <c r="H52" s="819"/>
    </row>
    <row r="53" spans="1:9" x14ac:dyDescent="0.2">
      <c r="A53" s="674"/>
      <c r="B53" s="675"/>
      <c r="C53" s="676"/>
      <c r="D53" s="677"/>
      <c r="E53" s="675"/>
      <c r="F53" s="678"/>
      <c r="G53" s="737" t="s">
        <v>3372</v>
      </c>
    </row>
    <row r="54" spans="1:9" x14ac:dyDescent="0.2">
      <c r="A54" s="680" t="s">
        <v>1</v>
      </c>
      <c r="B54" s="681"/>
      <c r="C54" s="682" t="s">
        <v>7</v>
      </c>
      <c r="D54" s="681"/>
      <c r="E54" s="683" t="s">
        <v>3576</v>
      </c>
      <c r="F54" s="684"/>
      <c r="G54" s="685" t="s">
        <v>3575</v>
      </c>
      <c r="I54" s="720" t="s">
        <v>3577</v>
      </c>
    </row>
    <row r="55" spans="1:9" x14ac:dyDescent="0.2">
      <c r="A55" s="686" t="s">
        <v>8</v>
      </c>
      <c r="B55" s="687"/>
      <c r="C55" s="688"/>
      <c r="D55" s="673"/>
      <c r="E55" s="1006"/>
      <c r="F55" s="1007"/>
      <c r="G55" s="689"/>
    </row>
    <row r="56" spans="1:9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50</v>
      </c>
    </row>
    <row r="57" spans="1:9" x14ac:dyDescent="0.2">
      <c r="A57" s="674"/>
      <c r="B57" s="675"/>
      <c r="C57" s="676"/>
      <c r="D57" s="676"/>
      <c r="E57" s="1008"/>
      <c r="F57" s="1009"/>
      <c r="G57" s="693"/>
    </row>
    <row r="58" spans="1:9" ht="26.25" customHeight="1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2.75" customHeight="1" thickTop="1" x14ac:dyDescent="0.2">
      <c r="A59" s="842">
        <v>1</v>
      </c>
      <c r="B59" s="841"/>
      <c r="C59" s="841" t="s">
        <v>177</v>
      </c>
      <c r="D59" s="565" t="s">
        <v>3235</v>
      </c>
      <c r="E59" s="823">
        <v>5</v>
      </c>
      <c r="F59" s="642">
        <v>125</v>
      </c>
      <c r="G59" s="848">
        <f>F59*E59</f>
        <v>625</v>
      </c>
    </row>
    <row r="60" spans="1:9" x14ac:dyDescent="0.2">
      <c r="A60" s="695">
        <v>2</v>
      </c>
      <c r="B60" s="696"/>
      <c r="C60" s="344" t="s">
        <v>177</v>
      </c>
      <c r="D60" s="822" t="s">
        <v>3236</v>
      </c>
      <c r="E60" s="823">
        <v>1</v>
      </c>
      <c r="F60" s="843">
        <v>680</v>
      </c>
      <c r="G60" s="697">
        <f>F60*E60</f>
        <v>680</v>
      </c>
      <c r="H60" s="782"/>
      <c r="I60" s="720"/>
    </row>
    <row r="61" spans="1:9" x14ac:dyDescent="0.2">
      <c r="A61" s="695">
        <v>3</v>
      </c>
      <c r="B61" s="776"/>
      <c r="C61" s="777" t="s">
        <v>366</v>
      </c>
      <c r="D61" s="820" t="s">
        <v>3237</v>
      </c>
      <c r="E61" s="667">
        <v>5</v>
      </c>
      <c r="F61" s="805">
        <v>1540</v>
      </c>
      <c r="G61" s="697">
        <f t="shared" ref="G61:G91" si="1">F61*E61</f>
        <v>7700</v>
      </c>
      <c r="H61" s="782"/>
    </row>
    <row r="62" spans="1:9" x14ac:dyDescent="0.2">
      <c r="A62" s="695">
        <v>4</v>
      </c>
      <c r="B62" s="698"/>
      <c r="C62" s="119" t="s">
        <v>177</v>
      </c>
      <c r="D62" s="370" t="s">
        <v>2926</v>
      </c>
      <c r="E62" s="158">
        <v>1</v>
      </c>
      <c r="F62" s="70">
        <v>190</v>
      </c>
      <c r="G62" s="697">
        <f t="shared" si="1"/>
        <v>190</v>
      </c>
      <c r="H62" s="782"/>
    </row>
    <row r="63" spans="1:9" x14ac:dyDescent="0.2">
      <c r="A63" s="695">
        <v>5</v>
      </c>
      <c r="B63" s="698"/>
      <c r="C63" s="714" t="s">
        <v>177</v>
      </c>
      <c r="D63" s="259" t="s">
        <v>2927</v>
      </c>
      <c r="E63" s="204">
        <v>1</v>
      </c>
      <c r="F63" s="263">
        <v>420</v>
      </c>
      <c r="G63" s="697">
        <f t="shared" si="1"/>
        <v>420</v>
      </c>
      <c r="H63" s="782"/>
    </row>
    <row r="64" spans="1:9" x14ac:dyDescent="0.2">
      <c r="A64" s="695">
        <v>6</v>
      </c>
      <c r="B64" s="776"/>
      <c r="C64" s="714" t="s">
        <v>185</v>
      </c>
      <c r="D64" s="821" t="s">
        <v>2915</v>
      </c>
      <c r="E64" s="204">
        <v>4</v>
      </c>
      <c r="F64" s="844">
        <v>95</v>
      </c>
      <c r="G64" s="697">
        <f t="shared" si="1"/>
        <v>380</v>
      </c>
      <c r="H64" s="204">
        <v>6</v>
      </c>
    </row>
    <row r="65" spans="1:8" x14ac:dyDescent="0.2">
      <c r="A65" s="695"/>
      <c r="B65" s="776"/>
      <c r="C65" s="714"/>
      <c r="D65" s="821" t="s">
        <v>2970</v>
      </c>
      <c r="E65" s="204"/>
      <c r="F65" s="844"/>
      <c r="G65" s="697"/>
      <c r="H65" s="782"/>
    </row>
    <row r="66" spans="1:8" x14ac:dyDescent="0.2">
      <c r="A66" s="695">
        <v>7</v>
      </c>
      <c r="B66" s="698"/>
      <c r="C66" s="119" t="s">
        <v>177</v>
      </c>
      <c r="D66" s="792" t="s">
        <v>3307</v>
      </c>
      <c r="E66" s="108">
        <v>2</v>
      </c>
      <c r="F66" s="70">
        <v>978.8</v>
      </c>
      <c r="G66" s="697">
        <f t="shared" si="1"/>
        <v>1957.6</v>
      </c>
      <c r="H66" s="840"/>
    </row>
    <row r="67" spans="1:8" x14ac:dyDescent="0.2">
      <c r="A67" s="695"/>
      <c r="B67" s="776"/>
      <c r="C67" s="777"/>
      <c r="D67" s="792" t="s">
        <v>3308</v>
      </c>
      <c r="E67" s="779"/>
      <c r="F67" s="805"/>
      <c r="G67" s="697"/>
      <c r="H67" s="840"/>
    </row>
    <row r="68" spans="1:8" x14ac:dyDescent="0.2">
      <c r="A68" s="695">
        <v>8</v>
      </c>
      <c r="B68" s="776"/>
      <c r="C68" s="777" t="s">
        <v>177</v>
      </c>
      <c r="D68" s="792" t="s">
        <v>3309</v>
      </c>
      <c r="E68" s="779">
        <v>2</v>
      </c>
      <c r="F68" s="805">
        <v>350</v>
      </c>
      <c r="G68" s="697">
        <f t="shared" si="1"/>
        <v>700</v>
      </c>
      <c r="H68" s="840"/>
    </row>
    <row r="69" spans="1:8" x14ac:dyDescent="0.2">
      <c r="A69" s="695"/>
      <c r="B69" s="776"/>
      <c r="C69" s="777"/>
      <c r="D69" s="792" t="s">
        <v>3308</v>
      </c>
      <c r="E69" s="779"/>
      <c r="F69" s="805"/>
      <c r="G69" s="697"/>
      <c r="H69" s="840"/>
    </row>
    <row r="70" spans="1:8" x14ac:dyDescent="0.2">
      <c r="A70" s="695">
        <v>9</v>
      </c>
      <c r="B70" s="105"/>
      <c r="C70" s="119" t="s">
        <v>177</v>
      </c>
      <c r="D70" s="376" t="s">
        <v>3238</v>
      </c>
      <c r="E70" s="108">
        <v>2</v>
      </c>
      <c r="F70" s="70">
        <v>250</v>
      </c>
      <c r="G70" s="697">
        <f t="shared" si="1"/>
        <v>500</v>
      </c>
      <c r="H70" s="840"/>
    </row>
    <row r="71" spans="1:8" x14ac:dyDescent="0.2">
      <c r="A71" s="695">
        <v>10</v>
      </c>
      <c r="B71" s="786"/>
      <c r="C71" s="777" t="s">
        <v>366</v>
      </c>
      <c r="D71" s="787" t="s">
        <v>3239</v>
      </c>
      <c r="E71" s="779">
        <v>5</v>
      </c>
      <c r="F71" s="805">
        <v>270</v>
      </c>
      <c r="G71" s="697">
        <f t="shared" si="1"/>
        <v>1350</v>
      </c>
      <c r="H71" s="840"/>
    </row>
    <row r="72" spans="1:8" x14ac:dyDescent="0.2">
      <c r="A72" s="695">
        <v>11</v>
      </c>
      <c r="B72" s="786"/>
      <c r="C72" s="777" t="s">
        <v>177</v>
      </c>
      <c r="D72" s="820" t="s">
        <v>2821</v>
      </c>
      <c r="E72" s="779">
        <v>50</v>
      </c>
      <c r="F72" s="805">
        <v>150</v>
      </c>
      <c r="G72" s="697">
        <f t="shared" si="1"/>
        <v>7500</v>
      </c>
      <c r="H72" s="840"/>
    </row>
    <row r="73" spans="1:8" x14ac:dyDescent="0.2">
      <c r="A73" s="695">
        <v>12</v>
      </c>
      <c r="B73" s="105"/>
      <c r="C73" s="119" t="s">
        <v>177</v>
      </c>
      <c r="D73" s="376" t="s">
        <v>2928</v>
      </c>
      <c r="E73" s="108">
        <v>50</v>
      </c>
      <c r="F73" s="70">
        <v>120</v>
      </c>
      <c r="G73" s="697">
        <f t="shared" si="1"/>
        <v>6000</v>
      </c>
      <c r="H73" s="840"/>
    </row>
    <row r="74" spans="1:8" x14ac:dyDescent="0.2">
      <c r="A74" s="695">
        <v>13</v>
      </c>
      <c r="B74" s="105"/>
      <c r="C74" s="119" t="s">
        <v>177</v>
      </c>
      <c r="D74" s="376" t="s">
        <v>3240</v>
      </c>
      <c r="E74" s="108">
        <v>5</v>
      </c>
      <c r="F74" s="264">
        <v>250</v>
      </c>
      <c r="G74" s="697">
        <f t="shared" si="1"/>
        <v>1250</v>
      </c>
      <c r="H74" s="781"/>
    </row>
    <row r="75" spans="1:8" x14ac:dyDescent="0.2">
      <c r="A75" s="695">
        <v>14</v>
      </c>
      <c r="B75" s="105"/>
      <c r="C75" s="119" t="s">
        <v>177</v>
      </c>
      <c r="D75" s="144" t="s">
        <v>2929</v>
      </c>
      <c r="E75" s="108">
        <v>10</v>
      </c>
      <c r="F75" s="264">
        <v>290</v>
      </c>
      <c r="G75" s="697">
        <f t="shared" si="1"/>
        <v>2900</v>
      </c>
    </row>
    <row r="76" spans="1:8" x14ac:dyDescent="0.2">
      <c r="A76" s="695">
        <v>15</v>
      </c>
      <c r="B76" s="106"/>
      <c r="C76" s="119" t="s">
        <v>185</v>
      </c>
      <c r="D76" s="376" t="s">
        <v>3241</v>
      </c>
      <c r="E76" s="131">
        <v>25</v>
      </c>
      <c r="F76" s="70">
        <v>32</v>
      </c>
      <c r="G76" s="697">
        <f t="shared" si="1"/>
        <v>800</v>
      </c>
    </row>
    <row r="77" spans="1:8" x14ac:dyDescent="0.2">
      <c r="A77" s="695">
        <v>16</v>
      </c>
      <c r="B77" s="105"/>
      <c r="C77" s="119" t="s">
        <v>185</v>
      </c>
      <c r="D77" s="376" t="s">
        <v>3310</v>
      </c>
      <c r="E77" s="205">
        <v>25</v>
      </c>
      <c r="F77" s="265">
        <v>36</v>
      </c>
      <c r="G77" s="697">
        <f t="shared" si="1"/>
        <v>900</v>
      </c>
    </row>
    <row r="78" spans="1:8" x14ac:dyDescent="0.2">
      <c r="A78" s="695"/>
      <c r="B78" s="786"/>
      <c r="C78" s="777"/>
      <c r="D78" s="820" t="s">
        <v>2972</v>
      </c>
      <c r="E78" s="845"/>
      <c r="F78" s="807"/>
      <c r="G78" s="697"/>
    </row>
    <row r="79" spans="1:8" x14ac:dyDescent="0.2">
      <c r="A79" s="695">
        <v>17</v>
      </c>
      <c r="B79" s="700"/>
      <c r="C79" s="119" t="s">
        <v>185</v>
      </c>
      <c r="D79" s="376" t="s">
        <v>2971</v>
      </c>
      <c r="E79" s="108">
        <v>50</v>
      </c>
      <c r="F79" s="70">
        <v>45</v>
      </c>
      <c r="G79" s="697">
        <f t="shared" si="1"/>
        <v>2250</v>
      </c>
    </row>
    <row r="80" spans="1:8" x14ac:dyDescent="0.2">
      <c r="A80" s="695"/>
      <c r="B80" s="806"/>
      <c r="C80" s="777"/>
      <c r="D80" s="820" t="s">
        <v>2972</v>
      </c>
      <c r="E80" s="779"/>
      <c r="F80" s="805"/>
      <c r="G80" s="697"/>
    </row>
    <row r="81" spans="1:8" x14ac:dyDescent="0.2">
      <c r="A81" s="695">
        <v>18</v>
      </c>
      <c r="B81" s="700"/>
      <c r="C81" s="119" t="s">
        <v>177</v>
      </c>
      <c r="D81" s="136" t="s">
        <v>3242</v>
      </c>
      <c r="E81" s="108">
        <v>5</v>
      </c>
      <c r="F81" s="70">
        <v>350</v>
      </c>
      <c r="G81" s="697">
        <f t="shared" si="1"/>
        <v>1750</v>
      </c>
    </row>
    <row r="82" spans="1:8" x14ac:dyDescent="0.2">
      <c r="A82" s="695">
        <v>19</v>
      </c>
      <c r="B82" s="698"/>
      <c r="C82" s="135" t="s">
        <v>177</v>
      </c>
      <c r="D82" s="259" t="s">
        <v>3243</v>
      </c>
      <c r="E82" s="244">
        <v>25</v>
      </c>
      <c r="F82" s="70">
        <v>229</v>
      </c>
      <c r="G82" s="697">
        <f t="shared" si="1"/>
        <v>5725</v>
      </c>
    </row>
    <row r="83" spans="1:8" x14ac:dyDescent="0.2">
      <c r="A83" s="695">
        <v>20</v>
      </c>
      <c r="B83" s="105"/>
      <c r="C83" s="119" t="s">
        <v>177</v>
      </c>
      <c r="D83" s="136" t="s">
        <v>3244</v>
      </c>
      <c r="E83" s="131">
        <v>10</v>
      </c>
      <c r="F83" s="701">
        <v>320</v>
      </c>
      <c r="G83" s="697">
        <f t="shared" si="1"/>
        <v>3200</v>
      </c>
    </row>
    <row r="84" spans="1:8" x14ac:dyDescent="0.2">
      <c r="A84" s="695">
        <v>21</v>
      </c>
      <c r="B84" s="105"/>
      <c r="C84" s="119" t="s">
        <v>177</v>
      </c>
      <c r="D84" s="136" t="s">
        <v>3245</v>
      </c>
      <c r="E84" s="131">
        <v>10</v>
      </c>
      <c r="F84" s="701">
        <v>245</v>
      </c>
      <c r="G84" s="697">
        <f t="shared" si="1"/>
        <v>2450</v>
      </c>
    </row>
    <row r="85" spans="1:8" x14ac:dyDescent="0.2">
      <c r="A85" s="695">
        <v>22</v>
      </c>
      <c r="B85" s="698"/>
      <c r="C85" s="119" t="s">
        <v>185</v>
      </c>
      <c r="D85" s="136" t="s">
        <v>2930</v>
      </c>
      <c r="E85" s="131">
        <v>50</v>
      </c>
      <c r="F85" s="701">
        <v>28</v>
      </c>
      <c r="G85" s="697">
        <f t="shared" si="1"/>
        <v>1400</v>
      </c>
    </row>
    <row r="86" spans="1:8" x14ac:dyDescent="0.2">
      <c r="A86" s="695">
        <v>23</v>
      </c>
      <c r="B86" s="698"/>
      <c r="C86" s="119" t="s">
        <v>185</v>
      </c>
      <c r="D86" s="136" t="s">
        <v>2931</v>
      </c>
      <c r="E86" s="131">
        <v>50</v>
      </c>
      <c r="F86" s="701">
        <v>38</v>
      </c>
      <c r="G86" s="697">
        <f t="shared" si="1"/>
        <v>1900</v>
      </c>
    </row>
    <row r="87" spans="1:8" x14ac:dyDescent="0.2">
      <c r="A87" s="695">
        <v>24</v>
      </c>
      <c r="B87" s="698"/>
      <c r="C87" s="119" t="s">
        <v>185</v>
      </c>
      <c r="D87" s="136" t="s">
        <v>2932</v>
      </c>
      <c r="E87" s="131">
        <v>25</v>
      </c>
      <c r="F87" s="701">
        <v>24</v>
      </c>
      <c r="G87" s="697">
        <f t="shared" si="1"/>
        <v>600</v>
      </c>
    </row>
    <row r="88" spans="1:8" x14ac:dyDescent="0.2">
      <c r="A88" s="695">
        <v>25</v>
      </c>
      <c r="B88" s="698"/>
      <c r="C88" s="119" t="s">
        <v>177</v>
      </c>
      <c r="D88" s="136" t="s">
        <v>2823</v>
      </c>
      <c r="E88" s="131">
        <v>5</v>
      </c>
      <c r="F88" s="701">
        <v>220</v>
      </c>
      <c r="G88" s="697">
        <f t="shared" si="1"/>
        <v>1100</v>
      </c>
    </row>
    <row r="89" spans="1:8" x14ac:dyDescent="0.2">
      <c r="A89" s="695">
        <v>26</v>
      </c>
      <c r="B89" s="698"/>
      <c r="C89" s="119" t="s">
        <v>177</v>
      </c>
      <c r="D89" s="136" t="s">
        <v>2822</v>
      </c>
      <c r="E89" s="131">
        <v>25</v>
      </c>
      <c r="F89" s="701">
        <v>120</v>
      </c>
      <c r="G89" s="697">
        <f t="shared" si="1"/>
        <v>3000</v>
      </c>
    </row>
    <row r="90" spans="1:8" x14ac:dyDescent="0.2">
      <c r="A90" s="695">
        <v>27</v>
      </c>
      <c r="B90" s="698"/>
      <c r="C90" s="119" t="s">
        <v>187</v>
      </c>
      <c r="D90" s="144" t="s">
        <v>3246</v>
      </c>
      <c r="E90" s="131">
        <v>45</v>
      </c>
      <c r="F90" s="701">
        <v>5.97</v>
      </c>
      <c r="G90" s="697">
        <f t="shared" si="1"/>
        <v>268.64999999999998</v>
      </c>
      <c r="H90" s="131">
        <v>54</v>
      </c>
    </row>
    <row r="91" spans="1:8" x14ac:dyDescent="0.2">
      <c r="A91" s="695">
        <v>28</v>
      </c>
      <c r="B91" s="698"/>
      <c r="C91" s="119" t="s">
        <v>187</v>
      </c>
      <c r="D91" s="144" t="s">
        <v>3247</v>
      </c>
      <c r="E91" s="108">
        <v>4</v>
      </c>
      <c r="F91" s="70">
        <v>9.57</v>
      </c>
      <c r="G91" s="697">
        <f t="shared" si="1"/>
        <v>38.28</v>
      </c>
    </row>
    <row r="92" spans="1:8" ht="13.5" thickBot="1" x14ac:dyDescent="0.25">
      <c r="A92" s="702"/>
      <c r="B92" s="703"/>
      <c r="C92" s="704"/>
      <c r="D92" s="704"/>
      <c r="E92" s="703"/>
      <c r="F92" s="705" t="s">
        <v>158</v>
      </c>
      <c r="G92" s="706">
        <f>SUM(G59:G91)</f>
        <v>57534.53</v>
      </c>
    </row>
    <row r="93" spans="1:8" ht="13.5" thickTop="1" x14ac:dyDescent="0.2">
      <c r="A93" s="1030" t="s">
        <v>280</v>
      </c>
      <c r="B93" s="1019"/>
      <c r="C93" s="1019"/>
      <c r="D93" s="1019"/>
      <c r="E93" s="1019"/>
      <c r="F93" s="1019"/>
      <c r="G93" s="1020"/>
    </row>
    <row r="94" spans="1:8" ht="13.5" thickBot="1" x14ac:dyDescent="0.25">
      <c r="A94" s="707"/>
      <c r="B94" s="708"/>
      <c r="C94" s="708"/>
      <c r="D94" s="709"/>
      <c r="E94" s="708"/>
      <c r="F94" s="198"/>
      <c r="G94" s="199"/>
    </row>
    <row r="95" spans="1:8" ht="13.5" thickTop="1" x14ac:dyDescent="0.2">
      <c r="A95" s="1023"/>
      <c r="B95" s="1024"/>
      <c r="C95" s="1024"/>
      <c r="D95" s="344" t="s">
        <v>11</v>
      </c>
      <c r="E95" s="1025" t="s">
        <v>12</v>
      </c>
      <c r="F95" s="1025"/>
      <c r="G95" s="1026"/>
    </row>
    <row r="96" spans="1:8" ht="27.75" customHeight="1" x14ac:dyDescent="0.2">
      <c r="A96" s="1010" t="s">
        <v>17</v>
      </c>
      <c r="B96" s="1011"/>
      <c r="C96" s="1011"/>
      <c r="D96" s="121"/>
      <c r="E96" s="1027"/>
      <c r="F96" s="1028"/>
      <c r="G96" s="1029"/>
    </row>
    <row r="97" spans="1:8" x14ac:dyDescent="0.2">
      <c r="A97" s="1010" t="s">
        <v>38</v>
      </c>
      <c r="B97" s="1011"/>
      <c r="C97" s="1011"/>
      <c r="D97" s="710" t="s">
        <v>147</v>
      </c>
      <c r="E97" s="1012" t="s">
        <v>142</v>
      </c>
      <c r="F97" s="1012"/>
      <c r="G97" s="1013"/>
    </row>
    <row r="98" spans="1:8" ht="13.5" thickBot="1" x14ac:dyDescent="0.25">
      <c r="A98" s="1014" t="s">
        <v>39</v>
      </c>
      <c r="B98" s="1015"/>
      <c r="C98" s="1015"/>
      <c r="D98" s="125" t="s">
        <v>148</v>
      </c>
      <c r="E98" s="1016" t="s">
        <v>0</v>
      </c>
      <c r="F98" s="1017"/>
      <c r="G98" s="1018"/>
    </row>
    <row r="99" spans="1:8" ht="16.5" x14ac:dyDescent="0.2">
      <c r="A99" s="997" t="s">
        <v>29</v>
      </c>
      <c r="B99" s="998"/>
      <c r="C99" s="998"/>
      <c r="D99" s="998"/>
      <c r="E99" s="998"/>
      <c r="F99" s="998"/>
      <c r="G99" s="999"/>
      <c r="H99" s="713">
        <v>3</v>
      </c>
    </row>
    <row r="100" spans="1:8" x14ac:dyDescent="0.2">
      <c r="A100" s="1000" t="s">
        <v>48</v>
      </c>
      <c r="B100" s="1001"/>
      <c r="C100" s="1001"/>
      <c r="D100" s="1001"/>
      <c r="E100" s="1001"/>
      <c r="F100" s="1001"/>
      <c r="G100" s="1002"/>
      <c r="H100" s="819"/>
    </row>
    <row r="101" spans="1:8" x14ac:dyDescent="0.2">
      <c r="A101" s="1003" t="s">
        <v>49</v>
      </c>
      <c r="B101" s="1004"/>
      <c r="C101" s="1004"/>
      <c r="D101" s="1004"/>
      <c r="E101" s="1004"/>
      <c r="F101" s="1004"/>
      <c r="G101" s="1005"/>
      <c r="H101" s="819"/>
    </row>
    <row r="102" spans="1:8" x14ac:dyDescent="0.2">
      <c r="A102" s="674"/>
      <c r="B102" s="675"/>
      <c r="C102" s="676"/>
      <c r="D102" s="677"/>
      <c r="E102" s="675"/>
      <c r="F102" s="678"/>
      <c r="G102" s="737" t="s">
        <v>3373</v>
      </c>
    </row>
    <row r="103" spans="1:8" x14ac:dyDescent="0.2">
      <c r="A103" s="680" t="s">
        <v>1</v>
      </c>
      <c r="B103" s="681"/>
      <c r="C103" s="682" t="s">
        <v>7</v>
      </c>
      <c r="D103" s="681"/>
      <c r="E103" s="683" t="s">
        <v>3576</v>
      </c>
      <c r="F103" s="684"/>
      <c r="G103" s="685" t="s">
        <v>3575</v>
      </c>
    </row>
    <row r="104" spans="1:8" x14ac:dyDescent="0.2">
      <c r="A104" s="686" t="s">
        <v>8</v>
      </c>
      <c r="B104" s="687"/>
      <c r="C104" s="688"/>
      <c r="D104" s="673"/>
      <c r="E104" s="1006"/>
      <c r="F104" s="1007"/>
      <c r="G104" s="689"/>
    </row>
    <row r="105" spans="1:8" x14ac:dyDescent="0.2">
      <c r="A105" s="690" t="s">
        <v>37</v>
      </c>
      <c r="B105" s="261"/>
      <c r="C105" s="261"/>
      <c r="D105" s="261"/>
      <c r="E105" s="691" t="s">
        <v>46</v>
      </c>
      <c r="F105" s="692"/>
      <c r="G105" s="689" t="s">
        <v>50</v>
      </c>
    </row>
    <row r="106" spans="1:8" x14ac:dyDescent="0.2">
      <c r="A106" s="674"/>
      <c r="B106" s="675"/>
      <c r="C106" s="676"/>
      <c r="D106" s="676"/>
      <c r="E106" s="1008"/>
      <c r="F106" s="1009"/>
      <c r="G106" s="693"/>
    </row>
    <row r="107" spans="1:8" ht="26.25" customHeight="1" thickBot="1" x14ac:dyDescent="0.25">
      <c r="A107" s="694" t="s">
        <v>47</v>
      </c>
      <c r="B107" s="110" t="s">
        <v>23</v>
      </c>
      <c r="C107" s="110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8" ht="12.75" customHeight="1" thickTop="1" x14ac:dyDescent="0.2">
      <c r="A108" s="825"/>
      <c r="B108" s="826"/>
      <c r="C108" s="826"/>
      <c r="D108" s="826" t="s">
        <v>160</v>
      </c>
      <c r="E108" s="562"/>
      <c r="F108" s="563"/>
      <c r="G108" s="849">
        <f>G92</f>
        <v>57534.53</v>
      </c>
    </row>
    <row r="109" spans="1:8" x14ac:dyDescent="0.2">
      <c r="A109" s="695">
        <v>29</v>
      </c>
      <c r="B109" s="698"/>
      <c r="C109" s="119" t="s">
        <v>177</v>
      </c>
      <c r="D109" s="136" t="s">
        <v>3248</v>
      </c>
      <c r="E109" s="108">
        <v>2</v>
      </c>
      <c r="F109" s="70">
        <v>395</v>
      </c>
      <c r="G109" s="697">
        <f>F109*E109</f>
        <v>790</v>
      </c>
    </row>
    <row r="110" spans="1:8" x14ac:dyDescent="0.2">
      <c r="A110" s="695">
        <v>30</v>
      </c>
      <c r="B110" s="698"/>
      <c r="C110" s="119" t="s">
        <v>177</v>
      </c>
      <c r="D110" s="136" t="s">
        <v>2933</v>
      </c>
      <c r="E110" s="108">
        <v>10</v>
      </c>
      <c r="F110" s="70">
        <v>425</v>
      </c>
      <c r="G110" s="697">
        <f t="shared" ref="G110:G140" si="2">F110*E110</f>
        <v>4250</v>
      </c>
    </row>
    <row r="111" spans="1:8" x14ac:dyDescent="0.2">
      <c r="A111" s="695">
        <v>31</v>
      </c>
      <c r="B111" s="698"/>
      <c r="C111" s="119" t="s">
        <v>177</v>
      </c>
      <c r="D111" s="136" t="s">
        <v>2934</v>
      </c>
      <c r="E111" s="108">
        <v>10</v>
      </c>
      <c r="F111" s="70">
        <v>795</v>
      </c>
      <c r="G111" s="697">
        <f t="shared" si="2"/>
        <v>7950</v>
      </c>
    </row>
    <row r="112" spans="1:8" x14ac:dyDescent="0.2">
      <c r="A112" s="695">
        <v>32</v>
      </c>
      <c r="B112" s="698"/>
      <c r="C112" s="119" t="s">
        <v>177</v>
      </c>
      <c r="D112" s="136" t="s">
        <v>3249</v>
      </c>
      <c r="E112" s="108">
        <v>2</v>
      </c>
      <c r="F112" s="70">
        <v>1150</v>
      </c>
      <c r="G112" s="697">
        <f t="shared" si="2"/>
        <v>2300</v>
      </c>
    </row>
    <row r="113" spans="1:14" x14ac:dyDescent="0.2">
      <c r="A113" s="695">
        <v>33</v>
      </c>
      <c r="B113" s="698"/>
      <c r="C113" s="119" t="s">
        <v>177</v>
      </c>
      <c r="D113" s="376" t="s">
        <v>3250</v>
      </c>
      <c r="E113" s="108">
        <v>5</v>
      </c>
      <c r="F113" s="70">
        <v>220</v>
      </c>
      <c r="G113" s="697">
        <f t="shared" si="2"/>
        <v>1100</v>
      </c>
    </row>
    <row r="114" spans="1:14" x14ac:dyDescent="0.2">
      <c r="A114" s="695">
        <v>34</v>
      </c>
      <c r="B114" s="698"/>
      <c r="C114" s="119" t="s">
        <v>177</v>
      </c>
      <c r="D114" s="136" t="s">
        <v>2824</v>
      </c>
      <c r="E114" s="131">
        <v>50</v>
      </c>
      <c r="F114" s="701">
        <v>108</v>
      </c>
      <c r="G114" s="697">
        <f t="shared" si="2"/>
        <v>5400</v>
      </c>
    </row>
    <row r="115" spans="1:14" x14ac:dyDescent="0.2">
      <c r="A115" s="695">
        <v>35</v>
      </c>
      <c r="B115" s="696"/>
      <c r="C115" s="344" t="s">
        <v>177</v>
      </c>
      <c r="D115" s="822" t="s">
        <v>3311</v>
      </c>
      <c r="E115" s="823">
        <v>25</v>
      </c>
      <c r="F115" s="824">
        <v>210</v>
      </c>
      <c r="G115" s="697">
        <f t="shared" si="2"/>
        <v>5250</v>
      </c>
      <c r="H115" s="782"/>
      <c r="I115" s="720"/>
    </row>
    <row r="116" spans="1:14" x14ac:dyDescent="0.2">
      <c r="A116" s="695"/>
      <c r="B116" s="696"/>
      <c r="C116" s="344"/>
      <c r="D116" s="822" t="s">
        <v>3312</v>
      </c>
      <c r="E116" s="823"/>
      <c r="F116" s="824"/>
      <c r="G116" s="697"/>
      <c r="H116" s="782"/>
      <c r="I116" s="720"/>
    </row>
    <row r="117" spans="1:14" x14ac:dyDescent="0.2">
      <c r="A117" s="695">
        <v>36</v>
      </c>
      <c r="B117" s="776"/>
      <c r="C117" s="777" t="s">
        <v>177</v>
      </c>
      <c r="D117" s="787" t="s">
        <v>2975</v>
      </c>
      <c r="E117" s="667">
        <v>1</v>
      </c>
      <c r="F117" s="780">
        <v>970</v>
      </c>
      <c r="G117" s="697">
        <f t="shared" si="2"/>
        <v>970</v>
      </c>
      <c r="H117" s="782"/>
    </row>
    <row r="118" spans="1:14" x14ac:dyDescent="0.2">
      <c r="A118" s="695"/>
      <c r="B118" s="776"/>
      <c r="C118" s="777"/>
      <c r="D118" s="820" t="s">
        <v>2976</v>
      </c>
      <c r="E118" s="667"/>
      <c r="F118" s="780"/>
      <c r="G118" s="697"/>
      <c r="H118" s="782"/>
    </row>
    <row r="119" spans="1:14" x14ac:dyDescent="0.2">
      <c r="A119" s="695">
        <v>37</v>
      </c>
      <c r="B119" s="698"/>
      <c r="C119" s="119" t="s">
        <v>375</v>
      </c>
      <c r="D119" s="370" t="s">
        <v>2978</v>
      </c>
      <c r="E119" s="158">
        <v>6</v>
      </c>
      <c r="F119" s="163">
        <v>1090</v>
      </c>
      <c r="G119" s="697">
        <f t="shared" si="2"/>
        <v>6540</v>
      </c>
      <c r="H119" s="782"/>
    </row>
    <row r="120" spans="1:14" x14ac:dyDescent="0.2">
      <c r="A120" s="695"/>
      <c r="B120" s="776"/>
      <c r="C120" s="714"/>
      <c r="D120" s="666" t="s">
        <v>2979</v>
      </c>
      <c r="E120" s="204"/>
      <c r="F120" s="780"/>
      <c r="G120" s="697"/>
      <c r="H120" s="782"/>
    </row>
    <row r="121" spans="1:14" x14ac:dyDescent="0.2">
      <c r="A121" s="695">
        <v>38</v>
      </c>
      <c r="B121" s="698"/>
      <c r="C121" s="714" t="s">
        <v>153</v>
      </c>
      <c r="D121" s="259" t="s">
        <v>3251</v>
      </c>
      <c r="E121" s="204">
        <v>1</v>
      </c>
      <c r="F121" s="149">
        <v>250</v>
      </c>
      <c r="G121" s="697">
        <f t="shared" si="2"/>
        <v>250</v>
      </c>
      <c r="H121" s="782"/>
    </row>
    <row r="122" spans="1:14" x14ac:dyDescent="0.2">
      <c r="A122" s="695">
        <v>39</v>
      </c>
      <c r="B122" s="776"/>
      <c r="C122" s="714" t="s">
        <v>153</v>
      </c>
      <c r="D122" s="821" t="s">
        <v>3252</v>
      </c>
      <c r="E122" s="204">
        <v>1</v>
      </c>
      <c r="F122" s="816">
        <v>567.5</v>
      </c>
      <c r="G122" s="697">
        <f t="shared" si="2"/>
        <v>567.5</v>
      </c>
      <c r="H122" s="782"/>
    </row>
    <row r="123" spans="1:14" x14ac:dyDescent="0.2">
      <c r="A123" s="695">
        <v>40</v>
      </c>
      <c r="B123" s="698"/>
      <c r="C123" s="119" t="s">
        <v>177</v>
      </c>
      <c r="D123" s="792" t="s">
        <v>444</v>
      </c>
      <c r="E123" s="108">
        <v>2</v>
      </c>
      <c r="F123" s="163">
        <v>575</v>
      </c>
      <c r="G123" s="697">
        <f t="shared" si="2"/>
        <v>1150</v>
      </c>
      <c r="H123" s="840"/>
      <c r="K123" s="250">
        <v>42</v>
      </c>
    </row>
    <row r="124" spans="1:14" x14ac:dyDescent="0.2">
      <c r="A124" s="695"/>
      <c r="B124" s="776"/>
      <c r="C124" s="777"/>
      <c r="D124" s="792" t="s">
        <v>2918</v>
      </c>
      <c r="E124" s="779"/>
      <c r="F124" s="780"/>
      <c r="G124" s="697"/>
      <c r="H124" s="840"/>
    </row>
    <row r="125" spans="1:14" x14ac:dyDescent="0.2">
      <c r="A125" s="695">
        <v>41</v>
      </c>
      <c r="B125" s="776"/>
      <c r="C125" s="777" t="s">
        <v>177</v>
      </c>
      <c r="D125" s="792" t="s">
        <v>2825</v>
      </c>
      <c r="E125" s="779">
        <v>5</v>
      </c>
      <c r="F125" s="780">
        <v>1617</v>
      </c>
      <c r="G125" s="697">
        <f t="shared" si="2"/>
        <v>8085</v>
      </c>
      <c r="H125" s="840"/>
    </row>
    <row r="126" spans="1:14" x14ac:dyDescent="0.2">
      <c r="A126" s="695">
        <v>42</v>
      </c>
      <c r="B126" s="786"/>
      <c r="C126" s="777" t="s">
        <v>177</v>
      </c>
      <c r="D126" s="787" t="s">
        <v>3254</v>
      </c>
      <c r="E126" s="779">
        <v>5</v>
      </c>
      <c r="F126" s="780">
        <v>148.5</v>
      </c>
      <c r="G126" s="697">
        <f t="shared" si="2"/>
        <v>742.5</v>
      </c>
      <c r="H126" s="840"/>
      <c r="J126" s="119" t="s">
        <v>153</v>
      </c>
      <c r="K126" s="376" t="s">
        <v>3253</v>
      </c>
      <c r="L126" s="108">
        <v>25</v>
      </c>
      <c r="M126" s="163">
        <v>58.75</v>
      </c>
      <c r="N126" s="250">
        <v>0</v>
      </c>
    </row>
    <row r="127" spans="1:14" x14ac:dyDescent="0.2">
      <c r="A127" s="695">
        <v>43</v>
      </c>
      <c r="B127" s="105"/>
      <c r="C127" s="119" t="s">
        <v>185</v>
      </c>
      <c r="D127" s="376" t="s">
        <v>3256</v>
      </c>
      <c r="E127" s="108">
        <v>25</v>
      </c>
      <c r="F127" s="163">
        <v>27</v>
      </c>
      <c r="G127" s="697">
        <f t="shared" si="2"/>
        <v>675</v>
      </c>
      <c r="H127" s="840"/>
      <c r="J127" s="777" t="s">
        <v>177</v>
      </c>
      <c r="K127" s="820" t="s">
        <v>3255</v>
      </c>
      <c r="L127" s="779">
        <v>5</v>
      </c>
      <c r="M127" s="780">
        <v>985</v>
      </c>
      <c r="N127" s="250">
        <v>0</v>
      </c>
    </row>
    <row r="128" spans="1:14" x14ac:dyDescent="0.2">
      <c r="A128" s="695">
        <v>44</v>
      </c>
      <c r="B128" s="105"/>
      <c r="C128" s="119" t="s">
        <v>185</v>
      </c>
      <c r="D128" s="376" t="s">
        <v>3257</v>
      </c>
      <c r="E128" s="108">
        <v>25</v>
      </c>
      <c r="F128" s="150">
        <v>55</v>
      </c>
      <c r="G128" s="697">
        <f t="shared" si="2"/>
        <v>1375</v>
      </c>
      <c r="H128" s="781"/>
    </row>
    <row r="129" spans="1:14" x14ac:dyDescent="0.2">
      <c r="A129" s="695">
        <v>45</v>
      </c>
      <c r="B129" s="105"/>
      <c r="C129" s="119" t="s">
        <v>185</v>
      </c>
      <c r="D129" s="144" t="s">
        <v>3258</v>
      </c>
      <c r="E129" s="108">
        <v>50</v>
      </c>
      <c r="F129" s="150">
        <v>75</v>
      </c>
      <c r="G129" s="697">
        <f t="shared" si="2"/>
        <v>3750</v>
      </c>
      <c r="J129" s="119" t="s">
        <v>185</v>
      </c>
      <c r="K129" s="376" t="s">
        <v>3314</v>
      </c>
      <c r="L129" s="131">
        <v>10</v>
      </c>
      <c r="M129" s="717">
        <v>129</v>
      </c>
      <c r="N129" s="250">
        <v>0</v>
      </c>
    </row>
    <row r="130" spans="1:14" x14ac:dyDescent="0.2">
      <c r="A130" s="695">
        <v>46</v>
      </c>
      <c r="B130" s="106"/>
      <c r="C130" s="119" t="s">
        <v>177</v>
      </c>
      <c r="D130" s="136" t="s">
        <v>2939</v>
      </c>
      <c r="E130" s="131">
        <v>25</v>
      </c>
      <c r="F130" s="163">
        <v>650</v>
      </c>
      <c r="G130" s="697">
        <f t="shared" si="2"/>
        <v>16250</v>
      </c>
      <c r="J130" s="777"/>
      <c r="K130" s="820" t="s">
        <v>3315</v>
      </c>
      <c r="L130" s="808"/>
      <c r="M130" s="814"/>
    </row>
    <row r="131" spans="1:14" x14ac:dyDescent="0.2">
      <c r="A131" s="695">
        <v>47</v>
      </c>
      <c r="B131" s="105"/>
      <c r="C131" s="119" t="s">
        <v>375</v>
      </c>
      <c r="D131" s="136" t="s">
        <v>3259</v>
      </c>
      <c r="E131" s="205">
        <v>7</v>
      </c>
      <c r="F131" s="152">
        <v>125</v>
      </c>
      <c r="G131" s="697">
        <f t="shared" si="2"/>
        <v>875</v>
      </c>
      <c r="H131" s="205">
        <v>25</v>
      </c>
    </row>
    <row r="132" spans="1:14" x14ac:dyDescent="0.2">
      <c r="A132" s="695">
        <v>48</v>
      </c>
      <c r="B132" s="700"/>
      <c r="C132" s="119" t="s">
        <v>177</v>
      </c>
      <c r="D132" s="136" t="s">
        <v>3260</v>
      </c>
      <c r="E132" s="108">
        <v>25</v>
      </c>
      <c r="F132" s="163">
        <v>575</v>
      </c>
      <c r="G132" s="697">
        <f t="shared" si="2"/>
        <v>14375</v>
      </c>
      <c r="J132" s="119" t="s">
        <v>177</v>
      </c>
      <c r="K132" s="136" t="s">
        <v>3262</v>
      </c>
      <c r="L132" s="131">
        <v>10</v>
      </c>
      <c r="M132" s="717">
        <v>300</v>
      </c>
    </row>
    <row r="133" spans="1:14" x14ac:dyDescent="0.2">
      <c r="A133" s="695">
        <v>49</v>
      </c>
      <c r="B133" s="700"/>
      <c r="C133" s="119" t="s">
        <v>177</v>
      </c>
      <c r="D133" s="376" t="s">
        <v>2857</v>
      </c>
      <c r="E133" s="108">
        <v>100</v>
      </c>
      <c r="F133" s="163">
        <v>1480</v>
      </c>
      <c r="G133" s="697">
        <f t="shared" si="2"/>
        <v>148000</v>
      </c>
    </row>
    <row r="134" spans="1:14" x14ac:dyDescent="0.2">
      <c r="A134" s="695"/>
      <c r="B134" s="806"/>
      <c r="C134" s="777"/>
      <c r="D134" s="820" t="s">
        <v>3313</v>
      </c>
      <c r="E134" s="779"/>
      <c r="F134" s="780"/>
      <c r="G134" s="697"/>
    </row>
    <row r="135" spans="1:14" x14ac:dyDescent="0.2">
      <c r="A135" s="695">
        <v>50</v>
      </c>
      <c r="B135" s="698"/>
      <c r="C135" s="135" t="s">
        <v>375</v>
      </c>
      <c r="D135" s="259" t="s">
        <v>3261</v>
      </c>
      <c r="E135" s="244">
        <v>500</v>
      </c>
      <c r="F135" s="163">
        <v>75</v>
      </c>
      <c r="G135" s="697">
        <f t="shared" si="2"/>
        <v>37500</v>
      </c>
    </row>
    <row r="136" spans="1:14" x14ac:dyDescent="0.2">
      <c r="A136" s="695">
        <v>51</v>
      </c>
      <c r="B136" s="105"/>
      <c r="C136" s="119" t="s">
        <v>177</v>
      </c>
      <c r="D136" s="136" t="s">
        <v>2827</v>
      </c>
      <c r="E136" s="131">
        <v>50</v>
      </c>
      <c r="F136" s="717">
        <v>140</v>
      </c>
      <c r="G136" s="697">
        <f t="shared" si="2"/>
        <v>7000</v>
      </c>
    </row>
    <row r="137" spans="1:14" x14ac:dyDescent="0.2">
      <c r="A137" s="695">
        <v>52</v>
      </c>
      <c r="B137" s="698"/>
      <c r="C137" s="119" t="s">
        <v>185</v>
      </c>
      <c r="D137" s="376" t="s">
        <v>3316</v>
      </c>
      <c r="E137" s="131">
        <v>12</v>
      </c>
      <c r="F137" s="717">
        <v>265</v>
      </c>
      <c r="G137" s="697">
        <f t="shared" si="2"/>
        <v>3180</v>
      </c>
      <c r="H137" s="131">
        <v>25</v>
      </c>
    </row>
    <row r="138" spans="1:14" x14ac:dyDescent="0.2">
      <c r="A138" s="695"/>
      <c r="B138" s="776"/>
      <c r="C138" s="777"/>
      <c r="D138" s="820" t="s">
        <v>3315</v>
      </c>
      <c r="E138" s="808"/>
      <c r="F138" s="814"/>
      <c r="G138" s="697"/>
    </row>
    <row r="139" spans="1:14" x14ac:dyDescent="0.2">
      <c r="A139" s="695">
        <v>53</v>
      </c>
      <c r="B139" s="698"/>
      <c r="C139" s="119" t="s">
        <v>177</v>
      </c>
      <c r="D139" s="136" t="s">
        <v>2828</v>
      </c>
      <c r="E139" s="131">
        <v>25</v>
      </c>
      <c r="F139" s="717">
        <v>695</v>
      </c>
      <c r="G139" s="697">
        <f t="shared" si="2"/>
        <v>17375</v>
      </c>
    </row>
    <row r="140" spans="1:14" x14ac:dyDescent="0.2">
      <c r="A140" s="695">
        <v>54</v>
      </c>
      <c r="B140" s="698"/>
      <c r="C140" s="119" t="s">
        <v>185</v>
      </c>
      <c r="D140" s="376" t="s">
        <v>2984</v>
      </c>
      <c r="E140" s="131">
        <v>5</v>
      </c>
      <c r="F140" s="717">
        <v>38</v>
      </c>
      <c r="G140" s="697">
        <f t="shared" si="2"/>
        <v>190</v>
      </c>
    </row>
    <row r="141" spans="1:14" x14ac:dyDescent="0.2">
      <c r="A141" s="695"/>
      <c r="B141" s="776"/>
      <c r="C141" s="777"/>
      <c r="D141" s="820" t="s">
        <v>2985</v>
      </c>
      <c r="E141" s="808"/>
      <c r="F141" s="814"/>
      <c r="G141" s="697"/>
    </row>
    <row r="142" spans="1:14" ht="13.5" thickBot="1" x14ac:dyDescent="0.25">
      <c r="A142" s="726"/>
      <c r="B142" s="703"/>
      <c r="C142" s="704"/>
      <c r="D142" s="704"/>
      <c r="E142" s="703"/>
      <c r="F142" s="705" t="s">
        <v>158</v>
      </c>
      <c r="G142" s="727">
        <f>SUM(G108:G141)</f>
        <v>353424.53</v>
      </c>
    </row>
    <row r="143" spans="1:14" ht="13.5" thickTop="1" x14ac:dyDescent="0.2">
      <c r="A143" s="1030" t="s">
        <v>280</v>
      </c>
      <c r="B143" s="1019"/>
      <c r="C143" s="1019"/>
      <c r="D143" s="1019"/>
      <c r="E143" s="1019"/>
      <c r="F143" s="1019"/>
      <c r="G143" s="1020"/>
    </row>
    <row r="144" spans="1:14" ht="13.5" thickBot="1" x14ac:dyDescent="0.25">
      <c r="A144" s="707"/>
      <c r="B144" s="708"/>
      <c r="C144" s="708"/>
      <c r="D144" s="709"/>
      <c r="E144" s="708"/>
      <c r="F144" s="198"/>
      <c r="G144" s="199"/>
    </row>
    <row r="145" spans="1:8" ht="13.5" thickTop="1" x14ac:dyDescent="0.2">
      <c r="A145" s="1023"/>
      <c r="B145" s="1024"/>
      <c r="C145" s="1024"/>
      <c r="D145" s="344" t="s">
        <v>11</v>
      </c>
      <c r="E145" s="1025" t="s">
        <v>12</v>
      </c>
      <c r="F145" s="1025"/>
      <c r="G145" s="1026"/>
    </row>
    <row r="146" spans="1:8" ht="27.75" customHeight="1" x14ac:dyDescent="0.2">
      <c r="A146" s="1010" t="s">
        <v>17</v>
      </c>
      <c r="B146" s="1011"/>
      <c r="C146" s="1011"/>
      <c r="D146" s="121"/>
      <c r="E146" s="1027"/>
      <c r="F146" s="1028"/>
      <c r="G146" s="1029"/>
    </row>
    <row r="147" spans="1:8" x14ac:dyDescent="0.2">
      <c r="A147" s="1010" t="s">
        <v>38</v>
      </c>
      <c r="B147" s="1011"/>
      <c r="C147" s="1011"/>
      <c r="D147" s="710" t="s">
        <v>147</v>
      </c>
      <c r="E147" s="1012" t="s">
        <v>142</v>
      </c>
      <c r="F147" s="1012"/>
      <c r="G147" s="1013"/>
    </row>
    <row r="148" spans="1:8" ht="13.5" thickBot="1" x14ac:dyDescent="0.25">
      <c r="A148" s="1014" t="s">
        <v>39</v>
      </c>
      <c r="B148" s="1015"/>
      <c r="C148" s="1015"/>
      <c r="D148" s="125" t="s">
        <v>148</v>
      </c>
      <c r="E148" s="1016" t="s">
        <v>0</v>
      </c>
      <c r="F148" s="1017"/>
      <c r="G148" s="1018"/>
    </row>
    <row r="149" spans="1:8" ht="16.5" x14ac:dyDescent="0.2">
      <c r="A149" s="997" t="s">
        <v>29</v>
      </c>
      <c r="B149" s="998"/>
      <c r="C149" s="998"/>
      <c r="D149" s="998"/>
      <c r="E149" s="998"/>
      <c r="F149" s="998"/>
      <c r="G149" s="999"/>
      <c r="H149" s="713">
        <v>4</v>
      </c>
    </row>
    <row r="150" spans="1:8" x14ac:dyDescent="0.2">
      <c r="A150" s="1000" t="s">
        <v>48</v>
      </c>
      <c r="B150" s="1001"/>
      <c r="C150" s="1001"/>
      <c r="D150" s="1001"/>
      <c r="E150" s="1001"/>
      <c r="F150" s="1001"/>
      <c r="G150" s="1002"/>
      <c r="H150" s="819"/>
    </row>
    <row r="151" spans="1:8" x14ac:dyDescent="0.2">
      <c r="A151" s="1003" t="s">
        <v>49</v>
      </c>
      <c r="B151" s="1004"/>
      <c r="C151" s="1004"/>
      <c r="D151" s="1004"/>
      <c r="E151" s="1004"/>
      <c r="F151" s="1004"/>
      <c r="G151" s="1005"/>
      <c r="H151" s="819"/>
    </row>
    <row r="152" spans="1:8" x14ac:dyDescent="0.2">
      <c r="A152" s="674"/>
      <c r="B152" s="675"/>
      <c r="C152" s="676"/>
      <c r="D152" s="677"/>
      <c r="E152" s="675"/>
      <c r="F152" s="678"/>
      <c r="G152" s="737" t="s">
        <v>3374</v>
      </c>
    </row>
    <row r="153" spans="1:8" x14ac:dyDescent="0.2">
      <c r="A153" s="680" t="s">
        <v>1</v>
      </c>
      <c r="B153" s="681"/>
      <c r="C153" s="682" t="s">
        <v>7</v>
      </c>
      <c r="D153" s="681"/>
      <c r="E153" s="683" t="s">
        <v>3576</v>
      </c>
      <c r="F153" s="684"/>
      <c r="G153" s="685" t="s">
        <v>3575</v>
      </c>
    </row>
    <row r="154" spans="1:8" x14ac:dyDescent="0.2">
      <c r="A154" s="686" t="s">
        <v>8</v>
      </c>
      <c r="B154" s="687"/>
      <c r="C154" s="688"/>
      <c r="D154" s="673"/>
      <c r="E154" s="1006"/>
      <c r="F154" s="1007"/>
      <c r="G154" s="689"/>
    </row>
    <row r="155" spans="1:8" x14ac:dyDescent="0.2">
      <c r="A155" s="690" t="s">
        <v>37</v>
      </c>
      <c r="B155" s="261"/>
      <c r="C155" s="261"/>
      <c r="D155" s="261"/>
      <c r="E155" s="691" t="s">
        <v>46</v>
      </c>
      <c r="F155" s="692"/>
      <c r="G155" s="689" t="s">
        <v>50</v>
      </c>
    </row>
    <row r="156" spans="1:8" x14ac:dyDescent="0.2">
      <c r="A156" s="674"/>
      <c r="B156" s="675"/>
      <c r="C156" s="676"/>
      <c r="D156" s="676"/>
      <c r="E156" s="1008"/>
      <c r="F156" s="1009"/>
      <c r="G156" s="693"/>
    </row>
    <row r="157" spans="1:8" ht="26.25" customHeight="1" thickBot="1" x14ac:dyDescent="0.25">
      <c r="A157" s="694" t="s">
        <v>47</v>
      </c>
      <c r="B157" s="110" t="s">
        <v>23</v>
      </c>
      <c r="C157" s="110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8" ht="12.75" customHeight="1" thickTop="1" x14ac:dyDescent="0.2">
      <c r="A158" s="825"/>
      <c r="B158" s="826"/>
      <c r="C158" s="826"/>
      <c r="D158" s="826" t="s">
        <v>160</v>
      </c>
      <c r="E158" s="562"/>
      <c r="F158" s="563"/>
      <c r="G158" s="849">
        <f>G142</f>
        <v>353424.53</v>
      </c>
    </row>
    <row r="159" spans="1:8" x14ac:dyDescent="0.2">
      <c r="A159" s="695">
        <v>55</v>
      </c>
      <c r="B159" s="698"/>
      <c r="C159" s="119" t="s">
        <v>185</v>
      </c>
      <c r="D159" s="376" t="s">
        <v>2851</v>
      </c>
      <c r="E159" s="131">
        <v>10</v>
      </c>
      <c r="F159" s="717">
        <v>42</v>
      </c>
      <c r="G159" s="697">
        <f>F159*E159</f>
        <v>420</v>
      </c>
    </row>
    <row r="160" spans="1:8" x14ac:dyDescent="0.2">
      <c r="A160" s="695"/>
      <c r="B160" s="776"/>
      <c r="C160" s="777"/>
      <c r="D160" s="820" t="s">
        <v>2852</v>
      </c>
      <c r="E160" s="808"/>
      <c r="F160" s="814"/>
      <c r="G160" s="697"/>
    </row>
    <row r="161" spans="1:9" x14ac:dyDescent="0.2">
      <c r="A161" s="695">
        <v>56</v>
      </c>
      <c r="B161" s="698"/>
      <c r="C161" s="119" t="s">
        <v>177</v>
      </c>
      <c r="D161" s="144" t="s">
        <v>3263</v>
      </c>
      <c r="E161" s="131">
        <v>1</v>
      </c>
      <c r="F161" s="717">
        <v>375</v>
      </c>
      <c r="G161" s="697">
        <f t="shared" ref="G161:G191" si="3">F161*E161</f>
        <v>375</v>
      </c>
    </row>
    <row r="162" spans="1:9" x14ac:dyDescent="0.2">
      <c r="A162" s="695">
        <v>57</v>
      </c>
      <c r="B162" s="698"/>
      <c r="C162" s="119" t="s">
        <v>177</v>
      </c>
      <c r="D162" s="144" t="s">
        <v>2942</v>
      </c>
      <c r="E162" s="108">
        <v>1</v>
      </c>
      <c r="F162" s="163">
        <v>110</v>
      </c>
      <c r="G162" s="697">
        <f t="shared" si="3"/>
        <v>110</v>
      </c>
    </row>
    <row r="163" spans="1:9" x14ac:dyDescent="0.2">
      <c r="A163" s="695">
        <v>58</v>
      </c>
      <c r="B163" s="698"/>
      <c r="C163" s="119" t="s">
        <v>375</v>
      </c>
      <c r="D163" s="376" t="s">
        <v>3317</v>
      </c>
      <c r="E163" s="108">
        <v>50</v>
      </c>
      <c r="F163" s="163">
        <v>235</v>
      </c>
      <c r="G163" s="697">
        <f t="shared" si="3"/>
        <v>11750</v>
      </c>
    </row>
    <row r="164" spans="1:9" x14ac:dyDescent="0.2">
      <c r="A164" s="695"/>
      <c r="B164" s="776"/>
      <c r="C164" s="777"/>
      <c r="D164" s="820" t="s">
        <v>3318</v>
      </c>
      <c r="E164" s="779"/>
      <c r="F164" s="780"/>
      <c r="G164" s="697"/>
    </row>
    <row r="165" spans="1:9" x14ac:dyDescent="0.2">
      <c r="A165" s="695">
        <v>59</v>
      </c>
      <c r="B165" s="698"/>
      <c r="C165" s="119" t="s">
        <v>177</v>
      </c>
      <c r="D165" s="376" t="s">
        <v>2986</v>
      </c>
      <c r="E165" s="108">
        <v>25</v>
      </c>
      <c r="F165" s="163">
        <v>675</v>
      </c>
      <c r="G165" s="697">
        <f t="shared" si="3"/>
        <v>16875</v>
      </c>
    </row>
    <row r="166" spans="1:9" x14ac:dyDescent="0.2">
      <c r="A166" s="695"/>
      <c r="B166" s="776"/>
      <c r="C166" s="777"/>
      <c r="D166" s="820" t="s">
        <v>2987</v>
      </c>
      <c r="E166" s="779"/>
      <c r="F166" s="780"/>
      <c r="G166" s="697"/>
    </row>
    <row r="167" spans="1:9" x14ac:dyDescent="0.2">
      <c r="A167" s="695">
        <v>60</v>
      </c>
      <c r="B167" s="698"/>
      <c r="C167" s="119" t="s">
        <v>366</v>
      </c>
      <c r="D167" s="136" t="s">
        <v>3264</v>
      </c>
      <c r="E167" s="108">
        <v>100</v>
      </c>
      <c r="F167" s="163">
        <v>175</v>
      </c>
      <c r="G167" s="697">
        <f t="shared" si="3"/>
        <v>17500</v>
      </c>
    </row>
    <row r="168" spans="1:9" x14ac:dyDescent="0.2">
      <c r="A168" s="695">
        <v>61</v>
      </c>
      <c r="B168" s="698"/>
      <c r="C168" s="119" t="s">
        <v>177</v>
      </c>
      <c r="D168" s="136" t="s">
        <v>2943</v>
      </c>
      <c r="E168" s="108">
        <v>5</v>
      </c>
      <c r="F168" s="163">
        <v>159.5</v>
      </c>
      <c r="G168" s="697">
        <f t="shared" si="3"/>
        <v>797.5</v>
      </c>
    </row>
    <row r="169" spans="1:9" x14ac:dyDescent="0.2">
      <c r="A169" s="695">
        <v>62</v>
      </c>
      <c r="B169" s="698"/>
      <c r="C169" s="119" t="s">
        <v>185</v>
      </c>
      <c r="D169" s="136" t="s">
        <v>2897</v>
      </c>
      <c r="E169" s="108">
        <v>3</v>
      </c>
      <c r="F169" s="163">
        <v>220</v>
      </c>
      <c r="G169" s="697">
        <f t="shared" si="3"/>
        <v>660</v>
      </c>
    </row>
    <row r="170" spans="1:9" x14ac:dyDescent="0.2">
      <c r="A170" s="695">
        <v>63</v>
      </c>
      <c r="B170" s="698"/>
      <c r="C170" s="119" t="s">
        <v>185</v>
      </c>
      <c r="D170" s="136" t="s">
        <v>3265</v>
      </c>
      <c r="E170" s="131">
        <v>5</v>
      </c>
      <c r="F170" s="701">
        <v>475</v>
      </c>
      <c r="G170" s="697">
        <f t="shared" si="3"/>
        <v>2375</v>
      </c>
    </row>
    <row r="171" spans="1:9" x14ac:dyDescent="0.2">
      <c r="A171" s="695">
        <v>64</v>
      </c>
      <c r="B171" s="696"/>
      <c r="C171" s="344" t="s">
        <v>177</v>
      </c>
      <c r="D171" s="822" t="s">
        <v>3319</v>
      </c>
      <c r="E171" s="823">
        <v>10</v>
      </c>
      <c r="F171" s="824">
        <v>4750</v>
      </c>
      <c r="G171" s="697">
        <f t="shared" si="3"/>
        <v>47500</v>
      </c>
      <c r="H171" s="782"/>
      <c r="I171" s="720"/>
    </row>
    <row r="172" spans="1:9" x14ac:dyDescent="0.2">
      <c r="A172" s="695"/>
      <c r="B172" s="696"/>
      <c r="C172" s="344"/>
      <c r="D172" s="822" t="s">
        <v>2867</v>
      </c>
      <c r="E172" s="823"/>
      <c r="F172" s="824"/>
      <c r="G172" s="697"/>
      <c r="H172" s="782"/>
      <c r="I172" s="720"/>
    </row>
    <row r="173" spans="1:9" x14ac:dyDescent="0.2">
      <c r="A173" s="695">
        <v>65</v>
      </c>
      <c r="B173" s="776"/>
      <c r="C173" s="777" t="s">
        <v>177</v>
      </c>
      <c r="D173" s="787" t="s">
        <v>2988</v>
      </c>
      <c r="E173" s="667">
        <v>2</v>
      </c>
      <c r="F173" s="780">
        <v>950</v>
      </c>
      <c r="G173" s="697">
        <f t="shared" si="3"/>
        <v>1900</v>
      </c>
      <c r="H173" s="782"/>
    </row>
    <row r="174" spans="1:9" x14ac:dyDescent="0.2">
      <c r="A174" s="695"/>
      <c r="B174" s="776"/>
      <c r="C174" s="777"/>
      <c r="D174" s="820" t="s">
        <v>2918</v>
      </c>
      <c r="E174" s="667"/>
      <c r="F174" s="780"/>
      <c r="G174" s="697"/>
      <c r="H174" s="782"/>
    </row>
    <row r="175" spans="1:9" x14ac:dyDescent="0.2">
      <c r="A175" s="695">
        <v>66</v>
      </c>
      <c r="B175" s="698"/>
      <c r="C175" s="119" t="s">
        <v>177</v>
      </c>
      <c r="D175" s="370" t="s">
        <v>3320</v>
      </c>
      <c r="E175" s="158">
        <v>1</v>
      </c>
      <c r="F175" s="163">
        <v>975</v>
      </c>
      <c r="G175" s="697">
        <f t="shared" si="3"/>
        <v>975</v>
      </c>
      <c r="H175" s="782"/>
    </row>
    <row r="176" spans="1:9" x14ac:dyDescent="0.2">
      <c r="A176" s="695"/>
      <c r="B176" s="776"/>
      <c r="C176" s="714"/>
      <c r="D176" s="666" t="s">
        <v>2990</v>
      </c>
      <c r="E176" s="204"/>
      <c r="F176" s="780"/>
      <c r="G176" s="697"/>
      <c r="H176" s="782"/>
    </row>
    <row r="177" spans="1:8" x14ac:dyDescent="0.2">
      <c r="A177" s="695">
        <v>67</v>
      </c>
      <c r="B177" s="698"/>
      <c r="C177" s="714" t="s">
        <v>177</v>
      </c>
      <c r="D177" s="259" t="s">
        <v>2831</v>
      </c>
      <c r="E177" s="204">
        <v>5</v>
      </c>
      <c r="F177" s="149">
        <v>220</v>
      </c>
      <c r="G177" s="697">
        <f t="shared" si="3"/>
        <v>1100</v>
      </c>
      <c r="H177" s="782"/>
    </row>
    <row r="178" spans="1:8" x14ac:dyDescent="0.2">
      <c r="A178" s="695">
        <v>68</v>
      </c>
      <c r="B178" s="776"/>
      <c r="C178" s="714" t="s">
        <v>177</v>
      </c>
      <c r="D178" s="821" t="s">
        <v>3321</v>
      </c>
      <c r="E178" s="204">
        <v>5</v>
      </c>
      <c r="F178" s="816">
        <v>360</v>
      </c>
      <c r="G178" s="697">
        <f t="shared" si="3"/>
        <v>1800</v>
      </c>
      <c r="H178" s="782"/>
    </row>
    <row r="179" spans="1:8" x14ac:dyDescent="0.2">
      <c r="A179" s="695"/>
      <c r="B179" s="776"/>
      <c r="C179" s="714"/>
      <c r="D179" s="821" t="s">
        <v>2918</v>
      </c>
      <c r="E179" s="204"/>
      <c r="F179" s="816"/>
      <c r="G179" s="697"/>
      <c r="H179" s="782"/>
    </row>
    <row r="180" spans="1:8" x14ac:dyDescent="0.2">
      <c r="A180" s="695">
        <v>69</v>
      </c>
      <c r="B180" s="698"/>
      <c r="C180" s="119" t="s">
        <v>185</v>
      </c>
      <c r="D180" s="792" t="s">
        <v>3322</v>
      </c>
      <c r="E180" s="108">
        <v>10</v>
      </c>
      <c r="F180" s="163">
        <v>65</v>
      </c>
      <c r="G180" s="697">
        <f t="shared" si="3"/>
        <v>650</v>
      </c>
      <c r="H180" s="840"/>
    </row>
    <row r="181" spans="1:8" x14ac:dyDescent="0.2">
      <c r="A181" s="695"/>
      <c r="B181" s="776"/>
      <c r="C181" s="777"/>
      <c r="D181" s="792" t="s">
        <v>2997</v>
      </c>
      <c r="E181" s="779"/>
      <c r="F181" s="780"/>
      <c r="G181" s="697"/>
      <c r="H181" s="840"/>
    </row>
    <row r="182" spans="1:8" x14ac:dyDescent="0.2">
      <c r="A182" s="695">
        <v>70</v>
      </c>
      <c r="B182" s="776"/>
      <c r="C182" s="777" t="s">
        <v>185</v>
      </c>
      <c r="D182" s="792" t="s">
        <v>3323</v>
      </c>
      <c r="E182" s="779">
        <v>31</v>
      </c>
      <c r="F182" s="780">
        <v>325</v>
      </c>
      <c r="G182" s="697">
        <f t="shared" si="3"/>
        <v>10075</v>
      </c>
      <c r="H182" s="779">
        <v>50</v>
      </c>
    </row>
    <row r="183" spans="1:8" x14ac:dyDescent="0.2">
      <c r="A183" s="695"/>
      <c r="B183" s="776"/>
      <c r="C183" s="777"/>
      <c r="D183" s="792" t="s">
        <v>2997</v>
      </c>
      <c r="E183" s="779"/>
      <c r="F183" s="780"/>
      <c r="G183" s="697"/>
      <c r="H183" s="840"/>
    </row>
    <row r="184" spans="1:8" x14ac:dyDescent="0.2">
      <c r="A184" s="695">
        <v>71</v>
      </c>
      <c r="B184" s="105"/>
      <c r="C184" s="119" t="s">
        <v>177</v>
      </c>
      <c r="D184" s="376" t="s">
        <v>2853</v>
      </c>
      <c r="E184" s="108">
        <v>100</v>
      </c>
      <c r="F184" s="163">
        <v>119.5</v>
      </c>
      <c r="G184" s="697">
        <f t="shared" si="3"/>
        <v>11950</v>
      </c>
      <c r="H184" s="840"/>
    </row>
    <row r="185" spans="1:8" x14ac:dyDescent="0.2">
      <c r="A185" s="695"/>
      <c r="B185" s="786"/>
      <c r="C185" s="777"/>
      <c r="D185" s="787" t="s">
        <v>2854</v>
      </c>
      <c r="E185" s="779"/>
      <c r="F185" s="780"/>
      <c r="G185" s="697"/>
      <c r="H185" s="840"/>
    </row>
    <row r="186" spans="1:8" x14ac:dyDescent="0.2">
      <c r="A186" s="695">
        <v>72</v>
      </c>
      <c r="B186" s="786"/>
      <c r="C186" s="777" t="s">
        <v>185</v>
      </c>
      <c r="D186" s="787" t="s">
        <v>2853</v>
      </c>
      <c r="E186" s="779">
        <v>30</v>
      </c>
      <c r="F186" s="780">
        <v>325</v>
      </c>
      <c r="G186" s="697">
        <f t="shared" si="3"/>
        <v>9750</v>
      </c>
      <c r="H186" s="840"/>
    </row>
    <row r="187" spans="1:8" x14ac:dyDescent="0.2">
      <c r="A187" s="695"/>
      <c r="B187" s="786"/>
      <c r="C187" s="777"/>
      <c r="D187" s="787" t="s">
        <v>3324</v>
      </c>
      <c r="E187" s="779"/>
      <c r="F187" s="780"/>
      <c r="G187" s="697"/>
      <c r="H187" s="840"/>
    </row>
    <row r="188" spans="1:8" x14ac:dyDescent="0.2">
      <c r="A188" s="695">
        <v>73</v>
      </c>
      <c r="B188" s="786"/>
      <c r="C188" s="777" t="s">
        <v>185</v>
      </c>
      <c r="D188" s="787" t="s">
        <v>2853</v>
      </c>
      <c r="E188" s="779">
        <v>50</v>
      </c>
      <c r="F188" s="780">
        <v>395</v>
      </c>
      <c r="G188" s="697">
        <f t="shared" si="3"/>
        <v>19750</v>
      </c>
      <c r="H188" s="840"/>
    </row>
    <row r="189" spans="1:8" x14ac:dyDescent="0.2">
      <c r="A189" s="695"/>
      <c r="B189" s="786"/>
      <c r="C189" s="777"/>
      <c r="D189" s="820" t="s">
        <v>3325</v>
      </c>
      <c r="E189" s="779"/>
      <c r="F189" s="780"/>
      <c r="G189" s="697"/>
      <c r="H189" s="840"/>
    </row>
    <row r="190" spans="1:8" x14ac:dyDescent="0.2">
      <c r="A190" s="695">
        <v>74</v>
      </c>
      <c r="B190" s="105"/>
      <c r="C190" s="119" t="s">
        <v>177</v>
      </c>
      <c r="D190" s="376" t="s">
        <v>2834</v>
      </c>
      <c r="E190" s="108">
        <v>5</v>
      </c>
      <c r="F190" s="163">
        <v>220</v>
      </c>
      <c r="G190" s="697">
        <f t="shared" si="3"/>
        <v>1100</v>
      </c>
      <c r="H190" s="840"/>
    </row>
    <row r="191" spans="1:8" x14ac:dyDescent="0.2">
      <c r="A191" s="695">
        <v>75</v>
      </c>
      <c r="B191" s="105"/>
      <c r="C191" s="119" t="s">
        <v>177</v>
      </c>
      <c r="D191" s="376" t="s">
        <v>3266</v>
      </c>
      <c r="E191" s="108">
        <v>5</v>
      </c>
      <c r="F191" s="150">
        <v>375</v>
      </c>
      <c r="G191" s="697">
        <f t="shared" si="3"/>
        <v>1875</v>
      </c>
      <c r="H191" s="781"/>
    </row>
    <row r="192" spans="1:8" ht="13.5" thickBot="1" x14ac:dyDescent="0.25">
      <c r="A192" s="726"/>
      <c r="B192" s="703"/>
      <c r="C192" s="704"/>
      <c r="D192" s="704"/>
      <c r="E192" s="703"/>
      <c r="F192" s="705" t="s">
        <v>158</v>
      </c>
      <c r="G192" s="727">
        <f>SUM(G158:G191)</f>
        <v>512712.03</v>
      </c>
    </row>
    <row r="193" spans="1:8" ht="13.5" thickTop="1" x14ac:dyDescent="0.2">
      <c r="A193" s="1030" t="s">
        <v>280</v>
      </c>
      <c r="B193" s="1019"/>
      <c r="C193" s="1019"/>
      <c r="D193" s="1019"/>
      <c r="E193" s="1019"/>
      <c r="F193" s="1019"/>
      <c r="G193" s="1020"/>
    </row>
    <row r="194" spans="1:8" ht="13.5" thickBot="1" x14ac:dyDescent="0.25">
      <c r="A194" s="707"/>
      <c r="B194" s="708"/>
      <c r="C194" s="708"/>
      <c r="D194" s="709"/>
      <c r="E194" s="708"/>
      <c r="F194" s="198"/>
      <c r="G194" s="199"/>
    </row>
    <row r="195" spans="1:8" ht="13.5" thickTop="1" x14ac:dyDescent="0.2">
      <c r="A195" s="1023"/>
      <c r="B195" s="1024"/>
      <c r="C195" s="1024"/>
      <c r="D195" s="344" t="s">
        <v>11</v>
      </c>
      <c r="E195" s="1025" t="s">
        <v>12</v>
      </c>
      <c r="F195" s="1025"/>
      <c r="G195" s="1026"/>
    </row>
    <row r="196" spans="1:8" ht="27.75" customHeight="1" x14ac:dyDescent="0.2">
      <c r="A196" s="1010" t="s">
        <v>17</v>
      </c>
      <c r="B196" s="1011"/>
      <c r="C196" s="1011"/>
      <c r="D196" s="121"/>
      <c r="E196" s="1027"/>
      <c r="F196" s="1028"/>
      <c r="G196" s="1029"/>
    </row>
    <row r="197" spans="1:8" x14ac:dyDescent="0.2">
      <c r="A197" s="1010" t="s">
        <v>38</v>
      </c>
      <c r="B197" s="1011"/>
      <c r="C197" s="1011"/>
      <c r="D197" s="710" t="s">
        <v>147</v>
      </c>
      <c r="E197" s="1012" t="s">
        <v>142</v>
      </c>
      <c r="F197" s="1012"/>
      <c r="G197" s="1013"/>
    </row>
    <row r="198" spans="1:8" ht="13.5" thickBot="1" x14ac:dyDescent="0.25">
      <c r="A198" s="1014" t="s">
        <v>39</v>
      </c>
      <c r="B198" s="1015"/>
      <c r="C198" s="1015"/>
      <c r="D198" s="125" t="s">
        <v>148</v>
      </c>
      <c r="E198" s="1016" t="s">
        <v>0</v>
      </c>
      <c r="F198" s="1017"/>
      <c r="G198" s="1018"/>
    </row>
    <row r="199" spans="1:8" ht="16.5" x14ac:dyDescent="0.2">
      <c r="A199" s="997" t="s">
        <v>29</v>
      </c>
      <c r="B199" s="998"/>
      <c r="C199" s="998"/>
      <c r="D199" s="998"/>
      <c r="E199" s="998"/>
      <c r="F199" s="998"/>
      <c r="G199" s="999"/>
      <c r="H199" s="713">
        <v>5</v>
      </c>
    </row>
    <row r="200" spans="1:8" x14ac:dyDescent="0.2">
      <c r="A200" s="1000" t="s">
        <v>48</v>
      </c>
      <c r="B200" s="1001"/>
      <c r="C200" s="1001"/>
      <c r="D200" s="1001"/>
      <c r="E200" s="1001"/>
      <c r="F200" s="1001"/>
      <c r="G200" s="1002"/>
      <c r="H200" s="819"/>
    </row>
    <row r="201" spans="1:8" x14ac:dyDescent="0.2">
      <c r="A201" s="1003" t="s">
        <v>49</v>
      </c>
      <c r="B201" s="1004"/>
      <c r="C201" s="1004"/>
      <c r="D201" s="1004"/>
      <c r="E201" s="1004"/>
      <c r="F201" s="1004"/>
      <c r="G201" s="1005"/>
      <c r="H201" s="819"/>
    </row>
    <row r="202" spans="1:8" x14ac:dyDescent="0.2">
      <c r="A202" s="674"/>
      <c r="B202" s="675"/>
      <c r="C202" s="676"/>
      <c r="D202" s="677"/>
      <c r="E202" s="675"/>
      <c r="F202" s="678"/>
      <c r="G202" s="737" t="s">
        <v>3375</v>
      </c>
    </row>
    <row r="203" spans="1:8" x14ac:dyDescent="0.2">
      <c r="A203" s="680" t="s">
        <v>1</v>
      </c>
      <c r="B203" s="681"/>
      <c r="C203" s="682" t="s">
        <v>7</v>
      </c>
      <c r="D203" s="681"/>
      <c r="E203" s="683" t="s">
        <v>3576</v>
      </c>
      <c r="F203" s="684"/>
      <c r="G203" s="685" t="s">
        <v>3575</v>
      </c>
    </row>
    <row r="204" spans="1:8" x14ac:dyDescent="0.2">
      <c r="A204" s="686" t="s">
        <v>8</v>
      </c>
      <c r="B204" s="687"/>
      <c r="C204" s="688"/>
      <c r="D204" s="673"/>
      <c r="E204" s="1006"/>
      <c r="F204" s="1007"/>
      <c r="G204" s="689"/>
    </row>
    <row r="205" spans="1:8" x14ac:dyDescent="0.2">
      <c r="A205" s="690" t="s">
        <v>37</v>
      </c>
      <c r="B205" s="261"/>
      <c r="C205" s="261"/>
      <c r="D205" s="261"/>
      <c r="E205" s="691" t="s">
        <v>46</v>
      </c>
      <c r="F205" s="692"/>
      <c r="G205" s="689" t="s">
        <v>50</v>
      </c>
    </row>
    <row r="206" spans="1:8" x14ac:dyDescent="0.2">
      <c r="A206" s="674"/>
      <c r="B206" s="675"/>
      <c r="C206" s="676"/>
      <c r="D206" s="676"/>
      <c r="E206" s="1008"/>
      <c r="F206" s="1009"/>
      <c r="G206" s="693"/>
    </row>
    <row r="207" spans="1:8" ht="26.25" customHeight="1" thickBot="1" x14ac:dyDescent="0.25">
      <c r="A207" s="694" t="s">
        <v>47</v>
      </c>
      <c r="B207" s="110" t="s">
        <v>23</v>
      </c>
      <c r="C207" s="110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8" ht="12.75" customHeight="1" thickTop="1" x14ac:dyDescent="0.2">
      <c r="A208" s="825"/>
      <c r="B208" s="826"/>
      <c r="C208" s="826"/>
      <c r="D208" s="826" t="s">
        <v>160</v>
      </c>
      <c r="E208" s="562"/>
      <c r="F208" s="563"/>
      <c r="G208" s="849">
        <f>G192</f>
        <v>512712.03</v>
      </c>
    </row>
    <row r="209" spans="1:7" x14ac:dyDescent="0.2">
      <c r="A209" s="695">
        <v>76</v>
      </c>
      <c r="B209" s="105"/>
      <c r="C209" s="119" t="s">
        <v>177</v>
      </c>
      <c r="D209" s="144" t="s">
        <v>2902</v>
      </c>
      <c r="E209" s="108">
        <v>5</v>
      </c>
      <c r="F209" s="150">
        <v>600</v>
      </c>
      <c r="G209" s="697">
        <f>F209*E209</f>
        <v>3000</v>
      </c>
    </row>
    <row r="210" spans="1:7" x14ac:dyDescent="0.2">
      <c r="A210" s="695">
        <v>77</v>
      </c>
      <c r="B210" s="106"/>
      <c r="C210" s="119" t="s">
        <v>185</v>
      </c>
      <c r="D210" s="136" t="s">
        <v>3267</v>
      </c>
      <c r="E210" s="131">
        <v>25</v>
      </c>
      <c r="F210" s="163">
        <v>72</v>
      </c>
      <c r="G210" s="697">
        <f t="shared" ref="G210:G241" si="4">F210*E210</f>
        <v>1800</v>
      </c>
    </row>
    <row r="211" spans="1:7" x14ac:dyDescent="0.2">
      <c r="A211" s="695">
        <v>78</v>
      </c>
      <c r="B211" s="105"/>
      <c r="C211" s="119" t="s">
        <v>185</v>
      </c>
      <c r="D211" s="136" t="s">
        <v>3268</v>
      </c>
      <c r="E211" s="205">
        <v>25</v>
      </c>
      <c r="F211" s="152">
        <v>95</v>
      </c>
      <c r="G211" s="697">
        <f t="shared" si="4"/>
        <v>2375</v>
      </c>
    </row>
    <row r="212" spans="1:7" x14ac:dyDescent="0.2">
      <c r="A212" s="695">
        <v>79</v>
      </c>
      <c r="B212" s="700"/>
      <c r="C212" s="119" t="s">
        <v>177</v>
      </c>
      <c r="D212" s="376" t="s">
        <v>3326</v>
      </c>
      <c r="E212" s="108">
        <v>5</v>
      </c>
      <c r="F212" s="163">
        <v>315</v>
      </c>
      <c r="G212" s="697">
        <f t="shared" si="4"/>
        <v>1575</v>
      </c>
    </row>
    <row r="213" spans="1:7" x14ac:dyDescent="0.2">
      <c r="A213" s="695"/>
      <c r="B213" s="806"/>
      <c r="C213" s="777"/>
      <c r="D213" s="820" t="s">
        <v>3327</v>
      </c>
      <c r="E213" s="779"/>
      <c r="F213" s="780"/>
      <c r="G213" s="697"/>
    </row>
    <row r="214" spans="1:7" x14ac:dyDescent="0.2">
      <c r="A214" s="695">
        <v>80</v>
      </c>
      <c r="B214" s="700"/>
      <c r="C214" s="119" t="s">
        <v>177</v>
      </c>
      <c r="D214" s="136" t="s">
        <v>3269</v>
      </c>
      <c r="E214" s="108">
        <v>2</v>
      </c>
      <c r="F214" s="163">
        <v>2350</v>
      </c>
      <c r="G214" s="697">
        <f t="shared" si="4"/>
        <v>4700</v>
      </c>
    </row>
    <row r="215" spans="1:7" x14ac:dyDescent="0.2">
      <c r="A215" s="695">
        <v>81</v>
      </c>
      <c r="B215" s="698"/>
      <c r="C215" s="135" t="s">
        <v>177</v>
      </c>
      <c r="D215" s="259" t="s">
        <v>3328</v>
      </c>
      <c r="E215" s="244">
        <v>2</v>
      </c>
      <c r="F215" s="163">
        <v>650</v>
      </c>
      <c r="G215" s="697">
        <f t="shared" si="4"/>
        <v>1300</v>
      </c>
    </row>
    <row r="216" spans="1:7" x14ac:dyDescent="0.2">
      <c r="A216" s="695"/>
      <c r="B216" s="776"/>
      <c r="C216" s="831"/>
      <c r="D216" s="832" t="s">
        <v>3329</v>
      </c>
      <c r="E216" s="846"/>
      <c r="F216" s="780"/>
      <c r="G216" s="697"/>
    </row>
    <row r="217" spans="1:7" x14ac:dyDescent="0.2">
      <c r="A217" s="695">
        <v>82</v>
      </c>
      <c r="B217" s="105"/>
      <c r="C217" s="119" t="s">
        <v>177</v>
      </c>
      <c r="D217" s="376" t="s">
        <v>3328</v>
      </c>
      <c r="E217" s="131">
        <v>1</v>
      </c>
      <c r="F217" s="717">
        <v>220</v>
      </c>
      <c r="G217" s="697">
        <f t="shared" si="4"/>
        <v>220</v>
      </c>
    </row>
    <row r="218" spans="1:7" x14ac:dyDescent="0.2">
      <c r="A218" s="695"/>
      <c r="B218" s="786"/>
      <c r="C218" s="777"/>
      <c r="D218" s="820" t="s">
        <v>3330</v>
      </c>
      <c r="E218" s="808"/>
      <c r="F218" s="814"/>
      <c r="G218" s="697"/>
    </row>
    <row r="219" spans="1:7" x14ac:dyDescent="0.2">
      <c r="A219" s="695">
        <v>83</v>
      </c>
      <c r="B219" s="105"/>
      <c r="C219" s="119" t="s">
        <v>185</v>
      </c>
      <c r="D219" s="376" t="s">
        <v>3328</v>
      </c>
      <c r="E219" s="131">
        <v>5</v>
      </c>
      <c r="F219" s="717">
        <v>32</v>
      </c>
      <c r="G219" s="697">
        <f t="shared" si="4"/>
        <v>160</v>
      </c>
    </row>
    <row r="220" spans="1:7" x14ac:dyDescent="0.2">
      <c r="A220" s="695"/>
      <c r="B220" s="786"/>
      <c r="C220" s="777"/>
      <c r="D220" s="820" t="s">
        <v>3331</v>
      </c>
      <c r="E220" s="808"/>
      <c r="F220" s="814"/>
      <c r="G220" s="697"/>
    </row>
    <row r="221" spans="1:7" x14ac:dyDescent="0.2">
      <c r="A221" s="695">
        <v>84</v>
      </c>
      <c r="B221" s="698"/>
      <c r="C221" s="119" t="s">
        <v>177</v>
      </c>
      <c r="D221" s="376" t="s">
        <v>3332</v>
      </c>
      <c r="E221" s="131">
        <v>5</v>
      </c>
      <c r="F221" s="717">
        <v>2380</v>
      </c>
      <c r="G221" s="697">
        <f t="shared" si="4"/>
        <v>11900</v>
      </c>
    </row>
    <row r="222" spans="1:7" x14ac:dyDescent="0.2">
      <c r="A222" s="695"/>
      <c r="B222" s="776"/>
      <c r="C222" s="777"/>
      <c r="D222" s="820" t="s">
        <v>3333</v>
      </c>
      <c r="E222" s="808"/>
      <c r="F222" s="814"/>
      <c r="G222" s="697"/>
    </row>
    <row r="223" spans="1:7" x14ac:dyDescent="0.2">
      <c r="A223" s="695">
        <v>85</v>
      </c>
      <c r="B223" s="698"/>
      <c r="C223" s="119" t="s">
        <v>177</v>
      </c>
      <c r="D223" s="136" t="s">
        <v>3270</v>
      </c>
      <c r="E223" s="131">
        <v>5</v>
      </c>
      <c r="F223" s="717">
        <v>740</v>
      </c>
      <c r="G223" s="697">
        <f t="shared" si="4"/>
        <v>3700</v>
      </c>
    </row>
    <row r="224" spans="1:7" x14ac:dyDescent="0.2">
      <c r="A224" s="695">
        <v>86</v>
      </c>
      <c r="B224" s="698"/>
      <c r="C224" s="119" t="s">
        <v>177</v>
      </c>
      <c r="D224" s="136" t="s">
        <v>3271</v>
      </c>
      <c r="E224" s="131">
        <v>1</v>
      </c>
      <c r="F224" s="717">
        <v>600</v>
      </c>
      <c r="G224" s="697">
        <f t="shared" si="4"/>
        <v>600</v>
      </c>
    </row>
    <row r="225" spans="1:9" x14ac:dyDescent="0.2">
      <c r="A225" s="695">
        <v>87</v>
      </c>
      <c r="B225" s="698"/>
      <c r="C225" s="119" t="s">
        <v>177</v>
      </c>
      <c r="D225" s="136" t="s">
        <v>3272</v>
      </c>
      <c r="E225" s="131">
        <v>1</v>
      </c>
      <c r="F225" s="717">
        <v>1375</v>
      </c>
      <c r="G225" s="697">
        <f t="shared" si="4"/>
        <v>1375</v>
      </c>
    </row>
    <row r="226" spans="1:9" x14ac:dyDescent="0.2">
      <c r="A226" s="695">
        <v>88</v>
      </c>
      <c r="B226" s="698"/>
      <c r="C226" s="119" t="s">
        <v>153</v>
      </c>
      <c r="D226" s="376" t="s">
        <v>3334</v>
      </c>
      <c r="E226" s="131">
        <v>12</v>
      </c>
      <c r="F226" s="717">
        <v>650</v>
      </c>
      <c r="G226" s="697">
        <f t="shared" si="4"/>
        <v>7800</v>
      </c>
    </row>
    <row r="227" spans="1:9" x14ac:dyDescent="0.2">
      <c r="A227" s="695"/>
      <c r="B227" s="776"/>
      <c r="C227" s="777"/>
      <c r="D227" s="820" t="s">
        <v>2860</v>
      </c>
      <c r="E227" s="808"/>
      <c r="F227" s="814"/>
      <c r="G227" s="697"/>
    </row>
    <row r="228" spans="1:9" x14ac:dyDescent="0.2">
      <c r="A228" s="695">
        <v>89</v>
      </c>
      <c r="B228" s="698"/>
      <c r="C228" s="119" t="s">
        <v>153</v>
      </c>
      <c r="D228" s="383" t="s">
        <v>2859</v>
      </c>
      <c r="E228" s="131">
        <v>12</v>
      </c>
      <c r="F228" s="717">
        <v>795</v>
      </c>
      <c r="G228" s="697">
        <f t="shared" si="4"/>
        <v>9540</v>
      </c>
    </row>
    <row r="229" spans="1:9" x14ac:dyDescent="0.2">
      <c r="A229" s="695"/>
      <c r="B229" s="776"/>
      <c r="C229" s="777"/>
      <c r="D229" s="778" t="s">
        <v>2860</v>
      </c>
      <c r="E229" s="808"/>
      <c r="F229" s="814"/>
      <c r="G229" s="697"/>
    </row>
    <row r="230" spans="1:9" x14ac:dyDescent="0.2">
      <c r="A230" s="695">
        <v>90</v>
      </c>
      <c r="B230" s="698"/>
      <c r="C230" s="119" t="s">
        <v>177</v>
      </c>
      <c r="D230" s="383" t="s">
        <v>3335</v>
      </c>
      <c r="E230" s="108">
        <v>10</v>
      </c>
      <c r="F230" s="163">
        <v>320</v>
      </c>
      <c r="G230" s="697">
        <f t="shared" si="4"/>
        <v>3200</v>
      </c>
    </row>
    <row r="231" spans="1:9" x14ac:dyDescent="0.2">
      <c r="A231" s="695"/>
      <c r="B231" s="776"/>
      <c r="C231" s="777"/>
      <c r="D231" s="795" t="s">
        <v>3336</v>
      </c>
      <c r="E231" s="779"/>
      <c r="F231" s="780"/>
      <c r="G231" s="697"/>
    </row>
    <row r="232" spans="1:9" x14ac:dyDescent="0.2">
      <c r="A232" s="695">
        <v>91</v>
      </c>
      <c r="B232" s="698"/>
      <c r="C232" s="119" t="s">
        <v>177</v>
      </c>
      <c r="D232" s="136" t="s">
        <v>2903</v>
      </c>
      <c r="E232" s="108">
        <v>2</v>
      </c>
      <c r="F232" s="163">
        <v>1600</v>
      </c>
      <c r="G232" s="697">
        <f t="shared" si="4"/>
        <v>3200</v>
      </c>
    </row>
    <row r="233" spans="1:9" x14ac:dyDescent="0.2">
      <c r="A233" s="695">
        <v>92</v>
      </c>
      <c r="B233" s="698"/>
      <c r="C233" s="119" t="s">
        <v>177</v>
      </c>
      <c r="D233" s="136" t="s">
        <v>2872</v>
      </c>
      <c r="E233" s="108">
        <v>2</v>
      </c>
      <c r="F233" s="163">
        <v>2700</v>
      </c>
      <c r="G233" s="697">
        <f t="shared" si="4"/>
        <v>5400</v>
      </c>
    </row>
    <row r="234" spans="1:9" x14ac:dyDescent="0.2">
      <c r="A234" s="695">
        <v>93</v>
      </c>
      <c r="B234" s="698"/>
      <c r="C234" s="119" t="s">
        <v>177</v>
      </c>
      <c r="D234" s="376" t="s">
        <v>2993</v>
      </c>
      <c r="E234" s="108">
        <v>2</v>
      </c>
      <c r="F234" s="163">
        <v>325</v>
      </c>
      <c r="G234" s="697">
        <f t="shared" si="4"/>
        <v>650</v>
      </c>
    </row>
    <row r="235" spans="1:9" x14ac:dyDescent="0.2">
      <c r="A235" s="695"/>
      <c r="B235" s="776"/>
      <c r="C235" s="777"/>
      <c r="D235" s="820" t="s">
        <v>2987</v>
      </c>
      <c r="E235" s="779"/>
      <c r="F235" s="780"/>
      <c r="G235" s="697"/>
    </row>
    <row r="236" spans="1:9" x14ac:dyDescent="0.2">
      <c r="A236" s="695">
        <v>94</v>
      </c>
      <c r="B236" s="698"/>
      <c r="C236" s="119" t="s">
        <v>177</v>
      </c>
      <c r="D236" s="376" t="s">
        <v>2994</v>
      </c>
      <c r="E236" s="108">
        <v>2</v>
      </c>
      <c r="F236" s="163">
        <v>420</v>
      </c>
      <c r="G236" s="697">
        <f t="shared" si="4"/>
        <v>840</v>
      </c>
    </row>
    <row r="237" spans="1:9" x14ac:dyDescent="0.2">
      <c r="A237" s="725"/>
      <c r="B237" s="776"/>
      <c r="C237" s="777"/>
      <c r="D237" s="820" t="s">
        <v>2918</v>
      </c>
      <c r="E237" s="779"/>
      <c r="F237" s="817"/>
      <c r="G237" s="697"/>
    </row>
    <row r="238" spans="1:9" x14ac:dyDescent="0.2">
      <c r="A238" s="695">
        <v>95</v>
      </c>
      <c r="B238" s="696"/>
      <c r="C238" s="344" t="s">
        <v>177</v>
      </c>
      <c r="D238" s="822" t="s">
        <v>3273</v>
      </c>
      <c r="E238" s="823">
        <v>1</v>
      </c>
      <c r="F238" s="824">
        <v>275</v>
      </c>
      <c r="G238" s="697">
        <f t="shared" si="4"/>
        <v>275</v>
      </c>
      <c r="H238" s="782"/>
      <c r="I238" s="720"/>
    </row>
    <row r="239" spans="1:9" x14ac:dyDescent="0.2">
      <c r="A239" s="695">
        <v>96</v>
      </c>
      <c r="B239" s="776"/>
      <c r="C239" s="777" t="s">
        <v>177</v>
      </c>
      <c r="D239" s="820" t="s">
        <v>3274</v>
      </c>
      <c r="E239" s="667">
        <v>1</v>
      </c>
      <c r="F239" s="780">
        <v>130</v>
      </c>
      <c r="G239" s="697">
        <f t="shared" si="4"/>
        <v>130</v>
      </c>
      <c r="H239" s="782"/>
    </row>
    <row r="240" spans="1:9" x14ac:dyDescent="0.2">
      <c r="A240" s="695">
        <v>97</v>
      </c>
      <c r="B240" s="698"/>
      <c r="C240" s="119" t="s">
        <v>177</v>
      </c>
      <c r="D240" s="370" t="s">
        <v>3275</v>
      </c>
      <c r="E240" s="158">
        <v>1</v>
      </c>
      <c r="F240" s="163">
        <v>100</v>
      </c>
      <c r="G240" s="697">
        <f t="shared" si="4"/>
        <v>100</v>
      </c>
      <c r="H240" s="782"/>
    </row>
    <row r="241" spans="1:8" x14ac:dyDescent="0.2">
      <c r="A241" s="695">
        <v>98</v>
      </c>
      <c r="B241" s="698"/>
      <c r="C241" s="714" t="s">
        <v>177</v>
      </c>
      <c r="D241" s="259" t="s">
        <v>2846</v>
      </c>
      <c r="E241" s="204">
        <v>50</v>
      </c>
      <c r="F241" s="149">
        <v>169.5</v>
      </c>
      <c r="G241" s="697">
        <f t="shared" si="4"/>
        <v>8475</v>
      </c>
      <c r="H241" s="782"/>
    </row>
    <row r="242" spans="1:8" ht="13.5" thickBot="1" x14ac:dyDescent="0.25">
      <c r="A242" s="726"/>
      <c r="B242" s="703"/>
      <c r="C242" s="704"/>
      <c r="D242" s="704"/>
      <c r="E242" s="703"/>
      <c r="F242" s="705" t="s">
        <v>158</v>
      </c>
      <c r="G242" s="727">
        <f>SUM(G208:G241)</f>
        <v>585027.03</v>
      </c>
    </row>
    <row r="243" spans="1:8" ht="13.5" thickTop="1" x14ac:dyDescent="0.2">
      <c r="A243" s="1030" t="s">
        <v>280</v>
      </c>
      <c r="B243" s="1019"/>
      <c r="C243" s="1019"/>
      <c r="D243" s="1019"/>
      <c r="E243" s="1019"/>
      <c r="F243" s="1019"/>
      <c r="G243" s="1020"/>
    </row>
    <row r="244" spans="1:8" ht="13.5" thickBot="1" x14ac:dyDescent="0.25">
      <c r="A244" s="707"/>
      <c r="B244" s="708"/>
      <c r="C244" s="708"/>
      <c r="D244" s="709"/>
      <c r="E244" s="708"/>
      <c r="F244" s="198"/>
      <c r="G244" s="199"/>
    </row>
    <row r="245" spans="1:8" ht="13.5" thickTop="1" x14ac:dyDescent="0.2">
      <c r="A245" s="1023"/>
      <c r="B245" s="1024"/>
      <c r="C245" s="1024"/>
      <c r="D245" s="344" t="s">
        <v>11</v>
      </c>
      <c r="E245" s="1025" t="s">
        <v>12</v>
      </c>
      <c r="F245" s="1025"/>
      <c r="G245" s="1026"/>
    </row>
    <row r="246" spans="1:8" ht="27.75" customHeight="1" x14ac:dyDescent="0.2">
      <c r="A246" s="1010" t="s">
        <v>17</v>
      </c>
      <c r="B246" s="1011"/>
      <c r="C246" s="1011"/>
      <c r="D246" s="121"/>
      <c r="E246" s="1027"/>
      <c r="F246" s="1028"/>
      <c r="G246" s="1029"/>
    </row>
    <row r="247" spans="1:8" x14ac:dyDescent="0.2">
      <c r="A247" s="1010" t="s">
        <v>38</v>
      </c>
      <c r="B247" s="1011"/>
      <c r="C247" s="1011"/>
      <c r="D247" s="710" t="s">
        <v>147</v>
      </c>
      <c r="E247" s="1012" t="s">
        <v>142</v>
      </c>
      <c r="F247" s="1012"/>
      <c r="G247" s="1013"/>
    </row>
    <row r="248" spans="1:8" ht="13.5" thickBot="1" x14ac:dyDescent="0.25">
      <c r="A248" s="1014" t="s">
        <v>39</v>
      </c>
      <c r="B248" s="1015"/>
      <c r="C248" s="1015"/>
      <c r="D248" s="125" t="s">
        <v>148</v>
      </c>
      <c r="E248" s="1016" t="s">
        <v>0</v>
      </c>
      <c r="F248" s="1017"/>
      <c r="G248" s="1018"/>
    </row>
    <row r="249" spans="1:8" ht="16.5" x14ac:dyDescent="0.2">
      <c r="A249" s="997" t="s">
        <v>29</v>
      </c>
      <c r="B249" s="998"/>
      <c r="C249" s="998"/>
      <c r="D249" s="998"/>
      <c r="E249" s="998"/>
      <c r="F249" s="998"/>
      <c r="G249" s="999"/>
      <c r="H249" s="713">
        <v>6</v>
      </c>
    </row>
    <row r="250" spans="1:8" x14ac:dyDescent="0.2">
      <c r="A250" s="1000" t="s">
        <v>48</v>
      </c>
      <c r="B250" s="1001"/>
      <c r="C250" s="1001"/>
      <c r="D250" s="1001"/>
      <c r="E250" s="1001"/>
      <c r="F250" s="1001"/>
      <c r="G250" s="1002"/>
      <c r="H250" s="819"/>
    </row>
    <row r="251" spans="1:8" x14ac:dyDescent="0.2">
      <c r="A251" s="1003" t="s">
        <v>49</v>
      </c>
      <c r="B251" s="1004"/>
      <c r="C251" s="1004"/>
      <c r="D251" s="1004"/>
      <c r="E251" s="1004"/>
      <c r="F251" s="1004"/>
      <c r="G251" s="1005"/>
      <c r="H251" s="819"/>
    </row>
    <row r="252" spans="1:8" x14ac:dyDescent="0.2">
      <c r="A252" s="674"/>
      <c r="B252" s="675"/>
      <c r="C252" s="676"/>
      <c r="D252" s="677"/>
      <c r="E252" s="675"/>
      <c r="F252" s="678"/>
      <c r="G252" s="737" t="s">
        <v>3376</v>
      </c>
    </row>
    <row r="253" spans="1:8" x14ac:dyDescent="0.2">
      <c r="A253" s="680" t="s">
        <v>1</v>
      </c>
      <c r="B253" s="681"/>
      <c r="C253" s="682" t="s">
        <v>7</v>
      </c>
      <c r="D253" s="681"/>
      <c r="E253" s="683" t="s">
        <v>3576</v>
      </c>
      <c r="F253" s="684"/>
      <c r="G253" s="685" t="s">
        <v>3575</v>
      </c>
    </row>
    <row r="254" spans="1:8" x14ac:dyDescent="0.2">
      <c r="A254" s="686" t="s">
        <v>8</v>
      </c>
      <c r="B254" s="687"/>
      <c r="C254" s="688"/>
      <c r="D254" s="673"/>
      <c r="E254" s="1006"/>
      <c r="F254" s="1007"/>
      <c r="G254" s="689"/>
    </row>
    <row r="255" spans="1:8" x14ac:dyDescent="0.2">
      <c r="A255" s="690" t="s">
        <v>37</v>
      </c>
      <c r="B255" s="261"/>
      <c r="C255" s="261"/>
      <c r="D255" s="261"/>
      <c r="E255" s="691" t="s">
        <v>46</v>
      </c>
      <c r="F255" s="692"/>
      <c r="G255" s="689" t="s">
        <v>50</v>
      </c>
    </row>
    <row r="256" spans="1:8" x14ac:dyDescent="0.2">
      <c r="A256" s="674"/>
      <c r="B256" s="675"/>
      <c r="C256" s="676"/>
      <c r="D256" s="676"/>
      <c r="E256" s="1008"/>
      <c r="F256" s="1009"/>
      <c r="G256" s="693"/>
    </row>
    <row r="257" spans="1:8" ht="26.25" customHeight="1" thickBot="1" x14ac:dyDescent="0.25">
      <c r="A257" s="694" t="s">
        <v>47</v>
      </c>
      <c r="B257" s="110" t="s">
        <v>23</v>
      </c>
      <c r="C257" s="110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8" ht="12.75" customHeight="1" thickTop="1" x14ac:dyDescent="0.2">
      <c r="A258" s="825"/>
      <c r="B258" s="826"/>
      <c r="C258" s="826"/>
      <c r="D258" s="826" t="s">
        <v>160</v>
      </c>
      <c r="E258" s="562"/>
      <c r="F258" s="563"/>
      <c r="G258" s="849">
        <f>G242</f>
        <v>585027.03</v>
      </c>
    </row>
    <row r="259" spans="1:8" x14ac:dyDescent="0.2">
      <c r="A259" s="695">
        <v>99</v>
      </c>
      <c r="B259" s="776"/>
      <c r="C259" s="714" t="s">
        <v>177</v>
      </c>
      <c r="D259" s="821" t="s">
        <v>3370</v>
      </c>
      <c r="E259" s="204">
        <v>10</v>
      </c>
      <c r="F259" s="816">
        <v>827.5</v>
      </c>
      <c r="G259" s="697">
        <f>F259*E259</f>
        <v>8275</v>
      </c>
      <c r="H259" s="782"/>
    </row>
    <row r="260" spans="1:8" x14ac:dyDescent="0.2">
      <c r="A260" s="695"/>
      <c r="B260" s="776"/>
      <c r="C260" s="714"/>
      <c r="D260" s="821" t="s">
        <v>3369</v>
      </c>
      <c r="E260" s="204"/>
      <c r="F260" s="816"/>
      <c r="G260" s="697"/>
      <c r="H260" s="782"/>
    </row>
    <row r="261" spans="1:8" x14ac:dyDescent="0.2">
      <c r="A261" s="695">
        <v>100</v>
      </c>
      <c r="B261" s="698"/>
      <c r="C261" s="119" t="s">
        <v>177</v>
      </c>
      <c r="D261" s="792" t="s">
        <v>3276</v>
      </c>
      <c r="E261" s="108">
        <v>10</v>
      </c>
      <c r="F261" s="163">
        <v>450</v>
      </c>
      <c r="G261" s="697">
        <f t="shared" ref="G261:G290" si="5">F261*E261</f>
        <v>4500</v>
      </c>
      <c r="H261" s="840"/>
    </row>
    <row r="262" spans="1:8" x14ac:dyDescent="0.2">
      <c r="A262" s="695">
        <v>101</v>
      </c>
      <c r="B262" s="776"/>
      <c r="C262" s="777" t="s">
        <v>177</v>
      </c>
      <c r="D262" s="792" t="s">
        <v>2949</v>
      </c>
      <c r="E262" s="779">
        <v>10</v>
      </c>
      <c r="F262" s="780">
        <v>1450</v>
      </c>
      <c r="G262" s="697">
        <f t="shared" si="5"/>
        <v>14500</v>
      </c>
      <c r="H262" s="840"/>
    </row>
    <row r="263" spans="1:8" x14ac:dyDescent="0.2">
      <c r="A263" s="695">
        <v>102</v>
      </c>
      <c r="B263" s="105"/>
      <c r="C263" s="119" t="s">
        <v>177</v>
      </c>
      <c r="D263" s="376" t="s">
        <v>3277</v>
      </c>
      <c r="E263" s="108">
        <v>10</v>
      </c>
      <c r="F263" s="163">
        <v>590</v>
      </c>
      <c r="G263" s="697">
        <f t="shared" si="5"/>
        <v>5900</v>
      </c>
      <c r="H263" s="840"/>
    </row>
    <row r="264" spans="1:8" x14ac:dyDescent="0.2">
      <c r="A264" s="695">
        <v>103</v>
      </c>
      <c r="B264" s="786"/>
      <c r="C264" s="777" t="s">
        <v>177</v>
      </c>
      <c r="D264" s="787" t="s">
        <v>3337</v>
      </c>
      <c r="E264" s="779">
        <v>2</v>
      </c>
      <c r="F264" s="780">
        <v>1500</v>
      </c>
      <c r="G264" s="697">
        <f t="shared" si="5"/>
        <v>3000</v>
      </c>
      <c r="H264" s="840"/>
    </row>
    <row r="265" spans="1:8" x14ac:dyDescent="0.2">
      <c r="A265" s="695"/>
      <c r="B265" s="786"/>
      <c r="C265" s="777"/>
      <c r="D265" s="787" t="s">
        <v>2865</v>
      </c>
      <c r="E265" s="779"/>
      <c r="F265" s="780"/>
      <c r="G265" s="697"/>
      <c r="H265" s="840"/>
    </row>
    <row r="266" spans="1:8" x14ac:dyDescent="0.2">
      <c r="A266" s="695">
        <v>104</v>
      </c>
      <c r="B266" s="786"/>
      <c r="C266" s="777" t="s">
        <v>177</v>
      </c>
      <c r="D266" s="787" t="s">
        <v>2861</v>
      </c>
      <c r="E266" s="779">
        <v>15</v>
      </c>
      <c r="F266" s="780">
        <v>575</v>
      </c>
      <c r="G266" s="697">
        <f t="shared" si="5"/>
        <v>8625</v>
      </c>
      <c r="H266" s="840"/>
    </row>
    <row r="267" spans="1:8" x14ac:dyDescent="0.2">
      <c r="A267" s="695"/>
      <c r="B267" s="786"/>
      <c r="C267" s="777"/>
      <c r="D267" s="820" t="s">
        <v>2862</v>
      </c>
      <c r="E267" s="779"/>
      <c r="F267" s="780"/>
      <c r="G267" s="697"/>
      <c r="H267" s="840"/>
    </row>
    <row r="268" spans="1:8" x14ac:dyDescent="0.2">
      <c r="A268" s="695">
        <v>105</v>
      </c>
      <c r="B268" s="105"/>
      <c r="C268" s="119" t="s">
        <v>177</v>
      </c>
      <c r="D268" s="376" t="s">
        <v>2861</v>
      </c>
      <c r="E268" s="108">
        <v>2</v>
      </c>
      <c r="F268" s="163">
        <v>920</v>
      </c>
      <c r="G268" s="697">
        <f t="shared" si="5"/>
        <v>1840</v>
      </c>
      <c r="H268" s="840"/>
    </row>
    <row r="269" spans="1:8" x14ac:dyDescent="0.2">
      <c r="A269" s="695"/>
      <c r="B269" s="786"/>
      <c r="C269" s="777"/>
      <c r="D269" s="787" t="s">
        <v>2863</v>
      </c>
      <c r="E269" s="779"/>
      <c r="F269" s="780"/>
      <c r="G269" s="697"/>
      <c r="H269" s="840"/>
    </row>
    <row r="270" spans="1:8" x14ac:dyDescent="0.2">
      <c r="A270" s="695">
        <v>106</v>
      </c>
      <c r="B270" s="105"/>
      <c r="C270" s="119" t="s">
        <v>177</v>
      </c>
      <c r="D270" s="376" t="s">
        <v>2864</v>
      </c>
      <c r="E270" s="108">
        <v>10</v>
      </c>
      <c r="F270" s="150">
        <v>475</v>
      </c>
      <c r="G270" s="697">
        <f t="shared" si="5"/>
        <v>4750</v>
      </c>
      <c r="H270" s="781"/>
    </row>
    <row r="271" spans="1:8" x14ac:dyDescent="0.2">
      <c r="A271" s="695"/>
      <c r="B271" s="786"/>
      <c r="C271" s="777"/>
      <c r="D271" s="787" t="s">
        <v>2865</v>
      </c>
      <c r="E271" s="779"/>
      <c r="F271" s="812"/>
      <c r="G271" s="697"/>
    </row>
    <row r="272" spans="1:8" x14ac:dyDescent="0.2">
      <c r="A272" s="695">
        <v>107</v>
      </c>
      <c r="B272" s="105"/>
      <c r="C272" s="119" t="s">
        <v>153</v>
      </c>
      <c r="D272" s="383" t="s">
        <v>3365</v>
      </c>
      <c r="E272" s="108">
        <v>6</v>
      </c>
      <c r="F272" s="150">
        <v>1270</v>
      </c>
      <c r="G272" s="697">
        <f t="shared" si="5"/>
        <v>7620</v>
      </c>
    </row>
    <row r="273" spans="1:7" x14ac:dyDescent="0.2">
      <c r="A273" s="695"/>
      <c r="B273" s="786"/>
      <c r="C273" s="777"/>
      <c r="D273" s="778" t="s">
        <v>3366</v>
      </c>
      <c r="E273" s="779"/>
      <c r="F273" s="812"/>
      <c r="G273" s="697"/>
    </row>
    <row r="274" spans="1:7" x14ac:dyDescent="0.2">
      <c r="A274" s="695">
        <v>108</v>
      </c>
      <c r="B274" s="106"/>
      <c r="C274" s="119" t="s">
        <v>375</v>
      </c>
      <c r="D274" s="376" t="s">
        <v>3367</v>
      </c>
      <c r="E274" s="131">
        <v>6</v>
      </c>
      <c r="F274" s="163">
        <v>1850</v>
      </c>
      <c r="G274" s="697">
        <f t="shared" si="5"/>
        <v>11100</v>
      </c>
    </row>
    <row r="275" spans="1:7" x14ac:dyDescent="0.2">
      <c r="A275" s="695"/>
      <c r="B275" s="813"/>
      <c r="C275" s="777"/>
      <c r="D275" s="820" t="s">
        <v>3368</v>
      </c>
      <c r="E275" s="808"/>
      <c r="F275" s="780"/>
      <c r="G275" s="697"/>
    </row>
    <row r="276" spans="1:7" x14ac:dyDescent="0.2">
      <c r="A276" s="695">
        <v>109</v>
      </c>
      <c r="B276" s="105"/>
      <c r="C276" s="119" t="s">
        <v>177</v>
      </c>
      <c r="D276" s="376" t="s">
        <v>2855</v>
      </c>
      <c r="E276" s="205">
        <v>25</v>
      </c>
      <c r="F276" s="152">
        <v>615</v>
      </c>
      <c r="G276" s="697">
        <f t="shared" si="5"/>
        <v>15375</v>
      </c>
    </row>
    <row r="277" spans="1:7" x14ac:dyDescent="0.2">
      <c r="A277" s="695"/>
      <c r="B277" s="786"/>
      <c r="C277" s="777"/>
      <c r="D277" s="820" t="s">
        <v>2995</v>
      </c>
      <c r="E277" s="845"/>
      <c r="F277" s="847"/>
      <c r="G277" s="697"/>
    </row>
    <row r="278" spans="1:7" x14ac:dyDescent="0.2">
      <c r="A278" s="695">
        <v>110</v>
      </c>
      <c r="B278" s="700"/>
      <c r="C278" s="119" t="s">
        <v>177</v>
      </c>
      <c r="D278" s="376" t="s">
        <v>649</v>
      </c>
      <c r="E278" s="108">
        <v>5</v>
      </c>
      <c r="F278" s="163">
        <v>6700</v>
      </c>
      <c r="G278" s="697">
        <f t="shared" si="5"/>
        <v>33500</v>
      </c>
    </row>
    <row r="279" spans="1:7" x14ac:dyDescent="0.2">
      <c r="A279" s="695"/>
      <c r="B279" s="806"/>
      <c r="C279" s="777"/>
      <c r="D279" s="820" t="s">
        <v>3369</v>
      </c>
      <c r="E279" s="779"/>
      <c r="F279" s="780"/>
      <c r="G279" s="697"/>
    </row>
    <row r="280" spans="1:7" x14ac:dyDescent="0.2">
      <c r="A280" s="695">
        <v>111</v>
      </c>
      <c r="B280" s="700"/>
      <c r="C280" s="119" t="s">
        <v>177</v>
      </c>
      <c r="D280" s="136" t="s">
        <v>3278</v>
      </c>
      <c r="E280" s="108">
        <v>1</v>
      </c>
      <c r="F280" s="163">
        <v>588</v>
      </c>
      <c r="G280" s="697">
        <f t="shared" si="5"/>
        <v>588</v>
      </c>
    </row>
    <row r="281" spans="1:7" x14ac:dyDescent="0.2">
      <c r="A281" s="695">
        <v>112</v>
      </c>
      <c r="B281" s="698"/>
      <c r="C281" s="135" t="s">
        <v>177</v>
      </c>
      <c r="D281" s="259" t="s">
        <v>3371</v>
      </c>
      <c r="E281" s="244">
        <v>1</v>
      </c>
      <c r="F281" s="163">
        <v>1235</v>
      </c>
      <c r="G281" s="697">
        <f t="shared" si="5"/>
        <v>1235</v>
      </c>
    </row>
    <row r="282" spans="1:7" x14ac:dyDescent="0.2">
      <c r="A282" s="695"/>
      <c r="B282" s="776"/>
      <c r="C282" s="831"/>
      <c r="D282" s="832" t="s">
        <v>2990</v>
      </c>
      <c r="E282" s="846"/>
      <c r="F282" s="780"/>
      <c r="G282" s="697"/>
    </row>
    <row r="283" spans="1:7" x14ac:dyDescent="0.2">
      <c r="A283" s="695">
        <v>113</v>
      </c>
      <c r="B283" s="105"/>
      <c r="C283" s="119" t="s">
        <v>177</v>
      </c>
      <c r="D283" s="136" t="s">
        <v>3279</v>
      </c>
      <c r="E283" s="131">
        <v>1</v>
      </c>
      <c r="F283" s="717">
        <v>875</v>
      </c>
      <c r="G283" s="697">
        <f t="shared" si="5"/>
        <v>875</v>
      </c>
    </row>
    <row r="284" spans="1:7" x14ac:dyDescent="0.2">
      <c r="A284" s="695">
        <v>114</v>
      </c>
      <c r="B284" s="105"/>
      <c r="C284" s="119" t="s">
        <v>177</v>
      </c>
      <c r="D284" s="376" t="s">
        <v>3280</v>
      </c>
      <c r="E284" s="131">
        <v>5</v>
      </c>
      <c r="F284" s="717">
        <v>157.5</v>
      </c>
      <c r="G284" s="697">
        <f t="shared" si="5"/>
        <v>787.5</v>
      </c>
    </row>
    <row r="285" spans="1:7" x14ac:dyDescent="0.2">
      <c r="A285" s="695">
        <v>115</v>
      </c>
      <c r="B285" s="698"/>
      <c r="C285" s="119" t="s">
        <v>177</v>
      </c>
      <c r="D285" s="376" t="s">
        <v>3338</v>
      </c>
      <c r="E285" s="131">
        <v>10</v>
      </c>
      <c r="F285" s="717">
        <v>1800</v>
      </c>
      <c r="G285" s="697">
        <f t="shared" si="5"/>
        <v>18000</v>
      </c>
    </row>
    <row r="286" spans="1:7" x14ac:dyDescent="0.2">
      <c r="A286" s="695"/>
      <c r="B286" s="776"/>
      <c r="C286" s="777"/>
      <c r="D286" s="820" t="s">
        <v>2867</v>
      </c>
      <c r="E286" s="808"/>
      <c r="F286" s="814"/>
      <c r="G286" s="697"/>
    </row>
    <row r="287" spans="1:7" x14ac:dyDescent="0.2">
      <c r="A287" s="695">
        <v>116</v>
      </c>
      <c r="B287" s="698"/>
      <c r="C287" s="119" t="s">
        <v>177</v>
      </c>
      <c r="D287" s="376" t="s">
        <v>3339</v>
      </c>
      <c r="E287" s="131">
        <v>25</v>
      </c>
      <c r="F287" s="717">
        <v>390</v>
      </c>
      <c r="G287" s="697">
        <f t="shared" si="5"/>
        <v>9750</v>
      </c>
    </row>
    <row r="288" spans="1:7" x14ac:dyDescent="0.2">
      <c r="A288" s="695"/>
      <c r="B288" s="776"/>
      <c r="C288" s="777"/>
      <c r="D288" s="820" t="s">
        <v>2865</v>
      </c>
      <c r="E288" s="808"/>
      <c r="F288" s="814"/>
      <c r="G288" s="697"/>
    </row>
    <row r="289" spans="1:8" x14ac:dyDescent="0.2">
      <c r="A289" s="695">
        <v>117</v>
      </c>
      <c r="B289" s="698"/>
      <c r="C289" s="119" t="s">
        <v>185</v>
      </c>
      <c r="D289" s="136" t="s">
        <v>3281</v>
      </c>
      <c r="E289" s="131">
        <v>25</v>
      </c>
      <c r="F289" s="717">
        <v>90</v>
      </c>
      <c r="G289" s="697">
        <f t="shared" si="5"/>
        <v>2250</v>
      </c>
    </row>
    <row r="290" spans="1:8" x14ac:dyDescent="0.2">
      <c r="A290" s="695">
        <v>118</v>
      </c>
      <c r="B290" s="698"/>
      <c r="C290" s="119" t="s">
        <v>3282</v>
      </c>
      <c r="D290" s="136" t="s">
        <v>2952</v>
      </c>
      <c r="E290" s="131">
        <v>50</v>
      </c>
      <c r="F290" s="717">
        <v>6.75</v>
      </c>
      <c r="G290" s="697">
        <f t="shared" si="5"/>
        <v>337.5</v>
      </c>
    </row>
    <row r="291" spans="1:8" ht="13.5" thickBot="1" x14ac:dyDescent="0.25">
      <c r="A291" s="702"/>
      <c r="B291" s="703"/>
      <c r="C291" s="704"/>
      <c r="D291" s="704"/>
      <c r="E291" s="703"/>
      <c r="F291" s="705" t="s">
        <v>158</v>
      </c>
      <c r="G291" s="706">
        <f>SUM(G258:G290)</f>
        <v>737835.03</v>
      </c>
    </row>
    <row r="292" spans="1:8" ht="13.5" thickTop="1" x14ac:dyDescent="0.2">
      <c r="A292" s="1030" t="s">
        <v>280</v>
      </c>
      <c r="B292" s="1019"/>
      <c r="C292" s="1019"/>
      <c r="D292" s="1019"/>
      <c r="E292" s="1019"/>
      <c r="F292" s="1019"/>
      <c r="G292" s="1020"/>
    </row>
    <row r="293" spans="1:8" ht="13.5" thickBot="1" x14ac:dyDescent="0.25">
      <c r="A293" s="707"/>
      <c r="B293" s="708"/>
      <c r="C293" s="708"/>
      <c r="D293" s="709"/>
      <c r="E293" s="708"/>
      <c r="F293" s="198"/>
      <c r="G293" s="199"/>
    </row>
    <row r="294" spans="1:8" ht="13.5" thickTop="1" x14ac:dyDescent="0.2">
      <c r="A294" s="1023"/>
      <c r="B294" s="1024"/>
      <c r="C294" s="1024"/>
      <c r="D294" s="344" t="s">
        <v>11</v>
      </c>
      <c r="E294" s="1025" t="s">
        <v>12</v>
      </c>
      <c r="F294" s="1025"/>
      <c r="G294" s="1026"/>
    </row>
    <row r="295" spans="1:8" ht="27.75" customHeight="1" x14ac:dyDescent="0.2">
      <c r="A295" s="1010" t="s">
        <v>17</v>
      </c>
      <c r="B295" s="1011"/>
      <c r="C295" s="1011"/>
      <c r="D295" s="121"/>
      <c r="E295" s="1027"/>
      <c r="F295" s="1028"/>
      <c r="G295" s="1029"/>
    </row>
    <row r="296" spans="1:8" x14ac:dyDescent="0.2">
      <c r="A296" s="1010" t="s">
        <v>38</v>
      </c>
      <c r="B296" s="1011"/>
      <c r="C296" s="1011"/>
      <c r="D296" s="710" t="s">
        <v>147</v>
      </c>
      <c r="E296" s="1012" t="s">
        <v>142</v>
      </c>
      <c r="F296" s="1012"/>
      <c r="G296" s="1013"/>
    </row>
    <row r="297" spans="1:8" ht="13.5" thickBot="1" x14ac:dyDescent="0.25">
      <c r="A297" s="1014" t="s">
        <v>39</v>
      </c>
      <c r="B297" s="1015"/>
      <c r="C297" s="1015"/>
      <c r="D297" s="125" t="s">
        <v>148</v>
      </c>
      <c r="E297" s="1016" t="s">
        <v>0</v>
      </c>
      <c r="F297" s="1017"/>
      <c r="G297" s="1018"/>
    </row>
    <row r="298" spans="1:8" ht="16.5" x14ac:dyDescent="0.2">
      <c r="A298" s="997" t="s">
        <v>29</v>
      </c>
      <c r="B298" s="998"/>
      <c r="C298" s="998"/>
      <c r="D298" s="998"/>
      <c r="E298" s="998"/>
      <c r="F298" s="998"/>
      <c r="G298" s="999"/>
      <c r="H298" s="713">
        <v>7</v>
      </c>
    </row>
    <row r="299" spans="1:8" x14ac:dyDescent="0.2">
      <c r="A299" s="1000" t="s">
        <v>48</v>
      </c>
      <c r="B299" s="1001"/>
      <c r="C299" s="1001"/>
      <c r="D299" s="1001"/>
      <c r="E299" s="1001"/>
      <c r="F299" s="1001"/>
      <c r="G299" s="1002"/>
      <c r="H299" s="819"/>
    </row>
    <row r="300" spans="1:8" x14ac:dyDescent="0.2">
      <c r="A300" s="1003" t="s">
        <v>49</v>
      </c>
      <c r="B300" s="1004"/>
      <c r="C300" s="1004"/>
      <c r="D300" s="1004"/>
      <c r="E300" s="1004"/>
      <c r="F300" s="1004"/>
      <c r="G300" s="1005"/>
      <c r="H300" s="819"/>
    </row>
    <row r="301" spans="1:8" x14ac:dyDescent="0.2">
      <c r="A301" s="674"/>
      <c r="B301" s="675"/>
      <c r="C301" s="676"/>
      <c r="D301" s="677"/>
      <c r="E301" s="675"/>
      <c r="F301" s="678"/>
      <c r="G301" s="737" t="s">
        <v>3377</v>
      </c>
    </row>
    <row r="302" spans="1:8" x14ac:dyDescent="0.2">
      <c r="A302" s="680" t="s">
        <v>1</v>
      </c>
      <c r="B302" s="681"/>
      <c r="C302" s="682" t="s">
        <v>7</v>
      </c>
      <c r="D302" s="681"/>
      <c r="E302" s="683" t="s">
        <v>3576</v>
      </c>
      <c r="F302" s="684"/>
      <c r="G302" s="685" t="s">
        <v>3575</v>
      </c>
    </row>
    <row r="303" spans="1:8" x14ac:dyDescent="0.2">
      <c r="A303" s="686" t="s">
        <v>8</v>
      </c>
      <c r="B303" s="687"/>
      <c r="C303" s="688"/>
      <c r="D303" s="673"/>
      <c r="E303" s="1006"/>
      <c r="F303" s="1007"/>
      <c r="G303" s="689"/>
    </row>
    <row r="304" spans="1:8" x14ac:dyDescent="0.2">
      <c r="A304" s="690" t="s">
        <v>37</v>
      </c>
      <c r="B304" s="261"/>
      <c r="C304" s="261"/>
      <c r="D304" s="261"/>
      <c r="E304" s="691" t="s">
        <v>46</v>
      </c>
      <c r="F304" s="692"/>
      <c r="G304" s="689" t="s">
        <v>50</v>
      </c>
    </row>
    <row r="305" spans="1:9" x14ac:dyDescent="0.2">
      <c r="A305" s="674"/>
      <c r="B305" s="675"/>
      <c r="C305" s="676"/>
      <c r="D305" s="676"/>
      <c r="E305" s="1008"/>
      <c r="F305" s="1009"/>
      <c r="G305" s="693"/>
    </row>
    <row r="306" spans="1:9" ht="26.25" customHeight="1" thickBot="1" x14ac:dyDescent="0.25">
      <c r="A306" s="694" t="s">
        <v>47</v>
      </c>
      <c r="B306" s="110" t="s">
        <v>23</v>
      </c>
      <c r="C306" s="110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9" ht="12.75" customHeight="1" thickTop="1" x14ac:dyDescent="0.2">
      <c r="A307" s="825"/>
      <c r="B307" s="826"/>
      <c r="C307" s="826"/>
      <c r="D307" s="826" t="s">
        <v>160</v>
      </c>
      <c r="E307" s="562"/>
      <c r="F307" s="563"/>
      <c r="G307" s="849">
        <f>G291</f>
        <v>737835.03</v>
      </c>
    </row>
    <row r="308" spans="1:9" x14ac:dyDescent="0.2">
      <c r="A308" s="695">
        <v>119</v>
      </c>
      <c r="B308" s="698"/>
      <c r="C308" s="119" t="s">
        <v>177</v>
      </c>
      <c r="D308" s="376" t="s">
        <v>3340</v>
      </c>
      <c r="E308" s="131">
        <v>5</v>
      </c>
      <c r="F308" s="717">
        <v>520</v>
      </c>
      <c r="G308" s="697">
        <f>F308*E308</f>
        <v>2600</v>
      </c>
    </row>
    <row r="309" spans="1:9" x14ac:dyDescent="0.2">
      <c r="A309" s="695"/>
      <c r="B309" s="776"/>
      <c r="C309" s="777"/>
      <c r="D309" s="820" t="s">
        <v>3333</v>
      </c>
      <c r="E309" s="808"/>
      <c r="F309" s="814"/>
      <c r="G309" s="697"/>
    </row>
    <row r="310" spans="1:9" x14ac:dyDescent="0.2">
      <c r="A310" s="695">
        <v>120</v>
      </c>
      <c r="B310" s="698"/>
      <c r="C310" s="119" t="s">
        <v>177</v>
      </c>
      <c r="D310" s="144" t="s">
        <v>3283</v>
      </c>
      <c r="E310" s="131">
        <v>1</v>
      </c>
      <c r="F310" s="717">
        <v>1200</v>
      </c>
      <c r="G310" s="697">
        <f t="shared" ref="G310:G339" si="6">F310*E310</f>
        <v>1200</v>
      </c>
    </row>
    <row r="311" spans="1:9" x14ac:dyDescent="0.2">
      <c r="A311" s="695">
        <v>121</v>
      </c>
      <c r="B311" s="696"/>
      <c r="C311" s="344" t="s">
        <v>177</v>
      </c>
      <c r="D311" s="822" t="s">
        <v>2836</v>
      </c>
      <c r="E311" s="823">
        <v>25</v>
      </c>
      <c r="F311" s="824">
        <v>295</v>
      </c>
      <c r="G311" s="697">
        <f t="shared" si="6"/>
        <v>7375</v>
      </c>
      <c r="H311" s="782"/>
      <c r="I311" s="720"/>
    </row>
    <row r="312" spans="1:9" x14ac:dyDescent="0.2">
      <c r="A312" s="695">
        <v>122</v>
      </c>
      <c r="B312" s="776"/>
      <c r="C312" s="777" t="s">
        <v>177</v>
      </c>
      <c r="D312" s="820" t="s">
        <v>2835</v>
      </c>
      <c r="E312" s="667">
        <v>25</v>
      </c>
      <c r="F312" s="780">
        <v>420</v>
      </c>
      <c r="G312" s="697">
        <f t="shared" si="6"/>
        <v>10500</v>
      </c>
      <c r="H312" s="782"/>
    </row>
    <row r="313" spans="1:9" x14ac:dyDescent="0.2">
      <c r="A313" s="695">
        <v>123</v>
      </c>
      <c r="B313" s="698"/>
      <c r="C313" s="119" t="s">
        <v>177</v>
      </c>
      <c r="D313" s="370" t="s">
        <v>3341</v>
      </c>
      <c r="E313" s="158">
        <v>2</v>
      </c>
      <c r="F313" s="163">
        <v>975</v>
      </c>
      <c r="G313" s="697">
        <f t="shared" si="6"/>
        <v>1950</v>
      </c>
      <c r="H313" s="782"/>
    </row>
    <row r="314" spans="1:9" x14ac:dyDescent="0.2">
      <c r="A314" s="695"/>
      <c r="B314" s="776"/>
      <c r="C314" s="714"/>
      <c r="D314" s="666" t="s">
        <v>3342</v>
      </c>
      <c r="E314" s="204"/>
      <c r="F314" s="780"/>
      <c r="G314" s="697"/>
      <c r="H314" s="782"/>
    </row>
    <row r="315" spans="1:9" x14ac:dyDescent="0.2">
      <c r="A315" s="695">
        <v>124</v>
      </c>
      <c r="B315" s="698"/>
      <c r="C315" s="714" t="s">
        <v>177</v>
      </c>
      <c r="D315" s="259" t="s">
        <v>3343</v>
      </c>
      <c r="E315" s="204">
        <v>2</v>
      </c>
      <c r="F315" s="149">
        <v>1750</v>
      </c>
      <c r="G315" s="697">
        <f t="shared" si="6"/>
        <v>3500</v>
      </c>
      <c r="H315" s="782"/>
    </row>
    <row r="316" spans="1:9" x14ac:dyDescent="0.2">
      <c r="A316" s="695"/>
      <c r="B316" s="776"/>
      <c r="C316" s="714"/>
      <c r="D316" s="821" t="s">
        <v>3344</v>
      </c>
      <c r="E316" s="204"/>
      <c r="F316" s="816"/>
      <c r="G316" s="697"/>
      <c r="H316" s="782"/>
    </row>
    <row r="317" spans="1:9" x14ac:dyDescent="0.2">
      <c r="A317" s="695">
        <v>125</v>
      </c>
      <c r="B317" s="776"/>
      <c r="C317" s="714" t="s">
        <v>177</v>
      </c>
      <c r="D317" s="821" t="s">
        <v>2905</v>
      </c>
      <c r="E317" s="204">
        <v>10</v>
      </c>
      <c r="F317" s="816">
        <v>220</v>
      </c>
      <c r="G317" s="697">
        <f t="shared" si="6"/>
        <v>2200</v>
      </c>
      <c r="H317" s="782"/>
    </row>
    <row r="318" spans="1:9" x14ac:dyDescent="0.2">
      <c r="A318" s="695">
        <v>126</v>
      </c>
      <c r="B318" s="698"/>
      <c r="C318" s="119" t="s">
        <v>185</v>
      </c>
      <c r="D318" s="792" t="s">
        <v>3284</v>
      </c>
      <c r="E318" s="108">
        <v>8</v>
      </c>
      <c r="F318" s="163">
        <v>27</v>
      </c>
      <c r="G318" s="697">
        <f t="shared" si="6"/>
        <v>216</v>
      </c>
      <c r="H318" s="108">
        <v>10</v>
      </c>
    </row>
    <row r="319" spans="1:9" x14ac:dyDescent="0.2">
      <c r="A319" s="695">
        <v>127</v>
      </c>
      <c r="B319" s="776"/>
      <c r="C319" s="777" t="s">
        <v>177</v>
      </c>
      <c r="D319" s="792" t="s">
        <v>2837</v>
      </c>
      <c r="E319" s="779">
        <v>25</v>
      </c>
      <c r="F319" s="780">
        <v>150</v>
      </c>
      <c r="G319" s="697">
        <f t="shared" si="6"/>
        <v>3750</v>
      </c>
      <c r="H319" s="840"/>
    </row>
    <row r="320" spans="1:9" x14ac:dyDescent="0.2">
      <c r="A320" s="695">
        <v>128</v>
      </c>
      <c r="B320" s="105"/>
      <c r="C320" s="119" t="s">
        <v>177</v>
      </c>
      <c r="D320" s="376" t="s">
        <v>3285</v>
      </c>
      <c r="E320" s="108">
        <v>1</v>
      </c>
      <c r="F320" s="163">
        <v>875</v>
      </c>
      <c r="G320" s="697">
        <f t="shared" si="6"/>
        <v>875</v>
      </c>
      <c r="H320" s="840"/>
    </row>
    <row r="321" spans="1:13" x14ac:dyDescent="0.2">
      <c r="A321" s="695">
        <v>129</v>
      </c>
      <c r="B321" s="786"/>
      <c r="C321" s="777" t="s">
        <v>177</v>
      </c>
      <c r="D321" s="787" t="s">
        <v>3345</v>
      </c>
      <c r="E321" s="779">
        <v>50</v>
      </c>
      <c r="F321" s="780">
        <v>575</v>
      </c>
      <c r="G321" s="697">
        <f t="shared" si="6"/>
        <v>28750</v>
      </c>
      <c r="H321" s="840"/>
    </row>
    <row r="322" spans="1:13" x14ac:dyDescent="0.2">
      <c r="A322" s="695"/>
      <c r="B322" s="786"/>
      <c r="C322" s="777"/>
      <c r="D322" s="787" t="s">
        <v>3346</v>
      </c>
      <c r="E322" s="779"/>
      <c r="F322" s="780"/>
      <c r="G322" s="697"/>
      <c r="H322" s="840"/>
    </row>
    <row r="323" spans="1:13" x14ac:dyDescent="0.2">
      <c r="A323" s="695">
        <v>130</v>
      </c>
      <c r="B323" s="786"/>
      <c r="C323" s="777" t="s">
        <v>177</v>
      </c>
      <c r="D323" s="820" t="s">
        <v>3286</v>
      </c>
      <c r="E323" s="779">
        <v>5</v>
      </c>
      <c r="F323" s="780">
        <v>297</v>
      </c>
      <c r="G323" s="697">
        <f t="shared" si="6"/>
        <v>1485</v>
      </c>
      <c r="H323" s="840"/>
    </row>
    <row r="324" spans="1:13" x14ac:dyDescent="0.2">
      <c r="A324" s="695">
        <v>131</v>
      </c>
      <c r="B324" s="105"/>
      <c r="C324" s="119" t="s">
        <v>177</v>
      </c>
      <c r="D324" s="376" t="s">
        <v>3347</v>
      </c>
      <c r="E324" s="108">
        <v>10</v>
      </c>
      <c r="F324" s="163">
        <v>240</v>
      </c>
      <c r="G324" s="697">
        <f t="shared" si="6"/>
        <v>2400</v>
      </c>
      <c r="H324" s="840"/>
    </row>
    <row r="325" spans="1:13" x14ac:dyDescent="0.2">
      <c r="A325" s="695"/>
      <c r="B325" s="786"/>
      <c r="C325" s="777"/>
      <c r="D325" s="787" t="s">
        <v>3348</v>
      </c>
      <c r="E325" s="779"/>
      <c r="F325" s="780"/>
      <c r="G325" s="697"/>
      <c r="H325" s="840"/>
      <c r="J325" s="119" t="s">
        <v>177</v>
      </c>
      <c r="K325" s="376" t="s">
        <v>3287</v>
      </c>
      <c r="L325" s="108">
        <v>1</v>
      </c>
      <c r="M325" s="150">
        <v>595</v>
      </c>
    </row>
    <row r="326" spans="1:13" x14ac:dyDescent="0.2">
      <c r="A326" s="695">
        <v>132</v>
      </c>
      <c r="B326" s="105"/>
      <c r="C326" s="119" t="s">
        <v>177</v>
      </c>
      <c r="D326" s="144" t="s">
        <v>3288</v>
      </c>
      <c r="E326" s="108">
        <v>1</v>
      </c>
      <c r="F326" s="150">
        <v>320</v>
      </c>
      <c r="G326" s="697">
        <f t="shared" si="6"/>
        <v>320</v>
      </c>
    </row>
    <row r="327" spans="1:13" x14ac:dyDescent="0.2">
      <c r="A327" s="695">
        <v>133</v>
      </c>
      <c r="B327" s="106"/>
      <c r="C327" s="119" t="s">
        <v>177</v>
      </c>
      <c r="D327" s="136" t="s">
        <v>3289</v>
      </c>
      <c r="E327" s="131">
        <v>5</v>
      </c>
      <c r="F327" s="163">
        <v>984</v>
      </c>
      <c r="G327" s="697">
        <f t="shared" si="6"/>
        <v>4920</v>
      </c>
    </row>
    <row r="328" spans="1:13" x14ac:dyDescent="0.2">
      <c r="A328" s="695">
        <v>134</v>
      </c>
      <c r="B328" s="105"/>
      <c r="C328" s="119" t="s">
        <v>185</v>
      </c>
      <c r="D328" s="136" t="s">
        <v>3290</v>
      </c>
      <c r="E328" s="205">
        <v>5</v>
      </c>
      <c r="F328" s="152">
        <v>57</v>
      </c>
      <c r="G328" s="697">
        <f t="shared" si="6"/>
        <v>285</v>
      </c>
    </row>
    <row r="329" spans="1:13" x14ac:dyDescent="0.2">
      <c r="A329" s="695">
        <v>135</v>
      </c>
      <c r="B329" s="700"/>
      <c r="C329" s="119" t="s">
        <v>177</v>
      </c>
      <c r="D329" s="136" t="s">
        <v>3291</v>
      </c>
      <c r="E329" s="108">
        <v>2</v>
      </c>
      <c r="F329" s="163">
        <v>345</v>
      </c>
      <c r="G329" s="697">
        <f t="shared" si="6"/>
        <v>690</v>
      </c>
    </row>
    <row r="330" spans="1:13" x14ac:dyDescent="0.2">
      <c r="A330" s="695">
        <v>136</v>
      </c>
      <c r="B330" s="696"/>
      <c r="C330" s="344" t="s">
        <v>187</v>
      </c>
      <c r="D330" s="822" t="s">
        <v>2954</v>
      </c>
      <c r="E330" s="823">
        <v>50</v>
      </c>
      <c r="F330" s="824">
        <v>25</v>
      </c>
      <c r="G330" s="697">
        <f t="shared" si="6"/>
        <v>1250</v>
      </c>
      <c r="H330" s="782"/>
      <c r="I330" s="720"/>
    </row>
    <row r="331" spans="1:13" x14ac:dyDescent="0.2">
      <c r="A331" s="695">
        <v>137</v>
      </c>
      <c r="B331" s="776"/>
      <c r="C331" s="777" t="s">
        <v>185</v>
      </c>
      <c r="D331" s="820" t="s">
        <v>3292</v>
      </c>
      <c r="E331" s="667">
        <v>5</v>
      </c>
      <c r="F331" s="780">
        <v>75</v>
      </c>
      <c r="G331" s="697">
        <f t="shared" si="6"/>
        <v>375</v>
      </c>
      <c r="H331" s="782"/>
    </row>
    <row r="332" spans="1:13" x14ac:dyDescent="0.2">
      <c r="A332" s="695">
        <v>138</v>
      </c>
      <c r="B332" s="698"/>
      <c r="C332" s="119" t="s">
        <v>185</v>
      </c>
      <c r="D332" s="370" t="s">
        <v>2956</v>
      </c>
      <c r="E332" s="158">
        <v>5</v>
      </c>
      <c r="F332" s="163">
        <v>42</v>
      </c>
      <c r="G332" s="697">
        <f t="shared" si="6"/>
        <v>210</v>
      </c>
      <c r="H332" s="782"/>
    </row>
    <row r="333" spans="1:13" x14ac:dyDescent="0.2">
      <c r="A333" s="695">
        <v>139</v>
      </c>
      <c r="B333" s="698"/>
      <c r="C333" s="714" t="s">
        <v>177</v>
      </c>
      <c r="D333" s="259" t="s">
        <v>3293</v>
      </c>
      <c r="E333" s="204">
        <v>1</v>
      </c>
      <c r="F333" s="149">
        <v>390</v>
      </c>
      <c r="G333" s="697">
        <f t="shared" si="6"/>
        <v>390</v>
      </c>
      <c r="H333" s="782"/>
    </row>
    <row r="334" spans="1:13" x14ac:dyDescent="0.2">
      <c r="A334" s="695">
        <v>140</v>
      </c>
      <c r="B334" s="776"/>
      <c r="C334" s="714" t="s">
        <v>185</v>
      </c>
      <c r="D334" s="821" t="s">
        <v>2958</v>
      </c>
      <c r="E334" s="204">
        <v>5</v>
      </c>
      <c r="F334" s="816">
        <v>38</v>
      </c>
      <c r="G334" s="697">
        <f t="shared" si="6"/>
        <v>190</v>
      </c>
      <c r="H334" s="782"/>
    </row>
    <row r="335" spans="1:13" x14ac:dyDescent="0.2">
      <c r="A335" s="695">
        <v>141</v>
      </c>
      <c r="B335" s="698"/>
      <c r="C335" s="119" t="s">
        <v>178</v>
      </c>
      <c r="D335" s="792" t="s">
        <v>3294</v>
      </c>
      <c r="E335" s="108">
        <v>10</v>
      </c>
      <c r="F335" s="163">
        <v>78</v>
      </c>
      <c r="G335" s="697">
        <f t="shared" si="6"/>
        <v>780</v>
      </c>
      <c r="H335" s="840"/>
    </row>
    <row r="336" spans="1:13" x14ac:dyDescent="0.2">
      <c r="A336" s="695">
        <v>142</v>
      </c>
      <c r="B336" s="776"/>
      <c r="C336" s="777" t="s">
        <v>177</v>
      </c>
      <c r="D336" s="792" t="s">
        <v>3295</v>
      </c>
      <c r="E336" s="779">
        <v>2</v>
      </c>
      <c r="F336" s="780">
        <v>650</v>
      </c>
      <c r="G336" s="697">
        <f t="shared" si="6"/>
        <v>1300</v>
      </c>
      <c r="H336" s="840"/>
    </row>
    <row r="337" spans="1:8" x14ac:dyDescent="0.2">
      <c r="A337" s="695">
        <v>143</v>
      </c>
      <c r="B337" s="105"/>
      <c r="C337" s="119" t="s">
        <v>177</v>
      </c>
      <c r="D337" s="376" t="s">
        <v>3349</v>
      </c>
      <c r="E337" s="108">
        <v>10</v>
      </c>
      <c r="F337" s="163">
        <v>4550</v>
      </c>
      <c r="G337" s="697">
        <f t="shared" si="6"/>
        <v>45500</v>
      </c>
      <c r="H337" s="840"/>
    </row>
    <row r="338" spans="1:8" x14ac:dyDescent="0.2">
      <c r="A338" s="695"/>
      <c r="B338" s="786"/>
      <c r="C338" s="777"/>
      <c r="D338" s="787" t="s">
        <v>3350</v>
      </c>
      <c r="E338" s="779"/>
      <c r="F338" s="780"/>
      <c r="G338" s="697"/>
      <c r="H338" s="840"/>
    </row>
    <row r="339" spans="1:8" x14ac:dyDescent="0.2">
      <c r="A339" s="695">
        <v>144</v>
      </c>
      <c r="B339" s="786"/>
      <c r="C339" s="777" t="s">
        <v>177</v>
      </c>
      <c r="D339" s="787" t="s">
        <v>3351</v>
      </c>
      <c r="E339" s="779">
        <v>5</v>
      </c>
      <c r="F339" s="780">
        <v>6200</v>
      </c>
      <c r="G339" s="697">
        <f t="shared" si="6"/>
        <v>31000</v>
      </c>
      <c r="H339" s="840"/>
    </row>
    <row r="340" spans="1:8" x14ac:dyDescent="0.2">
      <c r="A340" s="695"/>
      <c r="B340" s="786"/>
      <c r="C340" s="777"/>
      <c r="D340" s="787" t="s">
        <v>3352</v>
      </c>
      <c r="E340" s="779"/>
      <c r="F340" s="780"/>
      <c r="G340" s="697"/>
      <c r="H340" s="840"/>
    </row>
    <row r="341" spans="1:8" ht="13.5" thickBot="1" x14ac:dyDescent="0.25">
      <c r="A341" s="702"/>
      <c r="B341" s="703"/>
      <c r="C341" s="704"/>
      <c r="D341" s="704"/>
      <c r="E341" s="703"/>
      <c r="F341" s="705" t="s">
        <v>158</v>
      </c>
      <c r="G341" s="706">
        <f>SUM(G307:G340)</f>
        <v>891846.03</v>
      </c>
    </row>
    <row r="342" spans="1:8" ht="13.5" thickTop="1" x14ac:dyDescent="0.2">
      <c r="A342" s="1030" t="s">
        <v>280</v>
      </c>
      <c r="B342" s="1019"/>
      <c r="C342" s="1019"/>
      <c r="D342" s="1019"/>
      <c r="E342" s="1019"/>
      <c r="F342" s="1019"/>
      <c r="G342" s="1020"/>
    </row>
    <row r="343" spans="1:8" ht="13.5" thickBot="1" x14ac:dyDescent="0.25">
      <c r="A343" s="707"/>
      <c r="B343" s="708"/>
      <c r="C343" s="708"/>
      <c r="D343" s="709"/>
      <c r="E343" s="708"/>
      <c r="F343" s="198"/>
      <c r="G343" s="199"/>
    </row>
    <row r="344" spans="1:8" ht="13.5" thickTop="1" x14ac:dyDescent="0.2">
      <c r="A344" s="1023"/>
      <c r="B344" s="1024"/>
      <c r="C344" s="1024"/>
      <c r="D344" s="344" t="s">
        <v>11</v>
      </c>
      <c r="E344" s="1025" t="s">
        <v>12</v>
      </c>
      <c r="F344" s="1025"/>
      <c r="G344" s="1026"/>
    </row>
    <row r="345" spans="1:8" ht="27.75" customHeight="1" x14ac:dyDescent="0.2">
      <c r="A345" s="1010" t="s">
        <v>17</v>
      </c>
      <c r="B345" s="1011"/>
      <c r="C345" s="1011"/>
      <c r="D345" s="121"/>
      <c r="E345" s="1027"/>
      <c r="F345" s="1028"/>
      <c r="G345" s="1029"/>
    </row>
    <row r="346" spans="1:8" x14ac:dyDescent="0.2">
      <c r="A346" s="1010" t="s">
        <v>38</v>
      </c>
      <c r="B346" s="1011"/>
      <c r="C346" s="1011"/>
      <c r="D346" s="710" t="s">
        <v>147</v>
      </c>
      <c r="E346" s="1012" t="s">
        <v>142</v>
      </c>
      <c r="F346" s="1012"/>
      <c r="G346" s="1013"/>
    </row>
    <row r="347" spans="1:8" ht="13.5" thickBot="1" x14ac:dyDescent="0.25">
      <c r="A347" s="1014" t="s">
        <v>39</v>
      </c>
      <c r="B347" s="1015"/>
      <c r="C347" s="1015"/>
      <c r="D347" s="125" t="s">
        <v>148</v>
      </c>
      <c r="E347" s="1016" t="s">
        <v>0</v>
      </c>
      <c r="F347" s="1017"/>
      <c r="G347" s="1018"/>
    </row>
    <row r="348" spans="1:8" ht="16.5" x14ac:dyDescent="0.2">
      <c r="A348" s="997" t="s">
        <v>29</v>
      </c>
      <c r="B348" s="998"/>
      <c r="C348" s="998"/>
      <c r="D348" s="998"/>
      <c r="E348" s="998"/>
      <c r="F348" s="998"/>
      <c r="G348" s="999"/>
      <c r="H348" s="713">
        <v>8</v>
      </c>
    </row>
    <row r="349" spans="1:8" x14ac:dyDescent="0.2">
      <c r="A349" s="1000" t="s">
        <v>48</v>
      </c>
      <c r="B349" s="1001"/>
      <c r="C349" s="1001"/>
      <c r="D349" s="1001"/>
      <c r="E349" s="1001"/>
      <c r="F349" s="1001"/>
      <c r="G349" s="1002"/>
      <c r="H349" s="819"/>
    </row>
    <row r="350" spans="1:8" x14ac:dyDescent="0.2">
      <c r="A350" s="1003" t="s">
        <v>49</v>
      </c>
      <c r="B350" s="1004"/>
      <c r="C350" s="1004"/>
      <c r="D350" s="1004"/>
      <c r="E350" s="1004"/>
      <c r="F350" s="1004"/>
      <c r="G350" s="1005"/>
      <c r="H350" s="819"/>
    </row>
    <row r="351" spans="1:8" x14ac:dyDescent="0.2">
      <c r="A351" s="674"/>
      <c r="B351" s="675"/>
      <c r="C351" s="676"/>
      <c r="D351" s="677"/>
      <c r="E351" s="675"/>
      <c r="F351" s="678"/>
      <c r="G351" s="737" t="s">
        <v>3378</v>
      </c>
    </row>
    <row r="352" spans="1:8" x14ac:dyDescent="0.2">
      <c r="A352" s="680" t="s">
        <v>1</v>
      </c>
      <c r="B352" s="681"/>
      <c r="C352" s="682" t="s">
        <v>7</v>
      </c>
      <c r="D352" s="681"/>
      <c r="E352" s="683" t="s">
        <v>3576</v>
      </c>
      <c r="F352" s="684"/>
      <c r="G352" s="685" t="s">
        <v>3575</v>
      </c>
    </row>
    <row r="353" spans="1:8" x14ac:dyDescent="0.2">
      <c r="A353" s="686" t="s">
        <v>8</v>
      </c>
      <c r="B353" s="687"/>
      <c r="C353" s="688"/>
      <c r="D353" s="673"/>
      <c r="E353" s="1006"/>
      <c r="F353" s="1007"/>
      <c r="G353" s="689"/>
    </row>
    <row r="354" spans="1:8" x14ac:dyDescent="0.2">
      <c r="A354" s="690" t="s">
        <v>37</v>
      </c>
      <c r="B354" s="261"/>
      <c r="C354" s="261"/>
      <c r="D354" s="261"/>
      <c r="E354" s="691" t="s">
        <v>46</v>
      </c>
      <c r="F354" s="692"/>
      <c r="G354" s="689" t="s">
        <v>50</v>
      </c>
    </row>
    <row r="355" spans="1:8" x14ac:dyDescent="0.2">
      <c r="A355" s="674"/>
      <c r="B355" s="675"/>
      <c r="C355" s="676"/>
      <c r="D355" s="676"/>
      <c r="E355" s="1008"/>
      <c r="F355" s="1009"/>
      <c r="G355" s="693"/>
    </row>
    <row r="356" spans="1:8" ht="26.25" customHeight="1" thickBot="1" x14ac:dyDescent="0.25">
      <c r="A356" s="694" t="s">
        <v>47</v>
      </c>
      <c r="B356" s="110" t="s">
        <v>23</v>
      </c>
      <c r="C356" s="110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8" ht="12.75" customHeight="1" thickTop="1" x14ac:dyDescent="0.2">
      <c r="A357" s="825"/>
      <c r="B357" s="826"/>
      <c r="C357" s="826"/>
      <c r="D357" s="826" t="s">
        <v>160</v>
      </c>
      <c r="E357" s="562"/>
      <c r="F357" s="563"/>
      <c r="G357" s="849">
        <f>G341</f>
        <v>891846.03</v>
      </c>
    </row>
    <row r="358" spans="1:8" x14ac:dyDescent="0.2">
      <c r="A358" s="695">
        <v>145</v>
      </c>
      <c r="B358" s="786"/>
      <c r="C358" s="777" t="s">
        <v>375</v>
      </c>
      <c r="D358" s="820" t="s">
        <v>2848</v>
      </c>
      <c r="E358" s="779">
        <v>500</v>
      </c>
      <c r="F358" s="780">
        <v>275</v>
      </c>
      <c r="G358" s="697">
        <f>F358*E358</f>
        <v>137500</v>
      </c>
      <c r="H358" s="840"/>
    </row>
    <row r="359" spans="1:8" x14ac:dyDescent="0.2">
      <c r="A359" s="695">
        <v>146</v>
      </c>
      <c r="B359" s="105"/>
      <c r="C359" s="119" t="s">
        <v>177</v>
      </c>
      <c r="D359" s="376" t="s">
        <v>2909</v>
      </c>
      <c r="E359" s="108">
        <v>2</v>
      </c>
      <c r="F359" s="163">
        <v>950</v>
      </c>
      <c r="G359" s="697">
        <f t="shared" ref="G359:G390" si="7">F359*E359</f>
        <v>1900</v>
      </c>
      <c r="H359" s="840"/>
    </row>
    <row r="360" spans="1:8" x14ac:dyDescent="0.2">
      <c r="A360" s="695">
        <v>147</v>
      </c>
      <c r="B360" s="105"/>
      <c r="C360" s="119" t="s">
        <v>177</v>
      </c>
      <c r="D360" s="376" t="s">
        <v>3001</v>
      </c>
      <c r="E360" s="108">
        <v>1</v>
      </c>
      <c r="F360" s="150">
        <v>120</v>
      </c>
      <c r="G360" s="697">
        <f t="shared" si="7"/>
        <v>120</v>
      </c>
      <c r="H360" s="781"/>
    </row>
    <row r="361" spans="1:8" x14ac:dyDescent="0.2">
      <c r="A361" s="695"/>
      <c r="B361" s="786"/>
      <c r="C361" s="777"/>
      <c r="D361" s="787" t="s">
        <v>3002</v>
      </c>
      <c r="E361" s="779"/>
      <c r="F361" s="812"/>
      <c r="G361" s="697"/>
    </row>
    <row r="362" spans="1:8" x14ac:dyDescent="0.2">
      <c r="A362" s="695">
        <v>148</v>
      </c>
      <c r="B362" s="105"/>
      <c r="C362" s="119" t="s">
        <v>177</v>
      </c>
      <c r="D362" s="144" t="s">
        <v>3296</v>
      </c>
      <c r="E362" s="108">
        <v>25</v>
      </c>
      <c r="F362" s="150">
        <v>375</v>
      </c>
      <c r="G362" s="697">
        <f t="shared" si="7"/>
        <v>9375</v>
      </c>
    </row>
    <row r="363" spans="1:8" x14ac:dyDescent="0.2">
      <c r="A363" s="695">
        <v>149</v>
      </c>
      <c r="B363" s="106"/>
      <c r="C363" s="119" t="s">
        <v>177</v>
      </c>
      <c r="D363" s="136" t="s">
        <v>2961</v>
      </c>
      <c r="E363" s="131">
        <v>3</v>
      </c>
      <c r="F363" s="163">
        <v>246</v>
      </c>
      <c r="G363" s="697">
        <f t="shared" si="7"/>
        <v>738</v>
      </c>
    </row>
    <row r="364" spans="1:8" x14ac:dyDescent="0.2">
      <c r="A364" s="695">
        <v>150</v>
      </c>
      <c r="B364" s="105"/>
      <c r="C364" s="119" t="s">
        <v>177</v>
      </c>
      <c r="D364" s="136" t="s">
        <v>2838</v>
      </c>
      <c r="E364" s="205">
        <v>50</v>
      </c>
      <c r="F364" s="152">
        <v>90</v>
      </c>
      <c r="G364" s="697">
        <f t="shared" si="7"/>
        <v>4500</v>
      </c>
    </row>
    <row r="365" spans="1:8" x14ac:dyDescent="0.2">
      <c r="A365" s="695">
        <v>151</v>
      </c>
      <c r="B365" s="700"/>
      <c r="C365" s="119" t="s">
        <v>185</v>
      </c>
      <c r="D365" s="136" t="s">
        <v>2962</v>
      </c>
      <c r="E365" s="108">
        <v>50</v>
      </c>
      <c r="F365" s="163">
        <v>32</v>
      </c>
      <c r="G365" s="697">
        <f t="shared" si="7"/>
        <v>1600</v>
      </c>
    </row>
    <row r="366" spans="1:8" x14ac:dyDescent="0.2">
      <c r="A366" s="695">
        <v>152</v>
      </c>
      <c r="B366" s="700"/>
      <c r="C366" s="119" t="s">
        <v>185</v>
      </c>
      <c r="D366" s="136" t="s">
        <v>2963</v>
      </c>
      <c r="E366" s="108">
        <v>25</v>
      </c>
      <c r="F366" s="163">
        <v>29.75</v>
      </c>
      <c r="G366" s="697">
        <f t="shared" si="7"/>
        <v>743.75</v>
      </c>
    </row>
    <row r="367" spans="1:8" x14ac:dyDescent="0.2">
      <c r="A367" s="695">
        <v>153</v>
      </c>
      <c r="B367" s="698"/>
      <c r="C367" s="135" t="s">
        <v>185</v>
      </c>
      <c r="D367" s="259" t="s">
        <v>3003</v>
      </c>
      <c r="E367" s="244">
        <v>100</v>
      </c>
      <c r="F367" s="163">
        <v>37.5</v>
      </c>
      <c r="G367" s="697">
        <f t="shared" si="7"/>
        <v>3750</v>
      </c>
    </row>
    <row r="368" spans="1:8" x14ac:dyDescent="0.2">
      <c r="A368" s="695"/>
      <c r="B368" s="776"/>
      <c r="C368" s="831"/>
      <c r="D368" s="832" t="s">
        <v>2997</v>
      </c>
      <c r="E368" s="846"/>
      <c r="F368" s="780"/>
      <c r="G368" s="697"/>
    </row>
    <row r="369" spans="1:13" x14ac:dyDescent="0.2">
      <c r="A369" s="695">
        <v>154</v>
      </c>
      <c r="B369" s="105"/>
      <c r="C369" s="119" t="s">
        <v>177</v>
      </c>
      <c r="D369" s="136" t="s">
        <v>2849</v>
      </c>
      <c r="E369" s="131">
        <v>50</v>
      </c>
      <c r="F369" s="717">
        <v>125</v>
      </c>
      <c r="G369" s="697">
        <f t="shared" si="7"/>
        <v>6250</v>
      </c>
    </row>
    <row r="370" spans="1:13" x14ac:dyDescent="0.2">
      <c r="A370" s="695">
        <v>155</v>
      </c>
      <c r="B370" s="105"/>
      <c r="C370" s="119" t="s">
        <v>177</v>
      </c>
      <c r="D370" s="136" t="s">
        <v>3297</v>
      </c>
      <c r="E370" s="131">
        <v>25</v>
      </c>
      <c r="F370" s="717">
        <v>975</v>
      </c>
      <c r="G370" s="697">
        <f t="shared" si="7"/>
        <v>24375</v>
      </c>
    </row>
    <row r="371" spans="1:13" x14ac:dyDescent="0.2">
      <c r="A371" s="695">
        <v>156</v>
      </c>
      <c r="B371" s="698"/>
      <c r="C371" s="119" t="s">
        <v>177</v>
      </c>
      <c r="D371" s="136" t="s">
        <v>3298</v>
      </c>
      <c r="E371" s="131">
        <v>25</v>
      </c>
      <c r="F371" s="717">
        <v>950</v>
      </c>
      <c r="G371" s="697">
        <f t="shared" si="7"/>
        <v>23750</v>
      </c>
    </row>
    <row r="372" spans="1:13" x14ac:dyDescent="0.2">
      <c r="A372" s="695">
        <v>157</v>
      </c>
      <c r="B372" s="696"/>
      <c r="C372" s="344" t="s">
        <v>366</v>
      </c>
      <c r="D372" s="822" t="s">
        <v>3299</v>
      </c>
      <c r="E372" s="823">
        <v>9</v>
      </c>
      <c r="F372" s="824">
        <v>575</v>
      </c>
      <c r="G372" s="697">
        <f t="shared" si="7"/>
        <v>5175</v>
      </c>
      <c r="H372" s="823">
        <v>10</v>
      </c>
      <c r="I372" s="720"/>
    </row>
    <row r="373" spans="1:13" x14ac:dyDescent="0.2">
      <c r="A373" s="695">
        <v>158</v>
      </c>
      <c r="B373" s="776"/>
      <c r="C373" s="777" t="s">
        <v>185</v>
      </c>
      <c r="D373" s="787" t="s">
        <v>3004</v>
      </c>
      <c r="E373" s="667">
        <v>2</v>
      </c>
      <c r="F373" s="780">
        <v>75</v>
      </c>
      <c r="G373" s="697">
        <f t="shared" si="7"/>
        <v>150</v>
      </c>
      <c r="H373" s="667">
        <v>3</v>
      </c>
    </row>
    <row r="374" spans="1:13" x14ac:dyDescent="0.2">
      <c r="A374" s="695"/>
      <c r="B374" s="776"/>
      <c r="C374" s="777"/>
      <c r="D374" s="787" t="s">
        <v>3005</v>
      </c>
      <c r="E374" s="667"/>
      <c r="F374" s="780"/>
      <c r="G374" s="697"/>
      <c r="H374" s="782"/>
    </row>
    <row r="375" spans="1:13" x14ac:dyDescent="0.2">
      <c r="A375" s="695"/>
      <c r="B375" s="776"/>
      <c r="C375" s="777"/>
      <c r="D375" s="820" t="s">
        <v>3353</v>
      </c>
      <c r="E375" s="667"/>
      <c r="F375" s="780"/>
      <c r="G375" s="697"/>
      <c r="H375" s="782"/>
    </row>
    <row r="376" spans="1:13" x14ac:dyDescent="0.2">
      <c r="A376" s="695">
        <v>1549</v>
      </c>
      <c r="B376" s="698"/>
      <c r="C376" s="119" t="s">
        <v>177</v>
      </c>
      <c r="D376" s="370" t="s">
        <v>3300</v>
      </c>
      <c r="E376" s="158">
        <v>10</v>
      </c>
      <c r="F376" s="163">
        <v>420</v>
      </c>
      <c r="G376" s="697">
        <f t="shared" si="7"/>
        <v>4200</v>
      </c>
      <c r="H376" s="782"/>
    </row>
    <row r="377" spans="1:13" x14ac:dyDescent="0.2">
      <c r="A377" s="695">
        <v>160</v>
      </c>
      <c r="B377" s="698"/>
      <c r="C377" s="714" t="s">
        <v>375</v>
      </c>
      <c r="D377" s="259" t="s">
        <v>3354</v>
      </c>
      <c r="E377" s="204">
        <v>75</v>
      </c>
      <c r="F377" s="149">
        <v>295</v>
      </c>
      <c r="G377" s="697">
        <f t="shared" si="7"/>
        <v>22125</v>
      </c>
      <c r="H377" s="782"/>
    </row>
    <row r="378" spans="1:13" x14ac:dyDescent="0.2">
      <c r="A378" s="695"/>
      <c r="B378" s="776"/>
      <c r="C378" s="714"/>
      <c r="D378" s="821" t="s">
        <v>3355</v>
      </c>
      <c r="E378" s="204"/>
      <c r="F378" s="816"/>
      <c r="G378" s="697"/>
      <c r="H378" s="782"/>
    </row>
    <row r="379" spans="1:13" x14ac:dyDescent="0.2">
      <c r="A379" s="695">
        <v>161</v>
      </c>
      <c r="B379" s="776"/>
      <c r="C379" s="714" t="s">
        <v>177</v>
      </c>
      <c r="D379" s="821" t="s">
        <v>3301</v>
      </c>
      <c r="E379" s="204">
        <v>3</v>
      </c>
      <c r="F379" s="816">
        <v>1155</v>
      </c>
      <c r="G379" s="697">
        <f t="shared" si="7"/>
        <v>3465</v>
      </c>
      <c r="H379" s="782"/>
    </row>
    <row r="380" spans="1:13" x14ac:dyDescent="0.2">
      <c r="A380" s="695">
        <v>162</v>
      </c>
      <c r="B380" s="776"/>
      <c r="C380" s="777" t="s">
        <v>185</v>
      </c>
      <c r="D380" s="792" t="s">
        <v>3302</v>
      </c>
      <c r="E380" s="779">
        <v>3</v>
      </c>
      <c r="F380" s="780">
        <v>145</v>
      </c>
      <c r="G380" s="697">
        <f t="shared" si="7"/>
        <v>435</v>
      </c>
      <c r="H380" s="840"/>
    </row>
    <row r="381" spans="1:13" x14ac:dyDescent="0.2">
      <c r="A381" s="695">
        <v>163</v>
      </c>
      <c r="B381" s="105"/>
      <c r="C381" s="119" t="s">
        <v>177</v>
      </c>
      <c r="D381" s="376" t="s">
        <v>2850</v>
      </c>
      <c r="E381" s="108">
        <v>2</v>
      </c>
      <c r="F381" s="163">
        <v>295</v>
      </c>
      <c r="G381" s="697">
        <f t="shared" si="7"/>
        <v>590</v>
      </c>
      <c r="H381" s="840"/>
    </row>
    <row r="382" spans="1:13" x14ac:dyDescent="0.2">
      <c r="A382" s="695">
        <v>164</v>
      </c>
      <c r="B382" s="786"/>
      <c r="C382" s="777" t="s">
        <v>177</v>
      </c>
      <c r="D382" s="820" t="s">
        <v>3303</v>
      </c>
      <c r="E382" s="779">
        <v>15</v>
      </c>
      <c r="F382" s="780">
        <v>630</v>
      </c>
      <c r="G382" s="697">
        <f t="shared" si="7"/>
        <v>9450</v>
      </c>
      <c r="H382" s="840"/>
      <c r="J382" s="777" t="s">
        <v>375</v>
      </c>
      <c r="K382" s="787" t="s">
        <v>3356</v>
      </c>
      <c r="L382" s="779">
        <v>6</v>
      </c>
      <c r="M382" s="780">
        <v>1850</v>
      </c>
    </row>
    <row r="383" spans="1:13" x14ac:dyDescent="0.2">
      <c r="A383" s="695">
        <v>165</v>
      </c>
      <c r="B383" s="105"/>
      <c r="C383" s="119" t="s">
        <v>153</v>
      </c>
      <c r="D383" s="376" t="s">
        <v>3011</v>
      </c>
      <c r="E383" s="108">
        <v>10</v>
      </c>
      <c r="F383" s="163">
        <v>98.5</v>
      </c>
      <c r="G383" s="697">
        <f t="shared" si="7"/>
        <v>985</v>
      </c>
      <c r="H383" s="840"/>
      <c r="J383" s="777"/>
      <c r="K383" s="787" t="s">
        <v>3357</v>
      </c>
      <c r="L383" s="779"/>
      <c r="M383" s="780"/>
    </row>
    <row r="384" spans="1:13" x14ac:dyDescent="0.2">
      <c r="A384" s="695"/>
      <c r="B384" s="786"/>
      <c r="C384" s="777"/>
      <c r="D384" s="787" t="s">
        <v>3012</v>
      </c>
      <c r="E384" s="779"/>
      <c r="F384" s="780"/>
      <c r="G384" s="697"/>
      <c r="H384" s="840"/>
    </row>
    <row r="385" spans="1:8" x14ac:dyDescent="0.2">
      <c r="A385" s="695">
        <v>166</v>
      </c>
      <c r="B385" s="105"/>
      <c r="C385" s="119" t="s">
        <v>177</v>
      </c>
      <c r="D385" s="376" t="s">
        <v>3358</v>
      </c>
      <c r="E385" s="108">
        <v>2</v>
      </c>
      <c r="F385" s="150">
        <v>575</v>
      </c>
      <c r="G385" s="697">
        <f t="shared" si="7"/>
        <v>1150</v>
      </c>
      <c r="H385" s="781"/>
    </row>
    <row r="386" spans="1:8" x14ac:dyDescent="0.2">
      <c r="A386" s="695"/>
      <c r="B386" s="786"/>
      <c r="C386" s="777"/>
      <c r="D386" s="787" t="s">
        <v>2918</v>
      </c>
      <c r="E386" s="779"/>
      <c r="F386" s="812"/>
      <c r="G386" s="697"/>
    </row>
    <row r="387" spans="1:8" x14ac:dyDescent="0.2">
      <c r="A387" s="695">
        <v>167</v>
      </c>
      <c r="B387" s="105"/>
      <c r="C387" s="119" t="s">
        <v>153</v>
      </c>
      <c r="D387" s="144" t="s">
        <v>3304</v>
      </c>
      <c r="E387" s="108">
        <v>5</v>
      </c>
      <c r="F387" s="150">
        <v>135</v>
      </c>
      <c r="G387" s="697">
        <f t="shared" si="7"/>
        <v>675</v>
      </c>
    </row>
    <row r="388" spans="1:8" x14ac:dyDescent="0.2">
      <c r="A388" s="695">
        <v>168</v>
      </c>
      <c r="B388" s="106"/>
      <c r="C388" s="119" t="s">
        <v>177</v>
      </c>
      <c r="D388" s="136" t="s">
        <v>2913</v>
      </c>
      <c r="E388" s="131">
        <v>10</v>
      </c>
      <c r="F388" s="163">
        <v>175</v>
      </c>
      <c r="G388" s="697">
        <f t="shared" si="7"/>
        <v>1750</v>
      </c>
    </row>
    <row r="389" spans="1:8" x14ac:dyDescent="0.2">
      <c r="A389" s="695">
        <v>169</v>
      </c>
      <c r="B389" s="105"/>
      <c r="C389" s="119" t="s">
        <v>177</v>
      </c>
      <c r="D389" s="136" t="s">
        <v>2914</v>
      </c>
      <c r="E389" s="205">
        <v>6</v>
      </c>
      <c r="F389" s="152">
        <v>475</v>
      </c>
      <c r="G389" s="697">
        <f t="shared" si="7"/>
        <v>2850</v>
      </c>
      <c r="H389" s="205">
        <v>10</v>
      </c>
    </row>
    <row r="390" spans="1:8" x14ac:dyDescent="0.2">
      <c r="A390" s="695">
        <v>170</v>
      </c>
      <c r="B390" s="700"/>
      <c r="C390" s="119" t="s">
        <v>177</v>
      </c>
      <c r="D390" s="136" t="s">
        <v>3305</v>
      </c>
      <c r="E390" s="108">
        <v>5</v>
      </c>
      <c r="F390" s="163">
        <v>234</v>
      </c>
      <c r="G390" s="697">
        <f t="shared" si="7"/>
        <v>1170</v>
      </c>
    </row>
    <row r="391" spans="1:8" ht="13.5" thickBot="1" x14ac:dyDescent="0.25">
      <c r="A391" s="726"/>
      <c r="B391" s="703"/>
      <c r="C391" s="704"/>
      <c r="D391" s="704"/>
      <c r="E391" s="703"/>
      <c r="F391" s="705" t="s">
        <v>158</v>
      </c>
      <c r="G391" s="727">
        <f>SUM(G357:G390)</f>
        <v>1160617.78</v>
      </c>
    </row>
    <row r="392" spans="1:8" ht="13.5" thickTop="1" x14ac:dyDescent="0.2">
      <c r="A392" s="1030" t="s">
        <v>280</v>
      </c>
      <c r="B392" s="1019"/>
      <c r="C392" s="1019"/>
      <c r="D392" s="1019"/>
      <c r="E392" s="1019"/>
      <c r="F392" s="1019"/>
      <c r="G392" s="1020"/>
    </row>
    <row r="393" spans="1:8" ht="13.5" thickBot="1" x14ac:dyDescent="0.25">
      <c r="A393" s="707"/>
      <c r="B393" s="708"/>
      <c r="C393" s="708"/>
      <c r="D393" s="709"/>
      <c r="E393" s="708"/>
      <c r="F393" s="198"/>
      <c r="G393" s="199"/>
    </row>
    <row r="394" spans="1:8" ht="13.5" thickTop="1" x14ac:dyDescent="0.2">
      <c r="A394" s="1023"/>
      <c r="B394" s="1024"/>
      <c r="C394" s="1024"/>
      <c r="D394" s="344" t="s">
        <v>11</v>
      </c>
      <c r="E394" s="1025" t="s">
        <v>12</v>
      </c>
      <c r="F394" s="1025"/>
      <c r="G394" s="1026"/>
    </row>
    <row r="395" spans="1:8" ht="27.75" customHeight="1" x14ac:dyDescent="0.2">
      <c r="A395" s="1010" t="s">
        <v>17</v>
      </c>
      <c r="B395" s="1011"/>
      <c r="C395" s="1011"/>
      <c r="D395" s="121"/>
      <c r="E395" s="1027"/>
      <c r="F395" s="1028"/>
      <c r="G395" s="1029"/>
    </row>
    <row r="396" spans="1:8" x14ac:dyDescent="0.2">
      <c r="A396" s="1010" t="s">
        <v>38</v>
      </c>
      <c r="B396" s="1011"/>
      <c r="C396" s="1011"/>
      <c r="D396" s="710" t="s">
        <v>147</v>
      </c>
      <c r="E396" s="1012" t="s">
        <v>142</v>
      </c>
      <c r="F396" s="1012"/>
      <c r="G396" s="1013"/>
    </row>
    <row r="397" spans="1:8" ht="13.5" thickBot="1" x14ac:dyDescent="0.25">
      <c r="A397" s="1014" t="s">
        <v>39</v>
      </c>
      <c r="B397" s="1015"/>
      <c r="C397" s="1015"/>
      <c r="D397" s="125" t="s">
        <v>148</v>
      </c>
      <c r="E397" s="1016" t="s">
        <v>0</v>
      </c>
      <c r="F397" s="1017"/>
      <c r="G397" s="1018"/>
    </row>
    <row r="398" spans="1:8" ht="16.5" x14ac:dyDescent="0.2">
      <c r="A398" s="997" t="s">
        <v>29</v>
      </c>
      <c r="B398" s="998"/>
      <c r="C398" s="998"/>
      <c r="D398" s="998"/>
      <c r="E398" s="998"/>
      <c r="F398" s="998"/>
      <c r="G398" s="999"/>
      <c r="H398" s="713">
        <v>9</v>
      </c>
    </row>
    <row r="399" spans="1:8" x14ac:dyDescent="0.2">
      <c r="A399" s="1000" t="s">
        <v>48</v>
      </c>
      <c r="B399" s="1001"/>
      <c r="C399" s="1001"/>
      <c r="D399" s="1001"/>
      <c r="E399" s="1001"/>
      <c r="F399" s="1001"/>
      <c r="G399" s="1002"/>
      <c r="H399" s="819"/>
    </row>
    <row r="400" spans="1:8" x14ac:dyDescent="0.2">
      <c r="A400" s="1003" t="s">
        <v>49</v>
      </c>
      <c r="B400" s="1004"/>
      <c r="C400" s="1004"/>
      <c r="D400" s="1004"/>
      <c r="E400" s="1004"/>
      <c r="F400" s="1004"/>
      <c r="G400" s="1005"/>
      <c r="H400" s="819"/>
    </row>
    <row r="401" spans="1:7" x14ac:dyDescent="0.2">
      <c r="A401" s="674"/>
      <c r="B401" s="675"/>
      <c r="C401" s="676"/>
      <c r="D401" s="677"/>
      <c r="E401" s="675"/>
      <c r="F401" s="678"/>
      <c r="G401" s="737" t="s">
        <v>3379</v>
      </c>
    </row>
    <row r="402" spans="1:7" x14ac:dyDescent="0.2">
      <c r="A402" s="680" t="s">
        <v>1</v>
      </c>
      <c r="B402" s="681"/>
      <c r="C402" s="682" t="s">
        <v>7</v>
      </c>
      <c r="D402" s="681"/>
      <c r="E402" s="683" t="s">
        <v>3576</v>
      </c>
      <c r="F402" s="684"/>
      <c r="G402" s="685" t="s">
        <v>3575</v>
      </c>
    </row>
    <row r="403" spans="1:7" x14ac:dyDescent="0.2">
      <c r="A403" s="686" t="s">
        <v>8</v>
      </c>
      <c r="B403" s="687"/>
      <c r="C403" s="688"/>
      <c r="D403" s="673"/>
      <c r="E403" s="1006"/>
      <c r="F403" s="1007"/>
      <c r="G403" s="689"/>
    </row>
    <row r="404" spans="1:7" x14ac:dyDescent="0.2">
      <c r="A404" s="690" t="s">
        <v>37</v>
      </c>
      <c r="B404" s="261"/>
      <c r="C404" s="261"/>
      <c r="D404" s="261"/>
      <c r="E404" s="691" t="s">
        <v>46</v>
      </c>
      <c r="F404" s="692"/>
      <c r="G404" s="689" t="s">
        <v>50</v>
      </c>
    </row>
    <row r="405" spans="1:7" x14ac:dyDescent="0.2">
      <c r="A405" s="674"/>
      <c r="B405" s="675"/>
      <c r="C405" s="676"/>
      <c r="D405" s="676"/>
      <c r="E405" s="1008"/>
      <c r="F405" s="1009"/>
      <c r="G405" s="693"/>
    </row>
    <row r="406" spans="1:7" ht="26.25" customHeight="1" thickBot="1" x14ac:dyDescent="0.25">
      <c r="A406" s="694" t="s">
        <v>47</v>
      </c>
      <c r="B406" s="110" t="s">
        <v>23</v>
      </c>
      <c r="C406" s="110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2.75" customHeight="1" thickTop="1" x14ac:dyDescent="0.2">
      <c r="A407" s="825"/>
      <c r="B407" s="826"/>
      <c r="C407" s="826"/>
      <c r="D407" s="826" t="s">
        <v>160</v>
      </c>
      <c r="E407" s="562"/>
      <c r="F407" s="563"/>
      <c r="G407" s="849">
        <f>G391</f>
        <v>1160617.78</v>
      </c>
    </row>
    <row r="408" spans="1:7" x14ac:dyDescent="0.2">
      <c r="A408" s="695">
        <v>171</v>
      </c>
      <c r="B408" s="700"/>
      <c r="C408" s="119" t="s">
        <v>177</v>
      </c>
      <c r="D408" s="376" t="s">
        <v>3013</v>
      </c>
      <c r="E408" s="108">
        <v>50</v>
      </c>
      <c r="F408" s="163">
        <v>2420</v>
      </c>
      <c r="G408" s="697">
        <f>F408*E408</f>
        <v>121000</v>
      </c>
    </row>
    <row r="409" spans="1:7" x14ac:dyDescent="0.2">
      <c r="A409" s="695"/>
      <c r="B409" s="806"/>
      <c r="C409" s="777"/>
      <c r="D409" s="820" t="s">
        <v>3014</v>
      </c>
      <c r="E409" s="779"/>
      <c r="F409" s="780"/>
      <c r="G409" s="697"/>
    </row>
    <row r="410" spans="1:7" x14ac:dyDescent="0.2">
      <c r="A410" s="695">
        <v>172</v>
      </c>
      <c r="B410" s="698"/>
      <c r="C410" s="135" t="s">
        <v>177</v>
      </c>
      <c r="D410" s="259" t="s">
        <v>2967</v>
      </c>
      <c r="E410" s="244">
        <v>25</v>
      </c>
      <c r="F410" s="163">
        <v>1750</v>
      </c>
      <c r="G410" s="697">
        <f t="shared" ref="G410:G424" si="8">F410*E410</f>
        <v>43750</v>
      </c>
    </row>
    <row r="411" spans="1:7" x14ac:dyDescent="0.2">
      <c r="A411" s="695">
        <v>173</v>
      </c>
      <c r="B411" s="105"/>
      <c r="C411" s="119" t="s">
        <v>153</v>
      </c>
      <c r="D411" s="136" t="s">
        <v>2968</v>
      </c>
      <c r="E411" s="131">
        <v>10</v>
      </c>
      <c r="F411" s="717">
        <v>210</v>
      </c>
      <c r="G411" s="697">
        <f t="shared" si="8"/>
        <v>2100</v>
      </c>
    </row>
    <row r="412" spans="1:7" x14ac:dyDescent="0.2">
      <c r="A412" s="695">
        <v>174</v>
      </c>
      <c r="B412" s="105"/>
      <c r="C412" s="119" t="s">
        <v>153</v>
      </c>
      <c r="D412" s="376" t="s">
        <v>3359</v>
      </c>
      <c r="E412" s="131">
        <v>10</v>
      </c>
      <c r="F412" s="717">
        <v>195</v>
      </c>
      <c r="G412" s="697">
        <f t="shared" si="8"/>
        <v>1950</v>
      </c>
    </row>
    <row r="413" spans="1:7" x14ac:dyDescent="0.2">
      <c r="A413" s="695"/>
      <c r="B413" s="786"/>
      <c r="C413" s="777"/>
      <c r="D413" s="820" t="s">
        <v>3360</v>
      </c>
      <c r="E413" s="808"/>
      <c r="F413" s="814"/>
      <c r="G413" s="697"/>
    </row>
    <row r="414" spans="1:7" x14ac:dyDescent="0.2">
      <c r="A414" s="695">
        <v>175</v>
      </c>
      <c r="B414" s="698"/>
      <c r="C414" s="119" t="s">
        <v>177</v>
      </c>
      <c r="D414" s="376" t="s">
        <v>3361</v>
      </c>
      <c r="E414" s="131">
        <v>10</v>
      </c>
      <c r="F414" s="717">
        <v>775</v>
      </c>
      <c r="G414" s="697">
        <f t="shared" si="8"/>
        <v>7750</v>
      </c>
    </row>
    <row r="415" spans="1:7" x14ac:dyDescent="0.2">
      <c r="A415" s="695"/>
      <c r="B415" s="776"/>
      <c r="C415" s="777"/>
      <c r="D415" s="820" t="s">
        <v>2865</v>
      </c>
      <c r="E415" s="808"/>
      <c r="F415" s="814"/>
      <c r="G415" s="697"/>
    </row>
    <row r="416" spans="1:7" x14ac:dyDescent="0.2">
      <c r="A416" s="695">
        <v>176</v>
      </c>
      <c r="B416" s="698"/>
      <c r="C416" s="119" t="s">
        <v>177</v>
      </c>
      <c r="D416" s="136" t="s">
        <v>2841</v>
      </c>
      <c r="E416" s="131">
        <v>1</v>
      </c>
      <c r="F416" s="717">
        <v>900</v>
      </c>
      <c r="G416" s="697">
        <f t="shared" si="8"/>
        <v>900</v>
      </c>
    </row>
    <row r="417" spans="1:9" x14ac:dyDescent="0.2">
      <c r="A417" s="695">
        <v>177</v>
      </c>
      <c r="B417" s="698"/>
      <c r="C417" s="119" t="s">
        <v>177</v>
      </c>
      <c r="D417" s="376" t="s">
        <v>3306</v>
      </c>
      <c r="E417" s="131">
        <v>10</v>
      </c>
      <c r="F417" s="717">
        <v>1300</v>
      </c>
      <c r="G417" s="697">
        <f t="shared" si="8"/>
        <v>13000</v>
      </c>
    </row>
    <row r="418" spans="1:9" x14ac:dyDescent="0.2">
      <c r="A418" s="695">
        <v>178</v>
      </c>
      <c r="B418" s="698"/>
      <c r="C418" s="119" t="s">
        <v>177</v>
      </c>
      <c r="D418" s="136" t="s">
        <v>2842</v>
      </c>
      <c r="E418" s="131">
        <v>3</v>
      </c>
      <c r="F418" s="717">
        <v>1150</v>
      </c>
      <c r="G418" s="697">
        <f t="shared" si="8"/>
        <v>3450</v>
      </c>
    </row>
    <row r="419" spans="1:9" x14ac:dyDescent="0.2">
      <c r="A419" s="695">
        <v>179</v>
      </c>
      <c r="B419" s="698"/>
      <c r="C419" s="119" t="s">
        <v>177</v>
      </c>
      <c r="D419" s="136" t="s">
        <v>2843</v>
      </c>
      <c r="E419" s="131">
        <v>1</v>
      </c>
      <c r="F419" s="717">
        <v>550</v>
      </c>
      <c r="G419" s="697">
        <f t="shared" si="8"/>
        <v>550</v>
      </c>
    </row>
    <row r="420" spans="1:9" x14ac:dyDescent="0.2">
      <c r="A420" s="695">
        <v>180</v>
      </c>
      <c r="B420" s="698"/>
      <c r="C420" s="119" t="s">
        <v>177</v>
      </c>
      <c r="D420" s="383" t="s">
        <v>2870</v>
      </c>
      <c r="E420" s="131">
        <v>5</v>
      </c>
      <c r="F420" s="717">
        <v>1350</v>
      </c>
      <c r="G420" s="697">
        <f t="shared" si="8"/>
        <v>6750</v>
      </c>
    </row>
    <row r="421" spans="1:9" x14ac:dyDescent="0.2">
      <c r="A421" s="695"/>
      <c r="B421" s="776"/>
      <c r="C421" s="777"/>
      <c r="D421" s="778" t="s">
        <v>2871</v>
      </c>
      <c r="E421" s="808"/>
      <c r="F421" s="814"/>
      <c r="G421" s="697"/>
    </row>
    <row r="422" spans="1:9" x14ac:dyDescent="0.2">
      <c r="A422" s="695">
        <v>181</v>
      </c>
      <c r="B422" s="698"/>
      <c r="C422" s="119" t="s">
        <v>185</v>
      </c>
      <c r="D422" s="383" t="s">
        <v>3362</v>
      </c>
      <c r="E422" s="108">
        <v>10</v>
      </c>
      <c r="F422" s="163">
        <v>38</v>
      </c>
      <c r="G422" s="697">
        <f t="shared" si="8"/>
        <v>380</v>
      </c>
    </row>
    <row r="423" spans="1:9" x14ac:dyDescent="0.2">
      <c r="A423" s="695"/>
      <c r="B423" s="776"/>
      <c r="C423" s="777"/>
      <c r="D423" s="778" t="s">
        <v>3363</v>
      </c>
      <c r="E423" s="779"/>
      <c r="F423" s="780"/>
      <c r="G423" s="697"/>
    </row>
    <row r="424" spans="1:9" x14ac:dyDescent="0.2">
      <c r="A424" s="695">
        <v>182</v>
      </c>
      <c r="B424" s="698"/>
      <c r="C424" s="119" t="s">
        <v>185</v>
      </c>
      <c r="D424" s="376" t="s">
        <v>3364</v>
      </c>
      <c r="E424" s="108">
        <v>10</v>
      </c>
      <c r="F424" s="163">
        <v>47.5</v>
      </c>
      <c r="G424" s="697">
        <f t="shared" si="8"/>
        <v>475</v>
      </c>
    </row>
    <row r="425" spans="1:9" x14ac:dyDescent="0.2">
      <c r="A425" s="725"/>
      <c r="B425" s="776"/>
      <c r="C425" s="777"/>
      <c r="D425" s="820" t="s">
        <v>2997</v>
      </c>
      <c r="E425" s="779"/>
      <c r="F425" s="817"/>
      <c r="G425" s="124"/>
    </row>
    <row r="426" spans="1:9" x14ac:dyDescent="0.2">
      <c r="A426" s="695"/>
      <c r="B426" s="700"/>
      <c r="C426" s="119"/>
      <c r="D426" s="136"/>
      <c r="E426" s="108"/>
      <c r="F426" s="163"/>
      <c r="G426" s="697"/>
    </row>
    <row r="427" spans="1:9" x14ac:dyDescent="0.2">
      <c r="A427" s="695"/>
      <c r="B427" s="698"/>
      <c r="C427" s="135"/>
      <c r="D427" s="259"/>
      <c r="E427" s="244"/>
      <c r="F427" s="163"/>
      <c r="G427" s="697"/>
    </row>
    <row r="428" spans="1:9" x14ac:dyDescent="0.2">
      <c r="A428" s="695"/>
      <c r="B428" s="776"/>
      <c r="C428" s="831"/>
      <c r="D428" s="832"/>
      <c r="E428" s="846"/>
      <c r="F428" s="780"/>
      <c r="G428" s="697"/>
    </row>
    <row r="429" spans="1:9" x14ac:dyDescent="0.2">
      <c r="A429" s="695"/>
      <c r="B429" s="105"/>
      <c r="C429" s="119"/>
      <c r="D429" s="136"/>
      <c r="E429" s="131"/>
      <c r="F429" s="717"/>
      <c r="G429" s="697"/>
    </row>
    <row r="430" spans="1:9" x14ac:dyDescent="0.2">
      <c r="A430" s="695"/>
      <c r="B430" s="105"/>
      <c r="C430" s="119"/>
      <c r="D430" s="136"/>
      <c r="E430" s="131"/>
      <c r="F430" s="717"/>
      <c r="G430" s="697"/>
    </row>
    <row r="431" spans="1:9" x14ac:dyDescent="0.2">
      <c r="A431" s="695"/>
      <c r="B431" s="698"/>
      <c r="C431" s="119"/>
      <c r="D431" s="136"/>
      <c r="E431" s="131"/>
      <c r="F431" s="717"/>
      <c r="G431" s="697"/>
    </row>
    <row r="432" spans="1:9" x14ac:dyDescent="0.2">
      <c r="A432" s="695"/>
      <c r="B432" s="696"/>
      <c r="C432" s="344"/>
      <c r="D432" s="822"/>
      <c r="E432" s="823"/>
      <c r="F432" s="824"/>
      <c r="G432" s="697"/>
      <c r="H432" s="782"/>
      <c r="I432" s="720"/>
    </row>
    <row r="433" spans="1:8" x14ac:dyDescent="0.2">
      <c r="A433" s="695"/>
      <c r="B433" s="776"/>
      <c r="C433" s="777"/>
      <c r="D433" s="787"/>
      <c r="E433" s="667"/>
      <c r="F433" s="780"/>
      <c r="G433" s="697"/>
      <c r="H433" s="782"/>
    </row>
    <row r="434" spans="1:8" x14ac:dyDescent="0.2">
      <c r="A434" s="695"/>
      <c r="B434" s="776"/>
      <c r="C434" s="777"/>
      <c r="D434" s="787"/>
      <c r="E434" s="667"/>
      <c r="F434" s="780"/>
      <c r="G434" s="697"/>
      <c r="H434" s="782"/>
    </row>
    <row r="435" spans="1:8" x14ac:dyDescent="0.2">
      <c r="A435" s="695"/>
      <c r="B435" s="776"/>
      <c r="C435" s="777"/>
      <c r="D435" s="820"/>
      <c r="E435" s="667"/>
      <c r="F435" s="780"/>
      <c r="G435" s="697"/>
      <c r="H435" s="782"/>
    </row>
    <row r="436" spans="1:8" x14ac:dyDescent="0.2">
      <c r="A436" s="695"/>
      <c r="B436" s="698"/>
      <c r="C436" s="119"/>
      <c r="D436" s="370"/>
      <c r="E436" s="158"/>
      <c r="F436" s="163"/>
      <c r="G436" s="697"/>
      <c r="H436" s="782"/>
    </row>
    <row r="437" spans="1:8" x14ac:dyDescent="0.2">
      <c r="A437" s="695"/>
      <c r="B437" s="698"/>
      <c r="C437" s="714"/>
      <c r="D437" s="259"/>
      <c r="E437" s="204"/>
      <c r="F437" s="149"/>
      <c r="G437" s="697"/>
      <c r="H437" s="782"/>
    </row>
    <row r="438" spans="1:8" x14ac:dyDescent="0.2">
      <c r="A438" s="695"/>
      <c r="B438" s="776"/>
      <c r="C438" s="714"/>
      <c r="D438" s="821"/>
      <c r="E438" s="204"/>
      <c r="F438" s="816"/>
      <c r="G438" s="697"/>
      <c r="H438" s="782"/>
    </row>
    <row r="439" spans="1:8" x14ac:dyDescent="0.2">
      <c r="A439" s="695"/>
      <c r="B439" s="105"/>
      <c r="C439" s="119"/>
      <c r="D439" s="136"/>
      <c r="E439" s="131"/>
      <c r="F439" s="717"/>
      <c r="G439" s="697"/>
    </row>
    <row r="440" spans="1:8" ht="13.5" thickBot="1" x14ac:dyDescent="0.25">
      <c r="A440" s="726"/>
      <c r="B440" s="703"/>
      <c r="C440" s="704"/>
      <c r="D440" s="704"/>
      <c r="E440" s="703"/>
      <c r="F440" s="705" t="s">
        <v>15</v>
      </c>
      <c r="G440" s="727">
        <f>SUM(G407:G439)</f>
        <v>1362672.78</v>
      </c>
    </row>
    <row r="441" spans="1:8" ht="13.5" thickTop="1" x14ac:dyDescent="0.2">
      <c r="A441" s="1030" t="s">
        <v>280</v>
      </c>
      <c r="B441" s="1019"/>
      <c r="C441" s="1019"/>
      <c r="D441" s="1019"/>
      <c r="E441" s="1019"/>
      <c r="F441" s="1019"/>
      <c r="G441" s="1020"/>
    </row>
    <row r="442" spans="1:8" ht="13.5" thickBot="1" x14ac:dyDescent="0.25">
      <c r="A442" s="707"/>
      <c r="B442" s="708"/>
      <c r="C442" s="708"/>
      <c r="D442" s="709"/>
      <c r="E442" s="708"/>
      <c r="F442" s="198"/>
      <c r="G442" s="199"/>
    </row>
    <row r="443" spans="1:8" ht="13.5" thickTop="1" x14ac:dyDescent="0.2">
      <c r="A443" s="1023"/>
      <c r="B443" s="1024"/>
      <c r="C443" s="1024"/>
      <c r="D443" s="344" t="s">
        <v>11</v>
      </c>
      <c r="E443" s="1025" t="s">
        <v>12</v>
      </c>
      <c r="F443" s="1025"/>
      <c r="G443" s="1026"/>
    </row>
    <row r="444" spans="1:8" ht="27.75" customHeight="1" x14ac:dyDescent="0.2">
      <c r="A444" s="1010" t="s">
        <v>17</v>
      </c>
      <c r="B444" s="1011"/>
      <c r="C444" s="1011"/>
      <c r="D444" s="121"/>
      <c r="E444" s="1027"/>
      <c r="F444" s="1028"/>
      <c r="G444" s="1029"/>
    </row>
    <row r="445" spans="1:8" x14ac:dyDescent="0.2">
      <c r="A445" s="1010" t="s">
        <v>38</v>
      </c>
      <c r="B445" s="1011"/>
      <c r="C445" s="1011"/>
      <c r="D445" s="710" t="s">
        <v>147</v>
      </c>
      <c r="E445" s="1012" t="s">
        <v>142</v>
      </c>
      <c r="F445" s="1012"/>
      <c r="G445" s="1013"/>
    </row>
    <row r="446" spans="1:8" ht="13.5" thickBot="1" x14ac:dyDescent="0.25">
      <c r="A446" s="1014" t="s">
        <v>39</v>
      </c>
      <c r="B446" s="1015"/>
      <c r="C446" s="1015"/>
      <c r="D446" s="125" t="s">
        <v>148</v>
      </c>
      <c r="E446" s="1016" t="s">
        <v>0</v>
      </c>
      <c r="F446" s="1017"/>
      <c r="G446" s="1018"/>
    </row>
    <row r="447" spans="1:8" ht="16.5" x14ac:dyDescent="0.2">
      <c r="A447" s="997" t="s">
        <v>29</v>
      </c>
      <c r="B447" s="998"/>
      <c r="C447" s="998"/>
      <c r="D447" s="998"/>
      <c r="E447" s="998"/>
      <c r="F447" s="998"/>
      <c r="G447" s="999"/>
      <c r="H447" s="713">
        <v>10</v>
      </c>
    </row>
    <row r="448" spans="1:8" x14ac:dyDescent="0.2">
      <c r="A448" s="1000" t="s">
        <v>48</v>
      </c>
      <c r="B448" s="1001"/>
      <c r="C448" s="1001"/>
      <c r="D448" s="1001"/>
      <c r="E448" s="1001"/>
      <c r="F448" s="1001"/>
      <c r="G448" s="1002"/>
      <c r="H448" s="819">
        <v>46134</v>
      </c>
    </row>
    <row r="449" spans="1:9" x14ac:dyDescent="0.2">
      <c r="A449" s="1003" t="s">
        <v>49</v>
      </c>
      <c r="B449" s="1004"/>
      <c r="C449" s="1004"/>
      <c r="D449" s="1004"/>
      <c r="E449" s="1004"/>
      <c r="F449" s="1004"/>
      <c r="G449" s="1005"/>
      <c r="H449" s="819">
        <v>46139</v>
      </c>
    </row>
    <row r="450" spans="1:9" x14ac:dyDescent="0.2">
      <c r="A450" s="674"/>
      <c r="B450" s="675"/>
      <c r="C450" s="676"/>
      <c r="D450" s="677"/>
      <c r="E450" s="675"/>
      <c r="F450" s="678"/>
      <c r="G450" s="679" t="s">
        <v>20</v>
      </c>
    </row>
    <row r="451" spans="1:9" x14ac:dyDescent="0.2">
      <c r="A451" s="680" t="s">
        <v>1</v>
      </c>
      <c r="B451" s="681"/>
      <c r="C451" s="682" t="s">
        <v>7</v>
      </c>
      <c r="D451" s="681"/>
      <c r="E451" s="683" t="s">
        <v>3555</v>
      </c>
      <c r="F451" s="684"/>
      <c r="G451" s="685" t="s">
        <v>3551</v>
      </c>
    </row>
    <row r="452" spans="1:9" x14ac:dyDescent="0.2">
      <c r="A452" s="686" t="s">
        <v>8</v>
      </c>
      <c r="B452" s="687"/>
      <c r="C452" s="688"/>
      <c r="D452" s="673"/>
      <c r="E452" s="1006"/>
      <c r="F452" s="1007"/>
      <c r="G452" s="689"/>
    </row>
    <row r="453" spans="1:9" x14ac:dyDescent="0.2">
      <c r="A453" s="690" t="s">
        <v>37</v>
      </c>
      <c r="B453" s="261"/>
      <c r="C453" s="261"/>
      <c r="D453" s="261"/>
      <c r="E453" s="691" t="s">
        <v>46</v>
      </c>
      <c r="F453" s="692"/>
      <c r="G453" s="689" t="s">
        <v>50</v>
      </c>
    </row>
    <row r="454" spans="1:9" x14ac:dyDescent="0.2">
      <c r="A454" s="674"/>
      <c r="B454" s="675"/>
      <c r="C454" s="676"/>
      <c r="D454" s="676"/>
      <c r="E454" s="1008"/>
      <c r="F454" s="1009"/>
      <c r="G454" s="693"/>
    </row>
    <row r="455" spans="1:9" ht="26.25" customHeight="1" thickBot="1" x14ac:dyDescent="0.25">
      <c r="A455" s="694" t="s">
        <v>47</v>
      </c>
      <c r="B455" s="110" t="s">
        <v>23</v>
      </c>
      <c r="C455" s="110" t="s">
        <v>34</v>
      </c>
      <c r="D455" s="110" t="s">
        <v>53</v>
      </c>
      <c r="E455" s="114" t="s">
        <v>54</v>
      </c>
      <c r="F455" s="111" t="s">
        <v>55</v>
      </c>
      <c r="G455" s="112" t="s">
        <v>35</v>
      </c>
    </row>
    <row r="456" spans="1:9" s="720" customFormat="1" ht="12.75" customHeight="1" thickTop="1" x14ac:dyDescent="0.2">
      <c r="A456" s="842">
        <v>1</v>
      </c>
      <c r="B456" s="841"/>
      <c r="C456" s="841" t="s">
        <v>2771</v>
      </c>
      <c r="D456" s="565" t="s">
        <v>3528</v>
      </c>
      <c r="E456" s="859">
        <v>3000</v>
      </c>
      <c r="F456" s="858">
        <v>520</v>
      </c>
      <c r="G456" s="748">
        <f>F456*E456</f>
        <v>1560000</v>
      </c>
      <c r="H456" s="731"/>
    </row>
    <row r="457" spans="1:9" x14ac:dyDescent="0.2">
      <c r="A457" s="695"/>
      <c r="B457" s="696"/>
      <c r="C457" s="344"/>
      <c r="D457" s="822"/>
      <c r="E457" s="823"/>
      <c r="F457" s="824"/>
      <c r="G457" s="697"/>
      <c r="H457" s="782"/>
      <c r="I457" s="720"/>
    </row>
    <row r="458" spans="1:9" x14ac:dyDescent="0.2">
      <c r="A458" s="695"/>
      <c r="B458" s="776"/>
      <c r="C458" s="777"/>
      <c r="D458" s="820"/>
      <c r="E458" s="667"/>
      <c r="F458" s="780"/>
      <c r="G458" s="697"/>
      <c r="H458" s="782"/>
    </row>
    <row r="459" spans="1:9" x14ac:dyDescent="0.2">
      <c r="A459" s="695"/>
      <c r="B459" s="698"/>
      <c r="C459" s="119"/>
      <c r="D459" s="370"/>
      <c r="E459" s="158"/>
      <c r="F459" s="163"/>
      <c r="G459" s="697"/>
      <c r="H459" s="782"/>
    </row>
    <row r="460" spans="1:9" x14ac:dyDescent="0.2">
      <c r="A460" s="695"/>
      <c r="B460" s="698"/>
      <c r="C460" s="714"/>
      <c r="D460" s="259"/>
      <c r="E460" s="204"/>
      <c r="F460" s="149"/>
      <c r="G460" s="697"/>
      <c r="H460" s="782"/>
    </row>
    <row r="461" spans="1:9" x14ac:dyDescent="0.2">
      <c r="A461" s="695"/>
      <c r="B461" s="776"/>
      <c r="C461" s="714"/>
      <c r="D461" s="821"/>
      <c r="E461" s="204"/>
      <c r="F461" s="816"/>
      <c r="G461" s="697"/>
      <c r="H461" s="782"/>
    </row>
    <row r="462" spans="1:9" x14ac:dyDescent="0.2">
      <c r="A462" s="695"/>
      <c r="B462" s="698"/>
      <c r="C462" s="119"/>
      <c r="D462" s="792"/>
      <c r="E462" s="108"/>
      <c r="F462" s="163"/>
      <c r="G462" s="697"/>
      <c r="H462" s="840"/>
    </row>
    <row r="463" spans="1:9" x14ac:dyDescent="0.2">
      <c r="A463" s="695"/>
      <c r="B463" s="776"/>
      <c r="C463" s="777"/>
      <c r="D463" s="792"/>
      <c r="E463" s="779"/>
      <c r="F463" s="780"/>
      <c r="G463" s="697"/>
      <c r="H463" s="840"/>
    </row>
    <row r="464" spans="1:9" x14ac:dyDescent="0.2">
      <c r="A464" s="695"/>
      <c r="B464" s="105"/>
      <c r="C464" s="119"/>
      <c r="D464" s="376"/>
      <c r="E464" s="108"/>
      <c r="F464" s="163"/>
      <c r="G464" s="697"/>
      <c r="H464" s="840"/>
    </row>
    <row r="465" spans="1:8" x14ac:dyDescent="0.2">
      <c r="A465" s="695"/>
      <c r="B465" s="786"/>
      <c r="C465" s="777"/>
      <c r="D465" s="787"/>
      <c r="E465" s="779"/>
      <c r="F465" s="780"/>
      <c r="G465" s="697"/>
      <c r="H465" s="840"/>
    </row>
    <row r="466" spans="1:8" x14ac:dyDescent="0.2">
      <c r="A466" s="695"/>
      <c r="B466" s="786"/>
      <c r="C466" s="777"/>
      <c r="D466" s="820"/>
      <c r="E466" s="779"/>
      <c r="F466" s="780"/>
      <c r="G466" s="697"/>
      <c r="H466" s="840"/>
    </row>
    <row r="467" spans="1:8" x14ac:dyDescent="0.2">
      <c r="A467" s="695"/>
      <c r="B467" s="105"/>
      <c r="C467" s="119"/>
      <c r="D467" s="376"/>
      <c r="E467" s="108"/>
      <c r="F467" s="163"/>
      <c r="G467" s="697"/>
      <c r="H467" s="840"/>
    </row>
    <row r="468" spans="1:8" x14ac:dyDescent="0.2">
      <c r="A468" s="695"/>
      <c r="B468" s="105"/>
      <c r="C468" s="119"/>
      <c r="D468" s="376"/>
      <c r="E468" s="108"/>
      <c r="F468" s="150"/>
      <c r="G468" s="697"/>
      <c r="H468" s="781"/>
    </row>
    <row r="469" spans="1:8" x14ac:dyDescent="0.2">
      <c r="A469" s="695"/>
      <c r="B469" s="105"/>
      <c r="C469" s="119"/>
      <c r="D469" s="144"/>
      <c r="E469" s="108"/>
      <c r="F469" s="150"/>
      <c r="G469" s="697"/>
      <c r="H469" s="781"/>
    </row>
    <row r="470" spans="1:8" x14ac:dyDescent="0.2">
      <c r="A470" s="695"/>
      <c r="B470" s="106"/>
      <c r="C470" s="119"/>
      <c r="D470" s="136"/>
      <c r="E470" s="131"/>
      <c r="F470" s="163"/>
      <c r="G470" s="697"/>
    </row>
    <row r="471" spans="1:8" x14ac:dyDescent="0.2">
      <c r="A471" s="695"/>
      <c r="B471" s="105"/>
      <c r="C471" s="119"/>
      <c r="D471" s="136"/>
      <c r="E471" s="205"/>
      <c r="F471" s="152"/>
      <c r="G471" s="697"/>
    </row>
    <row r="472" spans="1:8" x14ac:dyDescent="0.2">
      <c r="A472" s="695"/>
      <c r="B472" s="700"/>
      <c r="C472" s="119"/>
      <c r="D472" s="136"/>
      <c r="E472" s="108"/>
      <c r="F472" s="163"/>
      <c r="G472" s="697"/>
    </row>
    <row r="473" spans="1:8" x14ac:dyDescent="0.2">
      <c r="A473" s="695"/>
      <c r="B473" s="700"/>
      <c r="C473" s="119"/>
      <c r="D473" s="136"/>
      <c r="E473" s="108"/>
      <c r="F473" s="163"/>
      <c r="G473" s="697"/>
    </row>
    <row r="474" spans="1:8" x14ac:dyDescent="0.2">
      <c r="A474" s="695"/>
      <c r="B474" s="698"/>
      <c r="C474" s="135"/>
      <c r="D474" s="259"/>
      <c r="E474" s="244"/>
      <c r="F474" s="163"/>
      <c r="G474" s="697"/>
    </row>
    <row r="475" spans="1:8" x14ac:dyDescent="0.2">
      <c r="A475" s="695"/>
      <c r="B475" s="105"/>
      <c r="C475" s="119"/>
      <c r="D475" s="136"/>
      <c r="E475" s="131"/>
      <c r="F475" s="717"/>
      <c r="G475" s="697"/>
    </row>
    <row r="476" spans="1:8" x14ac:dyDescent="0.2">
      <c r="A476" s="695"/>
      <c r="B476" s="105"/>
      <c r="C476" s="119"/>
      <c r="D476" s="136"/>
      <c r="E476" s="131"/>
      <c r="F476" s="717"/>
      <c r="G476" s="697"/>
    </row>
    <row r="477" spans="1:8" x14ac:dyDescent="0.2">
      <c r="A477" s="695"/>
      <c r="B477" s="698"/>
      <c r="C477" s="119"/>
      <c r="D477" s="136"/>
      <c r="E477" s="131"/>
      <c r="F477" s="717"/>
      <c r="G477" s="697"/>
    </row>
    <row r="478" spans="1:8" x14ac:dyDescent="0.2">
      <c r="A478" s="695"/>
      <c r="B478" s="698"/>
      <c r="C478" s="119"/>
      <c r="D478" s="136"/>
      <c r="E478" s="131"/>
      <c r="F478" s="717"/>
      <c r="G478" s="697"/>
    </row>
    <row r="479" spans="1:8" x14ac:dyDescent="0.2">
      <c r="A479" s="695"/>
      <c r="B479" s="698"/>
      <c r="C479" s="119"/>
      <c r="D479" s="136"/>
      <c r="E479" s="131"/>
      <c r="F479" s="717"/>
      <c r="G479" s="697"/>
    </row>
    <row r="480" spans="1:8" x14ac:dyDescent="0.2">
      <c r="A480" s="695"/>
      <c r="B480" s="698"/>
      <c r="C480" s="119"/>
      <c r="D480" s="136"/>
      <c r="E480" s="131"/>
      <c r="F480" s="717"/>
      <c r="G480" s="697"/>
    </row>
    <row r="481" spans="1:7" x14ac:dyDescent="0.2">
      <c r="A481" s="695"/>
      <c r="B481" s="698"/>
      <c r="C481" s="119"/>
      <c r="D481" s="136"/>
      <c r="E481" s="131"/>
      <c r="F481" s="717"/>
      <c r="G481" s="697"/>
    </row>
    <row r="482" spans="1:7" x14ac:dyDescent="0.2">
      <c r="A482" s="695"/>
      <c r="B482" s="698"/>
      <c r="C482" s="119"/>
      <c r="D482" s="144"/>
      <c r="E482" s="131"/>
      <c r="F482" s="717"/>
      <c r="G482" s="697"/>
    </row>
    <row r="483" spans="1:7" x14ac:dyDescent="0.2">
      <c r="A483" s="695"/>
      <c r="B483" s="698"/>
      <c r="C483" s="119"/>
      <c r="D483" s="144"/>
      <c r="E483" s="108"/>
      <c r="F483" s="163"/>
      <c r="G483" s="697"/>
    </row>
    <row r="484" spans="1:7" x14ac:dyDescent="0.2">
      <c r="A484" s="695"/>
      <c r="B484" s="698"/>
      <c r="C484" s="119"/>
      <c r="D484" s="136"/>
      <c r="E484" s="108"/>
      <c r="F484" s="163"/>
      <c r="G484" s="697"/>
    </row>
    <row r="485" spans="1:7" x14ac:dyDescent="0.2">
      <c r="A485" s="695"/>
      <c r="B485" s="776"/>
      <c r="C485" s="777"/>
      <c r="D485" s="820"/>
      <c r="E485" s="779"/>
      <c r="F485" s="780"/>
      <c r="G485" s="697"/>
    </row>
    <row r="486" spans="1:7" x14ac:dyDescent="0.2">
      <c r="A486" s="695"/>
      <c r="B486" s="698"/>
      <c r="C486" s="119"/>
      <c r="D486" s="136"/>
      <c r="E486" s="108"/>
      <c r="F486" s="163"/>
      <c r="G486" s="697"/>
    </row>
    <row r="487" spans="1:7" x14ac:dyDescent="0.2">
      <c r="A487" s="695"/>
      <c r="B487" s="776"/>
      <c r="C487" s="777"/>
      <c r="D487" s="820"/>
      <c r="E487" s="779"/>
      <c r="F487" s="780"/>
      <c r="G487" s="697"/>
    </row>
    <row r="488" spans="1:7" x14ac:dyDescent="0.2">
      <c r="A488" s="695"/>
      <c r="B488" s="698"/>
      <c r="C488" s="119"/>
      <c r="D488" s="136"/>
      <c r="E488" s="108"/>
      <c r="F488" s="163"/>
      <c r="G488" s="697"/>
    </row>
    <row r="489" spans="1:7" x14ac:dyDescent="0.2">
      <c r="A489" s="695"/>
      <c r="B489" s="698"/>
      <c r="C489" s="119"/>
      <c r="D489" s="136"/>
      <c r="E489" s="108"/>
      <c r="F489" s="163"/>
      <c r="G489" s="697"/>
    </row>
    <row r="490" spans="1:7" ht="13.5" thickBot="1" x14ac:dyDescent="0.25">
      <c r="A490" s="702"/>
      <c r="B490" s="703"/>
      <c r="C490" s="704"/>
      <c r="D490" s="704"/>
      <c r="E490" s="703"/>
      <c r="F490" s="705" t="s">
        <v>15</v>
      </c>
      <c r="G490" s="706">
        <f>SUM(G456:G489)</f>
        <v>1560000</v>
      </c>
    </row>
    <row r="491" spans="1:7" ht="13.5" thickTop="1" x14ac:dyDescent="0.2">
      <c r="A491" s="1030" t="s">
        <v>280</v>
      </c>
      <c r="B491" s="1019"/>
      <c r="C491" s="1019"/>
      <c r="D491" s="1019"/>
      <c r="E491" s="1019"/>
      <c r="F491" s="1019"/>
      <c r="G491" s="1020"/>
    </row>
    <row r="492" spans="1:7" ht="13.5" thickBot="1" x14ac:dyDescent="0.25">
      <c r="A492" s="707"/>
      <c r="B492" s="708"/>
      <c r="C492" s="708"/>
      <c r="D492" s="709"/>
      <c r="E492" s="708"/>
      <c r="F492" s="198"/>
      <c r="G492" s="199"/>
    </row>
    <row r="493" spans="1:7" ht="13.5" thickTop="1" x14ac:dyDescent="0.2">
      <c r="A493" s="1023"/>
      <c r="B493" s="1024"/>
      <c r="C493" s="1024"/>
      <c r="D493" s="344" t="s">
        <v>11</v>
      </c>
      <c r="E493" s="1025" t="s">
        <v>12</v>
      </c>
      <c r="F493" s="1025"/>
      <c r="G493" s="1026"/>
    </row>
    <row r="494" spans="1:7" ht="27.75" customHeight="1" x14ac:dyDescent="0.2">
      <c r="A494" s="1010" t="s">
        <v>17</v>
      </c>
      <c r="B494" s="1011"/>
      <c r="C494" s="1011"/>
      <c r="D494" s="121"/>
      <c r="E494" s="1027"/>
      <c r="F494" s="1028"/>
      <c r="G494" s="1029"/>
    </row>
    <row r="495" spans="1:7" x14ac:dyDescent="0.2">
      <c r="A495" s="1010" t="s">
        <v>38</v>
      </c>
      <c r="B495" s="1011"/>
      <c r="C495" s="1011"/>
      <c r="D495" s="710" t="s">
        <v>147</v>
      </c>
      <c r="E495" s="1012" t="s">
        <v>142</v>
      </c>
      <c r="F495" s="1012"/>
      <c r="G495" s="1013"/>
    </row>
    <row r="496" spans="1:7" ht="13.5" thickBot="1" x14ac:dyDescent="0.25">
      <c r="A496" s="1014" t="s">
        <v>39</v>
      </c>
      <c r="B496" s="1015"/>
      <c r="C496" s="1015"/>
      <c r="D496" s="125" t="s">
        <v>148</v>
      </c>
      <c r="E496" s="1016" t="s">
        <v>0</v>
      </c>
      <c r="F496" s="1017"/>
      <c r="G496" s="1018"/>
    </row>
  </sheetData>
  <mergeCells count="140">
    <mergeCell ref="A396:C396"/>
    <mergeCell ref="E396:G396"/>
    <mergeCell ref="A397:C397"/>
    <mergeCell ref="E397:G397"/>
    <mergeCell ref="A392:G392"/>
    <mergeCell ref="A394:C394"/>
    <mergeCell ref="E394:G394"/>
    <mergeCell ref="A395:C395"/>
    <mergeCell ref="E395:G395"/>
    <mergeCell ref="A348:G348"/>
    <mergeCell ref="A349:G349"/>
    <mergeCell ref="A350:G350"/>
    <mergeCell ref="E353:F353"/>
    <mergeCell ref="E355:F355"/>
    <mergeCell ref="A345:C345"/>
    <mergeCell ref="E345:G345"/>
    <mergeCell ref="A346:C346"/>
    <mergeCell ref="E346:G346"/>
    <mergeCell ref="A347:C347"/>
    <mergeCell ref="E347:G347"/>
    <mergeCell ref="E303:F303"/>
    <mergeCell ref="E305:F305"/>
    <mergeCell ref="A342:G342"/>
    <mergeCell ref="A344:C344"/>
    <mergeCell ref="E344:G344"/>
    <mergeCell ref="A297:C297"/>
    <mergeCell ref="E297:G297"/>
    <mergeCell ref="A298:G298"/>
    <mergeCell ref="A299:G299"/>
    <mergeCell ref="A300:G300"/>
    <mergeCell ref="A294:C294"/>
    <mergeCell ref="E294:G294"/>
    <mergeCell ref="A295:C295"/>
    <mergeCell ref="E295:G295"/>
    <mergeCell ref="A296:C296"/>
    <mergeCell ref="E296:G296"/>
    <mergeCell ref="A250:G250"/>
    <mergeCell ref="A251:G251"/>
    <mergeCell ref="E254:F254"/>
    <mergeCell ref="E256:F256"/>
    <mergeCell ref="A292:G292"/>
    <mergeCell ref="A247:C247"/>
    <mergeCell ref="E247:G247"/>
    <mergeCell ref="A248:C248"/>
    <mergeCell ref="E248:G248"/>
    <mergeCell ref="A249:G249"/>
    <mergeCell ref="A243:G243"/>
    <mergeCell ref="A245:C245"/>
    <mergeCell ref="E245:G245"/>
    <mergeCell ref="A246:C246"/>
    <mergeCell ref="E246:G246"/>
    <mergeCell ref="A199:G199"/>
    <mergeCell ref="A200:G200"/>
    <mergeCell ref="A201:G201"/>
    <mergeCell ref="E204:F204"/>
    <mergeCell ref="E206:F206"/>
    <mergeCell ref="A196:C196"/>
    <mergeCell ref="E196:G196"/>
    <mergeCell ref="A197:C197"/>
    <mergeCell ref="E197:G197"/>
    <mergeCell ref="A198:C198"/>
    <mergeCell ref="E198:G198"/>
    <mergeCell ref="E154:F154"/>
    <mergeCell ref="E156:F156"/>
    <mergeCell ref="A193:G193"/>
    <mergeCell ref="A195:C195"/>
    <mergeCell ref="E195:G195"/>
    <mergeCell ref="A148:C148"/>
    <mergeCell ref="E148:G148"/>
    <mergeCell ref="A149:G149"/>
    <mergeCell ref="A150:G150"/>
    <mergeCell ref="A151:G151"/>
    <mergeCell ref="A145:C145"/>
    <mergeCell ref="E145:G145"/>
    <mergeCell ref="A146:C146"/>
    <mergeCell ref="E146:G146"/>
    <mergeCell ref="A147:C147"/>
    <mergeCell ref="E147:G147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445:C445"/>
    <mergeCell ref="E445:G445"/>
    <mergeCell ref="A446:C446"/>
    <mergeCell ref="E446:G446"/>
    <mergeCell ref="A398:G398"/>
    <mergeCell ref="A399:G399"/>
    <mergeCell ref="A400:G400"/>
    <mergeCell ref="E403:F403"/>
    <mergeCell ref="E405:F405"/>
    <mergeCell ref="A441:G441"/>
    <mergeCell ref="A443:C443"/>
    <mergeCell ref="E443:G443"/>
    <mergeCell ref="A444:C444"/>
    <mergeCell ref="E444:G444"/>
    <mergeCell ref="A495:C495"/>
    <mergeCell ref="E495:G495"/>
    <mergeCell ref="A496:C496"/>
    <mergeCell ref="E496:G496"/>
    <mergeCell ref="A447:G447"/>
    <mergeCell ref="A448:G448"/>
    <mergeCell ref="A449:G449"/>
    <mergeCell ref="E452:F452"/>
    <mergeCell ref="E454:F454"/>
    <mergeCell ref="A491:G491"/>
    <mergeCell ref="A493:C493"/>
    <mergeCell ref="E493:G493"/>
    <mergeCell ref="A494:C494"/>
    <mergeCell ref="E494:G494"/>
  </mergeCells>
  <pageMargins left="0.51181102362204722" right="0.51181102362204722" top="0.78740157480314965" bottom="0.98425196850393704" header="0.31496062992125984" footer="0.31496062992125984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47"/>
  <sheetViews>
    <sheetView topLeftCell="A106" zoomScale="110" zoomScaleNormal="110" workbookViewId="0">
      <selection activeCell="L134" sqref="L134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7" style="250" customWidth="1"/>
    <col min="5" max="5" width="9" style="711" customWidth="1"/>
    <col min="6" max="6" width="12.140625" style="712" customWidth="1"/>
    <col min="7" max="7" width="14.85546875" style="250" customWidth="1"/>
    <col min="8" max="8" width="10.7109375" style="250" customWidth="1"/>
    <col min="9" max="9" width="9.28515625" style="250" bestFit="1" customWidth="1"/>
    <col min="10" max="10" width="10.42578125" style="250" bestFit="1" customWidth="1"/>
    <col min="11" max="11" width="9.28515625" style="250" bestFit="1" customWidth="1"/>
    <col min="12" max="12" width="10.28515625" style="250" bestFit="1" customWidth="1"/>
    <col min="13" max="14" width="9.140625" style="250"/>
    <col min="15" max="16" width="9.28515625" style="250" bestFit="1" customWidth="1"/>
    <col min="17" max="17" width="11.28515625" style="250" customWidth="1"/>
    <col min="18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>
        <v>46238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804">
        <v>46238</v>
      </c>
    </row>
    <row r="4" spans="1:8" x14ac:dyDescent="0.2">
      <c r="A4" s="674"/>
      <c r="B4" s="675"/>
      <c r="C4" s="676"/>
      <c r="D4" s="677"/>
      <c r="E4" s="675"/>
      <c r="F4" s="678"/>
      <c r="G4" s="737" t="s">
        <v>334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2922</v>
      </c>
      <c r="F5" s="684"/>
      <c r="G5" s="685" t="s">
        <v>2883</v>
      </c>
    </row>
    <row r="6" spans="1:8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895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695">
        <v>1</v>
      </c>
      <c r="B10" s="696"/>
      <c r="C10" s="385" t="s">
        <v>177</v>
      </c>
      <c r="D10" s="376" t="s">
        <v>2889</v>
      </c>
      <c r="E10" s="158">
        <v>1</v>
      </c>
      <c r="F10" s="70">
        <v>420</v>
      </c>
      <c r="G10" s="697">
        <f>F10*E10</f>
        <v>420</v>
      </c>
    </row>
    <row r="11" spans="1:8" x14ac:dyDescent="0.2">
      <c r="A11" s="695">
        <v>2</v>
      </c>
      <c r="B11" s="696"/>
      <c r="C11" s="385" t="s">
        <v>177</v>
      </c>
      <c r="D11" s="376" t="s">
        <v>2915</v>
      </c>
      <c r="E11" s="158">
        <v>1</v>
      </c>
      <c r="F11" s="70">
        <v>175</v>
      </c>
      <c r="G11" s="697">
        <f t="shared" ref="G11:G42" si="0">F11*E11</f>
        <v>175</v>
      </c>
    </row>
    <row r="12" spans="1:8" x14ac:dyDescent="0.2">
      <c r="A12" s="695"/>
      <c r="B12" s="696"/>
      <c r="C12" s="794"/>
      <c r="D12" s="787" t="s">
        <v>2916</v>
      </c>
      <c r="E12" s="667"/>
      <c r="F12" s="805"/>
      <c r="G12" s="697"/>
    </row>
    <row r="13" spans="1:8" x14ac:dyDescent="0.2">
      <c r="A13" s="695">
        <v>3</v>
      </c>
      <c r="B13" s="698"/>
      <c r="C13" s="385" t="s">
        <v>177</v>
      </c>
      <c r="D13" s="370" t="s">
        <v>2890</v>
      </c>
      <c r="E13" s="158">
        <v>3</v>
      </c>
      <c r="F13" s="70">
        <v>120</v>
      </c>
      <c r="G13" s="697">
        <f t="shared" si="0"/>
        <v>360</v>
      </c>
    </row>
    <row r="14" spans="1:8" x14ac:dyDescent="0.2">
      <c r="A14" s="695">
        <v>4</v>
      </c>
      <c r="B14" s="698"/>
      <c r="C14" s="385" t="s">
        <v>177</v>
      </c>
      <c r="D14" s="370" t="s">
        <v>2891</v>
      </c>
      <c r="E14" s="158">
        <v>2</v>
      </c>
      <c r="F14" s="70">
        <v>150</v>
      </c>
      <c r="G14" s="697">
        <f t="shared" si="0"/>
        <v>300</v>
      </c>
    </row>
    <row r="15" spans="1:8" x14ac:dyDescent="0.2">
      <c r="A15" s="695">
        <v>5</v>
      </c>
      <c r="B15" s="698"/>
      <c r="C15" s="385" t="s">
        <v>177</v>
      </c>
      <c r="D15" s="370" t="s">
        <v>2892</v>
      </c>
      <c r="E15" s="158">
        <v>2</v>
      </c>
      <c r="F15" s="263">
        <v>290</v>
      </c>
      <c r="G15" s="697">
        <f t="shared" si="0"/>
        <v>580</v>
      </c>
    </row>
    <row r="16" spans="1:8" x14ac:dyDescent="0.2">
      <c r="A16" s="695">
        <v>6</v>
      </c>
      <c r="B16" s="698"/>
      <c r="C16" s="385" t="s">
        <v>185</v>
      </c>
      <c r="D16" s="370" t="s">
        <v>2893</v>
      </c>
      <c r="E16" s="158">
        <v>3</v>
      </c>
      <c r="F16" s="263">
        <v>45</v>
      </c>
      <c r="G16" s="697">
        <f t="shared" si="0"/>
        <v>135</v>
      </c>
    </row>
    <row r="17" spans="1:8" x14ac:dyDescent="0.2">
      <c r="A17" s="695">
        <v>7</v>
      </c>
      <c r="B17" s="698"/>
      <c r="C17" s="385" t="s">
        <v>177</v>
      </c>
      <c r="D17" s="370" t="s">
        <v>2894</v>
      </c>
      <c r="E17" s="158">
        <v>1</v>
      </c>
      <c r="F17" s="263">
        <v>970</v>
      </c>
      <c r="G17" s="697">
        <f t="shared" si="0"/>
        <v>970</v>
      </c>
    </row>
    <row r="18" spans="1:8" x14ac:dyDescent="0.2">
      <c r="A18" s="695">
        <v>8</v>
      </c>
      <c r="B18" s="105"/>
      <c r="C18" s="385" t="s">
        <v>177</v>
      </c>
      <c r="D18" s="370" t="s">
        <v>2895</v>
      </c>
      <c r="E18" s="108">
        <v>1</v>
      </c>
      <c r="F18" s="70">
        <v>1200</v>
      </c>
      <c r="G18" s="697">
        <f t="shared" si="0"/>
        <v>1200</v>
      </c>
    </row>
    <row r="19" spans="1:8" x14ac:dyDescent="0.2">
      <c r="A19" s="695">
        <v>9</v>
      </c>
      <c r="B19" s="105"/>
      <c r="C19" s="385" t="s">
        <v>177</v>
      </c>
      <c r="D19" s="370" t="s">
        <v>2827</v>
      </c>
      <c r="E19" s="108">
        <v>10</v>
      </c>
      <c r="F19" s="70">
        <v>140</v>
      </c>
      <c r="G19" s="697">
        <f t="shared" si="0"/>
        <v>1400</v>
      </c>
    </row>
    <row r="20" spans="1:8" x14ac:dyDescent="0.2">
      <c r="A20" s="695">
        <v>10</v>
      </c>
      <c r="B20" s="105"/>
      <c r="C20" s="385" t="s">
        <v>177</v>
      </c>
      <c r="D20" s="376" t="s">
        <v>2828</v>
      </c>
      <c r="E20" s="108">
        <v>1</v>
      </c>
      <c r="F20" s="70">
        <v>695</v>
      </c>
      <c r="G20" s="697">
        <f t="shared" si="0"/>
        <v>695</v>
      </c>
    </row>
    <row r="21" spans="1:8" x14ac:dyDescent="0.2">
      <c r="A21" s="695">
        <v>11</v>
      </c>
      <c r="B21" s="105"/>
      <c r="C21" s="385" t="s">
        <v>185</v>
      </c>
      <c r="D21" s="376" t="s">
        <v>2896</v>
      </c>
      <c r="E21" s="108">
        <v>5</v>
      </c>
      <c r="F21" s="70">
        <v>42</v>
      </c>
      <c r="G21" s="697">
        <f t="shared" si="0"/>
        <v>210</v>
      </c>
    </row>
    <row r="22" spans="1:8" x14ac:dyDescent="0.2">
      <c r="A22" s="695">
        <v>12</v>
      </c>
      <c r="B22" s="105"/>
      <c r="C22" s="385" t="s">
        <v>177</v>
      </c>
      <c r="D22" s="376" t="s">
        <v>2829</v>
      </c>
      <c r="E22" s="108">
        <v>1</v>
      </c>
      <c r="F22" s="70">
        <v>675</v>
      </c>
      <c r="G22" s="697">
        <f t="shared" si="0"/>
        <v>675</v>
      </c>
    </row>
    <row r="23" spans="1:8" x14ac:dyDescent="0.2">
      <c r="A23" s="695">
        <v>13</v>
      </c>
      <c r="B23" s="105"/>
      <c r="C23" s="385" t="s">
        <v>185</v>
      </c>
      <c r="D23" s="376" t="s">
        <v>2897</v>
      </c>
      <c r="E23" s="108">
        <v>1</v>
      </c>
      <c r="F23" s="70">
        <v>220</v>
      </c>
      <c r="G23" s="697">
        <f t="shared" si="0"/>
        <v>220</v>
      </c>
    </row>
    <row r="24" spans="1:8" x14ac:dyDescent="0.2">
      <c r="A24" s="695">
        <v>14</v>
      </c>
      <c r="B24" s="698"/>
      <c r="C24" s="385" t="s">
        <v>177</v>
      </c>
      <c r="D24" s="376" t="s">
        <v>2898</v>
      </c>
      <c r="E24" s="108">
        <v>9</v>
      </c>
      <c r="F24" s="264">
        <v>950</v>
      </c>
      <c r="G24" s="697">
        <f t="shared" si="0"/>
        <v>8550</v>
      </c>
    </row>
    <row r="25" spans="1:8" x14ac:dyDescent="0.2">
      <c r="A25" s="695">
        <v>15</v>
      </c>
      <c r="B25" s="698"/>
      <c r="C25" s="794" t="s">
        <v>177</v>
      </c>
      <c r="D25" s="376" t="s">
        <v>2831</v>
      </c>
      <c r="E25" s="108">
        <v>1</v>
      </c>
      <c r="F25" s="264">
        <v>220</v>
      </c>
      <c r="G25" s="697">
        <f t="shared" si="0"/>
        <v>220</v>
      </c>
    </row>
    <row r="26" spans="1:8" x14ac:dyDescent="0.2">
      <c r="A26" s="695">
        <v>16</v>
      </c>
      <c r="B26" s="106"/>
      <c r="C26" s="794" t="s">
        <v>153</v>
      </c>
      <c r="D26" s="383" t="s">
        <v>2899</v>
      </c>
      <c r="E26" s="699">
        <v>1</v>
      </c>
      <c r="F26" s="70">
        <v>1189</v>
      </c>
      <c r="G26" s="697">
        <f t="shared" si="0"/>
        <v>1189</v>
      </c>
      <c r="H26" s="699">
        <v>5</v>
      </c>
    </row>
    <row r="27" spans="1:8" x14ac:dyDescent="0.2">
      <c r="A27" s="695">
        <v>17</v>
      </c>
      <c r="B27" s="106"/>
      <c r="C27" s="794" t="s">
        <v>177</v>
      </c>
      <c r="D27" s="383" t="s">
        <v>2900</v>
      </c>
      <c r="E27" s="699">
        <v>5</v>
      </c>
      <c r="F27" s="70">
        <v>119.5</v>
      </c>
      <c r="G27" s="697">
        <f t="shared" si="0"/>
        <v>597.5</v>
      </c>
    </row>
    <row r="28" spans="1:8" x14ac:dyDescent="0.2">
      <c r="A28" s="695">
        <v>18</v>
      </c>
      <c r="B28" s="106"/>
      <c r="C28" s="385" t="s">
        <v>185</v>
      </c>
      <c r="D28" s="376" t="s">
        <v>2901</v>
      </c>
      <c r="E28" s="131">
        <v>4</v>
      </c>
      <c r="F28" s="70">
        <v>395</v>
      </c>
      <c r="G28" s="697">
        <f t="shared" si="0"/>
        <v>1580</v>
      </c>
    </row>
    <row r="29" spans="1:8" x14ac:dyDescent="0.2">
      <c r="A29" s="695">
        <v>19</v>
      </c>
      <c r="B29" s="105"/>
      <c r="C29" s="794" t="s">
        <v>177</v>
      </c>
      <c r="D29" s="376" t="s">
        <v>2834</v>
      </c>
      <c r="E29" s="131">
        <v>1</v>
      </c>
      <c r="F29" s="70">
        <v>220</v>
      </c>
      <c r="G29" s="697">
        <f t="shared" si="0"/>
        <v>220</v>
      </c>
    </row>
    <row r="30" spans="1:8" x14ac:dyDescent="0.2">
      <c r="A30" s="695">
        <v>20</v>
      </c>
      <c r="B30" s="700"/>
      <c r="C30" s="794" t="s">
        <v>177</v>
      </c>
      <c r="D30" s="376" t="s">
        <v>2902</v>
      </c>
      <c r="E30" s="108">
        <v>1</v>
      </c>
      <c r="F30" s="265">
        <v>600</v>
      </c>
      <c r="G30" s="697">
        <f t="shared" si="0"/>
        <v>600</v>
      </c>
    </row>
    <row r="31" spans="1:8" x14ac:dyDescent="0.2">
      <c r="A31" s="695">
        <v>21</v>
      </c>
      <c r="B31" s="700"/>
      <c r="C31" s="794" t="s">
        <v>177</v>
      </c>
      <c r="D31" s="376" t="s">
        <v>2917</v>
      </c>
      <c r="E31" s="108">
        <v>1</v>
      </c>
      <c r="F31" s="265">
        <v>220</v>
      </c>
      <c r="G31" s="697">
        <f t="shared" si="0"/>
        <v>220</v>
      </c>
    </row>
    <row r="32" spans="1:8" x14ac:dyDescent="0.2">
      <c r="A32" s="695"/>
      <c r="B32" s="806"/>
      <c r="C32" s="794"/>
      <c r="D32" s="787" t="s">
        <v>2918</v>
      </c>
      <c r="E32" s="779"/>
      <c r="F32" s="807"/>
      <c r="G32" s="697"/>
    </row>
    <row r="33" spans="1:7" x14ac:dyDescent="0.2">
      <c r="A33" s="695">
        <v>22</v>
      </c>
      <c r="B33" s="698"/>
      <c r="C33" s="794" t="s">
        <v>177</v>
      </c>
      <c r="D33" s="376" t="s">
        <v>2903</v>
      </c>
      <c r="E33" s="108">
        <v>2</v>
      </c>
      <c r="F33" s="70">
        <v>1600</v>
      </c>
      <c r="G33" s="697">
        <f t="shared" si="0"/>
        <v>3200</v>
      </c>
    </row>
    <row r="34" spans="1:7" x14ac:dyDescent="0.2">
      <c r="A34" s="695">
        <v>23</v>
      </c>
      <c r="B34" s="698"/>
      <c r="C34" s="794" t="s">
        <v>187</v>
      </c>
      <c r="D34" s="376" t="s">
        <v>2904</v>
      </c>
      <c r="E34" s="131">
        <v>100</v>
      </c>
      <c r="F34" s="701">
        <v>13.52</v>
      </c>
      <c r="G34" s="697">
        <f t="shared" si="0"/>
        <v>1352</v>
      </c>
    </row>
    <row r="35" spans="1:7" x14ac:dyDescent="0.2">
      <c r="A35" s="695"/>
      <c r="B35" s="776"/>
      <c r="C35" s="794"/>
      <c r="D35" s="787" t="s">
        <v>2919</v>
      </c>
      <c r="E35" s="808"/>
      <c r="F35" s="809"/>
      <c r="G35" s="697"/>
    </row>
    <row r="36" spans="1:7" x14ac:dyDescent="0.2">
      <c r="A36" s="695">
        <v>24</v>
      </c>
      <c r="B36" s="698"/>
      <c r="C36" s="794" t="s">
        <v>177</v>
      </c>
      <c r="D36" s="376" t="s">
        <v>2905</v>
      </c>
      <c r="E36" s="131">
        <v>1</v>
      </c>
      <c r="F36" s="701">
        <v>220</v>
      </c>
      <c r="G36" s="697">
        <f t="shared" si="0"/>
        <v>220</v>
      </c>
    </row>
    <row r="37" spans="1:7" x14ac:dyDescent="0.2">
      <c r="A37" s="695">
        <v>25</v>
      </c>
      <c r="B37" s="698"/>
      <c r="C37" s="794" t="s">
        <v>177</v>
      </c>
      <c r="D37" s="376" t="s">
        <v>2906</v>
      </c>
      <c r="E37" s="131">
        <v>2</v>
      </c>
      <c r="F37" s="701">
        <v>150</v>
      </c>
      <c r="G37" s="697">
        <f t="shared" si="0"/>
        <v>300</v>
      </c>
    </row>
    <row r="38" spans="1:7" x14ac:dyDescent="0.2">
      <c r="A38" s="695">
        <v>26</v>
      </c>
      <c r="B38" s="698"/>
      <c r="C38" s="794" t="s">
        <v>177</v>
      </c>
      <c r="D38" s="376" t="s">
        <v>2907</v>
      </c>
      <c r="E38" s="131">
        <v>1</v>
      </c>
      <c r="F38" s="701">
        <v>750</v>
      </c>
      <c r="G38" s="697">
        <f t="shared" si="0"/>
        <v>750</v>
      </c>
    </row>
    <row r="39" spans="1:7" x14ac:dyDescent="0.2">
      <c r="A39" s="695">
        <v>27</v>
      </c>
      <c r="B39" s="698"/>
      <c r="C39" s="794" t="s">
        <v>177</v>
      </c>
      <c r="D39" s="376" t="s">
        <v>2908</v>
      </c>
      <c r="E39" s="131">
        <v>1</v>
      </c>
      <c r="F39" s="701">
        <v>650</v>
      </c>
      <c r="G39" s="697">
        <f t="shared" si="0"/>
        <v>650</v>
      </c>
    </row>
    <row r="40" spans="1:7" x14ac:dyDescent="0.2">
      <c r="A40" s="695">
        <v>28</v>
      </c>
      <c r="B40" s="698"/>
      <c r="C40" s="794" t="s">
        <v>177</v>
      </c>
      <c r="D40" s="383" t="s">
        <v>2909</v>
      </c>
      <c r="E40" s="131">
        <v>1</v>
      </c>
      <c r="F40" s="701">
        <v>950</v>
      </c>
      <c r="G40" s="697">
        <f t="shared" si="0"/>
        <v>950</v>
      </c>
    </row>
    <row r="41" spans="1:7" x14ac:dyDescent="0.2">
      <c r="A41" s="695">
        <v>29</v>
      </c>
      <c r="B41" s="698"/>
      <c r="C41" s="794" t="s">
        <v>177</v>
      </c>
      <c r="D41" s="540" t="s">
        <v>2838</v>
      </c>
      <c r="E41" s="108">
        <v>2</v>
      </c>
      <c r="F41" s="70">
        <v>90</v>
      </c>
      <c r="G41" s="697">
        <f t="shared" si="0"/>
        <v>180</v>
      </c>
    </row>
    <row r="42" spans="1:7" x14ac:dyDescent="0.2">
      <c r="A42" s="695">
        <v>30</v>
      </c>
      <c r="B42" s="698"/>
      <c r="C42" s="794" t="s">
        <v>177</v>
      </c>
      <c r="D42" s="376" t="s">
        <v>2910</v>
      </c>
      <c r="E42" s="108">
        <v>4</v>
      </c>
      <c r="F42" s="70">
        <v>775</v>
      </c>
      <c r="G42" s="697">
        <f t="shared" si="0"/>
        <v>3100</v>
      </c>
    </row>
    <row r="43" spans="1:7" ht="13.5" thickBot="1" x14ac:dyDescent="0.25">
      <c r="A43" s="702"/>
      <c r="B43" s="703"/>
      <c r="C43" s="704"/>
      <c r="D43" s="704"/>
      <c r="E43" s="703"/>
      <c r="F43" s="705" t="s">
        <v>158</v>
      </c>
      <c r="G43" s="706">
        <f>SUM(G10:G42)</f>
        <v>31218.5</v>
      </c>
    </row>
    <row r="44" spans="1:7" ht="13.5" thickTop="1" x14ac:dyDescent="0.2">
      <c r="A44" s="985" t="s">
        <v>2920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8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8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8" x14ac:dyDescent="0.2">
      <c r="A51" s="1000" t="s">
        <v>48</v>
      </c>
      <c r="B51" s="1001"/>
      <c r="C51" s="1001"/>
      <c r="D51" s="1001"/>
      <c r="E51" s="1001"/>
      <c r="F51" s="1001"/>
      <c r="G51" s="1002"/>
      <c r="H51" s="804">
        <v>46238</v>
      </c>
    </row>
    <row r="52" spans="1:8" x14ac:dyDescent="0.2">
      <c r="A52" s="1003" t="s">
        <v>49</v>
      </c>
      <c r="B52" s="1004"/>
      <c r="C52" s="1004"/>
      <c r="D52" s="1004"/>
      <c r="E52" s="1004"/>
      <c r="F52" s="1004"/>
      <c r="G52" s="1005"/>
    </row>
    <row r="53" spans="1:8" x14ac:dyDescent="0.2">
      <c r="A53" s="674"/>
      <c r="B53" s="675"/>
      <c r="C53" s="676"/>
      <c r="D53" s="677"/>
      <c r="E53" s="675"/>
      <c r="F53" s="678"/>
      <c r="G53" s="737" t="s">
        <v>335</v>
      </c>
    </row>
    <row r="54" spans="1:8" x14ac:dyDescent="0.2">
      <c r="A54" s="680" t="s">
        <v>1</v>
      </c>
      <c r="B54" s="681"/>
      <c r="C54" s="682" t="s">
        <v>7</v>
      </c>
      <c r="D54" s="681"/>
      <c r="E54" s="683" t="s">
        <v>2922</v>
      </c>
      <c r="F54" s="684"/>
      <c r="G54" s="685" t="s">
        <v>2883</v>
      </c>
    </row>
    <row r="55" spans="1:8" x14ac:dyDescent="0.2">
      <c r="A55" s="686" t="s">
        <v>8</v>
      </c>
      <c r="B55" s="687"/>
      <c r="C55" s="688"/>
      <c r="D55" s="673"/>
      <c r="E55" s="1006"/>
      <c r="F55" s="1007"/>
      <c r="G55" s="689"/>
    </row>
    <row r="56" spans="1:8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895</v>
      </c>
    </row>
    <row r="57" spans="1:8" x14ac:dyDescent="0.2">
      <c r="A57" s="674"/>
      <c r="B57" s="675"/>
      <c r="C57" s="676"/>
      <c r="D57" s="676"/>
      <c r="E57" s="1008"/>
      <c r="F57" s="1009"/>
      <c r="G57" s="693"/>
    </row>
    <row r="58" spans="1:8" ht="26.25" customHeight="1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8" ht="13.5" thickTop="1" x14ac:dyDescent="0.2">
      <c r="A59" s="695"/>
      <c r="B59" s="696"/>
      <c r="C59" s="119"/>
      <c r="D59" s="710" t="s">
        <v>160</v>
      </c>
      <c r="E59" s="158"/>
      <c r="F59" s="70"/>
      <c r="G59" s="728">
        <f>G43</f>
        <v>31218.5</v>
      </c>
    </row>
    <row r="60" spans="1:8" x14ac:dyDescent="0.2">
      <c r="A60" s="695">
        <v>31</v>
      </c>
      <c r="B60" s="698"/>
      <c r="C60" s="794" t="s">
        <v>177</v>
      </c>
      <c r="D60" s="376" t="s">
        <v>2911</v>
      </c>
      <c r="E60" s="108">
        <v>3</v>
      </c>
      <c r="F60" s="70">
        <v>630</v>
      </c>
      <c r="G60" s="697">
        <f>F60*E60</f>
        <v>1890</v>
      </c>
    </row>
    <row r="61" spans="1:8" x14ac:dyDescent="0.2">
      <c r="A61" s="695">
        <v>32</v>
      </c>
      <c r="B61" s="698"/>
      <c r="C61" s="794" t="s">
        <v>153</v>
      </c>
      <c r="D61" s="376" t="s">
        <v>2912</v>
      </c>
      <c r="E61" s="131">
        <v>3</v>
      </c>
      <c r="F61" s="701">
        <v>98.5</v>
      </c>
      <c r="G61" s="697">
        <f t="shared" ref="G61:G65" si="1">F61*E61</f>
        <v>295.5</v>
      </c>
    </row>
    <row r="62" spans="1:8" x14ac:dyDescent="0.2">
      <c r="A62" s="695">
        <v>33</v>
      </c>
      <c r="B62" s="698"/>
      <c r="C62" s="794" t="s">
        <v>177</v>
      </c>
      <c r="D62" s="383" t="s">
        <v>2913</v>
      </c>
      <c r="E62" s="108">
        <v>1</v>
      </c>
      <c r="F62" s="263">
        <v>175</v>
      </c>
      <c r="G62" s="697">
        <f t="shared" si="1"/>
        <v>175</v>
      </c>
    </row>
    <row r="63" spans="1:8" x14ac:dyDescent="0.2">
      <c r="A63" s="695">
        <v>34</v>
      </c>
      <c r="B63" s="696"/>
      <c r="C63" s="385" t="s">
        <v>177</v>
      </c>
      <c r="D63" s="376" t="s">
        <v>2914</v>
      </c>
      <c r="E63" s="158">
        <v>1</v>
      </c>
      <c r="F63" s="70">
        <v>475</v>
      </c>
      <c r="G63" s="697">
        <f t="shared" si="1"/>
        <v>475</v>
      </c>
    </row>
    <row r="64" spans="1:8" x14ac:dyDescent="0.2">
      <c r="A64" s="695">
        <v>35</v>
      </c>
      <c r="B64" s="698"/>
      <c r="C64" s="385" t="s">
        <v>177</v>
      </c>
      <c r="D64" s="370" t="s">
        <v>2840</v>
      </c>
      <c r="E64" s="158">
        <v>7</v>
      </c>
      <c r="F64" s="70">
        <v>360</v>
      </c>
      <c r="G64" s="697">
        <f t="shared" si="1"/>
        <v>2520</v>
      </c>
    </row>
    <row r="65" spans="1:7" x14ac:dyDescent="0.2">
      <c r="A65" s="695">
        <v>36</v>
      </c>
      <c r="B65" s="698"/>
      <c r="C65" s="385" t="s">
        <v>177</v>
      </c>
      <c r="D65" s="370" t="s">
        <v>2843</v>
      </c>
      <c r="E65" s="158">
        <v>4</v>
      </c>
      <c r="F65" s="70">
        <v>550</v>
      </c>
      <c r="G65" s="697">
        <f t="shared" si="1"/>
        <v>2200</v>
      </c>
    </row>
    <row r="66" spans="1:7" x14ac:dyDescent="0.2">
      <c r="A66" s="695"/>
      <c r="B66" s="698"/>
      <c r="C66" s="119"/>
      <c r="D66" s="129"/>
      <c r="E66" s="158"/>
      <c r="F66" s="263"/>
      <c r="G66" s="697"/>
    </row>
    <row r="67" spans="1:7" x14ac:dyDescent="0.2">
      <c r="A67" s="695"/>
      <c r="B67" s="698"/>
      <c r="C67" s="119"/>
      <c r="D67" s="129"/>
      <c r="E67" s="158"/>
      <c r="F67" s="263"/>
      <c r="G67" s="697"/>
    </row>
    <row r="68" spans="1:7" x14ac:dyDescent="0.2">
      <c r="A68" s="695"/>
      <c r="B68" s="698"/>
      <c r="C68" s="119"/>
      <c r="D68" s="129"/>
      <c r="E68" s="158"/>
      <c r="F68" s="263"/>
      <c r="G68" s="697"/>
    </row>
    <row r="69" spans="1:7" x14ac:dyDescent="0.2">
      <c r="A69" s="695"/>
      <c r="B69" s="105"/>
      <c r="C69" s="119"/>
      <c r="D69" s="136"/>
      <c r="E69" s="108"/>
      <c r="F69" s="70"/>
      <c r="G69" s="697"/>
    </row>
    <row r="70" spans="1:7" x14ac:dyDescent="0.2">
      <c r="A70" s="695"/>
      <c r="B70" s="105"/>
      <c r="C70" s="119"/>
      <c r="D70" s="136"/>
      <c r="E70" s="108"/>
      <c r="F70" s="70"/>
      <c r="G70" s="697"/>
    </row>
    <row r="71" spans="1:7" x14ac:dyDescent="0.2">
      <c r="A71" s="695"/>
      <c r="B71" s="105"/>
      <c r="C71" s="119"/>
      <c r="D71" s="136"/>
      <c r="E71" s="108"/>
      <c r="F71" s="70"/>
      <c r="G71" s="697"/>
    </row>
    <row r="72" spans="1:7" x14ac:dyDescent="0.2">
      <c r="A72" s="695"/>
      <c r="B72" s="698"/>
      <c r="C72" s="119"/>
      <c r="D72" s="136"/>
      <c r="E72" s="108"/>
      <c r="F72" s="264"/>
      <c r="G72" s="697"/>
    </row>
    <row r="73" spans="1:7" x14ac:dyDescent="0.2">
      <c r="A73" s="695"/>
      <c r="B73" s="698"/>
      <c r="C73" s="119"/>
      <c r="D73" s="136"/>
      <c r="E73" s="108"/>
      <c r="F73" s="264"/>
      <c r="G73" s="697"/>
    </row>
    <row r="74" spans="1:7" x14ac:dyDescent="0.2">
      <c r="A74" s="695"/>
      <c r="B74" s="106"/>
      <c r="C74" s="119"/>
      <c r="D74" s="144"/>
      <c r="E74" s="699"/>
      <c r="F74" s="70"/>
      <c r="G74" s="697"/>
    </row>
    <row r="75" spans="1:7" x14ac:dyDescent="0.2">
      <c r="A75" s="695"/>
      <c r="B75" s="106"/>
      <c r="C75" s="119"/>
      <c r="D75" s="144"/>
      <c r="E75" s="699"/>
      <c r="F75" s="70"/>
      <c r="G75" s="697"/>
    </row>
    <row r="76" spans="1:7" x14ac:dyDescent="0.2">
      <c r="A76" s="695"/>
      <c r="B76" s="106"/>
      <c r="C76" s="119"/>
      <c r="D76" s="136"/>
      <c r="E76" s="131"/>
      <c r="F76" s="70"/>
      <c r="G76" s="697"/>
    </row>
    <row r="77" spans="1:7" x14ac:dyDescent="0.2">
      <c r="A77" s="695"/>
      <c r="B77" s="105"/>
      <c r="C77" s="119"/>
      <c r="D77" s="136"/>
      <c r="E77" s="131"/>
      <c r="F77" s="70"/>
      <c r="G77" s="697"/>
    </row>
    <row r="78" spans="1:7" x14ac:dyDescent="0.2">
      <c r="A78" s="695"/>
      <c r="B78" s="700"/>
      <c r="C78" s="119"/>
      <c r="D78" s="136"/>
      <c r="E78" s="108"/>
      <c r="F78" s="265"/>
      <c r="G78" s="697"/>
    </row>
    <row r="79" spans="1:7" x14ac:dyDescent="0.2">
      <c r="A79" s="695"/>
      <c r="B79" s="700"/>
      <c r="C79" s="119"/>
      <c r="D79" s="136"/>
      <c r="E79" s="108"/>
      <c r="F79" s="265"/>
      <c r="G79" s="697"/>
    </row>
    <row r="80" spans="1:7" x14ac:dyDescent="0.2">
      <c r="A80" s="695"/>
      <c r="B80" s="698"/>
      <c r="C80" s="119"/>
      <c r="D80" s="136"/>
      <c r="E80" s="108"/>
      <c r="F80" s="70"/>
      <c r="G80" s="697"/>
    </row>
    <row r="81" spans="1:7" x14ac:dyDescent="0.2">
      <c r="A81" s="695"/>
      <c r="B81" s="698"/>
      <c r="C81" s="119"/>
      <c r="D81" s="136"/>
      <c r="E81" s="131"/>
      <c r="F81" s="701"/>
      <c r="G81" s="697"/>
    </row>
    <row r="82" spans="1:7" x14ac:dyDescent="0.2">
      <c r="A82" s="695"/>
      <c r="B82" s="698"/>
      <c r="C82" s="119"/>
      <c r="D82" s="136"/>
      <c r="E82" s="131"/>
      <c r="F82" s="701"/>
      <c r="G82" s="697"/>
    </row>
    <row r="83" spans="1:7" x14ac:dyDescent="0.2">
      <c r="A83" s="695"/>
      <c r="B83" s="698"/>
      <c r="C83" s="119"/>
      <c r="D83" s="136"/>
      <c r="E83" s="131"/>
      <c r="F83" s="701"/>
      <c r="G83" s="697"/>
    </row>
    <row r="84" spans="1:7" x14ac:dyDescent="0.2">
      <c r="A84" s="695"/>
      <c r="B84" s="698"/>
      <c r="C84" s="119"/>
      <c r="D84" s="136"/>
      <c r="E84" s="131"/>
      <c r="F84" s="701"/>
      <c r="G84" s="697"/>
    </row>
    <row r="85" spans="1:7" x14ac:dyDescent="0.2">
      <c r="A85" s="695"/>
      <c r="B85" s="698"/>
      <c r="C85" s="119"/>
      <c r="D85" s="136"/>
      <c r="E85" s="131"/>
      <c r="F85" s="701"/>
      <c r="G85" s="697"/>
    </row>
    <row r="86" spans="1:7" x14ac:dyDescent="0.2">
      <c r="A86" s="695"/>
      <c r="B86" s="698"/>
      <c r="C86" s="119"/>
      <c r="D86" s="144"/>
      <c r="E86" s="131"/>
      <c r="F86" s="701"/>
      <c r="G86" s="697"/>
    </row>
    <row r="87" spans="1:7" x14ac:dyDescent="0.2">
      <c r="A87" s="695"/>
      <c r="B87" s="698"/>
      <c r="C87" s="119"/>
      <c r="D87" s="254"/>
      <c r="E87" s="108"/>
      <c r="F87" s="70"/>
      <c r="G87" s="697"/>
    </row>
    <row r="88" spans="1:7" x14ac:dyDescent="0.2">
      <c r="A88" s="695"/>
      <c r="B88" s="698"/>
      <c r="C88" s="119"/>
      <c r="D88" s="136"/>
      <c r="E88" s="108"/>
      <c r="F88" s="70"/>
      <c r="G88" s="697"/>
    </row>
    <row r="89" spans="1:7" x14ac:dyDescent="0.2">
      <c r="A89" s="695"/>
      <c r="B89" s="698"/>
      <c r="C89" s="119"/>
      <c r="D89" s="136"/>
      <c r="E89" s="108"/>
      <c r="F89" s="70"/>
      <c r="G89" s="697"/>
    </row>
    <row r="90" spans="1:7" x14ac:dyDescent="0.2">
      <c r="A90" s="695"/>
      <c r="B90" s="698"/>
      <c r="C90" s="119"/>
      <c r="D90" s="136"/>
      <c r="E90" s="131"/>
      <c r="F90" s="701"/>
      <c r="G90" s="697"/>
    </row>
    <row r="91" spans="1:7" x14ac:dyDescent="0.2">
      <c r="A91" s="695"/>
      <c r="B91" s="698"/>
      <c r="C91" s="119"/>
      <c r="D91" s="144"/>
      <c r="E91" s="108"/>
      <c r="F91" s="263"/>
      <c r="G91" s="697"/>
    </row>
    <row r="92" spans="1:7" ht="13.5" thickBot="1" x14ac:dyDescent="0.25">
      <c r="A92" s="702"/>
      <c r="B92" s="703"/>
      <c r="C92" s="704"/>
      <c r="D92" s="704"/>
      <c r="E92" s="703"/>
      <c r="F92" s="705" t="s">
        <v>15</v>
      </c>
      <c r="G92" s="706">
        <f>SUM(G59:G91)</f>
        <v>38774</v>
      </c>
    </row>
    <row r="93" spans="1:7" ht="13.5" thickTop="1" x14ac:dyDescent="0.2">
      <c r="A93" s="985" t="s">
        <v>2920</v>
      </c>
      <c r="B93" s="1019"/>
      <c r="C93" s="1019"/>
      <c r="D93" s="1019"/>
      <c r="E93" s="1019"/>
      <c r="F93" s="1019"/>
      <c r="G93" s="1020"/>
    </row>
    <row r="94" spans="1:7" ht="13.5" thickBot="1" x14ac:dyDescent="0.25">
      <c r="A94" s="707"/>
      <c r="B94" s="708"/>
      <c r="C94" s="708"/>
      <c r="D94" s="709"/>
      <c r="E94" s="708"/>
      <c r="F94" s="198"/>
      <c r="G94" s="199"/>
    </row>
    <row r="95" spans="1:7" ht="13.5" thickTop="1" x14ac:dyDescent="0.2">
      <c r="A95" s="1023"/>
      <c r="B95" s="1024"/>
      <c r="C95" s="1024"/>
      <c r="D95" s="344" t="s">
        <v>11</v>
      </c>
      <c r="E95" s="1025" t="s">
        <v>12</v>
      </c>
      <c r="F95" s="1025"/>
      <c r="G95" s="1026"/>
    </row>
    <row r="96" spans="1:7" ht="27.75" customHeight="1" x14ac:dyDescent="0.2">
      <c r="A96" s="1010" t="s">
        <v>17</v>
      </c>
      <c r="B96" s="1011"/>
      <c r="C96" s="1011"/>
      <c r="D96" s="121"/>
      <c r="E96" s="1027"/>
      <c r="F96" s="1028"/>
      <c r="G96" s="1029"/>
    </row>
    <row r="97" spans="1:9" x14ac:dyDescent="0.2">
      <c r="A97" s="1010" t="s">
        <v>38</v>
      </c>
      <c r="B97" s="1011"/>
      <c r="C97" s="1011"/>
      <c r="D97" s="710" t="s">
        <v>147</v>
      </c>
      <c r="E97" s="1012" t="s">
        <v>142</v>
      </c>
      <c r="F97" s="1012"/>
      <c r="G97" s="1013"/>
    </row>
    <row r="98" spans="1:9" ht="13.5" thickBot="1" x14ac:dyDescent="0.25">
      <c r="A98" s="1014" t="s">
        <v>39</v>
      </c>
      <c r="B98" s="1015"/>
      <c r="C98" s="1015"/>
      <c r="D98" s="125" t="s">
        <v>148</v>
      </c>
      <c r="E98" s="1016" t="s">
        <v>0</v>
      </c>
      <c r="F98" s="1017"/>
      <c r="G98" s="1018"/>
    </row>
    <row r="99" spans="1:9" ht="16.5" x14ac:dyDescent="0.2">
      <c r="A99" s="997" t="s">
        <v>29</v>
      </c>
      <c r="B99" s="998"/>
      <c r="C99" s="998"/>
      <c r="D99" s="998"/>
      <c r="E99" s="998"/>
      <c r="F99" s="998"/>
      <c r="G99" s="999"/>
      <c r="H99" s="713">
        <v>3</v>
      </c>
    </row>
    <row r="100" spans="1:9" x14ac:dyDescent="0.2">
      <c r="A100" s="1000" t="s">
        <v>48</v>
      </c>
      <c r="B100" s="1001"/>
      <c r="C100" s="1001"/>
      <c r="D100" s="1001"/>
      <c r="E100" s="1001"/>
      <c r="F100" s="1001"/>
      <c r="G100" s="1002"/>
      <c r="H100" s="804" t="s">
        <v>3180</v>
      </c>
    </row>
    <row r="101" spans="1:9" x14ac:dyDescent="0.2">
      <c r="A101" s="1003" t="s">
        <v>49</v>
      </c>
      <c r="B101" s="1004"/>
      <c r="C101" s="1004"/>
      <c r="D101" s="1004"/>
      <c r="E101" s="1004"/>
      <c r="F101" s="1004"/>
      <c r="G101" s="1005"/>
      <c r="H101" s="804" t="s">
        <v>3180</v>
      </c>
    </row>
    <row r="102" spans="1:9" x14ac:dyDescent="0.2">
      <c r="A102" s="674"/>
      <c r="B102" s="675"/>
      <c r="C102" s="676"/>
      <c r="D102" s="677"/>
      <c r="E102" s="675"/>
      <c r="F102" s="678"/>
      <c r="G102" s="737" t="s">
        <v>20</v>
      </c>
    </row>
    <row r="103" spans="1:9" x14ac:dyDescent="0.2">
      <c r="A103" s="680" t="s">
        <v>1</v>
      </c>
      <c r="B103" s="681"/>
      <c r="C103" s="682" t="s">
        <v>7</v>
      </c>
      <c r="D103" s="681"/>
      <c r="E103" s="683" t="s">
        <v>3233</v>
      </c>
      <c r="F103" s="684"/>
      <c r="G103" s="685" t="s">
        <v>3175</v>
      </c>
    </row>
    <row r="104" spans="1:9" x14ac:dyDescent="0.2">
      <c r="A104" s="686" t="s">
        <v>8</v>
      </c>
      <c r="B104" s="687"/>
      <c r="C104" s="688"/>
      <c r="D104" s="673"/>
      <c r="E104" s="1006"/>
      <c r="F104" s="1007"/>
      <c r="G104" s="689"/>
    </row>
    <row r="105" spans="1:9" x14ac:dyDescent="0.2">
      <c r="A105" s="690" t="s">
        <v>37</v>
      </c>
      <c r="B105" s="261"/>
      <c r="C105" s="261"/>
      <c r="D105" s="261"/>
      <c r="E105" s="691" t="s">
        <v>46</v>
      </c>
      <c r="F105" s="692"/>
      <c r="G105" s="689" t="s">
        <v>895</v>
      </c>
    </row>
    <row r="106" spans="1:9" x14ac:dyDescent="0.2">
      <c r="A106" s="674"/>
      <c r="B106" s="675"/>
      <c r="C106" s="676"/>
      <c r="D106" s="676"/>
      <c r="E106" s="1008"/>
      <c r="F106" s="1009"/>
      <c r="G106" s="693"/>
    </row>
    <row r="107" spans="1:9" ht="26.25" customHeight="1" thickBot="1" x14ac:dyDescent="0.25">
      <c r="A107" s="694" t="s">
        <v>47</v>
      </c>
      <c r="B107" s="110" t="s">
        <v>23</v>
      </c>
      <c r="C107" s="110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9" ht="13.5" thickTop="1" x14ac:dyDescent="0.2">
      <c r="A108" s="695">
        <v>1</v>
      </c>
      <c r="B108" s="696"/>
      <c r="C108" s="385" t="s">
        <v>177</v>
      </c>
      <c r="D108" s="383" t="s">
        <v>3229</v>
      </c>
      <c r="E108" s="158">
        <v>1</v>
      </c>
      <c r="F108" s="70">
        <v>76380</v>
      </c>
      <c r="G108" s="697">
        <f t="shared" ref="G108:G113" si="2">F108*E108</f>
        <v>76380</v>
      </c>
      <c r="I108" s="720" t="s">
        <v>3523</v>
      </c>
    </row>
    <row r="109" spans="1:9" x14ac:dyDescent="0.2">
      <c r="A109" s="695">
        <v>2</v>
      </c>
      <c r="B109" s="698"/>
      <c r="C109" s="794" t="s">
        <v>185</v>
      </c>
      <c r="D109" s="376" t="s">
        <v>3230</v>
      </c>
      <c r="E109" s="108">
        <v>1</v>
      </c>
      <c r="F109" s="70">
        <v>56373</v>
      </c>
      <c r="G109" s="697">
        <f t="shared" si="2"/>
        <v>56373</v>
      </c>
    </row>
    <row r="110" spans="1:9" x14ac:dyDescent="0.2">
      <c r="A110" s="695">
        <v>3</v>
      </c>
      <c r="B110" s="698"/>
      <c r="C110" s="794" t="s">
        <v>185</v>
      </c>
      <c r="D110" s="376" t="s">
        <v>3231</v>
      </c>
      <c r="E110" s="131">
        <v>1</v>
      </c>
      <c r="F110" s="701">
        <v>80548.12</v>
      </c>
      <c r="G110" s="697">
        <f t="shared" si="2"/>
        <v>80548.12</v>
      </c>
    </row>
    <row r="111" spans="1:9" x14ac:dyDescent="0.2">
      <c r="A111" s="695">
        <v>4</v>
      </c>
      <c r="B111" s="698"/>
      <c r="C111" s="794" t="s">
        <v>185</v>
      </c>
      <c r="D111" s="376" t="s">
        <v>3232</v>
      </c>
      <c r="E111" s="108">
        <v>1</v>
      </c>
      <c r="F111" s="263">
        <v>18201.88</v>
      </c>
      <c r="G111" s="697">
        <f t="shared" si="2"/>
        <v>18201.88</v>
      </c>
    </row>
    <row r="112" spans="1:9" x14ac:dyDescent="0.2">
      <c r="A112" s="695">
        <v>5</v>
      </c>
      <c r="B112" s="696"/>
      <c r="C112" s="385" t="s">
        <v>279</v>
      </c>
      <c r="D112" s="720" t="s">
        <v>3073</v>
      </c>
      <c r="E112" s="158">
        <v>1</v>
      </c>
      <c r="F112" s="70">
        <v>46550</v>
      </c>
      <c r="G112" s="697">
        <f t="shared" si="2"/>
        <v>46550</v>
      </c>
    </row>
    <row r="113" spans="1:7" x14ac:dyDescent="0.2">
      <c r="A113" s="695">
        <v>6</v>
      </c>
      <c r="B113" s="698"/>
      <c r="C113" s="385" t="s">
        <v>375</v>
      </c>
      <c r="D113" s="370" t="s">
        <v>3074</v>
      </c>
      <c r="E113" s="158">
        <v>1</v>
      </c>
      <c r="F113" s="70">
        <v>21947</v>
      </c>
      <c r="G113" s="697">
        <f t="shared" si="2"/>
        <v>21947</v>
      </c>
    </row>
    <row r="114" spans="1:7" x14ac:dyDescent="0.2">
      <c r="A114" s="695"/>
      <c r="B114" s="698"/>
      <c r="C114" s="385"/>
      <c r="D114" s="370"/>
      <c r="E114" s="158"/>
      <c r="F114" s="70"/>
      <c r="G114" s="697"/>
    </row>
    <row r="115" spans="1:7" x14ac:dyDescent="0.2">
      <c r="A115" s="695"/>
      <c r="B115" s="698"/>
      <c r="C115" s="119"/>
      <c r="D115" s="129"/>
      <c r="E115" s="158"/>
      <c r="F115" s="263"/>
      <c r="G115" s="697"/>
    </row>
    <row r="116" spans="1:7" x14ac:dyDescent="0.2">
      <c r="A116" s="695"/>
      <c r="B116" s="698"/>
      <c r="C116" s="119"/>
      <c r="D116" s="129"/>
      <c r="E116" s="158"/>
      <c r="F116" s="263"/>
      <c r="G116" s="697"/>
    </row>
    <row r="117" spans="1:7" x14ac:dyDescent="0.2">
      <c r="A117" s="695"/>
      <c r="B117" s="698"/>
      <c r="C117" s="119"/>
      <c r="D117" s="129"/>
      <c r="E117" s="158"/>
      <c r="F117" s="263"/>
      <c r="G117" s="697"/>
    </row>
    <row r="118" spans="1:7" x14ac:dyDescent="0.2">
      <c r="A118" s="695"/>
      <c r="B118" s="105"/>
      <c r="C118" s="119"/>
      <c r="D118" s="136"/>
      <c r="E118" s="108"/>
      <c r="F118" s="70"/>
      <c r="G118" s="697"/>
    </row>
    <row r="119" spans="1:7" x14ac:dyDescent="0.2">
      <c r="A119" s="695"/>
      <c r="B119" s="105"/>
      <c r="C119" s="119"/>
      <c r="D119" s="136"/>
      <c r="E119" s="108"/>
      <c r="F119" s="70"/>
      <c r="G119" s="697"/>
    </row>
    <row r="120" spans="1:7" x14ac:dyDescent="0.2">
      <c r="A120" s="695"/>
      <c r="B120" s="105"/>
      <c r="C120" s="119"/>
      <c r="D120" s="136"/>
      <c r="E120" s="108"/>
      <c r="F120" s="70"/>
      <c r="G120" s="697"/>
    </row>
    <row r="121" spans="1:7" x14ac:dyDescent="0.2">
      <c r="A121" s="695"/>
      <c r="B121" s="698"/>
      <c r="C121" s="119"/>
      <c r="D121" s="136"/>
      <c r="E121" s="108"/>
      <c r="F121" s="264"/>
      <c r="G121" s="697"/>
    </row>
    <row r="122" spans="1:7" x14ac:dyDescent="0.2">
      <c r="A122" s="695"/>
      <c r="B122" s="698"/>
      <c r="C122" s="119"/>
      <c r="D122" s="136"/>
      <c r="E122" s="108"/>
      <c r="F122" s="264"/>
      <c r="G122" s="697"/>
    </row>
    <row r="123" spans="1:7" x14ac:dyDescent="0.2">
      <c r="A123" s="695"/>
      <c r="B123" s="106"/>
      <c r="C123" s="119"/>
      <c r="D123" s="144"/>
      <c r="E123" s="699"/>
      <c r="F123" s="70"/>
      <c r="G123" s="697"/>
    </row>
    <row r="124" spans="1:7" x14ac:dyDescent="0.2">
      <c r="A124" s="695"/>
      <c r="B124" s="106"/>
      <c r="C124" s="119"/>
      <c r="D124" s="144"/>
      <c r="E124" s="699"/>
      <c r="F124" s="70"/>
      <c r="G124" s="697"/>
    </row>
    <row r="125" spans="1:7" x14ac:dyDescent="0.2">
      <c r="A125" s="695"/>
      <c r="B125" s="106"/>
      <c r="C125" s="119"/>
      <c r="D125" s="136"/>
      <c r="E125" s="131"/>
      <c r="F125" s="70"/>
      <c r="G125" s="697"/>
    </row>
    <row r="126" spans="1:7" x14ac:dyDescent="0.2">
      <c r="A126" s="695"/>
      <c r="B126" s="105"/>
      <c r="C126" s="119"/>
      <c r="D126" s="136"/>
      <c r="E126" s="131"/>
      <c r="F126" s="70"/>
      <c r="G126" s="697"/>
    </row>
    <row r="127" spans="1:7" x14ac:dyDescent="0.2">
      <c r="A127" s="695"/>
      <c r="B127" s="700"/>
      <c r="C127" s="119"/>
      <c r="D127" s="136"/>
      <c r="E127" s="108"/>
      <c r="F127" s="265"/>
      <c r="G127" s="697"/>
    </row>
    <row r="128" spans="1:7" x14ac:dyDescent="0.2">
      <c r="A128" s="695"/>
      <c r="B128" s="700"/>
      <c r="C128" s="119"/>
      <c r="D128" s="136"/>
      <c r="E128" s="108"/>
      <c r="F128" s="265"/>
      <c r="G128" s="697"/>
    </row>
    <row r="129" spans="1:7" x14ac:dyDescent="0.2">
      <c r="A129" s="695"/>
      <c r="B129" s="698"/>
      <c r="C129" s="119"/>
      <c r="D129" s="136"/>
      <c r="E129" s="108"/>
      <c r="F129" s="70"/>
      <c r="G129" s="697"/>
    </row>
    <row r="130" spans="1:7" x14ac:dyDescent="0.2">
      <c r="A130" s="695"/>
      <c r="B130" s="698"/>
      <c r="C130" s="119"/>
      <c r="D130" s="136"/>
      <c r="E130" s="131"/>
      <c r="F130" s="701"/>
      <c r="G130" s="697"/>
    </row>
    <row r="131" spans="1:7" x14ac:dyDescent="0.2">
      <c r="A131" s="695"/>
      <c r="B131" s="698"/>
      <c r="C131" s="119"/>
      <c r="D131" s="136"/>
      <c r="E131" s="131"/>
      <c r="F131" s="701"/>
      <c r="G131" s="697"/>
    </row>
    <row r="132" spans="1:7" x14ac:dyDescent="0.2">
      <c r="A132" s="695"/>
      <c r="B132" s="698"/>
      <c r="C132" s="119"/>
      <c r="D132" s="136"/>
      <c r="E132" s="131"/>
      <c r="F132" s="701"/>
      <c r="G132" s="697"/>
    </row>
    <row r="133" spans="1:7" x14ac:dyDescent="0.2">
      <c r="A133" s="695"/>
      <c r="B133" s="698"/>
      <c r="C133" s="119"/>
      <c r="D133" s="136"/>
      <c r="E133" s="131"/>
      <c r="F133" s="701"/>
      <c r="G133" s="697"/>
    </row>
    <row r="134" spans="1:7" x14ac:dyDescent="0.2">
      <c r="A134" s="695"/>
      <c r="B134" s="698"/>
      <c r="C134" s="119"/>
      <c r="D134" s="136"/>
      <c r="E134" s="131"/>
      <c r="F134" s="701"/>
      <c r="G134" s="697"/>
    </row>
    <row r="135" spans="1:7" x14ac:dyDescent="0.2">
      <c r="A135" s="695"/>
      <c r="B135" s="698"/>
      <c r="C135" s="119"/>
      <c r="D135" s="144"/>
      <c r="E135" s="131"/>
      <c r="F135" s="701"/>
      <c r="G135" s="697"/>
    </row>
    <row r="136" spans="1:7" x14ac:dyDescent="0.2">
      <c r="A136" s="695"/>
      <c r="B136" s="698"/>
      <c r="C136" s="119"/>
      <c r="D136" s="254"/>
      <c r="E136" s="108"/>
      <c r="F136" s="70"/>
      <c r="G136" s="697"/>
    </row>
    <row r="137" spans="1:7" x14ac:dyDescent="0.2">
      <c r="A137" s="695"/>
      <c r="B137" s="698"/>
      <c r="C137" s="119"/>
      <c r="D137" s="136"/>
      <c r="E137" s="108"/>
      <c r="F137" s="70"/>
      <c r="G137" s="697"/>
    </row>
    <row r="138" spans="1:7" x14ac:dyDescent="0.2">
      <c r="A138" s="695"/>
      <c r="B138" s="698"/>
      <c r="C138" s="119"/>
      <c r="D138" s="136"/>
      <c r="E138" s="108"/>
      <c r="F138" s="70"/>
      <c r="G138" s="697"/>
    </row>
    <row r="139" spans="1:7" x14ac:dyDescent="0.2">
      <c r="A139" s="695"/>
      <c r="B139" s="698"/>
      <c r="C139" s="119"/>
      <c r="D139" s="136"/>
      <c r="E139" s="131"/>
      <c r="F139" s="701"/>
      <c r="G139" s="697"/>
    </row>
    <row r="140" spans="1:7" x14ac:dyDescent="0.2">
      <c r="A140" s="695"/>
      <c r="B140" s="698"/>
      <c r="C140" s="119"/>
      <c r="D140" s="144"/>
      <c r="E140" s="108"/>
      <c r="F140" s="263"/>
      <c r="G140" s="697"/>
    </row>
    <row r="141" spans="1:7" ht="13.5" thickBot="1" x14ac:dyDescent="0.25">
      <c r="A141" s="702"/>
      <c r="B141" s="703"/>
      <c r="C141" s="704"/>
      <c r="D141" s="704"/>
      <c r="E141" s="703"/>
      <c r="F141" s="705" t="s">
        <v>15</v>
      </c>
      <c r="G141" s="706">
        <f>SUM(G108:G140)</f>
        <v>300000</v>
      </c>
    </row>
    <row r="142" spans="1:7" ht="13.5" thickTop="1" x14ac:dyDescent="0.2">
      <c r="A142" s="985" t="s">
        <v>2920</v>
      </c>
      <c r="B142" s="1019"/>
      <c r="C142" s="1019"/>
      <c r="D142" s="1019"/>
      <c r="E142" s="1019"/>
      <c r="F142" s="1019"/>
      <c r="G142" s="1020"/>
    </row>
    <row r="143" spans="1:7" ht="13.5" thickBot="1" x14ac:dyDescent="0.25">
      <c r="A143" s="707"/>
      <c r="B143" s="708"/>
      <c r="C143" s="708"/>
      <c r="D143" s="709"/>
      <c r="E143" s="708"/>
      <c r="F143" s="198"/>
      <c r="G143" s="199"/>
    </row>
    <row r="144" spans="1:7" ht="13.5" thickTop="1" x14ac:dyDescent="0.2">
      <c r="A144" s="1023"/>
      <c r="B144" s="1024"/>
      <c r="C144" s="1024"/>
      <c r="D144" s="344" t="s">
        <v>11</v>
      </c>
      <c r="E144" s="1025" t="s">
        <v>12</v>
      </c>
      <c r="F144" s="1025"/>
      <c r="G144" s="1026"/>
    </row>
    <row r="145" spans="1:7" ht="27.75" customHeight="1" x14ac:dyDescent="0.2">
      <c r="A145" s="1010" t="s">
        <v>17</v>
      </c>
      <c r="B145" s="1011"/>
      <c r="C145" s="1011"/>
      <c r="D145" s="121"/>
      <c r="E145" s="1027"/>
      <c r="F145" s="1028"/>
      <c r="G145" s="1029"/>
    </row>
    <row r="146" spans="1:7" x14ac:dyDescent="0.2">
      <c r="A146" s="1010" t="s">
        <v>38</v>
      </c>
      <c r="B146" s="1011"/>
      <c r="C146" s="1011"/>
      <c r="D146" s="710" t="s">
        <v>147</v>
      </c>
      <c r="E146" s="1012" t="s">
        <v>142</v>
      </c>
      <c r="F146" s="1012"/>
      <c r="G146" s="1013"/>
    </row>
    <row r="147" spans="1:7" ht="13.5" thickBot="1" x14ac:dyDescent="0.25">
      <c r="A147" s="1014" t="s">
        <v>39</v>
      </c>
      <c r="B147" s="1015"/>
      <c r="C147" s="1015"/>
      <c r="D147" s="125" t="s">
        <v>148</v>
      </c>
      <c r="E147" s="1016" t="s">
        <v>0</v>
      </c>
      <c r="F147" s="1017"/>
      <c r="G147" s="1018"/>
    </row>
  </sheetData>
  <mergeCells count="42"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44:G44"/>
    <mergeCell ref="A1:G1"/>
    <mergeCell ref="A2:G2"/>
    <mergeCell ref="A3:G3"/>
    <mergeCell ref="E6:F6"/>
    <mergeCell ref="E8:F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 tint="-0.499984740745262"/>
  </sheetPr>
  <dimension ref="A1:I528"/>
  <sheetViews>
    <sheetView topLeftCell="A188" zoomScale="115" zoomScaleNormal="115" workbookViewId="0">
      <selection activeCell="L196" sqref="L196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85546875" style="250" customWidth="1"/>
    <col min="5" max="5" width="9.28515625" style="711" customWidth="1"/>
    <col min="6" max="6" width="12.140625" style="712" customWidth="1"/>
    <col min="7" max="7" width="14.85546875" style="250" customWidth="1"/>
    <col min="8" max="8" width="11.28515625" style="713" bestFit="1" customWidth="1"/>
    <col min="9" max="9" width="10.140625" style="250" bestFit="1" customWidth="1"/>
    <col min="10" max="10" width="10.42578125" style="250" bestFit="1" customWidth="1"/>
    <col min="11" max="11" width="9.28515625" style="250" bestFit="1" customWidth="1"/>
    <col min="12" max="12" width="10.28515625" style="250" bestFit="1" customWidth="1"/>
    <col min="13" max="14" width="9.140625" style="250"/>
    <col min="15" max="16" width="9.28515625" style="250" bestFit="1" customWidth="1"/>
    <col min="17" max="17" width="11.28515625" style="250" customWidth="1"/>
    <col min="18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>
        <v>46207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804">
        <v>46207</v>
      </c>
    </row>
    <row r="4" spans="1:8" x14ac:dyDescent="0.2">
      <c r="A4" s="674"/>
      <c r="B4" s="675"/>
      <c r="C4" s="676"/>
      <c r="D4" s="677"/>
      <c r="E4" s="675"/>
      <c r="F4" s="678"/>
      <c r="G4" s="679" t="s">
        <v>20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2882</v>
      </c>
      <c r="F5" s="684"/>
      <c r="G5" s="685" t="s">
        <v>2879</v>
      </c>
    </row>
    <row r="6" spans="1:8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695">
        <v>1</v>
      </c>
      <c r="B10" s="698"/>
      <c r="C10" s="135" t="s">
        <v>2771</v>
      </c>
      <c r="D10" s="259" t="s">
        <v>2881</v>
      </c>
      <c r="E10" s="158">
        <v>600</v>
      </c>
      <c r="F10" s="163">
        <v>520</v>
      </c>
      <c r="G10" s="697">
        <f>F10*E10</f>
        <v>312000</v>
      </c>
    </row>
    <row r="11" spans="1:8" x14ac:dyDescent="0.2">
      <c r="A11" s="695"/>
      <c r="B11" s="698"/>
      <c r="C11" s="135"/>
      <c r="D11" s="259"/>
      <c r="E11" s="158"/>
      <c r="F11" s="163"/>
      <c r="G11" s="697"/>
    </row>
    <row r="12" spans="1:8" x14ac:dyDescent="0.2">
      <c r="A12" s="695"/>
      <c r="B12" s="698"/>
      <c r="C12" s="719"/>
      <c r="D12" s="259"/>
      <c r="E12" s="204"/>
      <c r="F12" s="149"/>
      <c r="G12" s="697"/>
    </row>
    <row r="13" spans="1:8" x14ac:dyDescent="0.2">
      <c r="A13" s="695"/>
      <c r="B13" s="698"/>
      <c r="C13" s="135"/>
      <c r="D13" s="259"/>
      <c r="E13" s="108"/>
      <c r="F13" s="163"/>
      <c r="G13" s="697"/>
    </row>
    <row r="14" spans="1:8" x14ac:dyDescent="0.2">
      <c r="A14" s="695"/>
      <c r="B14" s="105"/>
      <c r="C14" s="135"/>
      <c r="D14" s="259"/>
      <c r="E14" s="108"/>
      <c r="F14" s="163"/>
      <c r="G14" s="697"/>
    </row>
    <row r="15" spans="1:8" x14ac:dyDescent="0.2">
      <c r="A15" s="695"/>
      <c r="B15" s="105"/>
      <c r="C15" s="135"/>
      <c r="D15" s="259"/>
      <c r="E15" s="255"/>
      <c r="F15" s="163"/>
      <c r="G15" s="697"/>
    </row>
    <row r="16" spans="1:8" x14ac:dyDescent="0.2">
      <c r="A16" s="695"/>
      <c r="B16" s="105"/>
      <c r="C16" s="135"/>
      <c r="D16" s="259"/>
      <c r="E16" s="255"/>
      <c r="F16" s="150"/>
      <c r="G16" s="697"/>
    </row>
    <row r="17" spans="1:7" x14ac:dyDescent="0.2">
      <c r="A17" s="695"/>
      <c r="B17" s="105"/>
      <c r="C17" s="135"/>
      <c r="D17" s="252"/>
      <c r="E17" s="255"/>
      <c r="F17" s="150"/>
      <c r="G17" s="697"/>
    </row>
    <row r="18" spans="1:7" x14ac:dyDescent="0.2">
      <c r="A18" s="695"/>
      <c r="B18" s="698"/>
      <c r="C18" s="135"/>
      <c r="D18" s="252"/>
      <c r="E18" s="721"/>
      <c r="F18" s="163"/>
      <c r="G18" s="697"/>
    </row>
    <row r="19" spans="1:7" x14ac:dyDescent="0.2">
      <c r="A19" s="695"/>
      <c r="B19" s="106"/>
      <c r="C19" s="135"/>
      <c r="D19" s="259"/>
      <c r="E19" s="722"/>
      <c r="F19" s="163"/>
      <c r="G19" s="697"/>
    </row>
    <row r="20" spans="1:7" x14ac:dyDescent="0.2">
      <c r="A20" s="695"/>
      <c r="B20" s="105"/>
      <c r="C20" s="135"/>
      <c r="D20" s="259"/>
      <c r="E20" s="338"/>
      <c r="F20" s="152"/>
      <c r="G20" s="697"/>
    </row>
    <row r="21" spans="1:7" x14ac:dyDescent="0.2">
      <c r="A21" s="695"/>
      <c r="B21" s="700"/>
      <c r="C21" s="135"/>
      <c r="D21" s="259"/>
      <c r="E21" s="255"/>
      <c r="F21" s="163"/>
      <c r="G21" s="697"/>
    </row>
    <row r="22" spans="1:7" x14ac:dyDescent="0.2">
      <c r="A22" s="695"/>
      <c r="B22" s="700"/>
      <c r="C22" s="135"/>
      <c r="D22" s="259"/>
      <c r="E22" s="255"/>
      <c r="F22" s="163"/>
      <c r="G22" s="697"/>
    </row>
    <row r="23" spans="1:7" x14ac:dyDescent="0.2">
      <c r="A23" s="695"/>
      <c r="B23" s="698"/>
      <c r="C23" s="135"/>
      <c r="D23" s="259"/>
      <c r="E23" s="339"/>
      <c r="F23" s="163"/>
      <c r="G23" s="697"/>
    </row>
    <row r="24" spans="1:7" x14ac:dyDescent="0.2">
      <c r="A24" s="695"/>
      <c r="B24" s="698"/>
      <c r="C24" s="135"/>
      <c r="D24" s="259"/>
      <c r="E24" s="338"/>
      <c r="F24" s="163"/>
      <c r="G24" s="697"/>
    </row>
    <row r="25" spans="1:7" x14ac:dyDescent="0.2">
      <c r="A25" s="695"/>
      <c r="B25" s="106"/>
      <c r="C25" s="135"/>
      <c r="D25" s="259"/>
      <c r="E25" s="723"/>
      <c r="F25" s="717"/>
      <c r="G25" s="697"/>
    </row>
    <row r="26" spans="1:7" x14ac:dyDescent="0.2">
      <c r="A26" s="695"/>
      <c r="B26" s="105"/>
      <c r="C26" s="119"/>
      <c r="D26" s="144"/>
      <c r="E26" s="716"/>
      <c r="F26" s="717"/>
      <c r="G26" s="697"/>
    </row>
    <row r="27" spans="1:7" x14ac:dyDescent="0.2">
      <c r="A27" s="695"/>
      <c r="B27" s="105"/>
      <c r="C27" s="119"/>
      <c r="D27" s="136"/>
      <c r="E27" s="131"/>
      <c r="F27" s="717"/>
      <c r="G27" s="697"/>
    </row>
    <row r="28" spans="1:7" x14ac:dyDescent="0.2">
      <c r="A28" s="695"/>
      <c r="B28" s="105"/>
      <c r="C28" s="119"/>
      <c r="D28" s="136"/>
      <c r="E28" s="131"/>
      <c r="F28" s="717"/>
      <c r="G28" s="697"/>
    </row>
    <row r="29" spans="1:7" x14ac:dyDescent="0.2">
      <c r="A29" s="695"/>
      <c r="B29" s="105"/>
      <c r="C29" s="119"/>
      <c r="D29" s="136" t="s">
        <v>8</v>
      </c>
      <c r="E29" s="131"/>
      <c r="F29" s="717"/>
      <c r="G29" s="697"/>
    </row>
    <row r="30" spans="1:7" x14ac:dyDescent="0.2">
      <c r="A30" s="695"/>
      <c r="B30" s="105"/>
      <c r="C30" s="119"/>
      <c r="D30" s="136" t="s">
        <v>8</v>
      </c>
      <c r="E30" s="131"/>
      <c r="F30" s="717"/>
      <c r="G30" s="697"/>
    </row>
    <row r="31" spans="1:7" x14ac:dyDescent="0.2">
      <c r="A31" s="695"/>
      <c r="B31" s="698"/>
      <c r="C31" s="119"/>
      <c r="D31" s="136"/>
      <c r="E31" s="131"/>
      <c r="F31" s="717"/>
      <c r="G31" s="697"/>
    </row>
    <row r="32" spans="1:7" x14ac:dyDescent="0.2">
      <c r="A32" s="695"/>
      <c r="B32" s="698"/>
      <c r="C32" s="119"/>
      <c r="D32" s="136"/>
      <c r="E32" s="131"/>
      <c r="F32" s="717"/>
      <c r="G32" s="697"/>
    </row>
    <row r="33" spans="1:7" x14ac:dyDescent="0.2">
      <c r="A33" s="695"/>
      <c r="B33" s="698"/>
      <c r="C33" s="119"/>
      <c r="D33" s="136"/>
      <c r="E33" s="131"/>
      <c r="F33" s="717"/>
      <c r="G33" s="697"/>
    </row>
    <row r="34" spans="1:7" x14ac:dyDescent="0.2">
      <c r="A34" s="695"/>
      <c r="B34" s="698"/>
      <c r="C34" s="119"/>
      <c r="D34" s="136"/>
      <c r="E34" s="131"/>
      <c r="F34" s="717"/>
      <c r="G34" s="697"/>
    </row>
    <row r="35" spans="1:7" x14ac:dyDescent="0.2">
      <c r="A35" s="695"/>
      <c r="B35" s="698"/>
      <c r="C35" s="119"/>
      <c r="D35" s="136"/>
      <c r="E35" s="131"/>
      <c r="F35" s="717"/>
      <c r="G35" s="697"/>
    </row>
    <row r="36" spans="1:7" x14ac:dyDescent="0.2">
      <c r="A36" s="695"/>
      <c r="B36" s="698"/>
      <c r="C36" s="119"/>
      <c r="D36" s="136"/>
      <c r="E36" s="131"/>
      <c r="F36" s="717"/>
      <c r="G36" s="697"/>
    </row>
    <row r="37" spans="1:7" x14ac:dyDescent="0.2">
      <c r="A37" s="695"/>
      <c r="B37" s="698"/>
      <c r="C37" s="119"/>
      <c r="D37" s="144"/>
      <c r="E37" s="131"/>
      <c r="F37" s="717"/>
      <c r="G37" s="697"/>
    </row>
    <row r="38" spans="1:7" x14ac:dyDescent="0.2">
      <c r="A38" s="695"/>
      <c r="B38" s="698"/>
      <c r="C38" s="119"/>
      <c r="D38" s="144"/>
      <c r="E38" s="108"/>
      <c r="F38" s="163"/>
      <c r="G38" s="697"/>
    </row>
    <row r="39" spans="1:7" x14ac:dyDescent="0.2">
      <c r="A39" s="695"/>
      <c r="B39" s="698"/>
      <c r="C39" s="119"/>
      <c r="D39" s="136"/>
      <c r="E39" s="131"/>
      <c r="F39" s="718"/>
      <c r="G39" s="697"/>
    </row>
    <row r="40" spans="1:7" x14ac:dyDescent="0.2">
      <c r="A40" s="695"/>
      <c r="B40" s="698"/>
      <c r="C40" s="119"/>
      <c r="D40" s="118"/>
      <c r="E40" s="108"/>
      <c r="F40" s="149"/>
      <c r="G40" s="697"/>
    </row>
    <row r="41" spans="1:7" x14ac:dyDescent="0.2">
      <c r="A41" s="695"/>
      <c r="B41" s="698"/>
      <c r="C41" s="119"/>
      <c r="D41" s="144"/>
      <c r="E41" s="108"/>
      <c r="F41" s="149"/>
      <c r="G41" s="697"/>
    </row>
    <row r="42" spans="1:7" ht="13.5" thickBot="1" x14ac:dyDescent="0.25">
      <c r="A42" s="702"/>
      <c r="B42" s="703"/>
      <c r="C42" s="704"/>
      <c r="D42" s="704"/>
      <c r="E42" s="703"/>
      <c r="F42" s="705" t="s">
        <v>15</v>
      </c>
      <c r="G42" s="706">
        <f>SUM(G10:G41)</f>
        <v>312000</v>
      </c>
    </row>
    <row r="43" spans="1:7" ht="13.5" thickTop="1" x14ac:dyDescent="0.2">
      <c r="A43" s="1030" t="s">
        <v>188</v>
      </c>
      <c r="B43" s="1019"/>
      <c r="C43" s="1019"/>
      <c r="D43" s="1019"/>
      <c r="E43" s="1019"/>
      <c r="F43" s="1019"/>
      <c r="G43" s="1020"/>
    </row>
    <row r="44" spans="1:7" ht="13.5" thickBot="1" x14ac:dyDescent="0.25">
      <c r="A44" s="707"/>
      <c r="B44" s="708"/>
      <c r="C44" s="708"/>
      <c r="D44" s="709"/>
      <c r="E44" s="708"/>
      <c r="F44" s="198"/>
      <c r="G44" s="199"/>
    </row>
    <row r="45" spans="1:7" ht="13.5" thickTop="1" x14ac:dyDescent="0.2">
      <c r="A45" s="1023"/>
      <c r="B45" s="1024"/>
      <c r="C45" s="1024"/>
      <c r="D45" s="344" t="s">
        <v>11</v>
      </c>
      <c r="E45" s="1025" t="s">
        <v>12</v>
      </c>
      <c r="F45" s="1025"/>
      <c r="G45" s="1026"/>
    </row>
    <row r="46" spans="1:7" ht="27" customHeight="1" x14ac:dyDescent="0.2">
      <c r="A46" s="1010" t="s">
        <v>17</v>
      </c>
      <c r="B46" s="1011"/>
      <c r="C46" s="1011"/>
      <c r="D46" s="121"/>
      <c r="E46" s="1027"/>
      <c r="F46" s="1028"/>
      <c r="G46" s="1029"/>
    </row>
    <row r="47" spans="1:7" x14ac:dyDescent="0.2">
      <c r="A47" s="1010" t="s">
        <v>38</v>
      </c>
      <c r="B47" s="1011"/>
      <c r="C47" s="1011"/>
      <c r="D47" s="710" t="s">
        <v>147</v>
      </c>
      <c r="E47" s="1012" t="s">
        <v>142</v>
      </c>
      <c r="F47" s="1012"/>
      <c r="G47" s="1013"/>
    </row>
    <row r="48" spans="1:7" ht="13.5" thickBot="1" x14ac:dyDescent="0.25">
      <c r="A48" s="1014" t="s">
        <v>39</v>
      </c>
      <c r="B48" s="1015"/>
      <c r="C48" s="1015"/>
      <c r="D48" s="125" t="s">
        <v>148</v>
      </c>
      <c r="E48" s="1016" t="s">
        <v>0</v>
      </c>
      <c r="F48" s="1017"/>
      <c r="G48" s="1018"/>
    </row>
    <row r="49" spans="1:8" ht="16.5" x14ac:dyDescent="0.2">
      <c r="A49" s="997" t="s">
        <v>29</v>
      </c>
      <c r="B49" s="998"/>
      <c r="C49" s="998"/>
      <c r="D49" s="998"/>
      <c r="E49" s="998"/>
      <c r="F49" s="998"/>
      <c r="G49" s="999"/>
      <c r="H49" s="713">
        <v>2</v>
      </c>
    </row>
    <row r="50" spans="1:8" x14ac:dyDescent="0.2">
      <c r="A50" s="1000" t="s">
        <v>48</v>
      </c>
      <c r="B50" s="1001"/>
      <c r="C50" s="1001"/>
      <c r="D50" s="1001"/>
      <c r="E50" s="1001"/>
      <c r="F50" s="1001"/>
      <c r="G50" s="1002"/>
      <c r="H50" s="804">
        <v>46238</v>
      </c>
    </row>
    <row r="51" spans="1:8" x14ac:dyDescent="0.2">
      <c r="A51" s="1003" t="s">
        <v>49</v>
      </c>
      <c r="B51" s="1004"/>
      <c r="C51" s="1004"/>
      <c r="D51" s="1004"/>
      <c r="E51" s="1004"/>
      <c r="F51" s="1004"/>
      <c r="G51" s="1005"/>
      <c r="H51" s="804"/>
    </row>
    <row r="52" spans="1:8" x14ac:dyDescent="0.2">
      <c r="A52" s="674"/>
      <c r="B52" s="675"/>
      <c r="C52" s="676"/>
      <c r="D52" s="677"/>
      <c r="E52" s="675"/>
      <c r="F52" s="678"/>
      <c r="G52" s="679" t="s">
        <v>20</v>
      </c>
    </row>
    <row r="53" spans="1:8" x14ac:dyDescent="0.2">
      <c r="A53" s="680" t="s">
        <v>1</v>
      </c>
      <c r="B53" s="681"/>
      <c r="C53" s="682" t="s">
        <v>7</v>
      </c>
      <c r="D53" s="681"/>
      <c r="E53" s="683" t="s">
        <v>2921</v>
      </c>
      <c r="F53" s="684"/>
      <c r="G53" s="685" t="s">
        <v>2883</v>
      </c>
    </row>
    <row r="54" spans="1:8" x14ac:dyDescent="0.2">
      <c r="A54" s="686" t="s">
        <v>8</v>
      </c>
      <c r="B54" s="687"/>
      <c r="C54" s="688"/>
      <c r="D54" s="673"/>
      <c r="E54" s="1006"/>
      <c r="F54" s="1007"/>
      <c r="G54" s="689"/>
    </row>
    <row r="55" spans="1:8" x14ac:dyDescent="0.2">
      <c r="A55" s="690" t="s">
        <v>37</v>
      </c>
      <c r="B55" s="261"/>
      <c r="C55" s="261"/>
      <c r="D55" s="261"/>
      <c r="E55" s="691" t="s">
        <v>46</v>
      </c>
      <c r="F55" s="692"/>
      <c r="G55" s="689" t="s">
        <v>50</v>
      </c>
    </row>
    <row r="56" spans="1:8" x14ac:dyDescent="0.2">
      <c r="A56" s="674"/>
      <c r="B56" s="675"/>
      <c r="C56" s="676"/>
      <c r="D56" s="676"/>
      <c r="E56" s="1008"/>
      <c r="F56" s="1009"/>
      <c r="G56" s="693"/>
    </row>
    <row r="57" spans="1:8" ht="26.25" thickBot="1" x14ac:dyDescent="0.25">
      <c r="A57" s="694" t="s">
        <v>47</v>
      </c>
      <c r="B57" s="110" t="s">
        <v>23</v>
      </c>
      <c r="C57" s="110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8" ht="13.5" thickTop="1" x14ac:dyDescent="0.2">
      <c r="A58" s="695">
        <v>1</v>
      </c>
      <c r="B58" s="698"/>
      <c r="C58" s="135" t="s">
        <v>243</v>
      </c>
      <c r="D58" s="259" t="s">
        <v>2884</v>
      </c>
      <c r="E58" s="158">
        <v>2</v>
      </c>
      <c r="F58" s="163">
        <v>2500</v>
      </c>
      <c r="G58" s="697">
        <f>F58*E58</f>
        <v>5000</v>
      </c>
    </row>
    <row r="59" spans="1:8" x14ac:dyDescent="0.2">
      <c r="A59" s="695">
        <v>2</v>
      </c>
      <c r="B59" s="698"/>
      <c r="C59" s="135" t="s">
        <v>243</v>
      </c>
      <c r="D59" s="259" t="s">
        <v>2885</v>
      </c>
      <c r="E59" s="158">
        <v>4</v>
      </c>
      <c r="F59" s="163">
        <v>1800</v>
      </c>
      <c r="G59" s="697">
        <f t="shared" ref="G59:G62" si="0">F59*E59</f>
        <v>7200</v>
      </c>
    </row>
    <row r="60" spans="1:8" x14ac:dyDescent="0.2">
      <c r="A60" s="695">
        <v>3</v>
      </c>
      <c r="B60" s="698"/>
      <c r="C60" s="719" t="s">
        <v>243</v>
      </c>
      <c r="D60" s="259" t="s">
        <v>2886</v>
      </c>
      <c r="E60" s="204">
        <v>4</v>
      </c>
      <c r="F60" s="149">
        <v>3000</v>
      </c>
      <c r="G60" s="697">
        <f t="shared" si="0"/>
        <v>12000</v>
      </c>
    </row>
    <row r="61" spans="1:8" x14ac:dyDescent="0.2">
      <c r="A61" s="695">
        <v>4</v>
      </c>
      <c r="B61" s="698"/>
      <c r="C61" s="135" t="s">
        <v>243</v>
      </c>
      <c r="D61" s="259" t="s">
        <v>2887</v>
      </c>
      <c r="E61" s="108">
        <v>5</v>
      </c>
      <c r="F61" s="163">
        <v>6000</v>
      </c>
      <c r="G61" s="697">
        <f t="shared" si="0"/>
        <v>30000</v>
      </c>
    </row>
    <row r="62" spans="1:8" x14ac:dyDescent="0.2">
      <c r="A62" s="695">
        <v>5</v>
      </c>
      <c r="B62" s="105"/>
      <c r="C62" s="135" t="s">
        <v>243</v>
      </c>
      <c r="D62" s="259" t="s">
        <v>2888</v>
      </c>
      <c r="E62" s="108">
        <v>5</v>
      </c>
      <c r="F62" s="163">
        <v>3500</v>
      </c>
      <c r="G62" s="697">
        <f t="shared" si="0"/>
        <v>17500</v>
      </c>
    </row>
    <row r="63" spans="1:8" x14ac:dyDescent="0.2">
      <c r="A63" s="695"/>
      <c r="B63" s="105"/>
      <c r="C63" s="135"/>
      <c r="D63" s="259"/>
      <c r="E63" s="255"/>
      <c r="F63" s="163"/>
      <c r="G63" s="697"/>
    </row>
    <row r="64" spans="1:8" x14ac:dyDescent="0.2">
      <c r="A64" s="695"/>
      <c r="B64" s="105"/>
      <c r="C64" s="135"/>
      <c r="D64" s="259"/>
      <c r="E64" s="255"/>
      <c r="F64" s="150"/>
      <c r="G64" s="697"/>
    </row>
    <row r="65" spans="1:7" x14ac:dyDescent="0.2">
      <c r="A65" s="695"/>
      <c r="B65" s="105"/>
      <c r="C65" s="135"/>
      <c r="D65" s="252"/>
      <c r="E65" s="255"/>
      <c r="F65" s="150"/>
      <c r="G65" s="697"/>
    </row>
    <row r="66" spans="1:7" x14ac:dyDescent="0.2">
      <c r="A66" s="695"/>
      <c r="B66" s="698"/>
      <c r="C66" s="135"/>
      <c r="D66" s="252"/>
      <c r="E66" s="721"/>
      <c r="F66" s="163"/>
      <c r="G66" s="697"/>
    </row>
    <row r="67" spans="1:7" x14ac:dyDescent="0.2">
      <c r="A67" s="695"/>
      <c r="B67" s="106"/>
      <c r="C67" s="135"/>
      <c r="D67" s="259"/>
      <c r="E67" s="722"/>
      <c r="F67" s="163"/>
      <c r="G67" s="697"/>
    </row>
    <row r="68" spans="1:7" x14ac:dyDescent="0.2">
      <c r="A68" s="695"/>
      <c r="B68" s="105"/>
      <c r="C68" s="135"/>
      <c r="D68" s="259"/>
      <c r="E68" s="338"/>
      <c r="F68" s="152"/>
      <c r="G68" s="697"/>
    </row>
    <row r="69" spans="1:7" x14ac:dyDescent="0.2">
      <c r="A69" s="695"/>
      <c r="B69" s="700"/>
      <c r="C69" s="135"/>
      <c r="D69" s="259"/>
      <c r="E69" s="255"/>
      <c r="F69" s="163"/>
      <c r="G69" s="697"/>
    </row>
    <row r="70" spans="1:7" x14ac:dyDescent="0.2">
      <c r="A70" s="695"/>
      <c r="B70" s="700"/>
      <c r="C70" s="135"/>
      <c r="D70" s="259"/>
      <c r="E70" s="255"/>
      <c r="F70" s="163"/>
      <c r="G70" s="697"/>
    </row>
    <row r="71" spans="1:7" x14ac:dyDescent="0.2">
      <c r="A71" s="695"/>
      <c r="B71" s="698"/>
      <c r="C71" s="135"/>
      <c r="D71" s="259"/>
      <c r="E71" s="339"/>
      <c r="F71" s="163"/>
      <c r="G71" s="697"/>
    </row>
    <row r="72" spans="1:7" x14ac:dyDescent="0.2">
      <c r="A72" s="695"/>
      <c r="B72" s="698"/>
      <c r="C72" s="135"/>
      <c r="D72" s="259"/>
      <c r="E72" s="338"/>
      <c r="F72" s="163"/>
      <c r="G72" s="697"/>
    </row>
    <row r="73" spans="1:7" x14ac:dyDescent="0.2">
      <c r="A73" s="695"/>
      <c r="B73" s="106"/>
      <c r="C73" s="135"/>
      <c r="D73" s="259"/>
      <c r="E73" s="723"/>
      <c r="F73" s="717"/>
      <c r="G73" s="697"/>
    </row>
    <row r="74" spans="1:7" x14ac:dyDescent="0.2">
      <c r="A74" s="695"/>
      <c r="B74" s="105"/>
      <c r="C74" s="119"/>
      <c r="D74" s="144"/>
      <c r="E74" s="716"/>
      <c r="F74" s="717"/>
      <c r="G74" s="697"/>
    </row>
    <row r="75" spans="1:7" x14ac:dyDescent="0.2">
      <c r="A75" s="695"/>
      <c r="B75" s="105"/>
      <c r="C75" s="119"/>
      <c r="D75" s="136"/>
      <c r="E75" s="131"/>
      <c r="F75" s="717"/>
      <c r="G75" s="697"/>
    </row>
    <row r="76" spans="1:7" x14ac:dyDescent="0.2">
      <c r="A76" s="695"/>
      <c r="B76" s="105"/>
      <c r="C76" s="119"/>
      <c r="D76" s="136"/>
      <c r="E76" s="131"/>
      <c r="F76" s="717"/>
      <c r="G76" s="697"/>
    </row>
    <row r="77" spans="1:7" x14ac:dyDescent="0.2">
      <c r="A77" s="695"/>
      <c r="B77" s="105"/>
      <c r="C77" s="119"/>
      <c r="D77" s="136" t="s">
        <v>8</v>
      </c>
      <c r="E77" s="131"/>
      <c r="F77" s="717"/>
      <c r="G77" s="697"/>
    </row>
    <row r="78" spans="1:7" x14ac:dyDescent="0.2">
      <c r="A78" s="695"/>
      <c r="B78" s="105"/>
      <c r="C78" s="119"/>
      <c r="D78" s="136" t="s">
        <v>8</v>
      </c>
      <c r="E78" s="131"/>
      <c r="F78" s="717"/>
      <c r="G78" s="697"/>
    </row>
    <row r="79" spans="1:7" x14ac:dyDescent="0.2">
      <c r="A79" s="695"/>
      <c r="B79" s="698"/>
      <c r="C79" s="119"/>
      <c r="D79" s="136"/>
      <c r="E79" s="131"/>
      <c r="F79" s="717"/>
      <c r="G79" s="697"/>
    </row>
    <row r="80" spans="1:7" x14ac:dyDescent="0.2">
      <c r="A80" s="695"/>
      <c r="B80" s="698"/>
      <c r="C80" s="119"/>
      <c r="D80" s="136"/>
      <c r="E80" s="131"/>
      <c r="F80" s="717"/>
      <c r="G80" s="697"/>
    </row>
    <row r="81" spans="1:7" x14ac:dyDescent="0.2">
      <c r="A81" s="695"/>
      <c r="B81" s="698"/>
      <c r="C81" s="119"/>
      <c r="D81" s="136"/>
      <c r="E81" s="131"/>
      <c r="F81" s="717"/>
      <c r="G81" s="697"/>
    </row>
    <row r="82" spans="1:7" x14ac:dyDescent="0.2">
      <c r="A82" s="695"/>
      <c r="B82" s="698"/>
      <c r="C82" s="119"/>
      <c r="D82" s="136"/>
      <c r="E82" s="131"/>
      <c r="F82" s="717"/>
      <c r="G82" s="697"/>
    </row>
    <row r="83" spans="1:7" x14ac:dyDescent="0.2">
      <c r="A83" s="695"/>
      <c r="B83" s="698"/>
      <c r="C83" s="119"/>
      <c r="D83" s="136"/>
      <c r="E83" s="131"/>
      <c r="F83" s="717"/>
      <c r="G83" s="697"/>
    </row>
    <row r="84" spans="1:7" x14ac:dyDescent="0.2">
      <c r="A84" s="695"/>
      <c r="B84" s="698"/>
      <c r="C84" s="119"/>
      <c r="D84" s="136"/>
      <c r="E84" s="131"/>
      <c r="F84" s="717"/>
      <c r="G84" s="697"/>
    </row>
    <row r="85" spans="1:7" x14ac:dyDescent="0.2">
      <c r="A85" s="695"/>
      <c r="B85" s="698"/>
      <c r="C85" s="119"/>
      <c r="D85" s="144"/>
      <c r="E85" s="131"/>
      <c r="F85" s="717"/>
      <c r="G85" s="697"/>
    </row>
    <row r="86" spans="1:7" x14ac:dyDescent="0.2">
      <c r="A86" s="695"/>
      <c r="B86" s="698"/>
      <c r="C86" s="119"/>
      <c r="D86" s="144"/>
      <c r="E86" s="108"/>
      <c r="F86" s="163"/>
      <c r="G86" s="697"/>
    </row>
    <row r="87" spans="1:7" x14ac:dyDescent="0.2">
      <c r="A87" s="695"/>
      <c r="B87" s="698"/>
      <c r="C87" s="119"/>
      <c r="D87" s="136"/>
      <c r="E87" s="131"/>
      <c r="F87" s="718"/>
      <c r="G87" s="697"/>
    </row>
    <row r="88" spans="1:7" x14ac:dyDescent="0.2">
      <c r="A88" s="695"/>
      <c r="B88" s="698"/>
      <c r="C88" s="119"/>
      <c r="D88" s="118"/>
      <c r="E88" s="108"/>
      <c r="F88" s="149"/>
      <c r="G88" s="697"/>
    </row>
    <row r="89" spans="1:7" x14ac:dyDescent="0.2">
      <c r="A89" s="695"/>
      <c r="B89" s="698"/>
      <c r="C89" s="119"/>
      <c r="D89" s="144"/>
      <c r="E89" s="108"/>
      <c r="F89" s="149"/>
      <c r="G89" s="697"/>
    </row>
    <row r="90" spans="1:7" ht="13.5" thickBot="1" x14ac:dyDescent="0.25">
      <c r="A90" s="702"/>
      <c r="B90" s="703"/>
      <c r="C90" s="704"/>
      <c r="D90" s="704"/>
      <c r="E90" s="703"/>
      <c r="F90" s="705" t="s">
        <v>15</v>
      </c>
      <c r="G90" s="706">
        <f>SUM(G58:G89)</f>
        <v>71700</v>
      </c>
    </row>
    <row r="91" spans="1:7" ht="13.5" thickTop="1" x14ac:dyDescent="0.2">
      <c r="A91" s="985" t="s">
        <v>188</v>
      </c>
      <c r="B91" s="1019"/>
      <c r="C91" s="1019"/>
      <c r="D91" s="1019"/>
      <c r="E91" s="1019"/>
      <c r="F91" s="1019"/>
      <c r="G91" s="1020"/>
    </row>
    <row r="92" spans="1:7" ht="13.5" thickBot="1" x14ac:dyDescent="0.25">
      <c r="A92" s="707"/>
      <c r="B92" s="708"/>
      <c r="C92" s="708"/>
      <c r="D92" s="709"/>
      <c r="E92" s="708"/>
      <c r="F92" s="198"/>
      <c r="G92" s="199"/>
    </row>
    <row r="93" spans="1:7" ht="13.5" thickTop="1" x14ac:dyDescent="0.2">
      <c r="A93" s="1023"/>
      <c r="B93" s="1024"/>
      <c r="C93" s="1024"/>
      <c r="D93" s="344" t="s">
        <v>11</v>
      </c>
      <c r="E93" s="1025" t="s">
        <v>12</v>
      </c>
      <c r="F93" s="1025"/>
      <c r="G93" s="1026"/>
    </row>
    <row r="94" spans="1:7" ht="27" customHeight="1" x14ac:dyDescent="0.2">
      <c r="A94" s="1010" t="s">
        <v>17</v>
      </c>
      <c r="B94" s="1011"/>
      <c r="C94" s="1011"/>
      <c r="D94" s="121"/>
      <c r="E94" s="1027"/>
      <c r="F94" s="1028"/>
      <c r="G94" s="1029"/>
    </row>
    <row r="95" spans="1:7" x14ac:dyDescent="0.2">
      <c r="A95" s="1010" t="s">
        <v>38</v>
      </c>
      <c r="B95" s="1011"/>
      <c r="C95" s="1011"/>
      <c r="D95" s="710" t="s">
        <v>147</v>
      </c>
      <c r="E95" s="1012" t="s">
        <v>142</v>
      </c>
      <c r="F95" s="1012"/>
      <c r="G95" s="1013"/>
    </row>
    <row r="96" spans="1:7" ht="13.5" thickBot="1" x14ac:dyDescent="0.25">
      <c r="A96" s="1014" t="s">
        <v>39</v>
      </c>
      <c r="B96" s="1015"/>
      <c r="C96" s="1015"/>
      <c r="D96" s="125" t="s">
        <v>148</v>
      </c>
      <c r="E96" s="1016" t="s">
        <v>0</v>
      </c>
      <c r="F96" s="1017"/>
      <c r="G96" s="1018"/>
    </row>
    <row r="97" spans="1:8" ht="16.5" x14ac:dyDescent="0.2">
      <c r="A97" s="997" t="s">
        <v>29</v>
      </c>
      <c r="B97" s="998"/>
      <c r="C97" s="998"/>
      <c r="D97" s="998"/>
      <c r="E97" s="998"/>
      <c r="F97" s="998"/>
      <c r="G97" s="999"/>
      <c r="H97" s="713">
        <v>3</v>
      </c>
    </row>
    <row r="98" spans="1:8" x14ac:dyDescent="0.2">
      <c r="A98" s="1000" t="s">
        <v>48</v>
      </c>
      <c r="B98" s="1001"/>
      <c r="C98" s="1001"/>
      <c r="D98" s="1001"/>
      <c r="E98" s="1001"/>
      <c r="F98" s="1001"/>
      <c r="G98" s="1002"/>
      <c r="H98" s="804" t="s">
        <v>3066</v>
      </c>
    </row>
    <row r="99" spans="1:8" x14ac:dyDescent="0.2">
      <c r="A99" s="1003" t="s">
        <v>49</v>
      </c>
      <c r="B99" s="1004"/>
      <c r="C99" s="1004"/>
      <c r="D99" s="1004"/>
      <c r="E99" s="1004"/>
      <c r="F99" s="1004"/>
      <c r="G99" s="1005"/>
      <c r="H99" s="804" t="s">
        <v>3066</v>
      </c>
    </row>
    <row r="100" spans="1:8" x14ac:dyDescent="0.2">
      <c r="A100" s="674"/>
      <c r="B100" s="675"/>
      <c r="C100" s="676"/>
      <c r="D100" s="677"/>
      <c r="E100" s="675"/>
      <c r="F100" s="678"/>
      <c r="G100" s="679" t="s">
        <v>20</v>
      </c>
    </row>
    <row r="101" spans="1:8" x14ac:dyDescent="0.2">
      <c r="A101" s="680" t="s">
        <v>1</v>
      </c>
      <c r="B101" s="681"/>
      <c r="C101" s="682" t="s">
        <v>7</v>
      </c>
      <c r="D101" s="681"/>
      <c r="E101" s="683" t="s">
        <v>3087</v>
      </c>
      <c r="F101" s="684"/>
      <c r="G101" s="685" t="s">
        <v>3076</v>
      </c>
    </row>
    <row r="102" spans="1:8" x14ac:dyDescent="0.2">
      <c r="A102" s="686" t="s">
        <v>8</v>
      </c>
      <c r="B102" s="687"/>
      <c r="C102" s="688"/>
      <c r="D102" s="673"/>
      <c r="E102" s="1006"/>
      <c r="F102" s="1007"/>
      <c r="G102" s="689"/>
    </row>
    <row r="103" spans="1:8" x14ac:dyDescent="0.2">
      <c r="A103" s="690" t="s">
        <v>37</v>
      </c>
      <c r="B103" s="261"/>
      <c r="C103" s="261"/>
      <c r="D103" s="261"/>
      <c r="E103" s="691" t="s">
        <v>46</v>
      </c>
      <c r="F103" s="692"/>
      <c r="G103" s="689" t="s">
        <v>50</v>
      </c>
    </row>
    <row r="104" spans="1:8" x14ac:dyDescent="0.2">
      <c r="A104" s="674"/>
      <c r="B104" s="675"/>
      <c r="C104" s="676"/>
      <c r="D104" s="676"/>
      <c r="E104" s="1008"/>
      <c r="F104" s="1009"/>
      <c r="G104" s="693"/>
    </row>
    <row r="105" spans="1:8" ht="26.25" thickBot="1" x14ac:dyDescent="0.25">
      <c r="A105" s="694" t="s">
        <v>47</v>
      </c>
      <c r="B105" s="110" t="s">
        <v>23</v>
      </c>
      <c r="C105" s="110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8" ht="13.5" thickTop="1" x14ac:dyDescent="0.2">
      <c r="A106" s="695">
        <v>1</v>
      </c>
      <c r="B106" s="698"/>
      <c r="C106" s="135" t="s">
        <v>2779</v>
      </c>
      <c r="D106" s="259" t="s">
        <v>3048</v>
      </c>
      <c r="E106" s="158">
        <v>12</v>
      </c>
      <c r="F106" s="163">
        <v>38078</v>
      </c>
      <c r="G106" s="697">
        <f>F106*E106</f>
        <v>456936</v>
      </c>
    </row>
    <row r="107" spans="1:8" x14ac:dyDescent="0.2">
      <c r="A107" s="695">
        <v>2</v>
      </c>
      <c r="B107" s="698"/>
      <c r="C107" s="135" t="s">
        <v>2779</v>
      </c>
      <c r="D107" s="259" t="s">
        <v>3049</v>
      </c>
      <c r="E107" s="158">
        <v>12</v>
      </c>
      <c r="F107" s="163">
        <v>29542</v>
      </c>
      <c r="G107" s="697">
        <f t="shared" ref="G107:G124" si="1">F107*E107</f>
        <v>354504</v>
      </c>
    </row>
    <row r="108" spans="1:8" x14ac:dyDescent="0.2">
      <c r="A108" s="695">
        <v>3</v>
      </c>
      <c r="B108" s="698"/>
      <c r="C108" s="719" t="s">
        <v>2779</v>
      </c>
      <c r="D108" s="259" t="s">
        <v>3050</v>
      </c>
      <c r="E108" s="204">
        <v>12</v>
      </c>
      <c r="F108" s="149">
        <v>33483</v>
      </c>
      <c r="G108" s="697">
        <f t="shared" si="1"/>
        <v>401796</v>
      </c>
    </row>
    <row r="109" spans="1:8" x14ac:dyDescent="0.2">
      <c r="A109" s="695">
        <v>4</v>
      </c>
      <c r="B109" s="698"/>
      <c r="C109" s="135" t="s">
        <v>2779</v>
      </c>
      <c r="D109" s="259" t="s">
        <v>3051</v>
      </c>
      <c r="E109" s="108">
        <v>12</v>
      </c>
      <c r="F109" s="163">
        <v>33483</v>
      </c>
      <c r="G109" s="697">
        <f t="shared" si="1"/>
        <v>401796</v>
      </c>
    </row>
    <row r="110" spans="1:8" x14ac:dyDescent="0.2">
      <c r="A110" s="695">
        <v>5</v>
      </c>
      <c r="B110" s="105"/>
      <c r="C110" s="135" t="s">
        <v>2779</v>
      </c>
      <c r="D110" s="259" t="s">
        <v>3052</v>
      </c>
      <c r="E110" s="108">
        <v>3</v>
      </c>
      <c r="F110" s="163">
        <v>22853</v>
      </c>
      <c r="G110" s="697">
        <f t="shared" si="1"/>
        <v>68559</v>
      </c>
    </row>
    <row r="111" spans="1:8" x14ac:dyDescent="0.2">
      <c r="A111" s="695">
        <v>6</v>
      </c>
      <c r="B111" s="105"/>
      <c r="C111" s="135" t="s">
        <v>2779</v>
      </c>
      <c r="D111" s="259" t="s">
        <v>3053</v>
      </c>
      <c r="E111" s="108">
        <v>2</v>
      </c>
      <c r="F111" s="163">
        <v>63250</v>
      </c>
      <c r="G111" s="697">
        <f t="shared" si="1"/>
        <v>126500</v>
      </c>
    </row>
    <row r="112" spans="1:8" x14ac:dyDescent="0.2">
      <c r="A112" s="695">
        <v>7</v>
      </c>
      <c r="B112" s="105"/>
      <c r="C112" s="135" t="s">
        <v>2779</v>
      </c>
      <c r="D112" s="259" t="s">
        <v>3054</v>
      </c>
      <c r="E112" s="108">
        <v>3</v>
      </c>
      <c r="F112" s="150">
        <v>71300</v>
      </c>
      <c r="G112" s="697">
        <f t="shared" si="1"/>
        <v>213900</v>
      </c>
    </row>
    <row r="113" spans="1:8" x14ac:dyDescent="0.2">
      <c r="A113" s="695">
        <v>8</v>
      </c>
      <c r="B113" s="105"/>
      <c r="C113" s="135" t="s">
        <v>2779</v>
      </c>
      <c r="D113" s="252" t="s">
        <v>3055</v>
      </c>
      <c r="E113" s="108">
        <v>12</v>
      </c>
      <c r="F113" s="150">
        <v>34321</v>
      </c>
      <c r="G113" s="697">
        <f t="shared" si="1"/>
        <v>411852</v>
      </c>
    </row>
    <row r="114" spans="1:8" x14ac:dyDescent="0.2">
      <c r="A114" s="695">
        <v>9</v>
      </c>
      <c r="B114" s="698"/>
      <c r="C114" s="135" t="s">
        <v>2779</v>
      </c>
      <c r="D114" s="252" t="s">
        <v>3056</v>
      </c>
      <c r="E114" s="131">
        <v>9</v>
      </c>
      <c r="F114" s="163">
        <v>25000</v>
      </c>
      <c r="G114" s="697">
        <f t="shared" si="1"/>
        <v>225000</v>
      </c>
      <c r="H114" s="131">
        <v>10</v>
      </c>
    </row>
    <row r="115" spans="1:8" x14ac:dyDescent="0.2">
      <c r="A115" s="695">
        <v>10</v>
      </c>
      <c r="B115" s="106"/>
      <c r="C115" s="135" t="s">
        <v>2779</v>
      </c>
      <c r="D115" s="259" t="s">
        <v>3057</v>
      </c>
      <c r="E115" s="131">
        <v>2</v>
      </c>
      <c r="F115" s="163">
        <v>86250</v>
      </c>
      <c r="G115" s="697">
        <f t="shared" si="1"/>
        <v>172500</v>
      </c>
    </row>
    <row r="116" spans="1:8" x14ac:dyDescent="0.2">
      <c r="A116" s="695">
        <v>11</v>
      </c>
      <c r="B116" s="105"/>
      <c r="C116" s="135" t="s">
        <v>2779</v>
      </c>
      <c r="D116" s="259" t="s">
        <v>3058</v>
      </c>
      <c r="E116" s="108">
        <v>12</v>
      </c>
      <c r="F116" s="152">
        <v>78909</v>
      </c>
      <c r="G116" s="697">
        <f t="shared" si="1"/>
        <v>946908</v>
      </c>
    </row>
    <row r="117" spans="1:8" x14ac:dyDescent="0.2">
      <c r="A117" s="695">
        <v>12</v>
      </c>
      <c r="B117" s="700"/>
      <c r="C117" s="135" t="s">
        <v>2779</v>
      </c>
      <c r="D117" s="259" t="s">
        <v>3059</v>
      </c>
      <c r="E117" s="108">
        <v>12</v>
      </c>
      <c r="F117" s="163">
        <v>25734</v>
      </c>
      <c r="G117" s="697">
        <f t="shared" si="1"/>
        <v>308808</v>
      </c>
    </row>
    <row r="118" spans="1:8" x14ac:dyDescent="0.2">
      <c r="A118" s="695">
        <v>13</v>
      </c>
      <c r="B118" s="700"/>
      <c r="C118" s="135" t="s">
        <v>2779</v>
      </c>
      <c r="D118" s="259" t="s">
        <v>3060</v>
      </c>
      <c r="E118" s="108">
        <v>12</v>
      </c>
      <c r="F118" s="163">
        <v>24619</v>
      </c>
      <c r="G118" s="697">
        <f t="shared" si="1"/>
        <v>295428</v>
      </c>
    </row>
    <row r="119" spans="1:8" x14ac:dyDescent="0.2">
      <c r="A119" s="695">
        <v>14</v>
      </c>
      <c r="B119" s="698"/>
      <c r="C119" s="135" t="s">
        <v>185</v>
      </c>
      <c r="D119" s="259" t="s">
        <v>3061</v>
      </c>
      <c r="E119" s="260">
        <v>1</v>
      </c>
      <c r="F119" s="163">
        <v>44940</v>
      </c>
      <c r="G119" s="697">
        <f t="shared" si="1"/>
        <v>44940</v>
      </c>
    </row>
    <row r="120" spans="1:8" x14ac:dyDescent="0.2">
      <c r="A120" s="695">
        <v>15</v>
      </c>
      <c r="B120" s="698"/>
      <c r="C120" s="135" t="s">
        <v>185</v>
      </c>
      <c r="D120" s="259" t="s">
        <v>3062</v>
      </c>
      <c r="E120" s="108">
        <v>2</v>
      </c>
      <c r="F120" s="163">
        <v>93337</v>
      </c>
      <c r="G120" s="697">
        <f t="shared" si="1"/>
        <v>186674</v>
      </c>
    </row>
    <row r="121" spans="1:8" x14ac:dyDescent="0.2">
      <c r="A121" s="695">
        <v>16</v>
      </c>
      <c r="B121" s="106"/>
      <c r="C121" s="135" t="s">
        <v>2779</v>
      </c>
      <c r="D121" s="259" t="s">
        <v>3063</v>
      </c>
      <c r="E121" s="131">
        <v>12</v>
      </c>
      <c r="F121" s="717">
        <v>46069</v>
      </c>
      <c r="G121" s="697">
        <f t="shared" si="1"/>
        <v>552828</v>
      </c>
    </row>
    <row r="122" spans="1:8" x14ac:dyDescent="0.2">
      <c r="A122" s="695">
        <v>17</v>
      </c>
      <c r="B122" s="105"/>
      <c r="C122" s="119" t="s">
        <v>149</v>
      </c>
      <c r="D122" s="383" t="s">
        <v>3088</v>
      </c>
      <c r="E122" s="716">
        <v>6</v>
      </c>
      <c r="F122" s="717">
        <v>198500</v>
      </c>
      <c r="G122" s="697">
        <f t="shared" si="1"/>
        <v>1191000</v>
      </c>
    </row>
    <row r="123" spans="1:8" x14ac:dyDescent="0.2">
      <c r="A123" s="695">
        <v>18</v>
      </c>
      <c r="B123" s="105"/>
      <c r="C123" s="119" t="s">
        <v>185</v>
      </c>
      <c r="D123" s="136" t="s">
        <v>3064</v>
      </c>
      <c r="E123" s="131">
        <v>3</v>
      </c>
      <c r="F123" s="717">
        <v>34500</v>
      </c>
      <c r="G123" s="697">
        <f t="shared" si="1"/>
        <v>103500</v>
      </c>
    </row>
    <row r="124" spans="1:8" x14ac:dyDescent="0.2">
      <c r="A124" s="695">
        <v>19</v>
      </c>
      <c r="B124" s="105"/>
      <c r="C124" s="119" t="s">
        <v>185</v>
      </c>
      <c r="D124" s="136" t="s">
        <v>3065</v>
      </c>
      <c r="E124" s="131">
        <v>2</v>
      </c>
      <c r="F124" s="717">
        <v>34500</v>
      </c>
      <c r="G124" s="697">
        <f t="shared" si="1"/>
        <v>69000</v>
      </c>
    </row>
    <row r="125" spans="1:8" x14ac:dyDescent="0.2">
      <c r="A125" s="695"/>
      <c r="B125" s="105"/>
      <c r="C125" s="119"/>
      <c r="D125" s="136" t="s">
        <v>8</v>
      </c>
      <c r="E125" s="131"/>
      <c r="F125" s="717"/>
      <c r="G125" s="697"/>
    </row>
    <row r="126" spans="1:8" x14ac:dyDescent="0.2">
      <c r="A126" s="695"/>
      <c r="B126" s="105"/>
      <c r="C126" s="119"/>
      <c r="D126" s="136" t="s">
        <v>8</v>
      </c>
      <c r="E126" s="131"/>
      <c r="F126" s="717"/>
      <c r="G126" s="697"/>
    </row>
    <row r="127" spans="1:8" x14ac:dyDescent="0.2">
      <c r="A127" s="695"/>
      <c r="B127" s="698"/>
      <c r="C127" s="119"/>
      <c r="D127" s="136"/>
      <c r="E127" s="131"/>
      <c r="F127" s="717"/>
      <c r="G127" s="697"/>
    </row>
    <row r="128" spans="1:8" x14ac:dyDescent="0.2">
      <c r="A128" s="695"/>
      <c r="B128" s="698"/>
      <c r="C128" s="119"/>
      <c r="D128" s="136"/>
      <c r="E128" s="131"/>
      <c r="F128" s="717"/>
      <c r="G128" s="697"/>
    </row>
    <row r="129" spans="1:7" x14ac:dyDescent="0.2">
      <c r="A129" s="695"/>
      <c r="B129" s="698"/>
      <c r="C129" s="119"/>
      <c r="D129" s="136"/>
      <c r="E129" s="131"/>
      <c r="F129" s="717"/>
      <c r="G129" s="697"/>
    </row>
    <row r="130" spans="1:7" x14ac:dyDescent="0.2">
      <c r="A130" s="695"/>
      <c r="B130" s="698"/>
      <c r="C130" s="119"/>
      <c r="D130" s="136"/>
      <c r="E130" s="131"/>
      <c r="F130" s="717"/>
      <c r="G130" s="697"/>
    </row>
    <row r="131" spans="1:7" x14ac:dyDescent="0.2">
      <c r="A131" s="695"/>
      <c r="B131" s="698"/>
      <c r="C131" s="119"/>
      <c r="D131" s="136"/>
      <c r="E131" s="131"/>
      <c r="F131" s="717"/>
      <c r="G131" s="697"/>
    </row>
    <row r="132" spans="1:7" x14ac:dyDescent="0.2">
      <c r="A132" s="695"/>
      <c r="B132" s="698"/>
      <c r="C132" s="119"/>
      <c r="D132" s="136"/>
      <c r="E132" s="131"/>
      <c r="F132" s="717"/>
      <c r="G132" s="697"/>
    </row>
    <row r="133" spans="1:7" x14ac:dyDescent="0.2">
      <c r="A133" s="695"/>
      <c r="B133" s="698"/>
      <c r="C133" s="119"/>
      <c r="D133" s="144"/>
      <c r="E133" s="131"/>
      <c r="F133" s="717"/>
      <c r="G133" s="697"/>
    </row>
    <row r="134" spans="1:7" x14ac:dyDescent="0.2">
      <c r="A134" s="695"/>
      <c r="B134" s="698"/>
      <c r="C134" s="119"/>
      <c r="D134" s="144"/>
      <c r="E134" s="108"/>
      <c r="F134" s="163"/>
      <c r="G134" s="697"/>
    </row>
    <row r="135" spans="1:7" x14ac:dyDescent="0.2">
      <c r="A135" s="695"/>
      <c r="B135" s="698"/>
      <c r="C135" s="119"/>
      <c r="D135" s="136"/>
      <c r="E135" s="131"/>
      <c r="F135" s="718"/>
      <c r="G135" s="697"/>
    </row>
    <row r="136" spans="1:7" x14ac:dyDescent="0.2">
      <c r="A136" s="695"/>
      <c r="B136" s="698"/>
      <c r="C136" s="119"/>
      <c r="D136" s="118"/>
      <c r="E136" s="108"/>
      <c r="F136" s="149"/>
      <c r="G136" s="697"/>
    </row>
    <row r="137" spans="1:7" x14ac:dyDescent="0.2">
      <c r="A137" s="695"/>
      <c r="B137" s="698"/>
      <c r="C137" s="119"/>
      <c r="D137" s="144"/>
      <c r="E137" s="108"/>
      <c r="F137" s="149"/>
      <c r="G137" s="697"/>
    </row>
    <row r="138" spans="1:7" ht="13.5" thickBot="1" x14ac:dyDescent="0.25">
      <c r="A138" s="702"/>
      <c r="B138" s="703"/>
      <c r="C138" s="704"/>
      <c r="D138" s="704"/>
      <c r="E138" s="703"/>
      <c r="F138" s="705" t="s">
        <v>15</v>
      </c>
      <c r="G138" s="706">
        <f>SUM(G106:G137)</f>
        <v>6532429</v>
      </c>
    </row>
    <row r="139" spans="1:7" ht="13.5" thickTop="1" x14ac:dyDescent="0.2">
      <c r="A139" s="985" t="s">
        <v>188</v>
      </c>
      <c r="B139" s="1019"/>
      <c r="C139" s="1019"/>
      <c r="D139" s="1019"/>
      <c r="E139" s="1019"/>
      <c r="F139" s="1019"/>
      <c r="G139" s="1020"/>
    </row>
    <row r="140" spans="1:7" ht="13.5" thickBot="1" x14ac:dyDescent="0.25">
      <c r="A140" s="707"/>
      <c r="B140" s="708"/>
      <c r="C140" s="708"/>
      <c r="D140" s="709"/>
      <c r="E140" s="708"/>
      <c r="F140" s="198"/>
      <c r="G140" s="199"/>
    </row>
    <row r="141" spans="1:7" ht="13.5" thickTop="1" x14ac:dyDescent="0.2">
      <c r="A141" s="1023"/>
      <c r="B141" s="1024"/>
      <c r="C141" s="1024"/>
      <c r="D141" s="344" t="s">
        <v>11</v>
      </c>
      <c r="E141" s="1025" t="s">
        <v>12</v>
      </c>
      <c r="F141" s="1025"/>
      <c r="G141" s="1026"/>
    </row>
    <row r="142" spans="1:7" ht="27" customHeight="1" x14ac:dyDescent="0.2">
      <c r="A142" s="1010" t="s">
        <v>17</v>
      </c>
      <c r="B142" s="1011"/>
      <c r="C142" s="1011"/>
      <c r="D142" s="121"/>
      <c r="E142" s="1027"/>
      <c r="F142" s="1028"/>
      <c r="G142" s="1029"/>
    </row>
    <row r="143" spans="1:7" x14ac:dyDescent="0.2">
      <c r="A143" s="1010" t="s">
        <v>38</v>
      </c>
      <c r="B143" s="1011"/>
      <c r="C143" s="1011"/>
      <c r="D143" s="710" t="s">
        <v>147</v>
      </c>
      <c r="E143" s="1012" t="s">
        <v>142</v>
      </c>
      <c r="F143" s="1012"/>
      <c r="G143" s="1013"/>
    </row>
    <row r="144" spans="1:7" ht="13.5" thickBot="1" x14ac:dyDescent="0.25">
      <c r="A144" s="1014" t="s">
        <v>39</v>
      </c>
      <c r="B144" s="1015"/>
      <c r="C144" s="1015"/>
      <c r="D144" s="125" t="s">
        <v>148</v>
      </c>
      <c r="E144" s="1016" t="s">
        <v>0</v>
      </c>
      <c r="F144" s="1017"/>
      <c r="G144" s="1018"/>
    </row>
    <row r="145" spans="1:8" ht="16.5" x14ac:dyDescent="0.2">
      <c r="A145" s="997" t="s">
        <v>29</v>
      </c>
      <c r="B145" s="998"/>
      <c r="C145" s="998"/>
      <c r="D145" s="998"/>
      <c r="E145" s="998"/>
      <c r="F145" s="998"/>
      <c r="G145" s="999"/>
      <c r="H145" s="713">
        <v>4</v>
      </c>
    </row>
    <row r="146" spans="1:8" x14ac:dyDescent="0.2">
      <c r="A146" s="1000" t="s">
        <v>48</v>
      </c>
      <c r="B146" s="1001"/>
      <c r="C146" s="1001"/>
      <c r="D146" s="1001"/>
      <c r="E146" s="1001"/>
      <c r="F146" s="1001"/>
      <c r="G146" s="1002"/>
      <c r="H146" s="804" t="s">
        <v>3066</v>
      </c>
    </row>
    <row r="147" spans="1:8" x14ac:dyDescent="0.2">
      <c r="A147" s="1003" t="s">
        <v>49</v>
      </c>
      <c r="B147" s="1004"/>
      <c r="C147" s="1004"/>
      <c r="D147" s="1004"/>
      <c r="E147" s="1004"/>
      <c r="F147" s="1004"/>
      <c r="G147" s="1005"/>
      <c r="H147" s="804" t="s">
        <v>3180</v>
      </c>
    </row>
    <row r="148" spans="1:8" x14ac:dyDescent="0.2">
      <c r="A148" s="674"/>
      <c r="B148" s="675"/>
      <c r="C148" s="676"/>
      <c r="D148" s="677"/>
      <c r="E148" s="675"/>
      <c r="F148" s="678"/>
      <c r="G148" s="679" t="s">
        <v>20</v>
      </c>
    </row>
    <row r="149" spans="1:8" x14ac:dyDescent="0.2">
      <c r="A149" s="680" t="s">
        <v>1</v>
      </c>
      <c r="B149" s="681"/>
      <c r="C149" s="682" t="s">
        <v>7</v>
      </c>
      <c r="D149" s="681"/>
      <c r="E149" s="683" t="s">
        <v>3176</v>
      </c>
      <c r="F149" s="684"/>
      <c r="G149" s="685" t="s">
        <v>3175</v>
      </c>
    </row>
    <row r="150" spans="1:8" x14ac:dyDescent="0.2">
      <c r="A150" s="686" t="s">
        <v>8</v>
      </c>
      <c r="B150" s="687"/>
      <c r="C150" s="688"/>
      <c r="D150" s="673"/>
      <c r="E150" s="1006"/>
      <c r="F150" s="1007"/>
      <c r="G150" s="689"/>
    </row>
    <row r="151" spans="1:8" x14ac:dyDescent="0.2">
      <c r="A151" s="690" t="s">
        <v>37</v>
      </c>
      <c r="B151" s="261"/>
      <c r="C151" s="261"/>
      <c r="D151" s="261"/>
      <c r="E151" s="691" t="s">
        <v>46</v>
      </c>
      <c r="F151" s="692"/>
      <c r="G151" s="689" t="s">
        <v>50</v>
      </c>
    </row>
    <row r="152" spans="1:8" x14ac:dyDescent="0.2">
      <c r="A152" s="674"/>
      <c r="B152" s="675"/>
      <c r="C152" s="676"/>
      <c r="D152" s="676"/>
      <c r="E152" s="1008"/>
      <c r="F152" s="1009"/>
      <c r="G152" s="693"/>
    </row>
    <row r="153" spans="1:8" ht="26.25" thickBot="1" x14ac:dyDescent="0.25">
      <c r="A153" s="694" t="s">
        <v>47</v>
      </c>
      <c r="B153" s="110" t="s">
        <v>23</v>
      </c>
      <c r="C153" s="110" t="s">
        <v>34</v>
      </c>
      <c r="D153" s="110" t="s">
        <v>53</v>
      </c>
      <c r="E153" s="114" t="s">
        <v>54</v>
      </c>
      <c r="F153" s="111" t="s">
        <v>55</v>
      </c>
      <c r="G153" s="112" t="s">
        <v>35</v>
      </c>
    </row>
    <row r="154" spans="1:8" ht="13.5" thickTop="1" x14ac:dyDescent="0.2">
      <c r="A154" s="695"/>
      <c r="B154" s="698"/>
      <c r="C154" s="135"/>
      <c r="D154" s="357" t="s">
        <v>3021</v>
      </c>
      <c r="E154" s="158"/>
      <c r="F154" s="163"/>
      <c r="G154" s="697"/>
    </row>
    <row r="155" spans="1:8" x14ac:dyDescent="0.2">
      <c r="A155" s="695">
        <v>1</v>
      </c>
      <c r="B155" s="698"/>
      <c r="C155" s="135" t="s">
        <v>187</v>
      </c>
      <c r="D155" s="259" t="s">
        <v>3151</v>
      </c>
      <c r="E155" s="158">
        <v>90</v>
      </c>
      <c r="F155" s="163">
        <v>52</v>
      </c>
      <c r="G155" s="697">
        <f>F155*E155</f>
        <v>4680</v>
      </c>
    </row>
    <row r="156" spans="1:8" x14ac:dyDescent="0.2">
      <c r="A156" s="695">
        <v>2</v>
      </c>
      <c r="B156" s="698"/>
      <c r="C156" s="719" t="s">
        <v>187</v>
      </c>
      <c r="D156" s="259" t="s">
        <v>3152</v>
      </c>
      <c r="E156" s="204">
        <v>300</v>
      </c>
      <c r="F156" s="149">
        <v>34</v>
      </c>
      <c r="G156" s="697">
        <f t="shared" ref="G156:G181" si="2">F156*E156</f>
        <v>10200</v>
      </c>
    </row>
    <row r="157" spans="1:8" x14ac:dyDescent="0.2">
      <c r="A157" s="695">
        <v>3</v>
      </c>
      <c r="B157" s="698"/>
      <c r="C157" s="135" t="s">
        <v>375</v>
      </c>
      <c r="D157" s="259" t="s">
        <v>3153</v>
      </c>
      <c r="E157" s="108">
        <v>30</v>
      </c>
      <c r="F157" s="163">
        <v>2795</v>
      </c>
      <c r="G157" s="697">
        <f t="shared" si="2"/>
        <v>83850</v>
      </c>
    </row>
    <row r="158" spans="1:8" x14ac:dyDescent="0.2">
      <c r="A158" s="695">
        <v>4</v>
      </c>
      <c r="B158" s="105"/>
      <c r="C158" s="135" t="s">
        <v>187</v>
      </c>
      <c r="D158" s="259" t="s">
        <v>3166</v>
      </c>
      <c r="E158" s="108">
        <v>300</v>
      </c>
      <c r="F158" s="163">
        <v>12</v>
      </c>
      <c r="G158" s="697">
        <f t="shared" si="2"/>
        <v>3600</v>
      </c>
    </row>
    <row r="159" spans="1:8" x14ac:dyDescent="0.2">
      <c r="A159" s="695"/>
      <c r="B159" s="786"/>
      <c r="C159" s="831"/>
      <c r="D159" s="832" t="s">
        <v>3167</v>
      </c>
      <c r="E159" s="779"/>
      <c r="F159" s="780"/>
      <c r="G159" s="697"/>
    </row>
    <row r="160" spans="1:8" x14ac:dyDescent="0.2">
      <c r="A160" s="695"/>
      <c r="B160" s="786"/>
      <c r="C160" s="831"/>
      <c r="D160" s="832" t="s">
        <v>3168</v>
      </c>
      <c r="E160" s="779"/>
      <c r="F160" s="780"/>
      <c r="G160" s="697"/>
    </row>
    <row r="161" spans="1:8" x14ac:dyDescent="0.2">
      <c r="A161" s="695">
        <v>5</v>
      </c>
      <c r="B161" s="105"/>
      <c r="C161" s="135" t="s">
        <v>366</v>
      </c>
      <c r="D161" s="259" t="s">
        <v>3169</v>
      </c>
      <c r="E161" s="108">
        <v>66</v>
      </c>
      <c r="F161" s="163">
        <v>1020</v>
      </c>
      <c r="G161" s="697">
        <f t="shared" si="2"/>
        <v>67320</v>
      </c>
    </row>
    <row r="162" spans="1:8" x14ac:dyDescent="0.2">
      <c r="A162" s="695"/>
      <c r="B162" s="786"/>
      <c r="C162" s="831"/>
      <c r="D162" s="832" t="s">
        <v>3170</v>
      </c>
      <c r="E162" s="779"/>
      <c r="F162" s="780"/>
      <c r="G162" s="697"/>
    </row>
    <row r="163" spans="1:8" x14ac:dyDescent="0.2">
      <c r="A163" s="695">
        <v>6</v>
      </c>
      <c r="B163" s="105"/>
      <c r="C163" s="135" t="s">
        <v>187</v>
      </c>
      <c r="D163" s="259" t="s">
        <v>3154</v>
      </c>
      <c r="E163" s="108">
        <v>300</v>
      </c>
      <c r="F163" s="150">
        <v>30</v>
      </c>
      <c r="G163" s="697">
        <f t="shared" si="2"/>
        <v>9000</v>
      </c>
    </row>
    <row r="164" spans="1:8" x14ac:dyDescent="0.2">
      <c r="A164" s="695">
        <v>7</v>
      </c>
      <c r="B164" s="105"/>
      <c r="C164" s="135" t="s">
        <v>366</v>
      </c>
      <c r="D164" s="252" t="s">
        <v>3155</v>
      </c>
      <c r="E164" s="108">
        <v>30</v>
      </c>
      <c r="F164" s="150">
        <v>760</v>
      </c>
      <c r="G164" s="697">
        <f t="shared" si="2"/>
        <v>22800</v>
      </c>
      <c r="H164" s="781"/>
    </row>
    <row r="165" spans="1:8" x14ac:dyDescent="0.2">
      <c r="A165" s="695">
        <v>8</v>
      </c>
      <c r="B165" s="698"/>
      <c r="C165" s="135" t="s">
        <v>187</v>
      </c>
      <c r="D165" s="252" t="s">
        <v>3156</v>
      </c>
      <c r="E165" s="131">
        <v>300</v>
      </c>
      <c r="F165" s="163">
        <v>16.8</v>
      </c>
      <c r="G165" s="697">
        <f t="shared" si="2"/>
        <v>5040</v>
      </c>
      <c r="H165" s="830"/>
    </row>
    <row r="166" spans="1:8" x14ac:dyDescent="0.2">
      <c r="A166" s="695">
        <v>9</v>
      </c>
      <c r="B166" s="106"/>
      <c r="C166" s="135" t="s">
        <v>186</v>
      </c>
      <c r="D166" s="259" t="s">
        <v>3157</v>
      </c>
      <c r="E166" s="131">
        <v>90</v>
      </c>
      <c r="F166" s="163">
        <v>98</v>
      </c>
      <c r="G166" s="697">
        <f t="shared" si="2"/>
        <v>8820</v>
      </c>
      <c r="H166" s="781"/>
    </row>
    <row r="167" spans="1:8" x14ac:dyDescent="0.2">
      <c r="A167" s="695">
        <v>10</v>
      </c>
      <c r="B167" s="105"/>
      <c r="C167" s="135" t="s">
        <v>187</v>
      </c>
      <c r="D167" s="259" t="s">
        <v>3158</v>
      </c>
      <c r="E167" s="108">
        <v>600</v>
      </c>
      <c r="F167" s="152">
        <v>53</v>
      </c>
      <c r="G167" s="697">
        <f t="shared" si="2"/>
        <v>31800</v>
      </c>
      <c r="H167" s="781"/>
    </row>
    <row r="168" spans="1:8" x14ac:dyDescent="0.2">
      <c r="A168" s="695">
        <v>11</v>
      </c>
      <c r="B168" s="700"/>
      <c r="C168" s="135" t="s">
        <v>187</v>
      </c>
      <c r="D168" s="259" t="s">
        <v>3159</v>
      </c>
      <c r="E168" s="108">
        <v>180</v>
      </c>
      <c r="F168" s="163">
        <v>58.7</v>
      </c>
      <c r="G168" s="697">
        <f t="shared" si="2"/>
        <v>10566</v>
      </c>
    </row>
    <row r="169" spans="1:8" x14ac:dyDescent="0.2">
      <c r="A169" s="695">
        <v>12</v>
      </c>
      <c r="B169" s="700"/>
      <c r="C169" s="135" t="s">
        <v>186</v>
      </c>
      <c r="D169" s="259" t="s">
        <v>3160</v>
      </c>
      <c r="E169" s="108">
        <v>90</v>
      </c>
      <c r="F169" s="163">
        <v>94</v>
      </c>
      <c r="G169" s="697">
        <f t="shared" si="2"/>
        <v>8460</v>
      </c>
    </row>
    <row r="170" spans="1:8" x14ac:dyDescent="0.2">
      <c r="A170" s="695">
        <v>13</v>
      </c>
      <c r="B170" s="698"/>
      <c r="C170" s="135" t="s">
        <v>153</v>
      </c>
      <c r="D170" s="259" t="s">
        <v>3171</v>
      </c>
      <c r="E170" s="260">
        <v>3</v>
      </c>
      <c r="F170" s="163">
        <v>650</v>
      </c>
      <c r="G170" s="697">
        <f t="shared" si="2"/>
        <v>1950</v>
      </c>
    </row>
    <row r="171" spans="1:8" x14ac:dyDescent="0.2">
      <c r="A171" s="695"/>
      <c r="B171" s="776"/>
      <c r="C171" s="831"/>
      <c r="D171" s="832" t="s">
        <v>3172</v>
      </c>
      <c r="E171" s="833"/>
      <c r="F171" s="780"/>
      <c r="G171" s="697"/>
    </row>
    <row r="172" spans="1:8" x14ac:dyDescent="0.2">
      <c r="A172" s="695">
        <v>14</v>
      </c>
      <c r="B172" s="698"/>
      <c r="C172" s="135" t="s">
        <v>187</v>
      </c>
      <c r="D172" s="259" t="s">
        <v>3161</v>
      </c>
      <c r="E172" s="108">
        <v>300</v>
      </c>
      <c r="F172" s="163">
        <v>44</v>
      </c>
      <c r="G172" s="697">
        <f t="shared" si="2"/>
        <v>13200</v>
      </c>
    </row>
    <row r="173" spans="1:8" x14ac:dyDescent="0.2">
      <c r="A173" s="695">
        <v>15</v>
      </c>
      <c r="B173" s="106"/>
      <c r="C173" s="135" t="s">
        <v>187</v>
      </c>
      <c r="D173" s="259" t="s">
        <v>3162</v>
      </c>
      <c r="E173" s="131">
        <v>180</v>
      </c>
      <c r="F173" s="717">
        <v>42</v>
      </c>
      <c r="G173" s="697">
        <f t="shared" si="2"/>
        <v>7560</v>
      </c>
    </row>
    <row r="174" spans="1:8" x14ac:dyDescent="0.2">
      <c r="A174" s="695">
        <v>16</v>
      </c>
      <c r="B174" s="105"/>
      <c r="C174" s="119" t="s">
        <v>185</v>
      </c>
      <c r="D174" s="383" t="s">
        <v>3163</v>
      </c>
      <c r="E174" s="716">
        <v>3</v>
      </c>
      <c r="F174" s="717">
        <v>3100</v>
      </c>
      <c r="G174" s="697">
        <f t="shared" si="2"/>
        <v>9300</v>
      </c>
    </row>
    <row r="175" spans="1:8" x14ac:dyDescent="0.2">
      <c r="A175" s="695">
        <v>17</v>
      </c>
      <c r="B175" s="105"/>
      <c r="C175" s="385" t="s">
        <v>186</v>
      </c>
      <c r="D175" s="136" t="s">
        <v>3164</v>
      </c>
      <c r="E175" s="131">
        <v>90</v>
      </c>
      <c r="F175" s="717">
        <v>115</v>
      </c>
      <c r="G175" s="697">
        <f t="shared" si="2"/>
        <v>10350</v>
      </c>
    </row>
    <row r="176" spans="1:8" x14ac:dyDescent="0.2">
      <c r="A176" s="695">
        <v>18</v>
      </c>
      <c r="B176" s="105"/>
      <c r="C176" s="119" t="s">
        <v>185</v>
      </c>
      <c r="D176" s="136" t="s">
        <v>3145</v>
      </c>
      <c r="E176" s="131">
        <v>6</v>
      </c>
      <c r="F176" s="717">
        <v>17150</v>
      </c>
      <c r="G176" s="697">
        <f t="shared" si="2"/>
        <v>102900</v>
      </c>
    </row>
    <row r="177" spans="1:7" x14ac:dyDescent="0.2">
      <c r="A177" s="695">
        <v>19</v>
      </c>
      <c r="B177" s="105"/>
      <c r="C177" s="119" t="s">
        <v>177</v>
      </c>
      <c r="D177" s="136" t="s">
        <v>2840</v>
      </c>
      <c r="E177" s="131">
        <v>9</v>
      </c>
      <c r="F177" s="717">
        <v>1050</v>
      </c>
      <c r="G177" s="697">
        <f t="shared" si="2"/>
        <v>9450</v>
      </c>
    </row>
    <row r="178" spans="1:7" x14ac:dyDescent="0.2">
      <c r="A178" s="695">
        <v>20</v>
      </c>
      <c r="B178" s="105"/>
      <c r="C178" s="119" t="s">
        <v>375</v>
      </c>
      <c r="D178" s="376" t="s">
        <v>3173</v>
      </c>
      <c r="E178" s="131">
        <v>15</v>
      </c>
      <c r="F178" s="717">
        <v>2425</v>
      </c>
      <c r="G178" s="697">
        <f t="shared" si="2"/>
        <v>36375</v>
      </c>
    </row>
    <row r="179" spans="1:7" x14ac:dyDescent="0.2">
      <c r="A179" s="695"/>
      <c r="B179" s="786"/>
      <c r="C179" s="777"/>
      <c r="D179" s="820" t="s">
        <v>3174</v>
      </c>
      <c r="E179" s="808"/>
      <c r="F179" s="814"/>
      <c r="G179" s="697"/>
    </row>
    <row r="180" spans="1:7" x14ac:dyDescent="0.2">
      <c r="A180" s="695">
        <v>21</v>
      </c>
      <c r="B180" s="698"/>
      <c r="C180" s="119" t="s">
        <v>187</v>
      </c>
      <c r="D180" s="136" t="s">
        <v>3165</v>
      </c>
      <c r="E180" s="131">
        <v>150</v>
      </c>
      <c r="F180" s="717">
        <v>78.7</v>
      </c>
      <c r="G180" s="697">
        <f t="shared" si="2"/>
        <v>11805</v>
      </c>
    </row>
    <row r="181" spans="1:7" x14ac:dyDescent="0.2">
      <c r="A181" s="695">
        <v>22</v>
      </c>
      <c r="B181" s="698"/>
      <c r="C181" s="119" t="s">
        <v>177</v>
      </c>
      <c r="D181" s="376" t="s">
        <v>3146</v>
      </c>
      <c r="E181" s="131">
        <v>6</v>
      </c>
      <c r="F181" s="717">
        <v>3300</v>
      </c>
      <c r="G181" s="697">
        <f t="shared" si="2"/>
        <v>19800</v>
      </c>
    </row>
    <row r="182" spans="1:7" x14ac:dyDescent="0.2">
      <c r="A182" s="695"/>
      <c r="B182" s="698"/>
      <c r="C182" s="119"/>
      <c r="D182" s="136"/>
      <c r="E182" s="131"/>
      <c r="F182" s="717"/>
      <c r="G182" s="697"/>
    </row>
    <row r="183" spans="1:7" x14ac:dyDescent="0.2">
      <c r="A183" s="695"/>
      <c r="B183" s="698"/>
      <c r="C183" s="119"/>
      <c r="D183" s="136"/>
      <c r="E183" s="131"/>
      <c r="F183" s="717"/>
      <c r="G183" s="697"/>
    </row>
    <row r="184" spans="1:7" x14ac:dyDescent="0.2">
      <c r="A184" s="695"/>
      <c r="B184" s="698"/>
      <c r="C184" s="119"/>
      <c r="D184" s="136"/>
      <c r="E184" s="131"/>
      <c r="F184" s="717"/>
      <c r="G184" s="697"/>
    </row>
    <row r="185" spans="1:7" x14ac:dyDescent="0.2">
      <c r="A185" s="695"/>
      <c r="B185" s="698"/>
      <c r="C185" s="119"/>
      <c r="D185" s="144"/>
      <c r="E185" s="108"/>
      <c r="F185" s="149"/>
      <c r="G185" s="697"/>
    </row>
    <row r="186" spans="1:7" ht="13.5" thickBot="1" x14ac:dyDescent="0.25">
      <c r="A186" s="702"/>
      <c r="B186" s="703"/>
      <c r="C186" s="704"/>
      <c r="D186" s="704"/>
      <c r="E186" s="703"/>
      <c r="F186" s="705" t="s">
        <v>15</v>
      </c>
      <c r="G186" s="706">
        <f>SUM(G154:G185)</f>
        <v>488826</v>
      </c>
    </row>
    <row r="187" spans="1:7" ht="13.5" thickTop="1" x14ac:dyDescent="0.2">
      <c r="A187" s="985" t="s">
        <v>188</v>
      </c>
      <c r="B187" s="1019"/>
      <c r="C187" s="1019"/>
      <c r="D187" s="1019"/>
      <c r="E187" s="1019"/>
      <c r="F187" s="1019"/>
      <c r="G187" s="1020"/>
    </row>
    <row r="188" spans="1:7" ht="13.5" thickBot="1" x14ac:dyDescent="0.25">
      <c r="A188" s="707"/>
      <c r="B188" s="708"/>
      <c r="C188" s="708"/>
      <c r="D188" s="709"/>
      <c r="E188" s="708"/>
      <c r="F188" s="198"/>
      <c r="G188" s="199"/>
    </row>
    <row r="189" spans="1:7" ht="13.5" thickTop="1" x14ac:dyDescent="0.2">
      <c r="A189" s="1023"/>
      <c r="B189" s="1024"/>
      <c r="C189" s="1024"/>
      <c r="D189" s="344" t="s">
        <v>11</v>
      </c>
      <c r="E189" s="1025" t="s">
        <v>12</v>
      </c>
      <c r="F189" s="1025"/>
      <c r="G189" s="1026"/>
    </row>
    <row r="190" spans="1:7" ht="27" customHeight="1" x14ac:dyDescent="0.2">
      <c r="A190" s="1010" t="s">
        <v>17</v>
      </c>
      <c r="B190" s="1011"/>
      <c r="C190" s="1011"/>
      <c r="D190" s="121"/>
      <c r="E190" s="1027"/>
      <c r="F190" s="1028"/>
      <c r="G190" s="1029"/>
    </row>
    <row r="191" spans="1:7" x14ac:dyDescent="0.2">
      <c r="A191" s="1010" t="s">
        <v>38</v>
      </c>
      <c r="B191" s="1011"/>
      <c r="C191" s="1011"/>
      <c r="D191" s="710" t="s">
        <v>147</v>
      </c>
      <c r="E191" s="1012" t="s">
        <v>142</v>
      </c>
      <c r="F191" s="1012"/>
      <c r="G191" s="1013"/>
    </row>
    <row r="192" spans="1:7" ht="13.5" thickBot="1" x14ac:dyDescent="0.25">
      <c r="A192" s="1014" t="s">
        <v>39</v>
      </c>
      <c r="B192" s="1015"/>
      <c r="C192" s="1015"/>
      <c r="D192" s="125" t="s">
        <v>148</v>
      </c>
      <c r="E192" s="1016" t="s">
        <v>0</v>
      </c>
      <c r="F192" s="1017"/>
      <c r="G192" s="1018"/>
    </row>
    <row r="193" spans="1:9" ht="16.5" x14ac:dyDescent="0.2">
      <c r="A193" s="997" t="s">
        <v>29</v>
      </c>
      <c r="B193" s="998"/>
      <c r="C193" s="998"/>
      <c r="D193" s="998"/>
      <c r="E193" s="998"/>
      <c r="F193" s="998"/>
      <c r="G193" s="999"/>
      <c r="H193" s="713">
        <v>5</v>
      </c>
    </row>
    <row r="194" spans="1:9" x14ac:dyDescent="0.2">
      <c r="A194" s="1000" t="s">
        <v>48</v>
      </c>
      <c r="B194" s="1001"/>
      <c r="C194" s="1001"/>
      <c r="D194" s="1001"/>
      <c r="E194" s="1001"/>
      <c r="F194" s="1001"/>
      <c r="G194" s="1002"/>
      <c r="H194" s="804" t="s">
        <v>3380</v>
      </c>
      <c r="I194" s="804" t="s">
        <v>3556</v>
      </c>
    </row>
    <row r="195" spans="1:9" x14ac:dyDescent="0.2">
      <c r="A195" s="1003" t="s">
        <v>49</v>
      </c>
      <c r="B195" s="1004"/>
      <c r="C195" s="1004"/>
      <c r="D195" s="1004"/>
      <c r="E195" s="1004"/>
      <c r="F195" s="1004"/>
      <c r="G195" s="1005"/>
      <c r="H195" s="804"/>
    </row>
    <row r="196" spans="1:9" x14ac:dyDescent="0.2">
      <c r="A196" s="674"/>
      <c r="B196" s="675"/>
      <c r="C196" s="676"/>
      <c r="D196" s="677"/>
      <c r="E196" s="675"/>
      <c r="F196" s="678"/>
      <c r="G196" s="737" t="s">
        <v>3516</v>
      </c>
    </row>
    <row r="197" spans="1:9" x14ac:dyDescent="0.2">
      <c r="A197" s="680" t="s">
        <v>1</v>
      </c>
      <c r="B197" s="681"/>
      <c r="C197" s="682" t="s">
        <v>7</v>
      </c>
      <c r="D197" s="681"/>
      <c r="E197" s="683" t="s">
        <v>3558</v>
      </c>
      <c r="F197" s="684"/>
      <c r="G197" s="685" t="s">
        <v>3557</v>
      </c>
      <c r="H197" s="713" t="s">
        <v>3517</v>
      </c>
    </row>
    <row r="198" spans="1:9" x14ac:dyDescent="0.2">
      <c r="A198" s="686" t="s">
        <v>8</v>
      </c>
      <c r="B198" s="687"/>
      <c r="C198" s="688"/>
      <c r="D198" s="673"/>
      <c r="E198" s="1006"/>
      <c r="F198" s="1007"/>
      <c r="G198" s="689"/>
    </row>
    <row r="199" spans="1:9" x14ac:dyDescent="0.2">
      <c r="A199" s="690" t="s">
        <v>37</v>
      </c>
      <c r="B199" s="261"/>
      <c r="C199" s="261"/>
      <c r="D199" s="261"/>
      <c r="E199" s="691" t="s">
        <v>46</v>
      </c>
      <c r="F199" s="692"/>
      <c r="G199" s="689" t="s">
        <v>50</v>
      </c>
    </row>
    <row r="200" spans="1:9" x14ac:dyDescent="0.2">
      <c r="A200" s="674"/>
      <c r="B200" s="675"/>
      <c r="C200" s="676"/>
      <c r="D200" s="676"/>
      <c r="E200" s="1008"/>
      <c r="F200" s="1009"/>
      <c r="G200" s="693"/>
    </row>
    <row r="201" spans="1:9" ht="26.25" thickBot="1" x14ac:dyDescent="0.25">
      <c r="A201" s="694" t="s">
        <v>47</v>
      </c>
      <c r="B201" s="110" t="s">
        <v>23</v>
      </c>
      <c r="C201" s="110" t="s">
        <v>34</v>
      </c>
      <c r="D201" s="110" t="s">
        <v>53</v>
      </c>
      <c r="E201" s="114" t="s">
        <v>54</v>
      </c>
      <c r="F201" s="111" t="s">
        <v>55</v>
      </c>
      <c r="G201" s="112" t="s">
        <v>35</v>
      </c>
    </row>
    <row r="202" spans="1:9" ht="13.5" thickTop="1" x14ac:dyDescent="0.2">
      <c r="A202" s="695"/>
      <c r="B202" s="698"/>
      <c r="C202" s="135"/>
      <c r="D202" s="850" t="s">
        <v>3381</v>
      </c>
      <c r="E202" s="158"/>
      <c r="F202" s="163"/>
      <c r="G202" s="697"/>
    </row>
    <row r="203" spans="1:9" x14ac:dyDescent="0.2">
      <c r="A203" s="695">
        <v>1</v>
      </c>
      <c r="B203" s="698"/>
      <c r="C203" s="719" t="s">
        <v>177</v>
      </c>
      <c r="D203" s="259" t="s">
        <v>3235</v>
      </c>
      <c r="E203" s="204">
        <v>15</v>
      </c>
      <c r="F203" s="149">
        <v>125</v>
      </c>
      <c r="G203" s="697">
        <f>F203*E203</f>
        <v>1875</v>
      </c>
    </row>
    <row r="204" spans="1:9" x14ac:dyDescent="0.2">
      <c r="A204" s="695">
        <v>2</v>
      </c>
      <c r="B204" s="698"/>
      <c r="C204" s="135" t="s">
        <v>375</v>
      </c>
      <c r="D204" s="259" t="s">
        <v>376</v>
      </c>
      <c r="E204" s="108">
        <v>6</v>
      </c>
      <c r="F204" s="163">
        <v>1540</v>
      </c>
      <c r="G204" s="697">
        <f t="shared" ref="G204:G233" si="3">F204*E204</f>
        <v>9240</v>
      </c>
    </row>
    <row r="205" spans="1:9" x14ac:dyDescent="0.2">
      <c r="A205" s="695">
        <v>3</v>
      </c>
      <c r="B205" s="105"/>
      <c r="C205" s="135" t="s">
        <v>177</v>
      </c>
      <c r="D205" s="259" t="s">
        <v>3382</v>
      </c>
      <c r="E205" s="108">
        <v>3</v>
      </c>
      <c r="F205" s="163">
        <v>420</v>
      </c>
      <c r="G205" s="697">
        <f t="shared" si="3"/>
        <v>1260</v>
      </c>
    </row>
    <row r="206" spans="1:9" x14ac:dyDescent="0.2">
      <c r="A206" s="695">
        <v>4</v>
      </c>
      <c r="B206" s="786"/>
      <c r="C206" s="831" t="s">
        <v>177</v>
      </c>
      <c r="D206" s="832" t="s">
        <v>3383</v>
      </c>
      <c r="E206" s="779">
        <v>6</v>
      </c>
      <c r="F206" s="780">
        <v>350</v>
      </c>
      <c r="G206" s="697">
        <f t="shared" si="3"/>
        <v>2100</v>
      </c>
    </row>
    <row r="207" spans="1:9" x14ac:dyDescent="0.2">
      <c r="A207" s="695">
        <v>5</v>
      </c>
      <c r="B207" s="786"/>
      <c r="C207" s="831" t="s">
        <v>366</v>
      </c>
      <c r="D207" s="832" t="s">
        <v>392</v>
      </c>
      <c r="E207" s="779">
        <v>15</v>
      </c>
      <c r="F207" s="780">
        <v>270</v>
      </c>
      <c r="G207" s="697">
        <f t="shared" si="3"/>
        <v>4050</v>
      </c>
    </row>
    <row r="208" spans="1:9" x14ac:dyDescent="0.2">
      <c r="A208" s="695">
        <v>6</v>
      </c>
      <c r="B208" s="105"/>
      <c r="C208" s="135" t="s">
        <v>177</v>
      </c>
      <c r="D208" s="259" t="s">
        <v>3384</v>
      </c>
      <c r="E208" s="108">
        <v>15</v>
      </c>
      <c r="F208" s="163">
        <v>150</v>
      </c>
      <c r="G208" s="697">
        <f t="shared" si="3"/>
        <v>2250</v>
      </c>
    </row>
    <row r="209" spans="1:8" x14ac:dyDescent="0.2">
      <c r="A209" s="695">
        <v>7</v>
      </c>
      <c r="B209" s="786"/>
      <c r="C209" s="831" t="s">
        <v>177</v>
      </c>
      <c r="D209" s="832" t="s">
        <v>3385</v>
      </c>
      <c r="E209" s="779">
        <v>30</v>
      </c>
      <c r="F209" s="780">
        <v>120</v>
      </c>
      <c r="G209" s="697">
        <f t="shared" si="3"/>
        <v>3600</v>
      </c>
    </row>
    <row r="210" spans="1:8" x14ac:dyDescent="0.2">
      <c r="A210" s="695">
        <v>8</v>
      </c>
      <c r="B210" s="105"/>
      <c r="C210" s="135" t="s">
        <v>177</v>
      </c>
      <c r="D210" s="259" t="s">
        <v>3386</v>
      </c>
      <c r="E210" s="108">
        <v>3</v>
      </c>
      <c r="F210" s="150">
        <v>250</v>
      </c>
      <c r="G210" s="697">
        <f t="shared" si="3"/>
        <v>750</v>
      </c>
    </row>
    <row r="211" spans="1:8" x14ac:dyDescent="0.2">
      <c r="A211" s="695">
        <v>9</v>
      </c>
      <c r="B211" s="105"/>
      <c r="C211" s="135" t="s">
        <v>177</v>
      </c>
      <c r="D211" s="252" t="s">
        <v>3387</v>
      </c>
      <c r="E211" s="108">
        <v>3</v>
      </c>
      <c r="F211" s="150">
        <v>290</v>
      </c>
      <c r="G211" s="697">
        <f t="shared" si="3"/>
        <v>870</v>
      </c>
      <c r="H211" s="781"/>
    </row>
    <row r="212" spans="1:8" x14ac:dyDescent="0.2">
      <c r="A212" s="695">
        <v>10</v>
      </c>
      <c r="B212" s="698"/>
      <c r="C212" s="135" t="s">
        <v>177</v>
      </c>
      <c r="D212" s="252" t="s">
        <v>3388</v>
      </c>
      <c r="E212" s="131">
        <v>30</v>
      </c>
      <c r="F212" s="163">
        <v>229</v>
      </c>
      <c r="G212" s="697">
        <f t="shared" si="3"/>
        <v>6870</v>
      </c>
      <c r="H212" s="830"/>
    </row>
    <row r="213" spans="1:8" x14ac:dyDescent="0.2">
      <c r="A213" s="695">
        <v>11</v>
      </c>
      <c r="B213" s="106"/>
      <c r="C213" s="135" t="s">
        <v>177</v>
      </c>
      <c r="D213" s="259" t="s">
        <v>3389</v>
      </c>
      <c r="E213" s="131">
        <v>15</v>
      </c>
      <c r="F213" s="163">
        <v>350</v>
      </c>
      <c r="G213" s="697">
        <f t="shared" si="3"/>
        <v>5250</v>
      </c>
      <c r="H213" s="781"/>
    </row>
    <row r="214" spans="1:8" x14ac:dyDescent="0.2">
      <c r="A214" s="695">
        <v>12</v>
      </c>
      <c r="B214" s="105"/>
      <c r="C214" s="135" t="s">
        <v>3397</v>
      </c>
      <c r="D214" s="259" t="s">
        <v>3390</v>
      </c>
      <c r="E214" s="108">
        <v>15</v>
      </c>
      <c r="F214" s="152">
        <v>220</v>
      </c>
      <c r="G214" s="697">
        <f t="shared" si="3"/>
        <v>3300</v>
      </c>
      <c r="H214" s="781"/>
    </row>
    <row r="215" spans="1:8" x14ac:dyDescent="0.2">
      <c r="A215" s="695">
        <v>13</v>
      </c>
      <c r="B215" s="700"/>
      <c r="C215" s="135" t="s">
        <v>3397</v>
      </c>
      <c r="D215" s="259" t="s">
        <v>3391</v>
      </c>
      <c r="E215" s="108">
        <v>3</v>
      </c>
      <c r="F215" s="163">
        <v>120</v>
      </c>
      <c r="G215" s="697">
        <f t="shared" si="3"/>
        <v>360</v>
      </c>
    </row>
    <row r="216" spans="1:8" x14ac:dyDescent="0.2">
      <c r="A216" s="695">
        <v>14</v>
      </c>
      <c r="B216" s="700"/>
      <c r="C216" s="135" t="s">
        <v>177</v>
      </c>
      <c r="D216" s="259" t="s">
        <v>3392</v>
      </c>
      <c r="E216" s="108">
        <v>15</v>
      </c>
      <c r="F216" s="163">
        <v>795</v>
      </c>
      <c r="G216" s="697">
        <f t="shared" si="3"/>
        <v>11925</v>
      </c>
    </row>
    <row r="217" spans="1:8" x14ac:dyDescent="0.2">
      <c r="A217" s="695">
        <v>15</v>
      </c>
      <c r="B217" s="698"/>
      <c r="C217" s="135" t="s">
        <v>177</v>
      </c>
      <c r="D217" s="259" t="s">
        <v>3393</v>
      </c>
      <c r="E217" s="260">
        <v>30</v>
      </c>
      <c r="F217" s="163">
        <v>425</v>
      </c>
      <c r="G217" s="697">
        <f t="shared" si="3"/>
        <v>12750</v>
      </c>
    </row>
    <row r="218" spans="1:8" x14ac:dyDescent="0.2">
      <c r="A218" s="695">
        <v>16</v>
      </c>
      <c r="B218" s="776"/>
      <c r="C218" s="831" t="s">
        <v>366</v>
      </c>
      <c r="D218" s="832" t="s">
        <v>3456</v>
      </c>
      <c r="E218" s="833">
        <v>3</v>
      </c>
      <c r="F218" s="780">
        <v>190</v>
      </c>
      <c r="G218" s="697">
        <f t="shared" si="3"/>
        <v>570</v>
      </c>
    </row>
    <row r="219" spans="1:8" x14ac:dyDescent="0.2">
      <c r="A219" s="695"/>
      <c r="B219" s="776"/>
      <c r="C219" s="831"/>
      <c r="D219" s="832" t="s">
        <v>3457</v>
      </c>
      <c r="E219" s="833"/>
      <c r="F219" s="780"/>
      <c r="G219" s="697"/>
    </row>
    <row r="220" spans="1:8" x14ac:dyDescent="0.2">
      <c r="A220" s="695">
        <v>17</v>
      </c>
      <c r="B220" s="698"/>
      <c r="C220" s="135" t="s">
        <v>177</v>
      </c>
      <c r="D220" s="259" t="s">
        <v>3394</v>
      </c>
      <c r="E220" s="108">
        <v>15</v>
      </c>
      <c r="F220" s="163">
        <v>220</v>
      </c>
      <c r="G220" s="697">
        <f t="shared" si="3"/>
        <v>3300</v>
      </c>
    </row>
    <row r="221" spans="1:8" x14ac:dyDescent="0.2">
      <c r="A221" s="695">
        <v>18</v>
      </c>
      <c r="B221" s="106"/>
      <c r="C221" s="135" t="s">
        <v>177</v>
      </c>
      <c r="D221" s="259" t="s">
        <v>3395</v>
      </c>
      <c r="E221" s="131">
        <v>60</v>
      </c>
      <c r="F221" s="717">
        <v>108</v>
      </c>
      <c r="G221" s="697">
        <f t="shared" si="3"/>
        <v>6480</v>
      </c>
    </row>
    <row r="222" spans="1:8" x14ac:dyDescent="0.2">
      <c r="A222" s="695">
        <v>19</v>
      </c>
      <c r="B222" s="105"/>
      <c r="C222" s="119" t="s">
        <v>177</v>
      </c>
      <c r="D222" s="383" t="s">
        <v>3458</v>
      </c>
      <c r="E222" s="716">
        <v>3</v>
      </c>
      <c r="F222" s="717">
        <v>970</v>
      </c>
      <c r="G222" s="697">
        <f t="shared" si="3"/>
        <v>2910</v>
      </c>
    </row>
    <row r="223" spans="1:8" x14ac:dyDescent="0.2">
      <c r="A223" s="695"/>
      <c r="B223" s="786"/>
      <c r="C223" s="777"/>
      <c r="D223" s="795" t="s">
        <v>2976</v>
      </c>
      <c r="E223" s="852"/>
      <c r="F223" s="814"/>
      <c r="G223" s="697"/>
    </row>
    <row r="224" spans="1:8" x14ac:dyDescent="0.2">
      <c r="A224" s="695">
        <v>20</v>
      </c>
      <c r="B224" s="105"/>
      <c r="C224" s="385" t="s">
        <v>153</v>
      </c>
      <c r="D224" s="136" t="s">
        <v>3396</v>
      </c>
      <c r="E224" s="131">
        <v>3</v>
      </c>
      <c r="F224" s="717">
        <v>567.5</v>
      </c>
      <c r="G224" s="697">
        <f t="shared" si="3"/>
        <v>1702.5</v>
      </c>
    </row>
    <row r="225" spans="1:7" x14ac:dyDescent="0.2">
      <c r="A225" s="695">
        <v>21</v>
      </c>
      <c r="B225" s="105"/>
      <c r="C225" s="119" t="s">
        <v>177</v>
      </c>
      <c r="D225" s="136" t="s">
        <v>3398</v>
      </c>
      <c r="E225" s="131">
        <v>3</v>
      </c>
      <c r="F225" s="717">
        <v>300</v>
      </c>
      <c r="G225" s="697">
        <f t="shared" si="3"/>
        <v>900</v>
      </c>
    </row>
    <row r="226" spans="1:7" x14ac:dyDescent="0.2">
      <c r="A226" s="695">
        <v>22</v>
      </c>
      <c r="B226" s="105"/>
      <c r="C226" s="119" t="s">
        <v>177</v>
      </c>
      <c r="D226" s="376" t="s">
        <v>3399</v>
      </c>
      <c r="E226" s="131">
        <v>6</v>
      </c>
      <c r="F226" s="717">
        <v>575</v>
      </c>
      <c r="G226" s="697">
        <f t="shared" si="3"/>
        <v>3450</v>
      </c>
    </row>
    <row r="227" spans="1:7" x14ac:dyDescent="0.2">
      <c r="A227" s="695">
        <v>23</v>
      </c>
      <c r="B227" s="105"/>
      <c r="C227" s="119" t="s">
        <v>177</v>
      </c>
      <c r="D227" s="376" t="s">
        <v>3400</v>
      </c>
      <c r="E227" s="131">
        <v>3</v>
      </c>
      <c r="F227" s="717">
        <v>1617</v>
      </c>
      <c r="G227" s="697">
        <f t="shared" si="3"/>
        <v>4851</v>
      </c>
    </row>
    <row r="228" spans="1:7" x14ac:dyDescent="0.2">
      <c r="A228" s="695">
        <v>24</v>
      </c>
      <c r="B228" s="786"/>
      <c r="C228" s="777" t="s">
        <v>177</v>
      </c>
      <c r="D228" s="787" t="s">
        <v>3459</v>
      </c>
      <c r="E228" s="808">
        <v>3</v>
      </c>
      <c r="F228" s="814">
        <v>1135</v>
      </c>
      <c r="G228" s="697">
        <f t="shared" si="3"/>
        <v>3405</v>
      </c>
    </row>
    <row r="229" spans="1:7" x14ac:dyDescent="0.2">
      <c r="A229" s="695"/>
      <c r="B229" s="786"/>
      <c r="C229" s="777"/>
      <c r="D229" s="820" t="s">
        <v>3460</v>
      </c>
      <c r="E229" s="808"/>
      <c r="F229" s="814"/>
      <c r="G229" s="697"/>
    </row>
    <row r="230" spans="1:7" x14ac:dyDescent="0.2">
      <c r="A230" s="695">
        <v>25</v>
      </c>
      <c r="B230" s="698"/>
      <c r="C230" s="777" t="s">
        <v>177</v>
      </c>
      <c r="D230" s="136" t="s">
        <v>3401</v>
      </c>
      <c r="E230" s="131">
        <v>3</v>
      </c>
      <c r="F230" s="717">
        <v>1200</v>
      </c>
      <c r="G230" s="697">
        <f t="shared" si="3"/>
        <v>3600</v>
      </c>
    </row>
    <row r="231" spans="1:7" x14ac:dyDescent="0.2">
      <c r="A231" s="695">
        <v>26</v>
      </c>
      <c r="B231" s="698"/>
      <c r="C231" s="777" t="s">
        <v>177</v>
      </c>
      <c r="D231" s="376" t="s">
        <v>3402</v>
      </c>
      <c r="E231" s="131">
        <v>6</v>
      </c>
      <c r="F231" s="717">
        <v>148.5</v>
      </c>
      <c r="G231" s="697">
        <f t="shared" si="3"/>
        <v>891</v>
      </c>
    </row>
    <row r="232" spans="1:7" x14ac:dyDescent="0.2">
      <c r="A232" s="695">
        <v>27</v>
      </c>
      <c r="B232" s="698"/>
      <c r="C232" s="119" t="s">
        <v>186</v>
      </c>
      <c r="D232" s="136" t="s">
        <v>3403</v>
      </c>
      <c r="E232" s="131">
        <v>12</v>
      </c>
      <c r="F232" s="717">
        <v>650</v>
      </c>
      <c r="G232" s="697">
        <f t="shared" si="3"/>
        <v>7800</v>
      </c>
    </row>
    <row r="233" spans="1:7" x14ac:dyDescent="0.2">
      <c r="A233" s="695">
        <v>28</v>
      </c>
      <c r="B233" s="776"/>
      <c r="C233" s="777" t="s">
        <v>177</v>
      </c>
      <c r="D233" s="820" t="s">
        <v>2826</v>
      </c>
      <c r="E233" s="808">
        <v>15</v>
      </c>
      <c r="F233" s="814">
        <v>259</v>
      </c>
      <c r="G233" s="697">
        <f t="shared" si="3"/>
        <v>3885</v>
      </c>
    </row>
    <row r="234" spans="1:7" ht="13.5" thickBot="1" x14ac:dyDescent="0.25">
      <c r="A234" s="702"/>
      <c r="B234" s="703"/>
      <c r="C234" s="704"/>
      <c r="D234" s="704"/>
      <c r="E234" s="703"/>
      <c r="F234" s="705" t="s">
        <v>158</v>
      </c>
      <c r="G234" s="706">
        <f>SUM(G202:G233)</f>
        <v>110194.5</v>
      </c>
    </row>
    <row r="235" spans="1:7" ht="13.5" thickTop="1" x14ac:dyDescent="0.2">
      <c r="A235" s="985" t="s">
        <v>188</v>
      </c>
      <c r="B235" s="1019"/>
      <c r="C235" s="1019"/>
      <c r="D235" s="1019"/>
      <c r="E235" s="1019"/>
      <c r="F235" s="1019"/>
      <c r="G235" s="1020"/>
    </row>
    <row r="236" spans="1:7" ht="13.5" thickBot="1" x14ac:dyDescent="0.25">
      <c r="A236" s="707"/>
      <c r="B236" s="708"/>
      <c r="C236" s="708"/>
      <c r="D236" s="709"/>
      <c r="E236" s="708"/>
      <c r="F236" s="198"/>
      <c r="G236" s="199"/>
    </row>
    <row r="237" spans="1:7" ht="13.5" thickTop="1" x14ac:dyDescent="0.2">
      <c r="A237" s="1023"/>
      <c r="B237" s="1024"/>
      <c r="C237" s="1024"/>
      <c r="D237" s="344" t="s">
        <v>11</v>
      </c>
      <c r="E237" s="1025" t="s">
        <v>12</v>
      </c>
      <c r="F237" s="1025"/>
      <c r="G237" s="1026"/>
    </row>
    <row r="238" spans="1:7" ht="27" customHeight="1" x14ac:dyDescent="0.2">
      <c r="A238" s="1010" t="s">
        <v>17</v>
      </c>
      <c r="B238" s="1011"/>
      <c r="C238" s="1011"/>
      <c r="D238" s="121"/>
      <c r="E238" s="1027"/>
      <c r="F238" s="1028"/>
      <c r="G238" s="1029"/>
    </row>
    <row r="239" spans="1:7" x14ac:dyDescent="0.2">
      <c r="A239" s="1010" t="s">
        <v>38</v>
      </c>
      <c r="B239" s="1011"/>
      <c r="C239" s="1011"/>
      <c r="D239" s="710" t="s">
        <v>147</v>
      </c>
      <c r="E239" s="1012" t="s">
        <v>142</v>
      </c>
      <c r="F239" s="1012"/>
      <c r="G239" s="1013"/>
    </row>
    <row r="240" spans="1:7" ht="13.5" thickBot="1" x14ac:dyDescent="0.25">
      <c r="A240" s="1014" t="s">
        <v>39</v>
      </c>
      <c r="B240" s="1015"/>
      <c r="C240" s="1015"/>
      <c r="D240" s="125" t="s">
        <v>148</v>
      </c>
      <c r="E240" s="1016" t="s">
        <v>0</v>
      </c>
      <c r="F240" s="1017"/>
      <c r="G240" s="1018"/>
    </row>
    <row r="241" spans="1:8" ht="16.5" x14ac:dyDescent="0.2">
      <c r="A241" s="997" t="s">
        <v>29</v>
      </c>
      <c r="B241" s="998"/>
      <c r="C241" s="998"/>
      <c r="D241" s="998"/>
      <c r="E241" s="998"/>
      <c r="F241" s="998"/>
      <c r="G241" s="999"/>
      <c r="H241" s="713">
        <v>6</v>
      </c>
    </row>
    <row r="242" spans="1:8" x14ac:dyDescent="0.2">
      <c r="A242" s="1000" t="s">
        <v>48</v>
      </c>
      <c r="B242" s="1001"/>
      <c r="C242" s="1001"/>
      <c r="D242" s="1001"/>
      <c r="E242" s="1001"/>
      <c r="F242" s="1001"/>
      <c r="G242" s="1002"/>
      <c r="H242" s="804"/>
    </row>
    <row r="243" spans="1:8" x14ac:dyDescent="0.2">
      <c r="A243" s="1003" t="s">
        <v>49</v>
      </c>
      <c r="B243" s="1004"/>
      <c r="C243" s="1004"/>
      <c r="D243" s="1004"/>
      <c r="E243" s="1004"/>
      <c r="F243" s="1004"/>
      <c r="G243" s="1005"/>
      <c r="H243" s="804"/>
    </row>
    <row r="244" spans="1:8" x14ac:dyDescent="0.2">
      <c r="A244" s="674"/>
      <c r="B244" s="675"/>
      <c r="C244" s="676"/>
      <c r="D244" s="677"/>
      <c r="E244" s="675"/>
      <c r="F244" s="678"/>
      <c r="G244" s="737" t="s">
        <v>3515</v>
      </c>
    </row>
    <row r="245" spans="1:8" x14ac:dyDescent="0.2">
      <c r="A245" s="680" t="s">
        <v>1</v>
      </c>
      <c r="B245" s="681"/>
      <c r="C245" s="682" t="s">
        <v>7</v>
      </c>
      <c r="D245" s="681"/>
      <c r="E245" s="683" t="s">
        <v>3558</v>
      </c>
      <c r="F245" s="684"/>
      <c r="G245" s="685" t="s">
        <v>3557</v>
      </c>
    </row>
    <row r="246" spans="1:8" x14ac:dyDescent="0.2">
      <c r="A246" s="686" t="s">
        <v>8</v>
      </c>
      <c r="B246" s="687"/>
      <c r="C246" s="688"/>
      <c r="D246" s="673"/>
      <c r="E246" s="1006"/>
      <c r="F246" s="1007"/>
      <c r="G246" s="689"/>
    </row>
    <row r="247" spans="1:8" x14ac:dyDescent="0.2">
      <c r="A247" s="690" t="s">
        <v>37</v>
      </c>
      <c r="B247" s="261"/>
      <c r="C247" s="261"/>
      <c r="D247" s="261"/>
      <c r="E247" s="691" t="s">
        <v>46</v>
      </c>
      <c r="F247" s="692"/>
      <c r="G247" s="689" t="s">
        <v>50</v>
      </c>
    </row>
    <row r="248" spans="1:8" x14ac:dyDescent="0.2">
      <c r="A248" s="674"/>
      <c r="B248" s="675"/>
      <c r="C248" s="676"/>
      <c r="D248" s="676"/>
      <c r="E248" s="1008"/>
      <c r="F248" s="1009"/>
      <c r="G248" s="693"/>
    </row>
    <row r="249" spans="1:8" ht="26.25" thickBot="1" x14ac:dyDescent="0.25">
      <c r="A249" s="694" t="s">
        <v>47</v>
      </c>
      <c r="B249" s="110" t="s">
        <v>23</v>
      </c>
      <c r="C249" s="110" t="s">
        <v>34</v>
      </c>
      <c r="D249" s="110" t="s">
        <v>53</v>
      </c>
      <c r="E249" s="114" t="s">
        <v>54</v>
      </c>
      <c r="F249" s="111" t="s">
        <v>55</v>
      </c>
      <c r="G249" s="112" t="s">
        <v>35</v>
      </c>
    </row>
    <row r="250" spans="1:8" ht="13.5" thickTop="1" x14ac:dyDescent="0.2">
      <c r="A250" s="695"/>
      <c r="B250" s="698"/>
      <c r="C250" s="135"/>
      <c r="D250" s="851" t="s">
        <v>160</v>
      </c>
      <c r="E250" s="158"/>
      <c r="F250" s="163"/>
      <c r="G250" s="728">
        <f>G234</f>
        <v>110194.5</v>
      </c>
    </row>
    <row r="251" spans="1:8" x14ac:dyDescent="0.2">
      <c r="A251" s="695">
        <v>29</v>
      </c>
      <c r="B251" s="698"/>
      <c r="C251" s="777" t="s">
        <v>177</v>
      </c>
      <c r="D251" s="376" t="s">
        <v>3461</v>
      </c>
      <c r="E251" s="131">
        <v>45</v>
      </c>
      <c r="F251" s="717">
        <v>1480</v>
      </c>
      <c r="G251" s="697">
        <f>F251*E251</f>
        <v>66600</v>
      </c>
    </row>
    <row r="252" spans="1:8" x14ac:dyDescent="0.2">
      <c r="A252" s="695"/>
      <c r="B252" s="776"/>
      <c r="C252" s="777"/>
      <c r="D252" s="820" t="s">
        <v>3462</v>
      </c>
      <c r="E252" s="808"/>
      <c r="F252" s="814"/>
      <c r="G252" s="697"/>
    </row>
    <row r="253" spans="1:8" x14ac:dyDescent="0.2">
      <c r="A253" s="695">
        <v>30</v>
      </c>
      <c r="B253" s="698"/>
      <c r="C253" s="119" t="s">
        <v>185</v>
      </c>
      <c r="D253" s="376" t="s">
        <v>3463</v>
      </c>
      <c r="E253" s="131">
        <v>36</v>
      </c>
      <c r="F253" s="717">
        <v>129</v>
      </c>
      <c r="G253" s="697">
        <f t="shared" ref="G253:G280" si="4">F253*E253</f>
        <v>4644</v>
      </c>
    </row>
    <row r="254" spans="1:8" x14ac:dyDescent="0.2">
      <c r="A254" s="695"/>
      <c r="B254" s="698"/>
      <c r="C254" s="119"/>
      <c r="D254" s="144" t="s">
        <v>3464</v>
      </c>
      <c r="E254" s="108"/>
      <c r="F254" s="149"/>
      <c r="G254" s="697"/>
    </row>
    <row r="255" spans="1:8" x14ac:dyDescent="0.2">
      <c r="A255" s="695">
        <v>31</v>
      </c>
      <c r="B255" s="698"/>
      <c r="C255" s="719" t="s">
        <v>177</v>
      </c>
      <c r="D255" s="259" t="s">
        <v>3404</v>
      </c>
      <c r="E255" s="204">
        <v>60</v>
      </c>
      <c r="F255" s="149">
        <v>140</v>
      </c>
      <c r="G255" s="697">
        <f t="shared" si="4"/>
        <v>8400</v>
      </c>
    </row>
    <row r="256" spans="1:8" x14ac:dyDescent="0.2">
      <c r="A256" s="695">
        <v>32</v>
      </c>
      <c r="B256" s="698"/>
      <c r="C256" s="135" t="s">
        <v>3412</v>
      </c>
      <c r="D256" s="259" t="s">
        <v>3405</v>
      </c>
      <c r="E256" s="108">
        <v>900</v>
      </c>
      <c r="F256" s="163">
        <v>75</v>
      </c>
      <c r="G256" s="697">
        <f t="shared" si="4"/>
        <v>67500</v>
      </c>
    </row>
    <row r="257" spans="1:8" x14ac:dyDescent="0.2">
      <c r="A257" s="695">
        <v>33</v>
      </c>
      <c r="B257" s="105"/>
      <c r="C257" s="135" t="s">
        <v>177</v>
      </c>
      <c r="D257" s="259" t="s">
        <v>2828</v>
      </c>
      <c r="E257" s="108">
        <v>6</v>
      </c>
      <c r="F257" s="163">
        <v>695</v>
      </c>
      <c r="G257" s="697">
        <f t="shared" si="4"/>
        <v>4170</v>
      </c>
    </row>
    <row r="258" spans="1:8" x14ac:dyDescent="0.2">
      <c r="A258" s="695">
        <v>34</v>
      </c>
      <c r="B258" s="786"/>
      <c r="C258" s="831" t="s">
        <v>177</v>
      </c>
      <c r="D258" s="832" t="s">
        <v>3406</v>
      </c>
      <c r="E258" s="779">
        <v>6</v>
      </c>
      <c r="F258" s="780">
        <v>300</v>
      </c>
      <c r="G258" s="697">
        <f t="shared" si="4"/>
        <v>1800</v>
      </c>
    </row>
    <row r="259" spans="1:8" x14ac:dyDescent="0.2">
      <c r="A259" s="695">
        <v>35</v>
      </c>
      <c r="B259" s="786"/>
      <c r="C259" s="831" t="s">
        <v>177</v>
      </c>
      <c r="D259" s="832" t="s">
        <v>3407</v>
      </c>
      <c r="E259" s="779">
        <v>3</v>
      </c>
      <c r="F259" s="780">
        <v>350</v>
      </c>
      <c r="G259" s="697">
        <f t="shared" si="4"/>
        <v>1050</v>
      </c>
    </row>
    <row r="260" spans="1:8" x14ac:dyDescent="0.2">
      <c r="A260" s="695">
        <v>36</v>
      </c>
      <c r="B260" s="105"/>
      <c r="C260" s="135" t="s">
        <v>3413</v>
      </c>
      <c r="D260" s="259" t="s">
        <v>3408</v>
      </c>
      <c r="E260" s="108">
        <v>3</v>
      </c>
      <c r="F260" s="163">
        <v>110</v>
      </c>
      <c r="G260" s="697">
        <f t="shared" si="4"/>
        <v>330</v>
      </c>
    </row>
    <row r="261" spans="1:8" x14ac:dyDescent="0.2">
      <c r="A261" s="695">
        <v>37</v>
      </c>
      <c r="B261" s="786"/>
      <c r="C261" s="831" t="s">
        <v>375</v>
      </c>
      <c r="D261" s="832" t="s">
        <v>3465</v>
      </c>
      <c r="E261" s="779">
        <v>30</v>
      </c>
      <c r="F261" s="780">
        <v>235</v>
      </c>
      <c r="G261" s="697">
        <f t="shared" si="4"/>
        <v>7050</v>
      </c>
    </row>
    <row r="262" spans="1:8" x14ac:dyDescent="0.2">
      <c r="A262" s="695"/>
      <c r="B262" s="786"/>
      <c r="C262" s="831"/>
      <c r="D262" s="832" t="s">
        <v>3466</v>
      </c>
      <c r="E262" s="779"/>
      <c r="F262" s="780"/>
      <c r="G262" s="697"/>
    </row>
    <row r="263" spans="1:8" x14ac:dyDescent="0.2">
      <c r="A263" s="695">
        <v>38</v>
      </c>
      <c r="B263" s="105"/>
      <c r="C263" s="135" t="s">
        <v>177</v>
      </c>
      <c r="D263" s="259" t="s">
        <v>3475</v>
      </c>
      <c r="E263" s="108">
        <v>9</v>
      </c>
      <c r="F263" s="150">
        <v>675</v>
      </c>
      <c r="G263" s="697">
        <f t="shared" si="4"/>
        <v>6075</v>
      </c>
    </row>
    <row r="264" spans="1:8" x14ac:dyDescent="0.2">
      <c r="A264" s="695"/>
      <c r="B264" s="786"/>
      <c r="C264" s="831"/>
      <c r="D264" s="832" t="s">
        <v>2990</v>
      </c>
      <c r="E264" s="779"/>
      <c r="F264" s="812"/>
      <c r="G264" s="697"/>
    </row>
    <row r="265" spans="1:8" x14ac:dyDescent="0.2">
      <c r="A265" s="695">
        <v>39</v>
      </c>
      <c r="B265" s="105"/>
      <c r="C265" s="135" t="s">
        <v>366</v>
      </c>
      <c r="D265" s="252" t="s">
        <v>3409</v>
      </c>
      <c r="E265" s="108">
        <v>30</v>
      </c>
      <c r="F265" s="150">
        <v>175</v>
      </c>
      <c r="G265" s="697">
        <f t="shared" si="4"/>
        <v>5250</v>
      </c>
      <c r="H265" s="781"/>
    </row>
    <row r="266" spans="1:8" x14ac:dyDescent="0.2">
      <c r="A266" s="695">
        <v>40</v>
      </c>
      <c r="B266" s="698"/>
      <c r="C266" s="135" t="s">
        <v>177</v>
      </c>
      <c r="D266" s="252" t="s">
        <v>2943</v>
      </c>
      <c r="E266" s="131">
        <v>6</v>
      </c>
      <c r="F266" s="163">
        <v>159.5</v>
      </c>
      <c r="G266" s="697">
        <f t="shared" si="4"/>
        <v>957</v>
      </c>
      <c r="H266" s="830"/>
    </row>
    <row r="267" spans="1:8" x14ac:dyDescent="0.2">
      <c r="A267" s="695">
        <v>41</v>
      </c>
      <c r="B267" s="106"/>
      <c r="C267" s="135" t="s">
        <v>177</v>
      </c>
      <c r="D267" s="259" t="s">
        <v>3467</v>
      </c>
      <c r="E267" s="131">
        <v>3</v>
      </c>
      <c r="F267" s="163">
        <v>4750</v>
      </c>
      <c r="G267" s="697">
        <f t="shared" si="4"/>
        <v>14250</v>
      </c>
      <c r="H267" s="781"/>
    </row>
    <row r="268" spans="1:8" x14ac:dyDescent="0.2">
      <c r="A268" s="695"/>
      <c r="B268" s="813"/>
      <c r="C268" s="831"/>
      <c r="D268" s="832" t="s">
        <v>3468</v>
      </c>
      <c r="E268" s="808"/>
      <c r="F268" s="780"/>
      <c r="G268" s="697"/>
      <c r="H268" s="781"/>
    </row>
    <row r="269" spans="1:8" x14ac:dyDescent="0.2">
      <c r="A269" s="695">
        <v>42</v>
      </c>
      <c r="B269" s="105"/>
      <c r="C269" s="135" t="s">
        <v>177</v>
      </c>
      <c r="D269" s="259" t="s">
        <v>3410</v>
      </c>
      <c r="E269" s="108">
        <v>3</v>
      </c>
      <c r="F269" s="152">
        <v>950</v>
      </c>
      <c r="G269" s="697">
        <f t="shared" si="4"/>
        <v>2850</v>
      </c>
      <c r="H269" s="781"/>
    </row>
    <row r="270" spans="1:8" x14ac:dyDescent="0.2">
      <c r="A270" s="695">
        <v>43</v>
      </c>
      <c r="B270" s="700"/>
      <c r="C270" s="135" t="s">
        <v>177</v>
      </c>
      <c r="D270" s="259" t="s">
        <v>3411</v>
      </c>
      <c r="E270" s="108">
        <v>6</v>
      </c>
      <c r="F270" s="163">
        <v>360</v>
      </c>
      <c r="G270" s="697">
        <f t="shared" si="4"/>
        <v>2160</v>
      </c>
    </row>
    <row r="271" spans="1:8" x14ac:dyDescent="0.2">
      <c r="A271" s="695">
        <v>44</v>
      </c>
      <c r="B271" s="700"/>
      <c r="C271" s="135" t="s">
        <v>185</v>
      </c>
      <c r="D271" s="259" t="s">
        <v>3323</v>
      </c>
      <c r="E271" s="108">
        <v>18</v>
      </c>
      <c r="F271" s="163">
        <v>325</v>
      </c>
      <c r="G271" s="697">
        <f t="shared" si="4"/>
        <v>5850</v>
      </c>
    </row>
    <row r="272" spans="1:8" x14ac:dyDescent="0.2">
      <c r="A272" s="695"/>
      <c r="B272" s="806"/>
      <c r="C272" s="831"/>
      <c r="D272" s="832" t="s">
        <v>2997</v>
      </c>
      <c r="E272" s="779"/>
      <c r="F272" s="780"/>
      <c r="G272" s="697"/>
    </row>
    <row r="273" spans="1:7" x14ac:dyDescent="0.2">
      <c r="A273" s="695">
        <v>45</v>
      </c>
      <c r="B273" s="698"/>
      <c r="C273" s="135" t="s">
        <v>177</v>
      </c>
      <c r="D273" s="259" t="s">
        <v>3469</v>
      </c>
      <c r="E273" s="260">
        <v>60</v>
      </c>
      <c r="F273" s="163">
        <v>119.5</v>
      </c>
      <c r="G273" s="697">
        <f t="shared" si="4"/>
        <v>7170</v>
      </c>
    </row>
    <row r="274" spans="1:7" x14ac:dyDescent="0.2">
      <c r="A274" s="695"/>
      <c r="B274" s="776"/>
      <c r="C274" s="831"/>
      <c r="D274" s="832" t="s">
        <v>3470</v>
      </c>
      <c r="E274" s="833"/>
      <c r="F274" s="780"/>
      <c r="G274" s="697"/>
    </row>
    <row r="275" spans="1:7" x14ac:dyDescent="0.2">
      <c r="A275" s="695">
        <v>46</v>
      </c>
      <c r="B275" s="776"/>
      <c r="C275" s="831" t="s">
        <v>177</v>
      </c>
      <c r="D275" s="832" t="s">
        <v>3414</v>
      </c>
      <c r="E275" s="833">
        <v>3</v>
      </c>
      <c r="F275" s="780">
        <v>220</v>
      </c>
      <c r="G275" s="697">
        <f t="shared" si="4"/>
        <v>660</v>
      </c>
    </row>
    <row r="276" spans="1:7" x14ac:dyDescent="0.2">
      <c r="A276" s="695">
        <v>47</v>
      </c>
      <c r="B276" s="698"/>
      <c r="C276" s="135" t="s">
        <v>177</v>
      </c>
      <c r="D276" s="259" t="s">
        <v>3415</v>
      </c>
      <c r="E276" s="108">
        <v>3</v>
      </c>
      <c r="F276" s="163">
        <v>600</v>
      </c>
      <c r="G276" s="697">
        <f t="shared" si="4"/>
        <v>1800</v>
      </c>
    </row>
    <row r="277" spans="1:7" x14ac:dyDescent="0.2">
      <c r="A277" s="695">
        <v>48</v>
      </c>
      <c r="B277" s="106"/>
      <c r="C277" s="135" t="s">
        <v>177</v>
      </c>
      <c r="D277" s="259" t="s">
        <v>3326</v>
      </c>
      <c r="E277" s="131">
        <v>3</v>
      </c>
      <c r="F277" s="717">
        <v>315</v>
      </c>
      <c r="G277" s="697">
        <f t="shared" si="4"/>
        <v>945</v>
      </c>
    </row>
    <row r="278" spans="1:7" x14ac:dyDescent="0.2">
      <c r="A278" s="695"/>
      <c r="B278" s="813"/>
      <c r="C278" s="831"/>
      <c r="D278" s="832" t="s">
        <v>3471</v>
      </c>
      <c r="E278" s="808"/>
      <c r="F278" s="814"/>
      <c r="G278" s="697"/>
    </row>
    <row r="279" spans="1:7" x14ac:dyDescent="0.2">
      <c r="A279" s="695">
        <v>49</v>
      </c>
      <c r="B279" s="105"/>
      <c r="C279" s="119" t="s">
        <v>177</v>
      </c>
      <c r="D279" s="383" t="s">
        <v>3416</v>
      </c>
      <c r="E279" s="716">
        <v>3</v>
      </c>
      <c r="F279" s="717">
        <v>375</v>
      </c>
      <c r="G279" s="697">
        <f t="shared" si="4"/>
        <v>1125</v>
      </c>
    </row>
    <row r="280" spans="1:7" x14ac:dyDescent="0.2">
      <c r="A280" s="695">
        <v>50</v>
      </c>
      <c r="B280" s="105"/>
      <c r="C280" s="385" t="s">
        <v>3413</v>
      </c>
      <c r="D280" s="136" t="s">
        <v>3417</v>
      </c>
      <c r="E280" s="131">
        <v>3</v>
      </c>
      <c r="F280" s="717">
        <v>2350</v>
      </c>
      <c r="G280" s="697">
        <f t="shared" si="4"/>
        <v>7050</v>
      </c>
    </row>
    <row r="281" spans="1:7" x14ac:dyDescent="0.2">
      <c r="A281" s="725"/>
      <c r="B281" s="786"/>
      <c r="C281" s="794"/>
      <c r="D281" s="820"/>
      <c r="E281" s="808"/>
      <c r="F281" s="815"/>
      <c r="G281" s="124"/>
    </row>
    <row r="282" spans="1:7" ht="13.5" thickBot="1" x14ac:dyDescent="0.25">
      <c r="A282" s="726"/>
      <c r="B282" s="703"/>
      <c r="C282" s="704"/>
      <c r="D282" s="704"/>
      <c r="E282" s="703"/>
      <c r="F282" s="705" t="s">
        <v>158</v>
      </c>
      <c r="G282" s="727">
        <f>SUM(G250:G281)</f>
        <v>327880.5</v>
      </c>
    </row>
    <row r="283" spans="1:7" ht="13.5" thickTop="1" x14ac:dyDescent="0.2">
      <c r="A283" s="985" t="s">
        <v>188</v>
      </c>
      <c r="B283" s="1019"/>
      <c r="C283" s="1019"/>
      <c r="D283" s="1019"/>
      <c r="E283" s="1019"/>
      <c r="F283" s="1019"/>
      <c r="G283" s="1020"/>
    </row>
    <row r="284" spans="1:7" ht="13.5" thickBot="1" x14ac:dyDescent="0.25">
      <c r="A284" s="707"/>
      <c r="B284" s="708"/>
      <c r="C284" s="708"/>
      <c r="D284" s="709"/>
      <c r="E284" s="708"/>
      <c r="F284" s="198"/>
      <c r="G284" s="199"/>
    </row>
    <row r="285" spans="1:7" ht="13.5" thickTop="1" x14ac:dyDescent="0.2">
      <c r="A285" s="1023"/>
      <c r="B285" s="1024"/>
      <c r="C285" s="1024"/>
      <c r="D285" s="344" t="s">
        <v>11</v>
      </c>
      <c r="E285" s="1025" t="s">
        <v>12</v>
      </c>
      <c r="F285" s="1025"/>
      <c r="G285" s="1026"/>
    </row>
    <row r="286" spans="1:7" ht="27" customHeight="1" x14ac:dyDescent="0.2">
      <c r="A286" s="1010" t="s">
        <v>17</v>
      </c>
      <c r="B286" s="1011"/>
      <c r="C286" s="1011"/>
      <c r="D286" s="121"/>
      <c r="E286" s="1027"/>
      <c r="F286" s="1028"/>
      <c r="G286" s="1029"/>
    </row>
    <row r="287" spans="1:7" x14ac:dyDescent="0.2">
      <c r="A287" s="1010" t="s">
        <v>38</v>
      </c>
      <c r="B287" s="1011"/>
      <c r="C287" s="1011"/>
      <c r="D287" s="710" t="s">
        <v>147</v>
      </c>
      <c r="E287" s="1012" t="s">
        <v>142</v>
      </c>
      <c r="F287" s="1012"/>
      <c r="G287" s="1013"/>
    </row>
    <row r="288" spans="1:7" ht="13.5" thickBot="1" x14ac:dyDescent="0.25">
      <c r="A288" s="1014" t="s">
        <v>39</v>
      </c>
      <c r="B288" s="1015"/>
      <c r="C288" s="1015"/>
      <c r="D288" s="125" t="s">
        <v>148</v>
      </c>
      <c r="E288" s="1016" t="s">
        <v>0</v>
      </c>
      <c r="F288" s="1017"/>
      <c r="G288" s="1018"/>
    </row>
    <row r="289" spans="1:8" ht="16.5" x14ac:dyDescent="0.2">
      <c r="A289" s="997" t="s">
        <v>29</v>
      </c>
      <c r="B289" s="998"/>
      <c r="C289" s="998"/>
      <c r="D289" s="998"/>
      <c r="E289" s="998"/>
      <c r="F289" s="998"/>
      <c r="G289" s="999"/>
      <c r="H289" s="713">
        <v>7</v>
      </c>
    </row>
    <row r="290" spans="1:8" x14ac:dyDescent="0.2">
      <c r="A290" s="1000" t="s">
        <v>48</v>
      </c>
      <c r="B290" s="1001"/>
      <c r="C290" s="1001"/>
      <c r="D290" s="1001"/>
      <c r="E290" s="1001"/>
      <c r="F290" s="1001"/>
      <c r="G290" s="1002"/>
      <c r="H290" s="804"/>
    </row>
    <row r="291" spans="1:8" x14ac:dyDescent="0.2">
      <c r="A291" s="1003" t="s">
        <v>49</v>
      </c>
      <c r="B291" s="1004"/>
      <c r="C291" s="1004"/>
      <c r="D291" s="1004"/>
      <c r="E291" s="1004"/>
      <c r="F291" s="1004"/>
      <c r="G291" s="1005"/>
      <c r="H291" s="804"/>
    </row>
    <row r="292" spans="1:8" x14ac:dyDescent="0.2">
      <c r="A292" s="674"/>
      <c r="B292" s="675"/>
      <c r="C292" s="676"/>
      <c r="D292" s="677"/>
      <c r="E292" s="675"/>
      <c r="F292" s="678"/>
      <c r="G292" s="737" t="s">
        <v>3514</v>
      </c>
    </row>
    <row r="293" spans="1:8" x14ac:dyDescent="0.2">
      <c r="A293" s="680" t="s">
        <v>1</v>
      </c>
      <c r="B293" s="681"/>
      <c r="C293" s="682" t="s">
        <v>7</v>
      </c>
      <c r="D293" s="681"/>
      <c r="E293" s="683" t="s">
        <v>3558</v>
      </c>
      <c r="F293" s="684"/>
      <c r="G293" s="685" t="s">
        <v>3557</v>
      </c>
    </row>
    <row r="294" spans="1:8" x14ac:dyDescent="0.2">
      <c r="A294" s="686" t="s">
        <v>8</v>
      </c>
      <c r="B294" s="687"/>
      <c r="C294" s="688"/>
      <c r="D294" s="673"/>
      <c r="E294" s="1006"/>
      <c r="F294" s="1007"/>
      <c r="G294" s="689"/>
    </row>
    <row r="295" spans="1:8" x14ac:dyDescent="0.2">
      <c r="A295" s="690" t="s">
        <v>37</v>
      </c>
      <c r="B295" s="261"/>
      <c r="C295" s="261"/>
      <c r="D295" s="261"/>
      <c r="E295" s="691" t="s">
        <v>46</v>
      </c>
      <c r="F295" s="692"/>
      <c r="G295" s="689" t="s">
        <v>50</v>
      </c>
    </row>
    <row r="296" spans="1:8" x14ac:dyDescent="0.2">
      <c r="A296" s="674"/>
      <c r="B296" s="675"/>
      <c r="C296" s="676"/>
      <c r="D296" s="676"/>
      <c r="E296" s="1008"/>
      <c r="F296" s="1009"/>
      <c r="G296" s="693"/>
    </row>
    <row r="297" spans="1:8" ht="26.25" thickBot="1" x14ac:dyDescent="0.25">
      <c r="A297" s="694" t="s">
        <v>47</v>
      </c>
      <c r="B297" s="110" t="s">
        <v>23</v>
      </c>
      <c r="C297" s="110" t="s">
        <v>34</v>
      </c>
      <c r="D297" s="110" t="s">
        <v>53</v>
      </c>
      <c r="E297" s="114" t="s">
        <v>54</v>
      </c>
      <c r="F297" s="111" t="s">
        <v>55</v>
      </c>
      <c r="G297" s="112" t="s">
        <v>35</v>
      </c>
    </row>
    <row r="298" spans="1:8" ht="13.5" thickTop="1" x14ac:dyDescent="0.2">
      <c r="A298" s="695"/>
      <c r="B298" s="698"/>
      <c r="C298" s="135"/>
      <c r="D298" s="851" t="s">
        <v>160</v>
      </c>
      <c r="E298" s="158"/>
      <c r="F298" s="163"/>
      <c r="G298" s="728">
        <f>G282</f>
        <v>327880.5</v>
      </c>
    </row>
    <row r="299" spans="1:8" x14ac:dyDescent="0.2">
      <c r="A299" s="695">
        <v>51</v>
      </c>
      <c r="B299" s="105"/>
      <c r="C299" s="119" t="s">
        <v>177</v>
      </c>
      <c r="D299" s="376" t="s">
        <v>3476</v>
      </c>
      <c r="E299" s="131">
        <v>3</v>
      </c>
      <c r="F299" s="717">
        <v>220</v>
      </c>
      <c r="G299" s="697">
        <f>F299*E299</f>
        <v>660</v>
      </c>
    </row>
    <row r="300" spans="1:8" x14ac:dyDescent="0.2">
      <c r="A300" s="695"/>
      <c r="B300" s="786"/>
      <c r="C300" s="777"/>
      <c r="D300" s="820" t="s">
        <v>2918</v>
      </c>
      <c r="E300" s="808"/>
      <c r="F300" s="814"/>
      <c r="G300" s="697"/>
    </row>
    <row r="301" spans="1:8" x14ac:dyDescent="0.2">
      <c r="A301" s="695">
        <v>52</v>
      </c>
      <c r="B301" s="105"/>
      <c r="C301" s="119" t="s">
        <v>177</v>
      </c>
      <c r="D301" s="376" t="s">
        <v>3328</v>
      </c>
      <c r="E301" s="131">
        <v>9</v>
      </c>
      <c r="F301" s="717">
        <v>650</v>
      </c>
      <c r="G301" s="697">
        <f t="shared" ref="G301:G328" si="5">F301*E301</f>
        <v>5850</v>
      </c>
    </row>
    <row r="302" spans="1:8" x14ac:dyDescent="0.2">
      <c r="A302" s="695"/>
      <c r="B302" s="786"/>
      <c r="C302" s="777"/>
      <c r="D302" s="820" t="s">
        <v>3472</v>
      </c>
      <c r="E302" s="808"/>
      <c r="F302" s="814"/>
      <c r="G302" s="697"/>
    </row>
    <row r="303" spans="1:8" x14ac:dyDescent="0.2">
      <c r="A303" s="695">
        <v>53</v>
      </c>
      <c r="B303" s="105"/>
      <c r="C303" s="119" t="s">
        <v>177</v>
      </c>
      <c r="D303" s="376" t="s">
        <v>3272</v>
      </c>
      <c r="E303" s="131">
        <v>3</v>
      </c>
      <c r="F303" s="717">
        <v>1375</v>
      </c>
      <c r="G303" s="697">
        <f t="shared" si="5"/>
        <v>4125</v>
      </c>
    </row>
    <row r="304" spans="1:8" x14ac:dyDescent="0.2">
      <c r="A304" s="695">
        <v>54</v>
      </c>
      <c r="B304" s="786"/>
      <c r="C304" s="777" t="s">
        <v>153</v>
      </c>
      <c r="D304" s="787" t="s">
        <v>2859</v>
      </c>
      <c r="E304" s="808">
        <v>15</v>
      </c>
      <c r="F304" s="814">
        <v>795</v>
      </c>
      <c r="G304" s="697">
        <f t="shared" si="5"/>
        <v>11925</v>
      </c>
    </row>
    <row r="305" spans="1:8" x14ac:dyDescent="0.2">
      <c r="A305" s="695"/>
      <c r="B305" s="786"/>
      <c r="C305" s="777"/>
      <c r="D305" s="820" t="s">
        <v>3473</v>
      </c>
      <c r="E305" s="808"/>
      <c r="F305" s="814"/>
      <c r="G305" s="697"/>
    </row>
    <row r="306" spans="1:8" x14ac:dyDescent="0.2">
      <c r="A306" s="695">
        <v>55</v>
      </c>
      <c r="B306" s="698"/>
      <c r="C306" s="119" t="s">
        <v>153</v>
      </c>
      <c r="D306" s="376" t="s">
        <v>3334</v>
      </c>
      <c r="E306" s="131">
        <v>15</v>
      </c>
      <c r="F306" s="717">
        <v>650</v>
      </c>
      <c r="G306" s="697">
        <f t="shared" si="5"/>
        <v>9750</v>
      </c>
    </row>
    <row r="307" spans="1:8" x14ac:dyDescent="0.2">
      <c r="A307" s="695"/>
      <c r="B307" s="776"/>
      <c r="C307" s="777"/>
      <c r="D307" s="820" t="s">
        <v>3473</v>
      </c>
      <c r="E307" s="808"/>
      <c r="F307" s="814"/>
      <c r="G307" s="697"/>
    </row>
    <row r="308" spans="1:8" x14ac:dyDescent="0.2">
      <c r="A308" s="695">
        <v>56</v>
      </c>
      <c r="B308" s="698"/>
      <c r="C308" s="119" t="s">
        <v>177</v>
      </c>
      <c r="D308" s="376" t="s">
        <v>3474</v>
      </c>
      <c r="E308" s="131">
        <v>10</v>
      </c>
      <c r="F308" s="717">
        <v>320</v>
      </c>
      <c r="G308" s="697">
        <f t="shared" si="5"/>
        <v>3200</v>
      </c>
    </row>
    <row r="309" spans="1:8" x14ac:dyDescent="0.2">
      <c r="A309" s="695"/>
      <c r="B309" s="776"/>
      <c r="C309" s="777"/>
      <c r="D309" s="787" t="s">
        <v>3336</v>
      </c>
      <c r="E309" s="808"/>
      <c r="F309" s="814"/>
      <c r="G309" s="697"/>
    </row>
    <row r="310" spans="1:8" x14ac:dyDescent="0.2">
      <c r="A310" s="695">
        <v>57</v>
      </c>
      <c r="B310" s="698"/>
      <c r="C310" s="119" t="s">
        <v>153</v>
      </c>
      <c r="D310" s="136" t="s">
        <v>3418</v>
      </c>
      <c r="E310" s="131">
        <v>28</v>
      </c>
      <c r="F310" s="717">
        <v>477</v>
      </c>
      <c r="G310" s="697">
        <f t="shared" si="5"/>
        <v>13356</v>
      </c>
      <c r="H310" s="131">
        <v>30</v>
      </c>
    </row>
    <row r="311" spans="1:8" x14ac:dyDescent="0.2">
      <c r="A311" s="695">
        <v>58</v>
      </c>
      <c r="B311" s="776"/>
      <c r="C311" s="777" t="s">
        <v>177</v>
      </c>
      <c r="D311" s="820" t="s">
        <v>2872</v>
      </c>
      <c r="E311" s="808">
        <v>3</v>
      </c>
      <c r="F311" s="814">
        <v>2700</v>
      </c>
      <c r="G311" s="697">
        <f t="shared" si="5"/>
        <v>8100</v>
      </c>
    </row>
    <row r="312" spans="1:8" x14ac:dyDescent="0.2">
      <c r="A312" s="695">
        <v>59</v>
      </c>
      <c r="B312" s="698"/>
      <c r="C312" s="119" t="s">
        <v>177</v>
      </c>
      <c r="D312" s="376" t="s">
        <v>3477</v>
      </c>
      <c r="E312" s="131">
        <v>9</v>
      </c>
      <c r="F312" s="717">
        <v>325</v>
      </c>
      <c r="G312" s="697">
        <f t="shared" si="5"/>
        <v>2925</v>
      </c>
    </row>
    <row r="313" spans="1:8" x14ac:dyDescent="0.2">
      <c r="A313" s="695"/>
      <c r="B313" s="776"/>
      <c r="C313" s="777"/>
      <c r="D313" s="820" t="s">
        <v>2987</v>
      </c>
      <c r="E313" s="808"/>
      <c r="F313" s="814"/>
      <c r="G313" s="697"/>
    </row>
    <row r="314" spans="1:8" x14ac:dyDescent="0.2">
      <c r="A314" s="695">
        <v>60</v>
      </c>
      <c r="B314" s="698"/>
      <c r="C314" s="119" t="s">
        <v>177</v>
      </c>
      <c r="D314" s="376" t="s">
        <v>3478</v>
      </c>
      <c r="E314" s="131">
        <v>9</v>
      </c>
      <c r="F314" s="717">
        <v>420</v>
      </c>
      <c r="G314" s="697">
        <f t="shared" si="5"/>
        <v>3780</v>
      </c>
    </row>
    <row r="315" spans="1:8" x14ac:dyDescent="0.2">
      <c r="A315" s="695"/>
      <c r="B315" s="776"/>
      <c r="C315" s="714"/>
      <c r="D315" s="820" t="s">
        <v>2918</v>
      </c>
      <c r="E315" s="853"/>
      <c r="F315" s="814"/>
      <c r="G315" s="697"/>
    </row>
    <row r="316" spans="1:8" x14ac:dyDescent="0.2">
      <c r="A316" s="695">
        <v>61</v>
      </c>
      <c r="B316" s="698"/>
      <c r="C316" s="719" t="s">
        <v>177</v>
      </c>
      <c r="D316" s="259" t="s">
        <v>3419</v>
      </c>
      <c r="E316" s="204">
        <v>15</v>
      </c>
      <c r="F316" s="149">
        <v>169.5</v>
      </c>
      <c r="G316" s="697">
        <f t="shared" si="5"/>
        <v>2542.5</v>
      </c>
    </row>
    <row r="317" spans="1:8" x14ac:dyDescent="0.2">
      <c r="A317" s="695">
        <v>62</v>
      </c>
      <c r="B317" s="698"/>
      <c r="C317" s="135" t="s">
        <v>177</v>
      </c>
      <c r="D317" s="259" t="s">
        <v>3479</v>
      </c>
      <c r="E317" s="108">
        <v>3</v>
      </c>
      <c r="F317" s="163">
        <v>827.5</v>
      </c>
      <c r="G317" s="697">
        <f t="shared" si="5"/>
        <v>2482.5</v>
      </c>
    </row>
    <row r="318" spans="1:8" x14ac:dyDescent="0.2">
      <c r="A318" s="695"/>
      <c r="B318" s="776"/>
      <c r="C318" s="831"/>
      <c r="D318" s="832" t="s">
        <v>3480</v>
      </c>
      <c r="E318" s="779"/>
      <c r="F318" s="780"/>
      <c r="G318" s="697"/>
    </row>
    <row r="319" spans="1:8" x14ac:dyDescent="0.2">
      <c r="A319" s="695">
        <v>63</v>
      </c>
      <c r="B319" s="105"/>
      <c r="C319" s="135" t="s">
        <v>177</v>
      </c>
      <c r="D319" s="259" t="s">
        <v>3277</v>
      </c>
      <c r="E319" s="108">
        <v>3</v>
      </c>
      <c r="F319" s="163">
        <v>590</v>
      </c>
      <c r="G319" s="697">
        <f t="shared" si="5"/>
        <v>1770</v>
      </c>
    </row>
    <row r="320" spans="1:8" x14ac:dyDescent="0.2">
      <c r="A320" s="695">
        <v>64</v>
      </c>
      <c r="B320" s="786"/>
      <c r="C320" s="831" t="s">
        <v>177</v>
      </c>
      <c r="D320" s="832" t="s">
        <v>3481</v>
      </c>
      <c r="E320" s="779">
        <v>3</v>
      </c>
      <c r="F320" s="780">
        <v>1500</v>
      </c>
      <c r="G320" s="697">
        <f t="shared" si="5"/>
        <v>4500</v>
      </c>
    </row>
    <row r="321" spans="1:8" x14ac:dyDescent="0.2">
      <c r="A321" s="695"/>
      <c r="B321" s="786"/>
      <c r="C321" s="831"/>
      <c r="D321" s="832" t="s">
        <v>3482</v>
      </c>
      <c r="E321" s="779"/>
      <c r="F321" s="780"/>
      <c r="G321" s="697"/>
    </row>
    <row r="322" spans="1:8" x14ac:dyDescent="0.2">
      <c r="A322" s="695">
        <v>65</v>
      </c>
      <c r="B322" s="786"/>
      <c r="C322" s="831" t="s">
        <v>177</v>
      </c>
      <c r="D322" s="832" t="s">
        <v>3420</v>
      </c>
      <c r="E322" s="779">
        <v>3</v>
      </c>
      <c r="F322" s="780">
        <v>1420</v>
      </c>
      <c r="G322" s="697">
        <f t="shared" si="5"/>
        <v>4260</v>
      </c>
    </row>
    <row r="323" spans="1:8" x14ac:dyDescent="0.2">
      <c r="A323" s="695">
        <v>66</v>
      </c>
      <c r="B323" s="105"/>
      <c r="C323" s="135" t="s">
        <v>177</v>
      </c>
      <c r="D323" s="259" t="s">
        <v>2861</v>
      </c>
      <c r="E323" s="108">
        <v>9</v>
      </c>
      <c r="F323" s="163">
        <v>375</v>
      </c>
      <c r="G323" s="697">
        <f t="shared" si="5"/>
        <v>3375</v>
      </c>
    </row>
    <row r="324" spans="1:8" x14ac:dyDescent="0.2">
      <c r="A324" s="695"/>
      <c r="B324" s="786"/>
      <c r="C324" s="831"/>
      <c r="D324" s="832" t="s">
        <v>2862</v>
      </c>
      <c r="E324" s="779"/>
      <c r="F324" s="780"/>
      <c r="G324" s="697"/>
    </row>
    <row r="325" spans="1:8" x14ac:dyDescent="0.2">
      <c r="A325" s="695">
        <v>67</v>
      </c>
      <c r="B325" s="786"/>
      <c r="C325" s="831" t="s">
        <v>177</v>
      </c>
      <c r="D325" s="832" t="s">
        <v>2861</v>
      </c>
      <c r="E325" s="779">
        <v>6</v>
      </c>
      <c r="F325" s="780">
        <v>920</v>
      </c>
      <c r="G325" s="697">
        <f t="shared" si="5"/>
        <v>5520</v>
      </c>
    </row>
    <row r="326" spans="1:8" x14ac:dyDescent="0.2">
      <c r="A326" s="695"/>
      <c r="B326" s="786"/>
      <c r="C326" s="831"/>
      <c r="D326" s="832" t="s">
        <v>3483</v>
      </c>
      <c r="E326" s="779"/>
      <c r="F326" s="780"/>
      <c r="G326" s="697"/>
    </row>
    <row r="327" spans="1:8" x14ac:dyDescent="0.2">
      <c r="A327" s="695">
        <v>68</v>
      </c>
      <c r="B327" s="105"/>
      <c r="C327" s="135" t="s">
        <v>177</v>
      </c>
      <c r="D327" s="259" t="s">
        <v>3421</v>
      </c>
      <c r="E327" s="108">
        <v>3</v>
      </c>
      <c r="F327" s="150">
        <v>475</v>
      </c>
      <c r="G327" s="697">
        <f t="shared" si="5"/>
        <v>1425</v>
      </c>
    </row>
    <row r="328" spans="1:8" x14ac:dyDescent="0.2">
      <c r="A328" s="695">
        <v>69</v>
      </c>
      <c r="B328" s="105"/>
      <c r="C328" s="135" t="s">
        <v>177</v>
      </c>
      <c r="D328" s="252" t="s">
        <v>3484</v>
      </c>
      <c r="E328" s="108">
        <v>9</v>
      </c>
      <c r="F328" s="150">
        <v>475</v>
      </c>
      <c r="G328" s="697">
        <f t="shared" si="5"/>
        <v>4275</v>
      </c>
      <c r="H328" s="781"/>
    </row>
    <row r="329" spans="1:8" x14ac:dyDescent="0.2">
      <c r="A329" s="695"/>
      <c r="B329" s="786"/>
      <c r="C329" s="831"/>
      <c r="D329" s="854" t="s">
        <v>2865</v>
      </c>
      <c r="E329" s="779"/>
      <c r="F329" s="812"/>
      <c r="G329" s="697"/>
      <c r="H329" s="781"/>
    </row>
    <row r="330" spans="1:8" ht="13.5" thickBot="1" x14ac:dyDescent="0.25">
      <c r="A330" s="702"/>
      <c r="B330" s="703"/>
      <c r="C330" s="704"/>
      <c r="D330" s="704"/>
      <c r="E330" s="703"/>
      <c r="F330" s="705" t="s">
        <v>158</v>
      </c>
      <c r="G330" s="706">
        <f>SUM(G298:G329)</f>
        <v>421701.5</v>
      </c>
    </row>
    <row r="331" spans="1:8" ht="13.5" thickTop="1" x14ac:dyDescent="0.2">
      <c r="A331" s="985" t="s">
        <v>188</v>
      </c>
      <c r="B331" s="1019"/>
      <c r="C331" s="1019"/>
      <c r="D331" s="1019"/>
      <c r="E331" s="1019"/>
      <c r="F331" s="1019"/>
      <c r="G331" s="1020"/>
    </row>
    <row r="332" spans="1:8" ht="13.5" thickBot="1" x14ac:dyDescent="0.25">
      <c r="A332" s="707"/>
      <c r="B332" s="708"/>
      <c r="C332" s="708"/>
      <c r="D332" s="709"/>
      <c r="E332" s="708"/>
      <c r="F332" s="198"/>
      <c r="G332" s="199"/>
    </row>
    <row r="333" spans="1:8" ht="13.5" thickTop="1" x14ac:dyDescent="0.2">
      <c r="A333" s="1023"/>
      <c r="B333" s="1024"/>
      <c r="C333" s="1024"/>
      <c r="D333" s="344" t="s">
        <v>11</v>
      </c>
      <c r="E333" s="1025" t="s">
        <v>12</v>
      </c>
      <c r="F333" s="1025"/>
      <c r="G333" s="1026"/>
    </row>
    <row r="334" spans="1:8" ht="27" customHeight="1" x14ac:dyDescent="0.2">
      <c r="A334" s="1010" t="s">
        <v>17</v>
      </c>
      <c r="B334" s="1011"/>
      <c r="C334" s="1011"/>
      <c r="D334" s="121"/>
      <c r="E334" s="1027"/>
      <c r="F334" s="1028"/>
      <c r="G334" s="1029"/>
    </row>
    <row r="335" spans="1:8" x14ac:dyDescent="0.2">
      <c r="A335" s="1010" t="s">
        <v>38</v>
      </c>
      <c r="B335" s="1011"/>
      <c r="C335" s="1011"/>
      <c r="D335" s="710" t="s">
        <v>147</v>
      </c>
      <c r="E335" s="1012" t="s">
        <v>142</v>
      </c>
      <c r="F335" s="1012"/>
      <c r="G335" s="1013"/>
    </row>
    <row r="336" spans="1:8" ht="13.5" thickBot="1" x14ac:dyDescent="0.25">
      <c r="A336" s="1014" t="s">
        <v>39</v>
      </c>
      <c r="B336" s="1015"/>
      <c r="C336" s="1015"/>
      <c r="D336" s="125" t="s">
        <v>148</v>
      </c>
      <c r="E336" s="1016" t="s">
        <v>0</v>
      </c>
      <c r="F336" s="1017"/>
      <c r="G336" s="1018"/>
    </row>
    <row r="337" spans="1:8" ht="16.5" x14ac:dyDescent="0.2">
      <c r="A337" s="997" t="s">
        <v>29</v>
      </c>
      <c r="B337" s="998"/>
      <c r="C337" s="998"/>
      <c r="D337" s="998"/>
      <c r="E337" s="998"/>
      <c r="F337" s="998"/>
      <c r="G337" s="999"/>
      <c r="H337" s="713">
        <v>8</v>
      </c>
    </row>
    <row r="338" spans="1:8" x14ac:dyDescent="0.2">
      <c r="A338" s="1000" t="s">
        <v>48</v>
      </c>
      <c r="B338" s="1001"/>
      <c r="C338" s="1001"/>
      <c r="D338" s="1001"/>
      <c r="E338" s="1001"/>
      <c r="F338" s="1001"/>
      <c r="G338" s="1002"/>
      <c r="H338" s="804"/>
    </row>
    <row r="339" spans="1:8" x14ac:dyDescent="0.2">
      <c r="A339" s="1003" t="s">
        <v>49</v>
      </c>
      <c r="B339" s="1004"/>
      <c r="C339" s="1004"/>
      <c r="D339" s="1004"/>
      <c r="E339" s="1004"/>
      <c r="F339" s="1004"/>
      <c r="G339" s="1005"/>
      <c r="H339" s="804"/>
    </row>
    <row r="340" spans="1:8" x14ac:dyDescent="0.2">
      <c r="A340" s="674"/>
      <c r="B340" s="675"/>
      <c r="C340" s="676"/>
      <c r="D340" s="677"/>
      <c r="E340" s="675"/>
      <c r="F340" s="678"/>
      <c r="G340" s="737" t="s">
        <v>3513</v>
      </c>
    </row>
    <row r="341" spans="1:8" x14ac:dyDescent="0.2">
      <c r="A341" s="680" t="s">
        <v>1</v>
      </c>
      <c r="B341" s="681"/>
      <c r="C341" s="682" t="s">
        <v>7</v>
      </c>
      <c r="D341" s="681"/>
      <c r="E341" s="683" t="s">
        <v>3558</v>
      </c>
      <c r="F341" s="684"/>
      <c r="G341" s="685" t="s">
        <v>3557</v>
      </c>
    </row>
    <row r="342" spans="1:8" x14ac:dyDescent="0.2">
      <c r="A342" s="686" t="s">
        <v>8</v>
      </c>
      <c r="B342" s="687"/>
      <c r="C342" s="688"/>
      <c r="D342" s="673"/>
      <c r="E342" s="1006"/>
      <c r="F342" s="1007"/>
      <c r="G342" s="689"/>
    </row>
    <row r="343" spans="1:8" x14ac:dyDescent="0.2">
      <c r="A343" s="690" t="s">
        <v>37</v>
      </c>
      <c r="B343" s="261"/>
      <c r="C343" s="261"/>
      <c r="D343" s="261"/>
      <c r="E343" s="691" t="s">
        <v>46</v>
      </c>
      <c r="F343" s="692"/>
      <c r="G343" s="689" t="s">
        <v>50</v>
      </c>
    </row>
    <row r="344" spans="1:8" x14ac:dyDescent="0.2">
      <c r="A344" s="674"/>
      <c r="B344" s="675"/>
      <c r="C344" s="676"/>
      <c r="D344" s="676"/>
      <c r="E344" s="1008"/>
      <c r="F344" s="1009"/>
      <c r="G344" s="693"/>
    </row>
    <row r="345" spans="1:8" ht="26.25" thickBot="1" x14ac:dyDescent="0.25">
      <c r="A345" s="694" t="s">
        <v>47</v>
      </c>
      <c r="B345" s="110" t="s">
        <v>23</v>
      </c>
      <c r="C345" s="110" t="s">
        <v>34</v>
      </c>
      <c r="D345" s="110" t="s">
        <v>53</v>
      </c>
      <c r="E345" s="114" t="s">
        <v>54</v>
      </c>
      <c r="F345" s="111" t="s">
        <v>55</v>
      </c>
      <c r="G345" s="112" t="s">
        <v>35</v>
      </c>
    </row>
    <row r="346" spans="1:8" ht="13.5" thickTop="1" x14ac:dyDescent="0.2">
      <c r="A346" s="695"/>
      <c r="B346" s="698"/>
      <c r="C346" s="135"/>
      <c r="D346" s="851" t="s">
        <v>160</v>
      </c>
      <c r="E346" s="158"/>
      <c r="F346" s="163"/>
      <c r="G346" s="728">
        <f>G330</f>
        <v>421701.5</v>
      </c>
    </row>
    <row r="347" spans="1:8" x14ac:dyDescent="0.2">
      <c r="A347" s="695">
        <v>70</v>
      </c>
      <c r="B347" s="698"/>
      <c r="C347" s="135" t="s">
        <v>177</v>
      </c>
      <c r="D347" s="252" t="s">
        <v>3422</v>
      </c>
      <c r="E347" s="131">
        <v>3</v>
      </c>
      <c r="F347" s="163">
        <v>223</v>
      </c>
      <c r="G347" s="697">
        <f>F347*E347</f>
        <v>669</v>
      </c>
      <c r="H347" s="830"/>
    </row>
    <row r="348" spans="1:8" x14ac:dyDescent="0.2">
      <c r="A348" s="695">
        <v>71</v>
      </c>
      <c r="B348" s="106"/>
      <c r="C348" s="135" t="s">
        <v>177</v>
      </c>
      <c r="D348" s="259" t="s">
        <v>3485</v>
      </c>
      <c r="E348" s="131">
        <v>9</v>
      </c>
      <c r="F348" s="163">
        <v>615</v>
      </c>
      <c r="G348" s="697">
        <f t="shared" ref="G348:G377" si="6">F348*E348</f>
        <v>5535</v>
      </c>
      <c r="H348" s="781"/>
    </row>
    <row r="349" spans="1:8" x14ac:dyDescent="0.2">
      <c r="A349" s="695"/>
      <c r="B349" s="813"/>
      <c r="C349" s="831"/>
      <c r="D349" s="832" t="s">
        <v>3486</v>
      </c>
      <c r="E349" s="808"/>
      <c r="F349" s="780"/>
      <c r="G349" s="697"/>
      <c r="H349" s="781"/>
    </row>
    <row r="350" spans="1:8" x14ac:dyDescent="0.2">
      <c r="A350" s="695">
        <v>72</v>
      </c>
      <c r="B350" s="105"/>
      <c r="C350" s="135" t="s">
        <v>177</v>
      </c>
      <c r="D350" s="259" t="s">
        <v>3423</v>
      </c>
      <c r="E350" s="108">
        <v>3</v>
      </c>
      <c r="F350" s="152">
        <v>6700</v>
      </c>
      <c r="G350" s="697">
        <f t="shared" si="6"/>
        <v>20100</v>
      </c>
      <c r="H350" s="781"/>
    </row>
    <row r="351" spans="1:8" x14ac:dyDescent="0.2">
      <c r="A351" s="695">
        <v>73</v>
      </c>
      <c r="B351" s="700"/>
      <c r="C351" s="135" t="s">
        <v>177</v>
      </c>
      <c r="D351" s="259" t="s">
        <v>3487</v>
      </c>
      <c r="E351" s="108">
        <v>3</v>
      </c>
      <c r="F351" s="163">
        <v>1800</v>
      </c>
      <c r="G351" s="697">
        <f t="shared" si="6"/>
        <v>5400</v>
      </c>
    </row>
    <row r="352" spans="1:8" x14ac:dyDescent="0.2">
      <c r="A352" s="695"/>
      <c r="B352" s="806"/>
      <c r="C352" s="831"/>
      <c r="D352" s="832" t="s">
        <v>3468</v>
      </c>
      <c r="E352" s="779"/>
      <c r="F352" s="780"/>
      <c r="G352" s="697"/>
    </row>
    <row r="353" spans="1:7" x14ac:dyDescent="0.2">
      <c r="A353" s="695">
        <v>74</v>
      </c>
      <c r="B353" s="700"/>
      <c r="C353" s="135" t="s">
        <v>177</v>
      </c>
      <c r="D353" s="259" t="s">
        <v>3488</v>
      </c>
      <c r="E353" s="108">
        <v>15</v>
      </c>
      <c r="F353" s="163">
        <v>390</v>
      </c>
      <c r="G353" s="697">
        <f t="shared" si="6"/>
        <v>5850</v>
      </c>
    </row>
    <row r="354" spans="1:7" x14ac:dyDescent="0.2">
      <c r="A354" s="695"/>
      <c r="B354" s="806"/>
      <c r="C354" s="831"/>
      <c r="D354" s="832" t="s">
        <v>3489</v>
      </c>
      <c r="E354" s="779"/>
      <c r="F354" s="780"/>
      <c r="G354" s="697"/>
    </row>
    <row r="355" spans="1:7" x14ac:dyDescent="0.2">
      <c r="A355" s="695">
        <v>75</v>
      </c>
      <c r="B355" s="698"/>
      <c r="C355" s="135" t="s">
        <v>185</v>
      </c>
      <c r="D355" s="259" t="s">
        <v>3424</v>
      </c>
      <c r="E355" s="260">
        <v>36</v>
      </c>
      <c r="F355" s="163">
        <v>90</v>
      </c>
      <c r="G355" s="697">
        <f t="shared" si="6"/>
        <v>3240</v>
      </c>
    </row>
    <row r="356" spans="1:7" x14ac:dyDescent="0.2">
      <c r="A356" s="695">
        <v>76</v>
      </c>
      <c r="B356" s="776"/>
      <c r="C356" s="831" t="s">
        <v>177</v>
      </c>
      <c r="D356" s="832" t="s">
        <v>3425</v>
      </c>
      <c r="E356" s="833">
        <v>6</v>
      </c>
      <c r="F356" s="780">
        <v>425</v>
      </c>
      <c r="G356" s="697">
        <f t="shared" si="6"/>
        <v>2550</v>
      </c>
    </row>
    <row r="357" spans="1:7" x14ac:dyDescent="0.2">
      <c r="A357" s="695">
        <v>77</v>
      </c>
      <c r="B357" s="698"/>
      <c r="C357" s="135" t="s">
        <v>187</v>
      </c>
      <c r="D357" s="259" t="s">
        <v>3426</v>
      </c>
      <c r="E357" s="108">
        <v>300</v>
      </c>
      <c r="F357" s="163">
        <v>6.75</v>
      </c>
      <c r="G357" s="697">
        <f t="shared" si="6"/>
        <v>2025</v>
      </c>
    </row>
    <row r="358" spans="1:7" x14ac:dyDescent="0.2">
      <c r="A358" s="695">
        <v>78</v>
      </c>
      <c r="B358" s="106"/>
      <c r="C358" s="135" t="s">
        <v>375</v>
      </c>
      <c r="D358" s="259" t="s">
        <v>3490</v>
      </c>
      <c r="E358" s="131">
        <v>15</v>
      </c>
      <c r="F358" s="717">
        <v>815</v>
      </c>
      <c r="G358" s="697">
        <f t="shared" si="6"/>
        <v>12225</v>
      </c>
    </row>
    <row r="359" spans="1:7" x14ac:dyDescent="0.2">
      <c r="A359" s="695">
        <v>79</v>
      </c>
      <c r="B359" s="105"/>
      <c r="C359" s="119" t="s">
        <v>177</v>
      </c>
      <c r="D359" s="383" t="s">
        <v>3427</v>
      </c>
      <c r="E359" s="716">
        <v>3</v>
      </c>
      <c r="F359" s="717">
        <v>2900</v>
      </c>
      <c r="G359" s="697">
        <f t="shared" si="6"/>
        <v>8700</v>
      </c>
    </row>
    <row r="360" spans="1:7" x14ac:dyDescent="0.2">
      <c r="A360" s="695">
        <v>80</v>
      </c>
      <c r="B360" s="105"/>
      <c r="C360" s="385" t="s">
        <v>177</v>
      </c>
      <c r="D360" s="136" t="s">
        <v>3428</v>
      </c>
      <c r="E360" s="131">
        <v>3</v>
      </c>
      <c r="F360" s="717">
        <v>1200</v>
      </c>
      <c r="G360" s="697">
        <f t="shared" si="6"/>
        <v>3600</v>
      </c>
    </row>
    <row r="361" spans="1:7" x14ac:dyDescent="0.2">
      <c r="A361" s="695">
        <v>81</v>
      </c>
      <c r="B361" s="105"/>
      <c r="C361" s="119" t="s">
        <v>177</v>
      </c>
      <c r="D361" s="376" t="s">
        <v>3491</v>
      </c>
      <c r="E361" s="131">
        <v>15</v>
      </c>
      <c r="F361" s="717">
        <v>520</v>
      </c>
      <c r="G361" s="697">
        <f t="shared" si="6"/>
        <v>7800</v>
      </c>
    </row>
    <row r="362" spans="1:7" x14ac:dyDescent="0.2">
      <c r="A362" s="695"/>
      <c r="B362" s="786"/>
      <c r="C362" s="777"/>
      <c r="D362" s="820" t="s">
        <v>3492</v>
      </c>
      <c r="E362" s="808"/>
      <c r="F362" s="814"/>
      <c r="G362" s="697"/>
    </row>
    <row r="363" spans="1:7" x14ac:dyDescent="0.2">
      <c r="A363" s="695">
        <v>82</v>
      </c>
      <c r="B363" s="105"/>
      <c r="C363" s="119" t="s">
        <v>375</v>
      </c>
      <c r="D363" s="376" t="s">
        <v>3493</v>
      </c>
      <c r="E363" s="131">
        <v>30</v>
      </c>
      <c r="F363" s="717">
        <v>175</v>
      </c>
      <c r="G363" s="697">
        <f t="shared" si="6"/>
        <v>5250</v>
      </c>
    </row>
    <row r="364" spans="1:7" x14ac:dyDescent="0.2">
      <c r="A364" s="695"/>
      <c r="B364" s="786"/>
      <c r="C364" s="777"/>
      <c r="D364" s="820" t="s">
        <v>3494</v>
      </c>
      <c r="E364" s="808"/>
      <c r="F364" s="814"/>
      <c r="G364" s="697"/>
    </row>
    <row r="365" spans="1:7" x14ac:dyDescent="0.2">
      <c r="A365" s="695">
        <v>83</v>
      </c>
      <c r="B365" s="105"/>
      <c r="C365" s="119" t="s">
        <v>177</v>
      </c>
      <c r="D365" s="376" t="s">
        <v>3429</v>
      </c>
      <c r="E365" s="131">
        <v>15</v>
      </c>
      <c r="F365" s="717">
        <v>295</v>
      </c>
      <c r="G365" s="697">
        <f t="shared" si="6"/>
        <v>4425</v>
      </c>
    </row>
    <row r="366" spans="1:7" x14ac:dyDescent="0.2">
      <c r="A366" s="695">
        <v>84</v>
      </c>
      <c r="B366" s="786"/>
      <c r="C366" s="777" t="s">
        <v>177</v>
      </c>
      <c r="D366" s="820" t="s">
        <v>3430</v>
      </c>
      <c r="E366" s="808">
        <v>9</v>
      </c>
      <c r="F366" s="814">
        <v>420</v>
      </c>
      <c r="G366" s="697">
        <f t="shared" si="6"/>
        <v>3780</v>
      </c>
    </row>
    <row r="367" spans="1:7" x14ac:dyDescent="0.2">
      <c r="A367" s="695">
        <v>85</v>
      </c>
      <c r="B367" s="698"/>
      <c r="C367" s="119" t="s">
        <v>177</v>
      </c>
      <c r="D367" s="136" t="s">
        <v>3431</v>
      </c>
      <c r="E367" s="131">
        <v>15</v>
      </c>
      <c r="F367" s="717">
        <v>220</v>
      </c>
      <c r="G367" s="697">
        <f t="shared" si="6"/>
        <v>3300</v>
      </c>
    </row>
    <row r="368" spans="1:7" x14ac:dyDescent="0.2">
      <c r="A368" s="695">
        <v>86</v>
      </c>
      <c r="B368" s="698"/>
      <c r="C368" s="119" t="s">
        <v>3436</v>
      </c>
      <c r="D368" s="376" t="s">
        <v>3432</v>
      </c>
      <c r="E368" s="131">
        <v>6</v>
      </c>
      <c r="F368" s="717">
        <v>975</v>
      </c>
      <c r="G368" s="697">
        <f t="shared" si="6"/>
        <v>5850</v>
      </c>
    </row>
    <row r="369" spans="1:7" x14ac:dyDescent="0.2">
      <c r="A369" s="695">
        <v>87</v>
      </c>
      <c r="B369" s="698"/>
      <c r="C369" s="119" t="s">
        <v>177</v>
      </c>
      <c r="D369" s="136" t="s">
        <v>3433</v>
      </c>
      <c r="E369" s="131">
        <v>30</v>
      </c>
      <c r="F369" s="717">
        <v>150</v>
      </c>
      <c r="G369" s="697">
        <f t="shared" si="6"/>
        <v>4500</v>
      </c>
    </row>
    <row r="370" spans="1:7" x14ac:dyDescent="0.2">
      <c r="A370" s="695">
        <v>88</v>
      </c>
      <c r="B370" s="776"/>
      <c r="C370" s="777" t="s">
        <v>177</v>
      </c>
      <c r="D370" s="787" t="s">
        <v>3345</v>
      </c>
      <c r="E370" s="808">
        <v>15</v>
      </c>
      <c r="F370" s="814">
        <v>575</v>
      </c>
      <c r="G370" s="697">
        <f t="shared" si="6"/>
        <v>8625</v>
      </c>
    </row>
    <row r="371" spans="1:7" x14ac:dyDescent="0.2">
      <c r="A371" s="695"/>
      <c r="B371" s="776"/>
      <c r="C371" s="777"/>
      <c r="D371" s="820" t="s">
        <v>3495</v>
      </c>
      <c r="E371" s="808"/>
      <c r="F371" s="814"/>
      <c r="G371" s="697"/>
    </row>
    <row r="372" spans="1:7" x14ac:dyDescent="0.2">
      <c r="A372" s="695">
        <v>89</v>
      </c>
      <c r="B372" s="698"/>
      <c r="C372" s="119" t="s">
        <v>177</v>
      </c>
      <c r="D372" s="136" t="s">
        <v>3286</v>
      </c>
      <c r="E372" s="131">
        <v>3</v>
      </c>
      <c r="F372" s="717">
        <v>297</v>
      </c>
      <c r="G372" s="697">
        <f t="shared" si="6"/>
        <v>891</v>
      </c>
    </row>
    <row r="373" spans="1:7" x14ac:dyDescent="0.2">
      <c r="A373" s="695">
        <v>90</v>
      </c>
      <c r="B373" s="698"/>
      <c r="C373" s="119" t="s">
        <v>177</v>
      </c>
      <c r="D373" s="376" t="s">
        <v>3496</v>
      </c>
      <c r="E373" s="131">
        <v>9</v>
      </c>
      <c r="F373" s="717">
        <v>240</v>
      </c>
      <c r="G373" s="697">
        <f t="shared" si="6"/>
        <v>2160</v>
      </c>
    </row>
    <row r="374" spans="1:7" x14ac:dyDescent="0.2">
      <c r="A374" s="695"/>
      <c r="B374" s="776"/>
      <c r="C374" s="777"/>
      <c r="D374" s="820" t="s">
        <v>2867</v>
      </c>
      <c r="E374" s="808"/>
      <c r="F374" s="814"/>
      <c r="G374" s="697"/>
    </row>
    <row r="375" spans="1:7" x14ac:dyDescent="0.2">
      <c r="A375" s="695">
        <v>91</v>
      </c>
      <c r="B375" s="698"/>
      <c r="C375" s="119" t="s">
        <v>177</v>
      </c>
      <c r="D375" s="144" t="s">
        <v>3434</v>
      </c>
      <c r="E375" s="108">
        <v>3</v>
      </c>
      <c r="F375" s="149">
        <v>320</v>
      </c>
      <c r="G375" s="697">
        <f t="shared" si="6"/>
        <v>960</v>
      </c>
    </row>
    <row r="376" spans="1:7" x14ac:dyDescent="0.2">
      <c r="A376" s="695">
        <v>92</v>
      </c>
      <c r="B376" s="698"/>
      <c r="C376" s="719" t="s">
        <v>177</v>
      </c>
      <c r="D376" s="259" t="s">
        <v>3435</v>
      </c>
      <c r="E376" s="204">
        <v>6</v>
      </c>
      <c r="F376" s="149">
        <v>984</v>
      </c>
      <c r="G376" s="697">
        <f t="shared" si="6"/>
        <v>5904</v>
      </c>
    </row>
    <row r="377" spans="1:7" x14ac:dyDescent="0.2">
      <c r="A377" s="695">
        <v>93</v>
      </c>
      <c r="B377" s="698"/>
      <c r="C377" s="135" t="s">
        <v>177</v>
      </c>
      <c r="D377" s="259" t="s">
        <v>3291</v>
      </c>
      <c r="E377" s="108">
        <v>3</v>
      </c>
      <c r="F377" s="163">
        <v>345</v>
      </c>
      <c r="G377" s="697">
        <f t="shared" si="6"/>
        <v>1035</v>
      </c>
    </row>
    <row r="378" spans="1:7" ht="13.5" thickBot="1" x14ac:dyDescent="0.25">
      <c r="A378" s="702"/>
      <c r="B378" s="703"/>
      <c r="C378" s="704"/>
      <c r="D378" s="704"/>
      <c r="E378" s="703"/>
      <c r="F378" s="705" t="s">
        <v>158</v>
      </c>
      <c r="G378" s="706">
        <f>SUM(G346:G377)</f>
        <v>546075.5</v>
      </c>
    </row>
    <row r="379" spans="1:7" ht="13.5" thickTop="1" x14ac:dyDescent="0.2">
      <c r="A379" s="985" t="s">
        <v>188</v>
      </c>
      <c r="B379" s="1019"/>
      <c r="C379" s="1019"/>
      <c r="D379" s="1019"/>
      <c r="E379" s="1019"/>
      <c r="F379" s="1019"/>
      <c r="G379" s="1020"/>
    </row>
    <row r="380" spans="1:7" ht="13.5" thickBot="1" x14ac:dyDescent="0.25">
      <c r="A380" s="707"/>
      <c r="B380" s="708"/>
      <c r="C380" s="708"/>
      <c r="D380" s="709"/>
      <c r="E380" s="708"/>
      <c r="F380" s="198"/>
      <c r="G380" s="199"/>
    </row>
    <row r="381" spans="1:7" ht="13.5" thickTop="1" x14ac:dyDescent="0.2">
      <c r="A381" s="1023"/>
      <c r="B381" s="1024"/>
      <c r="C381" s="1024"/>
      <c r="D381" s="344" t="s">
        <v>11</v>
      </c>
      <c r="E381" s="1025" t="s">
        <v>12</v>
      </c>
      <c r="F381" s="1025"/>
      <c r="G381" s="1026"/>
    </row>
    <row r="382" spans="1:7" ht="27" customHeight="1" x14ac:dyDescent="0.2">
      <c r="A382" s="1010" t="s">
        <v>17</v>
      </c>
      <c r="B382" s="1011"/>
      <c r="C382" s="1011"/>
      <c r="D382" s="121"/>
      <c r="E382" s="1027"/>
      <c r="F382" s="1028"/>
      <c r="G382" s="1029"/>
    </row>
    <row r="383" spans="1:7" x14ac:dyDescent="0.2">
      <c r="A383" s="1010" t="s">
        <v>38</v>
      </c>
      <c r="B383" s="1011"/>
      <c r="C383" s="1011"/>
      <c r="D383" s="710" t="s">
        <v>147</v>
      </c>
      <c r="E383" s="1012" t="s">
        <v>142</v>
      </c>
      <c r="F383" s="1012"/>
      <c r="G383" s="1013"/>
    </row>
    <row r="384" spans="1:7" ht="13.5" thickBot="1" x14ac:dyDescent="0.25">
      <c r="A384" s="1014" t="s">
        <v>39</v>
      </c>
      <c r="B384" s="1015"/>
      <c r="C384" s="1015"/>
      <c r="D384" s="125" t="s">
        <v>148</v>
      </c>
      <c r="E384" s="1016" t="s">
        <v>0</v>
      </c>
      <c r="F384" s="1017"/>
      <c r="G384" s="1018"/>
    </row>
    <row r="385" spans="1:8" ht="16.5" x14ac:dyDescent="0.2">
      <c r="A385" s="997" t="s">
        <v>29</v>
      </c>
      <c r="B385" s="998"/>
      <c r="C385" s="998"/>
      <c r="D385" s="998"/>
      <c r="E385" s="998"/>
      <c r="F385" s="998"/>
      <c r="G385" s="999"/>
      <c r="H385" s="713">
        <v>9</v>
      </c>
    </row>
    <row r="386" spans="1:8" x14ac:dyDescent="0.2">
      <c r="A386" s="1000" t="s">
        <v>48</v>
      </c>
      <c r="B386" s="1001"/>
      <c r="C386" s="1001"/>
      <c r="D386" s="1001"/>
      <c r="E386" s="1001"/>
      <c r="F386" s="1001"/>
      <c r="G386" s="1002"/>
      <c r="H386" s="804"/>
    </row>
    <row r="387" spans="1:8" x14ac:dyDescent="0.2">
      <c r="A387" s="1003" t="s">
        <v>49</v>
      </c>
      <c r="B387" s="1004"/>
      <c r="C387" s="1004"/>
      <c r="D387" s="1004"/>
      <c r="E387" s="1004"/>
      <c r="F387" s="1004"/>
      <c r="G387" s="1005"/>
      <c r="H387" s="804"/>
    </row>
    <row r="388" spans="1:8" x14ac:dyDescent="0.2">
      <c r="A388" s="674"/>
      <c r="B388" s="675"/>
      <c r="C388" s="676"/>
      <c r="D388" s="677"/>
      <c r="E388" s="675"/>
      <c r="F388" s="678"/>
      <c r="G388" s="737" t="s">
        <v>3512</v>
      </c>
    </row>
    <row r="389" spans="1:8" x14ac:dyDescent="0.2">
      <c r="A389" s="680" t="s">
        <v>1</v>
      </c>
      <c r="B389" s="681"/>
      <c r="C389" s="682" t="s">
        <v>7</v>
      </c>
      <c r="D389" s="681"/>
      <c r="E389" s="683" t="s">
        <v>3558</v>
      </c>
      <c r="F389" s="684"/>
      <c r="G389" s="685" t="s">
        <v>3557</v>
      </c>
    </row>
    <row r="390" spans="1:8" x14ac:dyDescent="0.2">
      <c r="A390" s="686" t="s">
        <v>8</v>
      </c>
      <c r="B390" s="687"/>
      <c r="C390" s="688"/>
      <c r="D390" s="673"/>
      <c r="E390" s="1006"/>
      <c r="F390" s="1007"/>
      <c r="G390" s="689"/>
    </row>
    <row r="391" spans="1:8" x14ac:dyDescent="0.2">
      <c r="A391" s="690" t="s">
        <v>37</v>
      </c>
      <c r="B391" s="261"/>
      <c r="C391" s="261"/>
      <c r="D391" s="261"/>
      <c r="E391" s="691" t="s">
        <v>46</v>
      </c>
      <c r="F391" s="692"/>
      <c r="G391" s="689" t="s">
        <v>50</v>
      </c>
    </row>
    <row r="392" spans="1:8" x14ac:dyDescent="0.2">
      <c r="A392" s="674"/>
      <c r="B392" s="675"/>
      <c r="C392" s="676"/>
      <c r="D392" s="676"/>
      <c r="E392" s="1008"/>
      <c r="F392" s="1009"/>
      <c r="G392" s="693"/>
    </row>
    <row r="393" spans="1:8" ht="26.25" thickBot="1" x14ac:dyDescent="0.25">
      <c r="A393" s="694" t="s">
        <v>47</v>
      </c>
      <c r="B393" s="110" t="s">
        <v>23</v>
      </c>
      <c r="C393" s="110" t="s">
        <v>34</v>
      </c>
      <c r="D393" s="110" t="s">
        <v>53</v>
      </c>
      <c r="E393" s="114" t="s">
        <v>54</v>
      </c>
      <c r="F393" s="111" t="s">
        <v>55</v>
      </c>
      <c r="G393" s="112" t="s">
        <v>35</v>
      </c>
    </row>
    <row r="394" spans="1:8" ht="13.5" thickTop="1" x14ac:dyDescent="0.2">
      <c r="A394" s="695"/>
      <c r="B394" s="698"/>
      <c r="C394" s="135"/>
      <c r="D394" s="851" t="s">
        <v>160</v>
      </c>
      <c r="E394" s="158"/>
      <c r="F394" s="163"/>
      <c r="G394" s="728">
        <f>G378</f>
        <v>546075.5</v>
      </c>
    </row>
    <row r="395" spans="1:8" x14ac:dyDescent="0.2">
      <c r="A395" s="695">
        <v>94</v>
      </c>
      <c r="B395" s="105"/>
      <c r="C395" s="135" t="s">
        <v>177</v>
      </c>
      <c r="D395" s="259" t="s">
        <v>3293</v>
      </c>
      <c r="E395" s="108">
        <v>15</v>
      </c>
      <c r="F395" s="163">
        <v>390</v>
      </c>
      <c r="G395" s="697">
        <f>F395*E395</f>
        <v>5850</v>
      </c>
    </row>
    <row r="396" spans="1:8" x14ac:dyDescent="0.2">
      <c r="A396" s="695">
        <v>95</v>
      </c>
      <c r="B396" s="786"/>
      <c r="C396" s="831" t="s">
        <v>178</v>
      </c>
      <c r="D396" s="832" t="s">
        <v>3437</v>
      </c>
      <c r="E396" s="779">
        <v>30</v>
      </c>
      <c r="F396" s="780">
        <v>78</v>
      </c>
      <c r="G396" s="697">
        <f t="shared" ref="G396:G425" si="7">F396*E396</f>
        <v>2340</v>
      </c>
    </row>
    <row r="397" spans="1:8" x14ac:dyDescent="0.2">
      <c r="A397" s="695">
        <v>96</v>
      </c>
      <c r="B397" s="786"/>
      <c r="C397" s="831" t="s">
        <v>366</v>
      </c>
      <c r="D397" s="832" t="s">
        <v>3349</v>
      </c>
      <c r="E397" s="779">
        <v>3</v>
      </c>
      <c r="F397" s="780">
        <v>4550</v>
      </c>
      <c r="G397" s="697">
        <f t="shared" si="7"/>
        <v>13650</v>
      </c>
    </row>
    <row r="398" spans="1:8" x14ac:dyDescent="0.2">
      <c r="A398" s="695"/>
      <c r="B398" s="786"/>
      <c r="C398" s="831"/>
      <c r="D398" s="832" t="s">
        <v>3350</v>
      </c>
      <c r="E398" s="779"/>
      <c r="F398" s="780"/>
      <c r="G398" s="697"/>
    </row>
    <row r="399" spans="1:8" x14ac:dyDescent="0.2">
      <c r="A399" s="695">
        <v>97</v>
      </c>
      <c r="B399" s="105"/>
      <c r="C399" s="135" t="s">
        <v>177</v>
      </c>
      <c r="D399" s="259" t="s">
        <v>3438</v>
      </c>
      <c r="E399" s="108">
        <v>3</v>
      </c>
      <c r="F399" s="163">
        <v>2300</v>
      </c>
      <c r="G399" s="697">
        <f t="shared" si="7"/>
        <v>6900</v>
      </c>
    </row>
    <row r="400" spans="1:8" x14ac:dyDescent="0.2">
      <c r="A400" s="695">
        <v>98</v>
      </c>
      <c r="B400" s="786"/>
      <c r="C400" s="831" t="s">
        <v>375</v>
      </c>
      <c r="D400" s="832" t="s">
        <v>3439</v>
      </c>
      <c r="E400" s="779">
        <v>225</v>
      </c>
      <c r="F400" s="780">
        <v>275</v>
      </c>
      <c r="G400" s="697">
        <f t="shared" si="7"/>
        <v>61875</v>
      </c>
    </row>
    <row r="401" spans="1:8" x14ac:dyDescent="0.2">
      <c r="A401" s="695">
        <v>99</v>
      </c>
      <c r="B401" s="105"/>
      <c r="C401" s="135" t="s">
        <v>177</v>
      </c>
      <c r="D401" s="259" t="s">
        <v>3497</v>
      </c>
      <c r="E401" s="108">
        <v>6</v>
      </c>
      <c r="F401" s="150">
        <v>120</v>
      </c>
      <c r="G401" s="697">
        <f t="shared" si="7"/>
        <v>720</v>
      </c>
    </row>
    <row r="402" spans="1:8" x14ac:dyDescent="0.2">
      <c r="A402" s="695"/>
      <c r="B402" s="786"/>
      <c r="C402" s="831"/>
      <c r="D402" s="832" t="s">
        <v>3002</v>
      </c>
      <c r="E402" s="779"/>
      <c r="F402" s="812"/>
      <c r="G402" s="697"/>
    </row>
    <row r="403" spans="1:8" x14ac:dyDescent="0.2">
      <c r="A403" s="695">
        <v>100</v>
      </c>
      <c r="B403" s="105"/>
      <c r="C403" s="135" t="s">
        <v>177</v>
      </c>
      <c r="D403" s="252" t="s">
        <v>3440</v>
      </c>
      <c r="E403" s="108">
        <v>9</v>
      </c>
      <c r="F403" s="150">
        <v>375</v>
      </c>
      <c r="G403" s="697">
        <f t="shared" si="7"/>
        <v>3375</v>
      </c>
      <c r="H403" s="781"/>
    </row>
    <row r="404" spans="1:8" x14ac:dyDescent="0.2">
      <c r="A404" s="695">
        <v>101</v>
      </c>
      <c r="B404" s="698"/>
      <c r="C404" s="135" t="s">
        <v>177</v>
      </c>
      <c r="D404" s="252" t="s">
        <v>2961</v>
      </c>
      <c r="E404" s="131">
        <v>6</v>
      </c>
      <c r="F404" s="163">
        <v>246</v>
      </c>
      <c r="G404" s="697">
        <f t="shared" si="7"/>
        <v>1476</v>
      </c>
      <c r="H404" s="830"/>
    </row>
    <row r="405" spans="1:8" x14ac:dyDescent="0.2">
      <c r="A405" s="695">
        <v>102</v>
      </c>
      <c r="B405" s="106"/>
      <c r="C405" s="135" t="s">
        <v>177</v>
      </c>
      <c r="D405" s="259" t="s">
        <v>3298</v>
      </c>
      <c r="E405" s="131">
        <v>3</v>
      </c>
      <c r="F405" s="163">
        <v>950</v>
      </c>
      <c r="G405" s="697">
        <f t="shared" si="7"/>
        <v>2850</v>
      </c>
      <c r="H405" s="781"/>
    </row>
    <row r="406" spans="1:8" x14ac:dyDescent="0.2">
      <c r="A406" s="695">
        <v>103</v>
      </c>
      <c r="B406" s="105"/>
      <c r="C406" s="135" t="s">
        <v>177</v>
      </c>
      <c r="D406" s="259" t="s">
        <v>3441</v>
      </c>
      <c r="E406" s="108">
        <v>60</v>
      </c>
      <c r="F406" s="152">
        <v>125</v>
      </c>
      <c r="G406" s="697">
        <f t="shared" si="7"/>
        <v>7500</v>
      </c>
      <c r="H406" s="781"/>
    </row>
    <row r="407" spans="1:8" x14ac:dyDescent="0.2">
      <c r="A407" s="695">
        <v>104</v>
      </c>
      <c r="B407" s="700"/>
      <c r="C407" s="135" t="s">
        <v>177</v>
      </c>
      <c r="D407" s="259" t="s">
        <v>3297</v>
      </c>
      <c r="E407" s="108">
        <v>3</v>
      </c>
      <c r="F407" s="163">
        <v>975</v>
      </c>
      <c r="G407" s="697">
        <f t="shared" si="7"/>
        <v>2925</v>
      </c>
    </row>
    <row r="408" spans="1:8" x14ac:dyDescent="0.2">
      <c r="A408" s="695">
        <v>105</v>
      </c>
      <c r="B408" s="700"/>
      <c r="C408" s="135" t="s">
        <v>185</v>
      </c>
      <c r="D408" s="259" t="s">
        <v>3498</v>
      </c>
      <c r="E408" s="108">
        <v>36</v>
      </c>
      <c r="F408" s="163">
        <v>56</v>
      </c>
      <c r="G408" s="697">
        <f t="shared" si="7"/>
        <v>2016</v>
      </c>
    </row>
    <row r="409" spans="1:8" x14ac:dyDescent="0.2">
      <c r="A409" s="695"/>
      <c r="B409" s="806"/>
      <c r="C409" s="831"/>
      <c r="D409" s="832" t="s">
        <v>3499</v>
      </c>
      <c r="E409" s="779"/>
      <c r="F409" s="780"/>
      <c r="G409" s="697"/>
    </row>
    <row r="410" spans="1:8" x14ac:dyDescent="0.2">
      <c r="A410" s="695">
        <v>106</v>
      </c>
      <c r="B410" s="698"/>
      <c r="C410" s="135" t="s">
        <v>177</v>
      </c>
      <c r="D410" s="259" t="s">
        <v>2838</v>
      </c>
      <c r="E410" s="260">
        <v>30</v>
      </c>
      <c r="F410" s="163">
        <v>90</v>
      </c>
      <c r="G410" s="697">
        <f t="shared" si="7"/>
        <v>2700</v>
      </c>
    </row>
    <row r="411" spans="1:8" x14ac:dyDescent="0.2">
      <c r="A411" s="695">
        <v>107</v>
      </c>
      <c r="B411" s="776"/>
      <c r="C411" s="831" t="s">
        <v>366</v>
      </c>
      <c r="D411" s="832" t="s">
        <v>3442</v>
      </c>
      <c r="E411" s="833">
        <v>10</v>
      </c>
      <c r="F411" s="780">
        <v>575</v>
      </c>
      <c r="G411" s="697">
        <f t="shared" si="7"/>
        <v>5750</v>
      </c>
    </row>
    <row r="412" spans="1:8" x14ac:dyDescent="0.2">
      <c r="A412" s="695">
        <v>108</v>
      </c>
      <c r="B412" s="698"/>
      <c r="C412" s="135" t="s">
        <v>366</v>
      </c>
      <c r="D412" s="259" t="s">
        <v>3300</v>
      </c>
      <c r="E412" s="108">
        <v>10</v>
      </c>
      <c r="F412" s="163">
        <v>420</v>
      </c>
      <c r="G412" s="697">
        <f t="shared" si="7"/>
        <v>4200</v>
      </c>
    </row>
    <row r="413" spans="1:8" x14ac:dyDescent="0.2">
      <c r="A413" s="695">
        <v>109</v>
      </c>
      <c r="B413" s="106"/>
      <c r="C413" s="135" t="s">
        <v>375</v>
      </c>
      <c r="D413" s="259" t="s">
        <v>3500</v>
      </c>
      <c r="E413" s="131">
        <v>30</v>
      </c>
      <c r="F413" s="717">
        <v>295</v>
      </c>
      <c r="G413" s="697">
        <f t="shared" si="7"/>
        <v>8850</v>
      </c>
    </row>
    <row r="414" spans="1:8" x14ac:dyDescent="0.2">
      <c r="A414" s="695"/>
      <c r="B414" s="813"/>
      <c r="C414" s="831"/>
      <c r="D414" s="832" t="s">
        <v>3501</v>
      </c>
      <c r="E414" s="808"/>
      <c r="F414" s="814"/>
      <c r="G414" s="697"/>
    </row>
    <row r="415" spans="1:8" x14ac:dyDescent="0.2">
      <c r="A415" s="695">
        <v>110</v>
      </c>
      <c r="B415" s="105"/>
      <c r="C415" s="119" t="s">
        <v>177</v>
      </c>
      <c r="D415" s="383" t="s">
        <v>3443</v>
      </c>
      <c r="E415" s="716">
        <v>9</v>
      </c>
      <c r="F415" s="717">
        <v>1155</v>
      </c>
      <c r="G415" s="697">
        <f t="shared" si="7"/>
        <v>10395</v>
      </c>
    </row>
    <row r="416" spans="1:8" x14ac:dyDescent="0.2">
      <c r="A416" s="695">
        <v>111</v>
      </c>
      <c r="B416" s="105"/>
      <c r="C416" s="385" t="s">
        <v>177</v>
      </c>
      <c r="D416" s="136" t="s">
        <v>3444</v>
      </c>
      <c r="E416" s="131">
        <v>6</v>
      </c>
      <c r="F416" s="717">
        <v>295</v>
      </c>
      <c r="G416" s="697">
        <f t="shared" si="7"/>
        <v>1770</v>
      </c>
    </row>
    <row r="417" spans="1:7" x14ac:dyDescent="0.2">
      <c r="A417" s="695">
        <v>112</v>
      </c>
      <c r="B417" s="105"/>
      <c r="C417" s="119" t="s">
        <v>3448</v>
      </c>
      <c r="D417" s="136" t="s">
        <v>3445</v>
      </c>
      <c r="E417" s="131">
        <v>9</v>
      </c>
      <c r="F417" s="717">
        <v>875</v>
      </c>
      <c r="G417" s="697">
        <f t="shared" si="7"/>
        <v>7875</v>
      </c>
    </row>
    <row r="418" spans="1:7" x14ac:dyDescent="0.2">
      <c r="A418" s="695">
        <v>113</v>
      </c>
      <c r="B418" s="105"/>
      <c r="C418" s="119" t="s">
        <v>177</v>
      </c>
      <c r="D418" s="136" t="s">
        <v>3446</v>
      </c>
      <c r="E418" s="131">
        <v>15</v>
      </c>
      <c r="F418" s="717">
        <v>585</v>
      </c>
      <c r="G418" s="697">
        <f t="shared" si="7"/>
        <v>8775</v>
      </c>
    </row>
    <row r="419" spans="1:7" x14ac:dyDescent="0.2">
      <c r="A419" s="695">
        <v>114</v>
      </c>
      <c r="B419" s="105"/>
      <c r="C419" s="119" t="s">
        <v>177</v>
      </c>
      <c r="D419" s="376" t="s">
        <v>3447</v>
      </c>
      <c r="E419" s="131">
        <v>15</v>
      </c>
      <c r="F419" s="717">
        <v>775</v>
      </c>
      <c r="G419" s="697">
        <f t="shared" si="7"/>
        <v>11625</v>
      </c>
    </row>
    <row r="420" spans="1:7" x14ac:dyDescent="0.2">
      <c r="A420" s="695">
        <v>115</v>
      </c>
      <c r="B420" s="786"/>
      <c r="C420" s="777" t="s">
        <v>177</v>
      </c>
      <c r="D420" s="787" t="s">
        <v>3502</v>
      </c>
      <c r="E420" s="808">
        <v>15</v>
      </c>
      <c r="F420" s="814">
        <v>630</v>
      </c>
      <c r="G420" s="697">
        <f t="shared" si="7"/>
        <v>9450</v>
      </c>
    </row>
    <row r="421" spans="1:7" x14ac:dyDescent="0.2">
      <c r="A421" s="695"/>
      <c r="B421" s="786"/>
      <c r="C421" s="777"/>
      <c r="D421" s="787" t="s">
        <v>2981</v>
      </c>
      <c r="E421" s="808"/>
      <c r="F421" s="814"/>
      <c r="G421" s="697"/>
    </row>
    <row r="422" spans="1:7" x14ac:dyDescent="0.2">
      <c r="A422" s="695">
        <v>116</v>
      </c>
      <c r="B422" s="698"/>
      <c r="C422" s="119" t="s">
        <v>153</v>
      </c>
      <c r="D422" s="136" t="s">
        <v>3449</v>
      </c>
      <c r="E422" s="131">
        <v>15</v>
      </c>
      <c r="F422" s="717">
        <v>135</v>
      </c>
      <c r="G422" s="697">
        <f t="shared" si="7"/>
        <v>2025</v>
      </c>
    </row>
    <row r="423" spans="1:7" x14ac:dyDescent="0.2">
      <c r="A423" s="695">
        <v>117</v>
      </c>
      <c r="B423" s="698"/>
      <c r="C423" s="119" t="s">
        <v>177</v>
      </c>
      <c r="D423" s="376" t="s">
        <v>3450</v>
      </c>
      <c r="E423" s="131">
        <v>3</v>
      </c>
      <c r="F423" s="717">
        <v>175</v>
      </c>
      <c r="G423" s="697">
        <f t="shared" si="7"/>
        <v>525</v>
      </c>
    </row>
    <row r="424" spans="1:7" x14ac:dyDescent="0.2">
      <c r="A424" s="695">
        <v>118</v>
      </c>
      <c r="B424" s="698"/>
      <c r="C424" s="119" t="s">
        <v>177</v>
      </c>
      <c r="D424" s="136" t="s">
        <v>3305</v>
      </c>
      <c r="E424" s="131">
        <v>15</v>
      </c>
      <c r="F424" s="717">
        <v>234</v>
      </c>
      <c r="G424" s="697">
        <f t="shared" si="7"/>
        <v>3510</v>
      </c>
    </row>
    <row r="425" spans="1:7" x14ac:dyDescent="0.2">
      <c r="A425" s="695">
        <v>119</v>
      </c>
      <c r="B425" s="698"/>
      <c r="C425" s="719" t="s">
        <v>177</v>
      </c>
      <c r="D425" s="259" t="s">
        <v>2840</v>
      </c>
      <c r="E425" s="204">
        <v>9</v>
      </c>
      <c r="F425" s="149">
        <v>360</v>
      </c>
      <c r="G425" s="697">
        <f t="shared" si="7"/>
        <v>3240</v>
      </c>
    </row>
    <row r="426" spans="1:7" ht="13.5" thickBot="1" x14ac:dyDescent="0.25">
      <c r="A426" s="702"/>
      <c r="B426" s="703"/>
      <c r="C426" s="704"/>
      <c r="D426" s="704"/>
      <c r="E426" s="703"/>
      <c r="F426" s="705" t="s">
        <v>158</v>
      </c>
      <c r="G426" s="706">
        <f>SUM(G394:G425)</f>
        <v>738242.5</v>
      </c>
    </row>
    <row r="427" spans="1:7" ht="13.5" thickTop="1" x14ac:dyDescent="0.2">
      <c r="A427" s="985" t="s">
        <v>188</v>
      </c>
      <c r="B427" s="1019"/>
      <c r="C427" s="1019"/>
      <c r="D427" s="1019"/>
      <c r="E427" s="1019"/>
      <c r="F427" s="1019"/>
      <c r="G427" s="1020"/>
    </row>
    <row r="428" spans="1:7" ht="13.5" thickBot="1" x14ac:dyDescent="0.25">
      <c r="A428" s="707"/>
      <c r="B428" s="708"/>
      <c r="C428" s="708"/>
      <c r="D428" s="709"/>
      <c r="E428" s="708"/>
      <c r="F428" s="198"/>
      <c r="G428" s="199"/>
    </row>
    <row r="429" spans="1:7" ht="13.5" thickTop="1" x14ac:dyDescent="0.2">
      <c r="A429" s="1023"/>
      <c r="B429" s="1024"/>
      <c r="C429" s="1024"/>
      <c r="D429" s="344" t="s">
        <v>11</v>
      </c>
      <c r="E429" s="1025" t="s">
        <v>12</v>
      </c>
      <c r="F429" s="1025"/>
      <c r="G429" s="1026"/>
    </row>
    <row r="430" spans="1:7" ht="27" customHeight="1" x14ac:dyDescent="0.2">
      <c r="A430" s="1010" t="s">
        <v>17</v>
      </c>
      <c r="B430" s="1011"/>
      <c r="C430" s="1011"/>
      <c r="D430" s="121"/>
      <c r="E430" s="1027"/>
      <c r="F430" s="1028"/>
      <c r="G430" s="1029"/>
    </row>
    <row r="431" spans="1:7" x14ac:dyDescent="0.2">
      <c r="A431" s="1010" t="s">
        <v>38</v>
      </c>
      <c r="B431" s="1011"/>
      <c r="C431" s="1011"/>
      <c r="D431" s="710" t="s">
        <v>147</v>
      </c>
      <c r="E431" s="1012" t="s">
        <v>142</v>
      </c>
      <c r="F431" s="1012"/>
      <c r="G431" s="1013"/>
    </row>
    <row r="432" spans="1:7" ht="13.5" thickBot="1" x14ac:dyDescent="0.25">
      <c r="A432" s="1014" t="s">
        <v>39</v>
      </c>
      <c r="B432" s="1015"/>
      <c r="C432" s="1015"/>
      <c r="D432" s="125" t="s">
        <v>148</v>
      </c>
      <c r="E432" s="1016" t="s">
        <v>0</v>
      </c>
      <c r="F432" s="1017"/>
      <c r="G432" s="1018"/>
    </row>
    <row r="433" spans="1:8" ht="16.5" x14ac:dyDescent="0.2">
      <c r="A433" s="997" t="s">
        <v>29</v>
      </c>
      <c r="B433" s="998"/>
      <c r="C433" s="998"/>
      <c r="D433" s="998"/>
      <c r="E433" s="998"/>
      <c r="F433" s="998"/>
      <c r="G433" s="999"/>
      <c r="H433" s="713">
        <v>10</v>
      </c>
    </row>
    <row r="434" spans="1:8" x14ac:dyDescent="0.2">
      <c r="A434" s="1000" t="s">
        <v>48</v>
      </c>
      <c r="B434" s="1001"/>
      <c r="C434" s="1001"/>
      <c r="D434" s="1001"/>
      <c r="E434" s="1001"/>
      <c r="F434" s="1001"/>
      <c r="G434" s="1002"/>
      <c r="H434" s="804"/>
    </row>
    <row r="435" spans="1:8" x14ac:dyDescent="0.2">
      <c r="A435" s="1003" t="s">
        <v>49</v>
      </c>
      <c r="B435" s="1004"/>
      <c r="C435" s="1004"/>
      <c r="D435" s="1004"/>
      <c r="E435" s="1004"/>
      <c r="F435" s="1004"/>
      <c r="G435" s="1005"/>
      <c r="H435" s="804"/>
    </row>
    <row r="436" spans="1:8" x14ac:dyDescent="0.2">
      <c r="A436" s="674"/>
      <c r="B436" s="675"/>
      <c r="C436" s="676"/>
      <c r="D436" s="677"/>
      <c r="E436" s="675"/>
      <c r="F436" s="678"/>
      <c r="G436" s="737" t="s">
        <v>3511</v>
      </c>
    </row>
    <row r="437" spans="1:8" x14ac:dyDescent="0.2">
      <c r="A437" s="680" t="s">
        <v>1</v>
      </c>
      <c r="B437" s="681"/>
      <c r="C437" s="682" t="s">
        <v>7</v>
      </c>
      <c r="D437" s="681"/>
      <c r="E437" s="683" t="s">
        <v>3558</v>
      </c>
      <c r="F437" s="684"/>
      <c r="G437" s="685" t="s">
        <v>3557</v>
      </c>
    </row>
    <row r="438" spans="1:8" x14ac:dyDescent="0.2">
      <c r="A438" s="686" t="s">
        <v>8</v>
      </c>
      <c r="B438" s="687"/>
      <c r="C438" s="688"/>
      <c r="D438" s="673"/>
      <c r="E438" s="1006"/>
      <c r="F438" s="1007"/>
      <c r="G438" s="689"/>
    </row>
    <row r="439" spans="1:8" x14ac:dyDescent="0.2">
      <c r="A439" s="690" t="s">
        <v>37</v>
      </c>
      <c r="B439" s="261"/>
      <c r="C439" s="261"/>
      <c r="D439" s="261"/>
      <c r="E439" s="691" t="s">
        <v>46</v>
      </c>
      <c r="F439" s="692"/>
      <c r="G439" s="689" t="s">
        <v>50</v>
      </c>
    </row>
    <row r="440" spans="1:8" x14ac:dyDescent="0.2">
      <c r="A440" s="674"/>
      <c r="B440" s="675"/>
      <c r="C440" s="676"/>
      <c r="D440" s="676"/>
      <c r="E440" s="1008"/>
      <c r="F440" s="1009"/>
      <c r="G440" s="693"/>
    </row>
    <row r="441" spans="1:8" ht="26.25" thickBot="1" x14ac:dyDescent="0.25">
      <c r="A441" s="694" t="s">
        <v>47</v>
      </c>
      <c r="B441" s="110" t="s">
        <v>23</v>
      </c>
      <c r="C441" s="110" t="s">
        <v>34</v>
      </c>
      <c r="D441" s="110" t="s">
        <v>53</v>
      </c>
      <c r="E441" s="114" t="s">
        <v>54</v>
      </c>
      <c r="F441" s="111" t="s">
        <v>55</v>
      </c>
      <c r="G441" s="112" t="s">
        <v>35</v>
      </c>
    </row>
    <row r="442" spans="1:8" ht="13.5" thickTop="1" x14ac:dyDescent="0.2">
      <c r="A442" s="695"/>
      <c r="B442" s="698"/>
      <c r="C442" s="135"/>
      <c r="D442" s="851" t="s">
        <v>160</v>
      </c>
      <c r="E442" s="158"/>
      <c r="F442" s="163"/>
      <c r="G442" s="728">
        <f>G426</f>
        <v>738242.5</v>
      </c>
    </row>
    <row r="443" spans="1:8" x14ac:dyDescent="0.2">
      <c r="A443" s="695">
        <v>120</v>
      </c>
      <c r="B443" s="698"/>
      <c r="C443" s="135" t="s">
        <v>177</v>
      </c>
      <c r="D443" s="259" t="s">
        <v>3451</v>
      </c>
      <c r="E443" s="108">
        <v>9</v>
      </c>
      <c r="F443" s="163">
        <v>480</v>
      </c>
      <c r="G443" s="697">
        <f>F443*E443</f>
        <v>4320</v>
      </c>
    </row>
    <row r="444" spans="1:8" x14ac:dyDescent="0.2">
      <c r="A444" s="695">
        <v>121</v>
      </c>
      <c r="B444" s="105"/>
      <c r="C444" s="135" t="s">
        <v>177</v>
      </c>
      <c r="D444" s="259" t="s">
        <v>3503</v>
      </c>
      <c r="E444" s="108">
        <v>3</v>
      </c>
      <c r="F444" s="163">
        <v>2825</v>
      </c>
      <c r="G444" s="697">
        <f t="shared" ref="G444:G461" si="8">F444*E444</f>
        <v>8475</v>
      </c>
    </row>
    <row r="445" spans="1:8" x14ac:dyDescent="0.2">
      <c r="A445" s="695"/>
      <c r="B445" s="786"/>
      <c r="C445" s="831"/>
      <c r="D445" s="832" t="s">
        <v>3369</v>
      </c>
      <c r="E445" s="779"/>
      <c r="F445" s="780"/>
      <c r="G445" s="697"/>
    </row>
    <row r="446" spans="1:8" x14ac:dyDescent="0.2">
      <c r="A446" s="695">
        <v>122</v>
      </c>
      <c r="B446" s="786"/>
      <c r="C446" s="831" t="s">
        <v>177</v>
      </c>
      <c r="D446" s="832" t="s">
        <v>3504</v>
      </c>
      <c r="E446" s="779">
        <v>9</v>
      </c>
      <c r="F446" s="780">
        <v>2420</v>
      </c>
      <c r="G446" s="697">
        <f t="shared" si="8"/>
        <v>21780</v>
      </c>
    </row>
    <row r="447" spans="1:8" x14ac:dyDescent="0.2">
      <c r="A447" s="695"/>
      <c r="B447" s="786"/>
      <c r="C447" s="831"/>
      <c r="D447" s="832" t="s">
        <v>3505</v>
      </c>
      <c r="E447" s="779"/>
      <c r="F447" s="780"/>
      <c r="G447" s="697"/>
    </row>
    <row r="448" spans="1:8" x14ac:dyDescent="0.2">
      <c r="A448" s="695">
        <v>123</v>
      </c>
      <c r="B448" s="786"/>
      <c r="C448" s="831" t="s">
        <v>177</v>
      </c>
      <c r="D448" s="832" t="s">
        <v>3506</v>
      </c>
      <c r="E448" s="779">
        <v>15</v>
      </c>
      <c r="F448" s="780">
        <v>5400</v>
      </c>
      <c r="G448" s="697">
        <f t="shared" si="8"/>
        <v>81000</v>
      </c>
    </row>
    <row r="449" spans="1:8" x14ac:dyDescent="0.2">
      <c r="A449" s="695"/>
      <c r="B449" s="786"/>
      <c r="C449" s="831"/>
      <c r="D449" s="832" t="s">
        <v>3014</v>
      </c>
      <c r="E449" s="779"/>
      <c r="F449" s="780"/>
      <c r="G449" s="697"/>
    </row>
    <row r="450" spans="1:8" x14ac:dyDescent="0.2">
      <c r="A450" s="695">
        <v>124</v>
      </c>
      <c r="B450" s="105"/>
      <c r="C450" s="135" t="s">
        <v>177</v>
      </c>
      <c r="D450" s="259" t="s">
        <v>3452</v>
      </c>
      <c r="E450" s="108">
        <v>24</v>
      </c>
      <c r="F450" s="163">
        <v>1750</v>
      </c>
      <c r="G450" s="697">
        <f t="shared" si="8"/>
        <v>42000</v>
      </c>
    </row>
    <row r="451" spans="1:8" x14ac:dyDescent="0.2">
      <c r="A451" s="695">
        <v>125</v>
      </c>
      <c r="B451" s="786"/>
      <c r="C451" s="135" t="s">
        <v>177</v>
      </c>
      <c r="D451" s="832" t="s">
        <v>3507</v>
      </c>
      <c r="E451" s="779">
        <v>8</v>
      </c>
      <c r="F451" s="780">
        <v>775</v>
      </c>
      <c r="G451" s="697">
        <f t="shared" si="8"/>
        <v>6200</v>
      </c>
      <c r="H451" s="779">
        <v>9</v>
      </c>
    </row>
    <row r="452" spans="1:8" x14ac:dyDescent="0.2">
      <c r="A452" s="695"/>
      <c r="B452" s="786"/>
      <c r="C452" s="831"/>
      <c r="D452" s="832" t="s">
        <v>2865</v>
      </c>
      <c r="E452" s="779"/>
      <c r="F452" s="780"/>
      <c r="G452" s="697"/>
    </row>
    <row r="453" spans="1:8" x14ac:dyDescent="0.2">
      <c r="A453" s="695">
        <v>126</v>
      </c>
      <c r="B453" s="105"/>
      <c r="C453" s="135" t="s">
        <v>177</v>
      </c>
      <c r="D453" s="259" t="s">
        <v>3453</v>
      </c>
      <c r="E453" s="108">
        <v>3</v>
      </c>
      <c r="F453" s="150">
        <v>550</v>
      </c>
      <c r="G453" s="697">
        <f t="shared" si="8"/>
        <v>1650</v>
      </c>
    </row>
    <row r="454" spans="1:8" x14ac:dyDescent="0.2">
      <c r="A454" s="695">
        <v>127</v>
      </c>
      <c r="B454" s="105"/>
      <c r="C454" s="135" t="s">
        <v>177</v>
      </c>
      <c r="D454" s="252" t="s">
        <v>3306</v>
      </c>
      <c r="E454" s="108">
        <v>6</v>
      </c>
      <c r="F454" s="150">
        <v>1300</v>
      </c>
      <c r="G454" s="697">
        <f t="shared" si="8"/>
        <v>7800</v>
      </c>
      <c r="H454" s="781"/>
    </row>
    <row r="455" spans="1:8" x14ac:dyDescent="0.2">
      <c r="A455" s="695">
        <v>128</v>
      </c>
      <c r="B455" s="698"/>
      <c r="C455" s="135" t="s">
        <v>177</v>
      </c>
      <c r="D455" s="252" t="s">
        <v>2841</v>
      </c>
      <c r="E455" s="131">
        <v>3</v>
      </c>
      <c r="F455" s="163">
        <v>900</v>
      </c>
      <c r="G455" s="697">
        <f t="shared" si="8"/>
        <v>2700</v>
      </c>
      <c r="H455" s="830"/>
    </row>
    <row r="456" spans="1:8" x14ac:dyDescent="0.2">
      <c r="A456" s="695">
        <v>129</v>
      </c>
      <c r="B456" s="106"/>
      <c r="C456" s="135" t="s">
        <v>177</v>
      </c>
      <c r="D456" s="259" t="s">
        <v>3454</v>
      </c>
      <c r="E456" s="131">
        <v>6</v>
      </c>
      <c r="F456" s="163">
        <v>1150</v>
      </c>
      <c r="G456" s="697">
        <f t="shared" si="8"/>
        <v>6900</v>
      </c>
      <c r="H456" s="781"/>
    </row>
    <row r="457" spans="1:8" x14ac:dyDescent="0.2">
      <c r="A457" s="695">
        <v>130</v>
      </c>
      <c r="B457" s="105"/>
      <c r="C457" s="135" t="s">
        <v>177</v>
      </c>
      <c r="D457" s="259" t="s">
        <v>3508</v>
      </c>
      <c r="E457" s="108">
        <v>9</v>
      </c>
      <c r="F457" s="152">
        <v>550</v>
      </c>
      <c r="G457" s="697">
        <f t="shared" si="8"/>
        <v>4950</v>
      </c>
      <c r="H457" s="781"/>
    </row>
    <row r="458" spans="1:8" x14ac:dyDescent="0.2">
      <c r="A458" s="695"/>
      <c r="B458" s="786"/>
      <c r="C458" s="831"/>
      <c r="D458" s="832" t="s">
        <v>2990</v>
      </c>
      <c r="E458" s="779"/>
      <c r="F458" s="847"/>
      <c r="G458" s="697"/>
    </row>
    <row r="459" spans="1:8" x14ac:dyDescent="0.2">
      <c r="A459" s="695">
        <v>131</v>
      </c>
      <c r="B459" s="700"/>
      <c r="C459" s="135" t="s">
        <v>177</v>
      </c>
      <c r="D459" s="259" t="s">
        <v>3509</v>
      </c>
      <c r="E459" s="108">
        <v>6</v>
      </c>
      <c r="F459" s="163">
        <v>1350</v>
      </c>
      <c r="G459" s="697">
        <f t="shared" si="8"/>
        <v>8100</v>
      </c>
    </row>
    <row r="460" spans="1:8" x14ac:dyDescent="0.2">
      <c r="A460" s="695"/>
      <c r="B460" s="806"/>
      <c r="C460" s="831"/>
      <c r="D460" s="832" t="s">
        <v>3510</v>
      </c>
      <c r="E460" s="779"/>
      <c r="F460" s="780"/>
      <c r="G460" s="697"/>
    </row>
    <row r="461" spans="1:8" x14ac:dyDescent="0.2">
      <c r="A461" s="695">
        <v>132</v>
      </c>
      <c r="B461" s="700"/>
      <c r="C461" s="135" t="s">
        <v>185</v>
      </c>
      <c r="D461" s="259" t="s">
        <v>3455</v>
      </c>
      <c r="E461" s="108">
        <v>36</v>
      </c>
      <c r="F461" s="163">
        <v>47.5</v>
      </c>
      <c r="G461" s="697">
        <f t="shared" si="8"/>
        <v>1710</v>
      </c>
    </row>
    <row r="462" spans="1:8" x14ac:dyDescent="0.2">
      <c r="A462" s="695"/>
      <c r="B462" s="806"/>
      <c r="C462" s="719"/>
      <c r="D462" s="832"/>
      <c r="E462" s="855"/>
      <c r="F462" s="780"/>
      <c r="G462" s="697"/>
    </row>
    <row r="463" spans="1:8" x14ac:dyDescent="0.2">
      <c r="A463" s="695"/>
      <c r="B463" s="806"/>
      <c r="C463" s="719"/>
      <c r="D463" s="832"/>
      <c r="E463" s="855"/>
      <c r="F463" s="780"/>
      <c r="G463" s="697"/>
    </row>
    <row r="464" spans="1:8" x14ac:dyDescent="0.2">
      <c r="A464" s="695"/>
      <c r="B464" s="806"/>
      <c r="C464" s="719"/>
      <c r="D464" s="832"/>
      <c r="E464" s="855"/>
      <c r="F464" s="780"/>
      <c r="G464" s="697"/>
    </row>
    <row r="465" spans="1:7" x14ac:dyDescent="0.2">
      <c r="A465" s="695"/>
      <c r="B465" s="806"/>
      <c r="C465" s="719"/>
      <c r="D465" s="832"/>
      <c r="E465" s="855"/>
      <c r="F465" s="780"/>
      <c r="G465" s="697"/>
    </row>
    <row r="466" spans="1:7" x14ac:dyDescent="0.2">
      <c r="A466" s="695"/>
      <c r="B466" s="806"/>
      <c r="C466" s="719"/>
      <c r="D466" s="832"/>
      <c r="E466" s="855"/>
      <c r="F466" s="780"/>
      <c r="G466" s="697"/>
    </row>
    <row r="467" spans="1:7" x14ac:dyDescent="0.2">
      <c r="A467" s="695"/>
      <c r="B467" s="806"/>
      <c r="C467" s="719"/>
      <c r="D467" s="832"/>
      <c r="E467" s="855"/>
      <c r="F467" s="780"/>
      <c r="G467" s="697"/>
    </row>
    <row r="468" spans="1:7" x14ac:dyDescent="0.2">
      <c r="A468" s="695"/>
      <c r="B468" s="698"/>
      <c r="C468" s="719"/>
      <c r="D468" s="259"/>
      <c r="E468" s="204"/>
      <c r="F468" s="149"/>
      <c r="G468" s="697"/>
    </row>
    <row r="469" spans="1:7" x14ac:dyDescent="0.2">
      <c r="A469" s="695"/>
      <c r="B469" s="698"/>
      <c r="C469" s="119"/>
      <c r="D469" s="136"/>
      <c r="E469" s="131"/>
      <c r="F469" s="717"/>
      <c r="G469" s="697"/>
    </row>
    <row r="470" spans="1:7" x14ac:dyDescent="0.2">
      <c r="A470" s="695"/>
      <c r="B470" s="776"/>
      <c r="C470" s="777"/>
      <c r="D470" s="820"/>
      <c r="E470" s="808"/>
      <c r="F470" s="814"/>
      <c r="G470" s="697"/>
    </row>
    <row r="471" spans="1:7" x14ac:dyDescent="0.2">
      <c r="A471" s="695"/>
      <c r="B471" s="698"/>
      <c r="C471" s="119"/>
      <c r="D471" s="136"/>
      <c r="E471" s="131"/>
      <c r="F471" s="717"/>
      <c r="G471" s="697"/>
    </row>
    <row r="472" spans="1:7" x14ac:dyDescent="0.2">
      <c r="A472" s="695"/>
      <c r="B472" s="698"/>
      <c r="C472" s="119"/>
      <c r="D472" s="136"/>
      <c r="E472" s="131"/>
      <c r="F472" s="717"/>
      <c r="G472" s="697"/>
    </row>
    <row r="473" spans="1:7" x14ac:dyDescent="0.2">
      <c r="A473" s="695"/>
      <c r="B473" s="698"/>
      <c r="C473" s="119"/>
      <c r="D473" s="144"/>
      <c r="E473" s="108"/>
      <c r="F473" s="149"/>
      <c r="G473" s="697"/>
    </row>
    <row r="474" spans="1:7" ht="13.5" thickBot="1" x14ac:dyDescent="0.25">
      <c r="A474" s="702"/>
      <c r="B474" s="703"/>
      <c r="C474" s="704"/>
      <c r="D474" s="704"/>
      <c r="E474" s="703"/>
      <c r="F474" s="705" t="s">
        <v>15</v>
      </c>
      <c r="G474" s="706">
        <f>SUM(G442:G473)</f>
        <v>935827.5</v>
      </c>
    </row>
    <row r="475" spans="1:7" ht="13.5" thickTop="1" x14ac:dyDescent="0.2">
      <c r="A475" s="985" t="s">
        <v>188</v>
      </c>
      <c r="B475" s="1019"/>
      <c r="C475" s="1019"/>
      <c r="D475" s="1019"/>
      <c r="E475" s="1019"/>
      <c r="F475" s="1019"/>
      <c r="G475" s="1020"/>
    </row>
    <row r="476" spans="1:7" ht="13.5" thickBot="1" x14ac:dyDescent="0.25">
      <c r="A476" s="707"/>
      <c r="B476" s="708"/>
      <c r="C476" s="708"/>
      <c r="D476" s="709"/>
      <c r="E476" s="708"/>
      <c r="F476" s="198"/>
      <c r="G476" s="199"/>
    </row>
    <row r="477" spans="1:7" ht="13.5" thickTop="1" x14ac:dyDescent="0.2">
      <c r="A477" s="1023"/>
      <c r="B477" s="1024"/>
      <c r="C477" s="1024"/>
      <c r="D477" s="344" t="s">
        <v>11</v>
      </c>
      <c r="E477" s="1025" t="s">
        <v>12</v>
      </c>
      <c r="F477" s="1025"/>
      <c r="G477" s="1026"/>
    </row>
    <row r="478" spans="1:7" ht="27" customHeight="1" x14ac:dyDescent="0.2">
      <c r="A478" s="1010" t="s">
        <v>17</v>
      </c>
      <c r="B478" s="1011"/>
      <c r="C478" s="1011"/>
      <c r="D478" s="121"/>
      <c r="E478" s="1027"/>
      <c r="F478" s="1028"/>
      <c r="G478" s="1029"/>
    </row>
    <row r="479" spans="1:7" x14ac:dyDescent="0.2">
      <c r="A479" s="1010" t="s">
        <v>38</v>
      </c>
      <c r="B479" s="1011"/>
      <c r="C479" s="1011"/>
      <c r="D479" s="710" t="s">
        <v>147</v>
      </c>
      <c r="E479" s="1012" t="s">
        <v>142</v>
      </c>
      <c r="F479" s="1012"/>
      <c r="G479" s="1013"/>
    </row>
    <row r="480" spans="1:7" ht="13.5" thickBot="1" x14ac:dyDescent="0.25">
      <c r="A480" s="1014" t="s">
        <v>39</v>
      </c>
      <c r="B480" s="1015"/>
      <c r="C480" s="1015"/>
      <c r="D480" s="125" t="s">
        <v>148</v>
      </c>
      <c r="E480" s="1016" t="s">
        <v>0</v>
      </c>
      <c r="F480" s="1017"/>
      <c r="G480" s="1018"/>
    </row>
    <row r="481" spans="1:9" ht="16.5" x14ac:dyDescent="0.2">
      <c r="A481" s="997" t="s">
        <v>29</v>
      </c>
      <c r="B481" s="998"/>
      <c r="C481" s="998"/>
      <c r="D481" s="998"/>
      <c r="E481" s="998"/>
      <c r="F481" s="998"/>
      <c r="G481" s="999"/>
      <c r="H481" s="713">
        <v>11</v>
      </c>
    </row>
    <row r="482" spans="1:9" x14ac:dyDescent="0.2">
      <c r="A482" s="1000" t="s">
        <v>48</v>
      </c>
      <c r="B482" s="1001"/>
      <c r="C482" s="1001"/>
      <c r="D482" s="1001"/>
      <c r="E482" s="1001"/>
      <c r="F482" s="1001"/>
      <c r="G482" s="1002"/>
      <c r="H482" s="804" t="s">
        <v>3524</v>
      </c>
      <c r="I482" s="804" t="s">
        <v>3536</v>
      </c>
    </row>
    <row r="483" spans="1:9" x14ac:dyDescent="0.2">
      <c r="A483" s="1003" t="s">
        <v>49</v>
      </c>
      <c r="B483" s="1004"/>
      <c r="C483" s="1004"/>
      <c r="D483" s="1004"/>
      <c r="E483" s="1004"/>
      <c r="F483" s="1004"/>
      <c r="G483" s="1005"/>
      <c r="H483" s="804"/>
    </row>
    <row r="484" spans="1:9" x14ac:dyDescent="0.2">
      <c r="A484" s="674"/>
      <c r="B484" s="675"/>
      <c r="C484" s="676"/>
      <c r="D484" s="677"/>
      <c r="E484" s="675"/>
      <c r="F484" s="678"/>
      <c r="G484" s="679" t="s">
        <v>20</v>
      </c>
    </row>
    <row r="485" spans="1:9" x14ac:dyDescent="0.2">
      <c r="A485" s="680" t="s">
        <v>1</v>
      </c>
      <c r="B485" s="681"/>
      <c r="C485" s="682" t="s">
        <v>7</v>
      </c>
      <c r="D485" s="681"/>
      <c r="E485" s="683" t="s">
        <v>3550</v>
      </c>
      <c r="F485" s="684"/>
      <c r="G485" s="685" t="s">
        <v>3537</v>
      </c>
    </row>
    <row r="486" spans="1:9" x14ac:dyDescent="0.2">
      <c r="A486" s="686" t="s">
        <v>8</v>
      </c>
      <c r="B486" s="687"/>
      <c r="C486" s="688"/>
      <c r="D486" s="673"/>
      <c r="E486" s="1006"/>
      <c r="F486" s="1007"/>
      <c r="G486" s="689"/>
    </row>
    <row r="487" spans="1:9" x14ac:dyDescent="0.2">
      <c r="A487" s="690" t="s">
        <v>37</v>
      </c>
      <c r="B487" s="261"/>
      <c r="C487" s="261"/>
      <c r="D487" s="261"/>
      <c r="E487" s="691" t="s">
        <v>46</v>
      </c>
      <c r="F487" s="692"/>
      <c r="G487" s="689" t="s">
        <v>50</v>
      </c>
    </row>
    <row r="488" spans="1:9" x14ac:dyDescent="0.2">
      <c r="A488" s="674"/>
      <c r="B488" s="675"/>
      <c r="C488" s="676"/>
      <c r="D488" s="676"/>
      <c r="E488" s="1008"/>
      <c r="F488" s="1009"/>
      <c r="G488" s="693"/>
    </row>
    <row r="489" spans="1:9" ht="26.25" thickBot="1" x14ac:dyDescent="0.25">
      <c r="A489" s="694" t="s">
        <v>47</v>
      </c>
      <c r="B489" s="110" t="s">
        <v>23</v>
      </c>
      <c r="C489" s="110" t="s">
        <v>34</v>
      </c>
      <c r="D489" s="110" t="s">
        <v>53</v>
      </c>
      <c r="E489" s="114" t="s">
        <v>54</v>
      </c>
      <c r="F489" s="111" t="s">
        <v>55</v>
      </c>
      <c r="G489" s="112" t="s">
        <v>35</v>
      </c>
    </row>
    <row r="490" spans="1:9" ht="13.5" thickTop="1" x14ac:dyDescent="0.2">
      <c r="A490" s="695">
        <v>1</v>
      </c>
      <c r="B490" s="698"/>
      <c r="C490" s="135" t="s">
        <v>3525</v>
      </c>
      <c r="D490" s="259" t="s">
        <v>3077</v>
      </c>
      <c r="E490" s="158">
        <v>20</v>
      </c>
      <c r="F490" s="163">
        <v>76380</v>
      </c>
      <c r="G490" s="697">
        <f>F490*E490</f>
        <v>1527600</v>
      </c>
      <c r="I490" s="720" t="s">
        <v>3523</v>
      </c>
    </row>
    <row r="491" spans="1:9" x14ac:dyDescent="0.2">
      <c r="A491" s="695">
        <v>2</v>
      </c>
      <c r="B491" s="698"/>
      <c r="C491" s="135" t="s">
        <v>185</v>
      </c>
      <c r="D491" s="259" t="s">
        <v>3078</v>
      </c>
      <c r="E491" s="158">
        <v>9</v>
      </c>
      <c r="F491" s="163">
        <v>56373</v>
      </c>
      <c r="G491" s="697">
        <f t="shared" ref="G491:G495" si="9">F491*E491</f>
        <v>507357</v>
      </c>
    </row>
    <row r="492" spans="1:9" x14ac:dyDescent="0.2">
      <c r="A492" s="695">
        <v>3</v>
      </c>
      <c r="B492" s="698"/>
      <c r="C492" s="719" t="s">
        <v>185</v>
      </c>
      <c r="D492" s="259" t="s">
        <v>3079</v>
      </c>
      <c r="E492" s="204">
        <v>14</v>
      </c>
      <c r="F492" s="149">
        <v>80548.12</v>
      </c>
      <c r="G492" s="697">
        <f t="shared" si="9"/>
        <v>1127673.68</v>
      </c>
    </row>
    <row r="493" spans="1:9" x14ac:dyDescent="0.2">
      <c r="A493" s="695">
        <v>4</v>
      </c>
      <c r="B493" s="698"/>
      <c r="C493" s="135" t="s">
        <v>185</v>
      </c>
      <c r="D493" s="259" t="s">
        <v>3080</v>
      </c>
      <c r="E493" s="108">
        <v>5</v>
      </c>
      <c r="F493" s="163">
        <v>18201.88</v>
      </c>
      <c r="G493" s="697">
        <f t="shared" si="9"/>
        <v>91009.400000000009</v>
      </c>
    </row>
    <row r="494" spans="1:9" x14ac:dyDescent="0.2">
      <c r="A494" s="695">
        <v>5</v>
      </c>
      <c r="B494" s="105"/>
      <c r="C494" s="135" t="s">
        <v>279</v>
      </c>
      <c r="D494" s="259" t="s">
        <v>3073</v>
      </c>
      <c r="E494" s="108">
        <v>2</v>
      </c>
      <c r="F494" s="163">
        <v>46550</v>
      </c>
      <c r="G494" s="697">
        <f t="shared" si="9"/>
        <v>93100</v>
      </c>
    </row>
    <row r="495" spans="1:9" x14ac:dyDescent="0.2">
      <c r="A495" s="695">
        <v>6</v>
      </c>
      <c r="B495" s="105"/>
      <c r="C495" s="135" t="s">
        <v>185</v>
      </c>
      <c r="D495" s="259" t="s">
        <v>3074</v>
      </c>
      <c r="E495" s="108">
        <v>2</v>
      </c>
      <c r="F495" s="163">
        <v>21947</v>
      </c>
      <c r="G495" s="697">
        <f t="shared" si="9"/>
        <v>43894</v>
      </c>
    </row>
    <row r="496" spans="1:9" x14ac:dyDescent="0.2">
      <c r="A496" s="695"/>
      <c r="B496" s="105"/>
      <c r="C496" s="135"/>
      <c r="D496" s="259"/>
      <c r="E496" s="108"/>
      <c r="F496" s="150"/>
      <c r="G496" s="697"/>
    </row>
    <row r="497" spans="1:8" x14ac:dyDescent="0.2">
      <c r="A497" s="695"/>
      <c r="B497" s="105"/>
      <c r="C497" s="135"/>
      <c r="D497" s="252"/>
      <c r="E497" s="108"/>
      <c r="F497" s="150"/>
      <c r="G497" s="697"/>
    </row>
    <row r="498" spans="1:8" x14ac:dyDescent="0.2">
      <c r="A498" s="695"/>
      <c r="B498" s="698"/>
      <c r="C498" s="135"/>
      <c r="D498" s="252"/>
      <c r="E498" s="131"/>
      <c r="F498" s="163"/>
      <c r="G498" s="697"/>
      <c r="H498" s="830"/>
    </row>
    <row r="499" spans="1:8" x14ac:dyDescent="0.2">
      <c r="A499" s="695"/>
      <c r="B499" s="106"/>
      <c r="C499" s="135"/>
      <c r="D499" s="259"/>
      <c r="E499" s="131"/>
      <c r="F499" s="163"/>
      <c r="G499" s="697"/>
      <c r="H499" s="781"/>
    </row>
    <row r="500" spans="1:8" x14ac:dyDescent="0.2">
      <c r="A500" s="695"/>
      <c r="B500" s="105"/>
      <c r="C500" s="135"/>
      <c r="D500" s="259"/>
      <c r="E500" s="108"/>
      <c r="F500" s="152"/>
      <c r="G500" s="697"/>
    </row>
    <row r="501" spans="1:8" x14ac:dyDescent="0.2">
      <c r="A501" s="695"/>
      <c r="B501" s="700"/>
      <c r="C501" s="135"/>
      <c r="D501" s="259"/>
      <c r="E501" s="108"/>
      <c r="F501" s="163"/>
      <c r="G501" s="697"/>
    </row>
    <row r="502" spans="1:8" x14ac:dyDescent="0.2">
      <c r="A502" s="695"/>
      <c r="B502" s="700"/>
      <c r="C502" s="135"/>
      <c r="D502" s="259"/>
      <c r="E502" s="108"/>
      <c r="F502" s="163"/>
      <c r="G502" s="697"/>
    </row>
    <row r="503" spans="1:8" x14ac:dyDescent="0.2">
      <c r="A503" s="695"/>
      <c r="B503" s="698"/>
      <c r="C503" s="135"/>
      <c r="D503" s="259"/>
      <c r="E503" s="260"/>
      <c r="F503" s="163"/>
      <c r="G503" s="697"/>
    </row>
    <row r="504" spans="1:8" x14ac:dyDescent="0.2">
      <c r="A504" s="695"/>
      <c r="B504" s="698"/>
      <c r="C504" s="135"/>
      <c r="D504" s="259"/>
      <c r="E504" s="108"/>
      <c r="F504" s="163"/>
      <c r="G504" s="697"/>
    </row>
    <row r="505" spans="1:8" x14ac:dyDescent="0.2">
      <c r="A505" s="695"/>
      <c r="B505" s="106"/>
      <c r="C505" s="135"/>
      <c r="D505" s="259"/>
      <c r="E505" s="131"/>
      <c r="F505" s="717"/>
      <c r="G505" s="697"/>
    </row>
    <row r="506" spans="1:8" x14ac:dyDescent="0.2">
      <c r="A506" s="695"/>
      <c r="B506" s="105"/>
      <c r="C506" s="119"/>
      <c r="D506" s="383"/>
      <c r="E506" s="716"/>
      <c r="F506" s="717"/>
      <c r="G506" s="697"/>
    </row>
    <row r="507" spans="1:8" x14ac:dyDescent="0.2">
      <c r="A507" s="695"/>
      <c r="B507" s="105"/>
      <c r="C507" s="119"/>
      <c r="D507" s="136"/>
      <c r="E507" s="131"/>
      <c r="F507" s="717"/>
      <c r="G507" s="697"/>
    </row>
    <row r="508" spans="1:8" x14ac:dyDescent="0.2">
      <c r="A508" s="695"/>
      <c r="B508" s="105"/>
      <c r="C508" s="119"/>
      <c r="D508" s="136"/>
      <c r="E508" s="131"/>
      <c r="F508" s="717"/>
      <c r="G508" s="697"/>
    </row>
    <row r="509" spans="1:8" x14ac:dyDescent="0.2">
      <c r="A509" s="695"/>
      <c r="B509" s="105"/>
      <c r="C509" s="119"/>
      <c r="D509" s="136"/>
      <c r="E509" s="131"/>
      <c r="F509" s="717"/>
      <c r="G509" s="697"/>
    </row>
    <row r="510" spans="1:8" x14ac:dyDescent="0.2">
      <c r="A510" s="695"/>
      <c r="B510" s="105"/>
      <c r="C510" s="119"/>
      <c r="D510" s="136"/>
      <c r="E510" s="131"/>
      <c r="F510" s="717"/>
      <c r="G510" s="697"/>
    </row>
    <row r="511" spans="1:8" x14ac:dyDescent="0.2">
      <c r="A511" s="695"/>
      <c r="B511" s="698"/>
      <c r="C511" s="119"/>
      <c r="D511" s="136"/>
      <c r="E511" s="131"/>
      <c r="F511" s="717"/>
      <c r="G511" s="697"/>
    </row>
    <row r="512" spans="1:8" x14ac:dyDescent="0.2">
      <c r="A512" s="695"/>
      <c r="B512" s="698"/>
      <c r="C512" s="119"/>
      <c r="D512" s="136"/>
      <c r="E512" s="131"/>
      <c r="F512" s="717"/>
      <c r="G512" s="697"/>
    </row>
    <row r="513" spans="1:7" x14ac:dyDescent="0.2">
      <c r="A513" s="695"/>
      <c r="B513" s="698"/>
      <c r="C513" s="119"/>
      <c r="D513" s="136"/>
      <c r="E513" s="131"/>
      <c r="F513" s="717"/>
      <c r="G513" s="697"/>
    </row>
    <row r="514" spans="1:7" x14ac:dyDescent="0.2">
      <c r="A514" s="695"/>
      <c r="B514" s="698"/>
      <c r="C514" s="119"/>
      <c r="D514" s="136"/>
      <c r="E514" s="131"/>
      <c r="F514" s="717"/>
      <c r="G514" s="697"/>
    </row>
    <row r="515" spans="1:7" x14ac:dyDescent="0.2">
      <c r="A515" s="695"/>
      <c r="B515" s="698"/>
      <c r="C515" s="119"/>
      <c r="D515" s="136"/>
      <c r="E515" s="131"/>
      <c r="F515" s="717"/>
      <c r="G515" s="697"/>
    </row>
    <row r="516" spans="1:7" x14ac:dyDescent="0.2">
      <c r="A516" s="695"/>
      <c r="B516" s="698"/>
      <c r="C516" s="119"/>
      <c r="D516" s="136"/>
      <c r="E516" s="131"/>
      <c r="F516" s="717"/>
      <c r="G516" s="697"/>
    </row>
    <row r="517" spans="1:7" x14ac:dyDescent="0.2">
      <c r="A517" s="695"/>
      <c r="B517" s="698"/>
      <c r="C517" s="119"/>
      <c r="D517" s="144"/>
      <c r="E517" s="131"/>
      <c r="F517" s="717"/>
      <c r="G517" s="697"/>
    </row>
    <row r="518" spans="1:7" x14ac:dyDescent="0.2">
      <c r="A518" s="695"/>
      <c r="B518" s="698"/>
      <c r="C518" s="119"/>
      <c r="D518" s="144"/>
      <c r="E518" s="108"/>
      <c r="F518" s="163"/>
      <c r="G518" s="697"/>
    </row>
    <row r="519" spans="1:7" x14ac:dyDescent="0.2">
      <c r="A519" s="695"/>
      <c r="B519" s="698"/>
      <c r="C519" s="119"/>
      <c r="D519" s="136"/>
      <c r="E519" s="131"/>
      <c r="F519" s="718"/>
      <c r="G519" s="697"/>
    </row>
    <row r="520" spans="1:7" x14ac:dyDescent="0.2">
      <c r="A520" s="695"/>
      <c r="B520" s="698"/>
      <c r="C520" s="119"/>
      <c r="D520" s="118"/>
      <c r="E520" s="108"/>
      <c r="F520" s="149"/>
      <c r="G520" s="697"/>
    </row>
    <row r="521" spans="1:7" x14ac:dyDescent="0.2">
      <c r="A521" s="695"/>
      <c r="B521" s="698"/>
      <c r="C521" s="119"/>
      <c r="D521" s="144"/>
      <c r="E521" s="108"/>
      <c r="F521" s="149"/>
      <c r="G521" s="697"/>
    </row>
    <row r="522" spans="1:7" ht="13.5" thickBot="1" x14ac:dyDescent="0.25">
      <c r="A522" s="702"/>
      <c r="B522" s="703"/>
      <c r="C522" s="704"/>
      <c r="D522" s="704"/>
      <c r="E522" s="703"/>
      <c r="F522" s="705" t="s">
        <v>15</v>
      </c>
      <c r="G522" s="706">
        <f>SUM(G490:G521)</f>
        <v>3390634.0799999996</v>
      </c>
    </row>
    <row r="523" spans="1:7" ht="13.5" thickTop="1" x14ac:dyDescent="0.2">
      <c r="A523" s="985" t="s">
        <v>188</v>
      </c>
      <c r="B523" s="1019"/>
      <c r="C523" s="1019"/>
      <c r="D523" s="1019"/>
      <c r="E523" s="1019"/>
      <c r="F523" s="1019"/>
      <c r="G523" s="1020"/>
    </row>
    <row r="524" spans="1:7" ht="13.5" thickBot="1" x14ac:dyDescent="0.25">
      <c r="A524" s="707"/>
      <c r="B524" s="708"/>
      <c r="C524" s="708"/>
      <c r="D524" s="709"/>
      <c r="E524" s="708"/>
      <c r="F524" s="198"/>
      <c r="G524" s="199"/>
    </row>
    <row r="525" spans="1:7" ht="13.5" thickTop="1" x14ac:dyDescent="0.2">
      <c r="A525" s="1023"/>
      <c r="B525" s="1024"/>
      <c r="C525" s="1024"/>
      <c r="D525" s="344" t="s">
        <v>11</v>
      </c>
      <c r="E525" s="1025" t="s">
        <v>12</v>
      </c>
      <c r="F525" s="1025"/>
      <c r="G525" s="1026"/>
    </row>
    <row r="526" spans="1:7" ht="27" customHeight="1" x14ac:dyDescent="0.2">
      <c r="A526" s="1010" t="s">
        <v>17</v>
      </c>
      <c r="B526" s="1011"/>
      <c r="C526" s="1011"/>
      <c r="D526" s="121"/>
      <c r="E526" s="1027"/>
      <c r="F526" s="1028"/>
      <c r="G526" s="1029"/>
    </row>
    <row r="527" spans="1:7" x14ac:dyDescent="0.2">
      <c r="A527" s="1010" t="s">
        <v>38</v>
      </c>
      <c r="B527" s="1011"/>
      <c r="C527" s="1011"/>
      <c r="D527" s="710" t="s">
        <v>147</v>
      </c>
      <c r="E527" s="1012" t="s">
        <v>142</v>
      </c>
      <c r="F527" s="1012"/>
      <c r="G527" s="1013"/>
    </row>
    <row r="528" spans="1:7" ht="13.5" thickBot="1" x14ac:dyDescent="0.25">
      <c r="A528" s="1014" t="s">
        <v>39</v>
      </c>
      <c r="B528" s="1015"/>
      <c r="C528" s="1015"/>
      <c r="D528" s="125" t="s">
        <v>148</v>
      </c>
      <c r="E528" s="1016" t="s">
        <v>0</v>
      </c>
      <c r="F528" s="1017"/>
      <c r="G528" s="1018"/>
    </row>
  </sheetData>
  <mergeCells count="154">
    <mergeCell ref="A527:C527"/>
    <mergeCell ref="E527:G527"/>
    <mergeCell ref="A528:C528"/>
    <mergeCell ref="E528:G528"/>
    <mergeCell ref="A481:G481"/>
    <mergeCell ref="A482:G482"/>
    <mergeCell ref="A483:G483"/>
    <mergeCell ref="E486:F486"/>
    <mergeCell ref="E488:F488"/>
    <mergeCell ref="A523:G523"/>
    <mergeCell ref="A525:C525"/>
    <mergeCell ref="E525:G525"/>
    <mergeCell ref="A526:C526"/>
    <mergeCell ref="E526:G526"/>
    <mergeCell ref="A97:G97"/>
    <mergeCell ref="A98:G98"/>
    <mergeCell ref="A99:G99"/>
    <mergeCell ref="E102:F102"/>
    <mergeCell ref="E104:F104"/>
    <mergeCell ref="A143:C143"/>
    <mergeCell ref="E143:G143"/>
    <mergeCell ref="A144:C144"/>
    <mergeCell ref="E144:G144"/>
    <mergeCell ref="A139:G139"/>
    <mergeCell ref="A141:C141"/>
    <mergeCell ref="E141:G141"/>
    <mergeCell ref="A142:C142"/>
    <mergeCell ref="E142:G142"/>
    <mergeCell ref="A1:G1"/>
    <mergeCell ref="A2:G2"/>
    <mergeCell ref="A3:G3"/>
    <mergeCell ref="E6:F6"/>
    <mergeCell ref="E8:F8"/>
    <mergeCell ref="A49:G49"/>
    <mergeCell ref="A50:G50"/>
    <mergeCell ref="A51:G51"/>
    <mergeCell ref="E54:F54"/>
    <mergeCell ref="A145:G145"/>
    <mergeCell ref="A146:G146"/>
    <mergeCell ref="A147:G147"/>
    <mergeCell ref="E150:F150"/>
    <mergeCell ref="E152:F152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  <mergeCell ref="A191:C191"/>
    <mergeCell ref="E191:G191"/>
    <mergeCell ref="A192:C192"/>
    <mergeCell ref="E192:G192"/>
    <mergeCell ref="A187:G187"/>
    <mergeCell ref="A189:C189"/>
    <mergeCell ref="E189:G189"/>
    <mergeCell ref="A190:C190"/>
    <mergeCell ref="E190:G190"/>
    <mergeCell ref="A235:G235"/>
    <mergeCell ref="A237:C237"/>
    <mergeCell ref="E237:G237"/>
    <mergeCell ref="A238:C238"/>
    <mergeCell ref="E238:G238"/>
    <mergeCell ref="A193:G193"/>
    <mergeCell ref="A194:G194"/>
    <mergeCell ref="A195:G195"/>
    <mergeCell ref="E198:F198"/>
    <mergeCell ref="E200:F200"/>
    <mergeCell ref="A242:G242"/>
    <mergeCell ref="A243:G243"/>
    <mergeCell ref="E246:F246"/>
    <mergeCell ref="E248:F248"/>
    <mergeCell ref="A283:G283"/>
    <mergeCell ref="A239:C239"/>
    <mergeCell ref="E239:G239"/>
    <mergeCell ref="A240:C240"/>
    <mergeCell ref="E240:G240"/>
    <mergeCell ref="A241:G241"/>
    <mergeCell ref="A288:C288"/>
    <mergeCell ref="E288:G288"/>
    <mergeCell ref="A289:G289"/>
    <mergeCell ref="A290:G290"/>
    <mergeCell ref="A291:G291"/>
    <mergeCell ref="A285:C285"/>
    <mergeCell ref="E285:G285"/>
    <mergeCell ref="A286:C286"/>
    <mergeCell ref="E286:G286"/>
    <mergeCell ref="A287:C287"/>
    <mergeCell ref="E287:G287"/>
    <mergeCell ref="A334:C334"/>
    <mergeCell ref="E334:G334"/>
    <mergeCell ref="A335:C335"/>
    <mergeCell ref="E335:G335"/>
    <mergeCell ref="A336:C336"/>
    <mergeCell ref="E336:G336"/>
    <mergeCell ref="E294:F294"/>
    <mergeCell ref="E296:F296"/>
    <mergeCell ref="A331:G331"/>
    <mergeCell ref="A333:C333"/>
    <mergeCell ref="E333:G333"/>
    <mergeCell ref="A379:G379"/>
    <mergeCell ref="A381:C381"/>
    <mergeCell ref="E381:G381"/>
    <mergeCell ref="A382:C382"/>
    <mergeCell ref="E382:G382"/>
    <mergeCell ref="A337:G337"/>
    <mergeCell ref="A338:G338"/>
    <mergeCell ref="A339:G339"/>
    <mergeCell ref="E342:F342"/>
    <mergeCell ref="E344:F344"/>
    <mergeCell ref="A386:G386"/>
    <mergeCell ref="A387:G387"/>
    <mergeCell ref="E390:F390"/>
    <mergeCell ref="E392:F392"/>
    <mergeCell ref="A427:G427"/>
    <mergeCell ref="A383:C383"/>
    <mergeCell ref="E383:G383"/>
    <mergeCell ref="A384:C384"/>
    <mergeCell ref="E384:G384"/>
    <mergeCell ref="A385:G385"/>
    <mergeCell ref="A432:C432"/>
    <mergeCell ref="E432:G432"/>
    <mergeCell ref="A433:G433"/>
    <mergeCell ref="A434:G434"/>
    <mergeCell ref="A435:G435"/>
    <mergeCell ref="A429:C429"/>
    <mergeCell ref="E429:G429"/>
    <mergeCell ref="A430:C430"/>
    <mergeCell ref="E430:G430"/>
    <mergeCell ref="A431:C431"/>
    <mergeCell ref="E431:G431"/>
    <mergeCell ref="A478:C478"/>
    <mergeCell ref="E478:G478"/>
    <mergeCell ref="A479:C479"/>
    <mergeCell ref="E479:G479"/>
    <mergeCell ref="A480:C480"/>
    <mergeCell ref="E480:G480"/>
    <mergeCell ref="E438:F438"/>
    <mergeCell ref="E440:F440"/>
    <mergeCell ref="A475:G475"/>
    <mergeCell ref="A477:C477"/>
    <mergeCell ref="E477:G477"/>
  </mergeCells>
  <phoneticPr fontId="3" type="noConversion"/>
  <pageMargins left="0.5" right="0.5" top="1" bottom="1" header="0.3" footer="0.3"/>
  <pageSetup fitToWidth="0" orientation="portrait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FC5E-490C-4EB7-932D-29382CFDE520}">
  <dimension ref="A1:M290"/>
  <sheetViews>
    <sheetView topLeftCell="A234" zoomScale="110" zoomScaleNormal="110" workbookViewId="0">
      <selection activeCell="G251" sqref="G251"/>
    </sheetView>
  </sheetViews>
  <sheetFormatPr defaultRowHeight="12.75" x14ac:dyDescent="0.2"/>
  <cols>
    <col min="1" max="1" width="6.42578125" style="250" customWidth="1"/>
    <col min="2" max="2" width="6.5703125" style="711" customWidth="1"/>
    <col min="3" max="3" width="10.42578125" style="673" customWidth="1"/>
    <col min="4" max="4" width="36" style="250" customWidth="1"/>
    <col min="5" max="5" width="9.28515625" style="711" customWidth="1"/>
    <col min="6" max="6" width="12.140625" style="712" customWidth="1"/>
    <col min="7" max="7" width="14.85546875" style="250" customWidth="1"/>
    <col min="8" max="8" width="11.28515625" style="713" bestFit="1" customWidth="1"/>
    <col min="9" max="9" width="9.28515625" style="250" bestFit="1" customWidth="1"/>
    <col min="10" max="10" width="11.28515625" style="250" customWidth="1"/>
    <col min="11" max="11" width="9.140625" style="250"/>
    <col min="12" max="12" width="9.42578125" style="250" bestFit="1" customWidth="1"/>
    <col min="13" max="16384" width="9.140625" style="250"/>
  </cols>
  <sheetData>
    <row r="1" spans="1:8" s="713" customFormat="1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s="713" customFormat="1" x14ac:dyDescent="0.2">
      <c r="A2" s="1000" t="s">
        <v>48</v>
      </c>
      <c r="B2" s="1001"/>
      <c r="C2" s="1001"/>
      <c r="D2" s="1001"/>
      <c r="E2" s="1001"/>
      <c r="F2" s="1001"/>
      <c r="G2" s="1002"/>
      <c r="H2" s="775">
        <v>46106</v>
      </c>
    </row>
    <row r="3" spans="1:8" s="713" customFormat="1" x14ac:dyDescent="0.2">
      <c r="A3" s="1003" t="s">
        <v>49</v>
      </c>
      <c r="B3" s="1004"/>
      <c r="C3" s="1004"/>
      <c r="D3" s="1004"/>
      <c r="E3" s="1004"/>
      <c r="F3" s="1004"/>
      <c r="G3" s="1005"/>
    </row>
    <row r="4" spans="1:8" s="713" customFormat="1" x14ac:dyDescent="0.2">
      <c r="A4" s="674"/>
      <c r="B4" s="675"/>
      <c r="C4" s="676"/>
      <c r="D4" s="677"/>
      <c r="E4" s="675"/>
      <c r="F4" s="678"/>
      <c r="G4" s="679" t="s">
        <v>20</v>
      </c>
    </row>
    <row r="5" spans="1:8" s="713" customFormat="1" x14ac:dyDescent="0.2">
      <c r="A5" s="680" t="s">
        <v>1</v>
      </c>
      <c r="B5" s="681"/>
      <c r="C5" s="682" t="s">
        <v>7</v>
      </c>
      <c r="D5" s="681"/>
      <c r="E5" s="683" t="s">
        <v>2769</v>
      </c>
      <c r="F5" s="684"/>
      <c r="G5" s="685" t="s">
        <v>2766</v>
      </c>
    </row>
    <row r="6" spans="1:8" s="713" customFormat="1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s="713" customFormat="1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8" s="713" customFormat="1" x14ac:dyDescent="0.2">
      <c r="A8" s="674"/>
      <c r="B8" s="675"/>
      <c r="C8" s="676"/>
      <c r="D8" s="676"/>
      <c r="E8" s="1008"/>
      <c r="F8" s="1009"/>
      <c r="G8" s="693"/>
    </row>
    <row r="9" spans="1:8" s="713" customFormat="1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s="713" customFormat="1" ht="13.5" thickTop="1" x14ac:dyDescent="0.2">
      <c r="A10" s="695">
        <v>1</v>
      </c>
      <c r="B10" s="698"/>
      <c r="C10" s="385" t="s">
        <v>177</v>
      </c>
      <c r="D10" s="376" t="s">
        <v>2767</v>
      </c>
      <c r="E10" s="158">
        <v>4</v>
      </c>
      <c r="F10" s="163">
        <v>9297</v>
      </c>
      <c r="G10" s="697">
        <f>F10*E10</f>
        <v>37188</v>
      </c>
      <c r="H10" s="158">
        <v>7</v>
      </c>
    </row>
    <row r="11" spans="1:8" s="713" customFormat="1" x14ac:dyDescent="0.2">
      <c r="A11" s="695"/>
      <c r="B11" s="698"/>
      <c r="C11" s="119"/>
      <c r="D11" s="129"/>
      <c r="E11" s="158"/>
      <c r="F11" s="163"/>
      <c r="G11" s="697"/>
    </row>
    <row r="12" spans="1:8" s="713" customFormat="1" x14ac:dyDescent="0.2">
      <c r="A12" s="695"/>
      <c r="B12" s="698"/>
      <c r="C12" s="714"/>
      <c r="D12" s="715"/>
      <c r="E12" s="204"/>
      <c r="F12" s="149"/>
      <c r="G12" s="697"/>
    </row>
    <row r="13" spans="1:8" s="713" customFormat="1" x14ac:dyDescent="0.2">
      <c r="A13" s="695"/>
      <c r="B13" s="698"/>
      <c r="C13" s="119"/>
      <c r="D13" s="203"/>
      <c r="E13" s="108"/>
      <c r="F13" s="163"/>
      <c r="G13" s="697"/>
    </row>
    <row r="14" spans="1:8" s="713" customFormat="1" x14ac:dyDescent="0.2">
      <c r="A14" s="695"/>
      <c r="B14" s="105"/>
      <c r="C14" s="119"/>
      <c r="D14" s="136"/>
      <c r="E14" s="108"/>
      <c r="F14" s="163"/>
      <c r="G14" s="697"/>
    </row>
    <row r="15" spans="1:8" s="713" customFormat="1" x14ac:dyDescent="0.2">
      <c r="A15" s="695"/>
      <c r="B15" s="105"/>
      <c r="C15" s="119"/>
      <c r="D15" s="136"/>
      <c r="E15" s="108"/>
      <c r="F15" s="163"/>
      <c r="G15" s="697"/>
    </row>
    <row r="16" spans="1:8" s="713" customFormat="1" x14ac:dyDescent="0.2">
      <c r="A16" s="695"/>
      <c r="B16" s="105"/>
      <c r="C16" s="119"/>
      <c r="D16" s="136"/>
      <c r="E16" s="108"/>
      <c r="F16" s="150"/>
      <c r="G16" s="697"/>
    </row>
    <row r="17" spans="1:7" s="713" customFormat="1" x14ac:dyDescent="0.2">
      <c r="A17" s="695"/>
      <c r="B17" s="105"/>
      <c r="C17" s="119"/>
      <c r="D17" s="144"/>
      <c r="E17" s="108"/>
      <c r="F17" s="150"/>
      <c r="G17" s="697"/>
    </row>
    <row r="18" spans="1:7" s="713" customFormat="1" x14ac:dyDescent="0.2">
      <c r="A18" s="695"/>
      <c r="B18" s="698"/>
      <c r="C18" s="119"/>
      <c r="D18" s="144"/>
      <c r="E18" s="699"/>
      <c r="F18" s="163"/>
      <c r="G18" s="697"/>
    </row>
    <row r="19" spans="1:7" s="713" customFormat="1" x14ac:dyDescent="0.2">
      <c r="A19" s="695"/>
      <c r="B19" s="106"/>
      <c r="C19" s="119"/>
      <c r="D19" s="136"/>
      <c r="E19" s="131"/>
      <c r="F19" s="163"/>
      <c r="G19" s="697"/>
    </row>
    <row r="20" spans="1:7" s="713" customFormat="1" x14ac:dyDescent="0.2">
      <c r="A20" s="695"/>
      <c r="B20" s="105"/>
      <c r="C20" s="119"/>
      <c r="D20" s="136"/>
      <c r="E20" s="205"/>
      <c r="F20" s="152"/>
      <c r="G20" s="697"/>
    </row>
    <row r="21" spans="1:7" s="713" customFormat="1" x14ac:dyDescent="0.2">
      <c r="A21" s="695"/>
      <c r="B21" s="700"/>
      <c r="C21" s="119"/>
      <c r="D21" s="136"/>
      <c r="E21" s="108"/>
      <c r="F21" s="163"/>
      <c r="G21" s="697"/>
    </row>
    <row r="22" spans="1:7" s="713" customFormat="1" x14ac:dyDescent="0.2">
      <c r="A22" s="695"/>
      <c r="B22" s="700"/>
      <c r="C22" s="119"/>
      <c r="D22" s="136"/>
      <c r="E22" s="108"/>
      <c r="F22" s="163"/>
      <c r="G22" s="697"/>
    </row>
    <row r="23" spans="1:7" s="713" customFormat="1" x14ac:dyDescent="0.2">
      <c r="A23" s="695"/>
      <c r="B23" s="698"/>
      <c r="C23" s="135"/>
      <c r="D23" s="259"/>
      <c r="E23" s="244"/>
      <c r="F23" s="163"/>
      <c r="G23" s="697"/>
    </row>
    <row r="24" spans="1:7" s="713" customFormat="1" x14ac:dyDescent="0.2">
      <c r="A24" s="695"/>
      <c r="B24" s="698"/>
      <c r="C24" s="119"/>
      <c r="D24" s="136"/>
      <c r="E24" s="205"/>
      <c r="F24" s="163"/>
      <c r="G24" s="697"/>
    </row>
    <row r="25" spans="1:7" s="713" customFormat="1" x14ac:dyDescent="0.2">
      <c r="A25" s="695"/>
      <c r="B25" s="106"/>
      <c r="C25" s="119"/>
      <c r="D25" s="136"/>
      <c r="E25" s="716"/>
      <c r="F25" s="717"/>
      <c r="G25" s="697"/>
    </row>
    <row r="26" spans="1:7" s="713" customFormat="1" x14ac:dyDescent="0.2">
      <c r="A26" s="695"/>
      <c r="B26" s="105"/>
      <c r="C26" s="119"/>
      <c r="D26" s="144"/>
      <c r="E26" s="716"/>
      <c r="F26" s="717"/>
      <c r="G26" s="697"/>
    </row>
    <row r="27" spans="1:7" s="713" customFormat="1" x14ac:dyDescent="0.2">
      <c r="A27" s="695"/>
      <c r="B27" s="105"/>
      <c r="C27" s="119"/>
      <c r="D27" s="136"/>
      <c r="E27" s="131"/>
      <c r="F27" s="717"/>
      <c r="G27" s="697"/>
    </row>
    <row r="28" spans="1:7" s="713" customFormat="1" x14ac:dyDescent="0.2">
      <c r="A28" s="695"/>
      <c r="B28" s="105"/>
      <c r="C28" s="119"/>
      <c r="D28" s="136"/>
      <c r="E28" s="131"/>
      <c r="F28" s="717"/>
      <c r="G28" s="697"/>
    </row>
    <row r="29" spans="1:7" s="713" customFormat="1" x14ac:dyDescent="0.2">
      <c r="A29" s="695"/>
      <c r="B29" s="105"/>
      <c r="C29" s="119"/>
      <c r="D29" s="136"/>
      <c r="E29" s="131"/>
      <c r="F29" s="717"/>
      <c r="G29" s="697"/>
    </row>
    <row r="30" spans="1:7" s="713" customFormat="1" x14ac:dyDescent="0.2">
      <c r="A30" s="695"/>
      <c r="B30" s="105"/>
      <c r="C30" s="119"/>
      <c r="D30" s="136"/>
      <c r="E30" s="131"/>
      <c r="F30" s="717"/>
      <c r="G30" s="697"/>
    </row>
    <row r="31" spans="1:7" s="713" customFormat="1" x14ac:dyDescent="0.2">
      <c r="A31" s="695"/>
      <c r="B31" s="698"/>
      <c r="C31" s="119"/>
      <c r="D31" s="136"/>
      <c r="E31" s="131"/>
      <c r="F31" s="717"/>
      <c r="G31" s="697"/>
    </row>
    <row r="32" spans="1:7" s="713" customFormat="1" x14ac:dyDescent="0.2">
      <c r="A32" s="695"/>
      <c r="B32" s="698"/>
      <c r="C32" s="119"/>
      <c r="D32" s="136"/>
      <c r="E32" s="131"/>
      <c r="F32" s="717"/>
      <c r="G32" s="697"/>
    </row>
    <row r="33" spans="1:7" s="713" customFormat="1" x14ac:dyDescent="0.2">
      <c r="A33" s="695"/>
      <c r="B33" s="698"/>
      <c r="C33" s="119"/>
      <c r="D33" s="136"/>
      <c r="E33" s="131"/>
      <c r="F33" s="717"/>
      <c r="G33" s="697"/>
    </row>
    <row r="34" spans="1:7" s="713" customFormat="1" x14ac:dyDescent="0.2">
      <c r="A34" s="695"/>
      <c r="B34" s="698"/>
      <c r="C34" s="119"/>
      <c r="D34" s="136"/>
      <c r="E34" s="131"/>
      <c r="F34" s="717"/>
      <c r="G34" s="697"/>
    </row>
    <row r="35" spans="1:7" s="713" customFormat="1" x14ac:dyDescent="0.2">
      <c r="A35" s="695"/>
      <c r="B35" s="698"/>
      <c r="C35" s="119"/>
      <c r="D35" s="136"/>
      <c r="E35" s="131"/>
      <c r="F35" s="717"/>
      <c r="G35" s="697"/>
    </row>
    <row r="36" spans="1:7" s="713" customFormat="1" x14ac:dyDescent="0.2">
      <c r="A36" s="695"/>
      <c r="B36" s="698"/>
      <c r="C36" s="119"/>
      <c r="D36" s="144"/>
      <c r="E36" s="131"/>
      <c r="F36" s="717"/>
      <c r="G36" s="697"/>
    </row>
    <row r="37" spans="1:7" s="713" customFormat="1" x14ac:dyDescent="0.2">
      <c r="A37" s="695"/>
      <c r="B37" s="698"/>
      <c r="C37" s="119"/>
      <c r="D37" s="144"/>
      <c r="E37" s="108"/>
      <c r="F37" s="163"/>
      <c r="G37" s="697"/>
    </row>
    <row r="38" spans="1:7" s="713" customFormat="1" x14ac:dyDescent="0.2">
      <c r="A38" s="695"/>
      <c r="B38" s="776"/>
      <c r="C38" s="777"/>
      <c r="D38" s="778"/>
      <c r="E38" s="779"/>
      <c r="F38" s="780"/>
      <c r="G38" s="697"/>
    </row>
    <row r="39" spans="1:7" s="713" customFormat="1" x14ac:dyDescent="0.2">
      <c r="A39" s="695"/>
      <c r="B39" s="698"/>
      <c r="C39" s="119"/>
      <c r="D39" s="136"/>
      <c r="E39" s="108"/>
      <c r="F39" s="163"/>
      <c r="G39" s="697"/>
    </row>
    <row r="40" spans="1:7" s="713" customFormat="1" x14ac:dyDescent="0.2">
      <c r="A40" s="695"/>
      <c r="B40" s="698"/>
      <c r="C40" s="119"/>
      <c r="D40" s="136"/>
      <c r="E40" s="108"/>
      <c r="F40" s="163"/>
      <c r="G40" s="697"/>
    </row>
    <row r="41" spans="1:7" s="713" customFormat="1" x14ac:dyDescent="0.2">
      <c r="A41" s="695"/>
      <c r="B41" s="698"/>
      <c r="C41" s="119"/>
      <c r="D41" s="136"/>
      <c r="E41" s="108"/>
      <c r="F41" s="163"/>
      <c r="G41" s="697"/>
    </row>
    <row r="42" spans="1:7" s="713" customFormat="1" x14ac:dyDescent="0.2">
      <c r="A42" s="695"/>
      <c r="B42" s="698"/>
      <c r="C42" s="119"/>
      <c r="D42" s="144"/>
      <c r="E42" s="108"/>
      <c r="F42" s="149"/>
      <c r="G42" s="697"/>
    </row>
    <row r="43" spans="1:7" s="713" customFormat="1" ht="13.5" thickBot="1" x14ac:dyDescent="0.25">
      <c r="A43" s="702"/>
      <c r="B43" s="703"/>
      <c r="C43" s="704"/>
      <c r="D43" s="704"/>
      <c r="E43" s="703"/>
      <c r="F43" s="705" t="s">
        <v>15</v>
      </c>
      <c r="G43" s="706">
        <f>SUM(G10:G42)</f>
        <v>37188</v>
      </c>
    </row>
    <row r="44" spans="1:7" s="713" customFormat="1" ht="13.5" thickTop="1" x14ac:dyDescent="0.2">
      <c r="A44" s="985" t="s">
        <v>2768</v>
      </c>
      <c r="B44" s="1019"/>
      <c r="C44" s="1019"/>
      <c r="D44" s="1019"/>
      <c r="E44" s="1019"/>
      <c r="F44" s="1019"/>
      <c r="G44" s="1020"/>
    </row>
    <row r="45" spans="1:7" s="713" customFormat="1" ht="13.5" thickBot="1" x14ac:dyDescent="0.25">
      <c r="A45" s="707"/>
      <c r="B45" s="708"/>
      <c r="C45" s="708"/>
      <c r="D45" s="709"/>
      <c r="E45" s="708"/>
      <c r="F45" s="198"/>
      <c r="G45" s="199"/>
    </row>
    <row r="46" spans="1:7" s="713" customFormat="1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s="713" customFormat="1" ht="28.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s="713" customFormat="1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8" s="713" customFormat="1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8" s="713" customFormat="1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8" s="713" customFormat="1" x14ac:dyDescent="0.2">
      <c r="A51" s="1000" t="s">
        <v>48</v>
      </c>
      <c r="B51" s="1001"/>
      <c r="C51" s="1001"/>
      <c r="D51" s="1001"/>
      <c r="E51" s="1001"/>
      <c r="F51" s="1001"/>
      <c r="G51" s="1002"/>
      <c r="H51" s="775">
        <v>46112</v>
      </c>
    </row>
    <row r="52" spans="1:8" s="713" customFormat="1" x14ac:dyDescent="0.2">
      <c r="A52" s="1003" t="s">
        <v>49</v>
      </c>
      <c r="B52" s="1004"/>
      <c r="C52" s="1004"/>
      <c r="D52" s="1004"/>
      <c r="E52" s="1004"/>
      <c r="F52" s="1004"/>
      <c r="G52" s="1005"/>
    </row>
    <row r="53" spans="1:8" s="713" customFormat="1" x14ac:dyDescent="0.2">
      <c r="A53" s="674"/>
      <c r="B53" s="675"/>
      <c r="C53" s="676"/>
      <c r="D53" s="677"/>
      <c r="E53" s="675"/>
      <c r="F53" s="678"/>
      <c r="G53" s="679" t="s">
        <v>20</v>
      </c>
    </row>
    <row r="54" spans="1:8" s="713" customFormat="1" x14ac:dyDescent="0.2">
      <c r="A54" s="680" t="s">
        <v>1</v>
      </c>
      <c r="B54" s="681"/>
      <c r="C54" s="682" t="s">
        <v>7</v>
      </c>
      <c r="D54" s="681"/>
      <c r="E54" s="683" t="s">
        <v>2816</v>
      </c>
      <c r="F54" s="684"/>
      <c r="G54" s="685" t="s">
        <v>2770</v>
      </c>
    </row>
    <row r="55" spans="1:8" s="713" customFormat="1" x14ac:dyDescent="0.2">
      <c r="A55" s="686" t="s">
        <v>8</v>
      </c>
      <c r="B55" s="687"/>
      <c r="C55" s="688"/>
      <c r="D55" s="673"/>
      <c r="E55" s="1006"/>
      <c r="F55" s="1007"/>
      <c r="G55" s="689"/>
    </row>
    <row r="56" spans="1:8" s="713" customFormat="1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50</v>
      </c>
    </row>
    <row r="57" spans="1:8" s="713" customFormat="1" x14ac:dyDescent="0.2">
      <c r="A57" s="674"/>
      <c r="B57" s="675"/>
      <c r="C57" s="676"/>
      <c r="D57" s="676"/>
      <c r="E57" s="1008"/>
      <c r="F57" s="1009"/>
      <c r="G57" s="693"/>
    </row>
    <row r="58" spans="1:8" s="713" customFormat="1" ht="26.25" customHeight="1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  <c r="H58" s="781"/>
    </row>
    <row r="59" spans="1:8" s="713" customFormat="1" ht="17.25" thickTop="1" x14ac:dyDescent="0.2">
      <c r="A59" s="695">
        <v>1</v>
      </c>
      <c r="B59" s="698"/>
      <c r="C59" s="385" t="s">
        <v>2771</v>
      </c>
      <c r="D59" s="783" t="s">
        <v>2772</v>
      </c>
      <c r="E59" s="158">
        <v>300</v>
      </c>
      <c r="F59" s="163">
        <v>520</v>
      </c>
      <c r="G59" s="697">
        <f>F59*E59</f>
        <v>156000</v>
      </c>
      <c r="H59" s="782"/>
    </row>
    <row r="60" spans="1:8" s="713" customFormat="1" x14ac:dyDescent="0.2">
      <c r="A60" s="695"/>
      <c r="B60" s="698"/>
      <c r="C60" s="119"/>
      <c r="D60" s="370" t="s">
        <v>2773</v>
      </c>
      <c r="E60" s="158"/>
      <c r="F60" s="163"/>
      <c r="G60" s="697"/>
      <c r="H60" s="781"/>
    </row>
    <row r="61" spans="1:8" s="713" customFormat="1" x14ac:dyDescent="0.2">
      <c r="A61" s="695"/>
      <c r="B61" s="698"/>
      <c r="C61" s="714"/>
      <c r="D61" s="715" t="s">
        <v>2774</v>
      </c>
      <c r="E61" s="204"/>
      <c r="F61" s="149"/>
      <c r="G61" s="697"/>
    </row>
    <row r="62" spans="1:8" s="713" customFormat="1" x14ac:dyDescent="0.2">
      <c r="A62" s="695"/>
      <c r="B62" s="698"/>
      <c r="C62" s="119"/>
      <c r="D62" s="203"/>
      <c r="E62" s="108"/>
      <c r="F62" s="163"/>
      <c r="G62" s="697"/>
    </row>
    <row r="63" spans="1:8" s="713" customFormat="1" x14ac:dyDescent="0.2">
      <c r="A63" s="695"/>
      <c r="B63" s="105"/>
      <c r="C63" s="119"/>
      <c r="D63" s="136"/>
      <c r="E63" s="108"/>
      <c r="F63" s="163"/>
      <c r="G63" s="697"/>
    </row>
    <row r="64" spans="1:8" s="713" customFormat="1" x14ac:dyDescent="0.2">
      <c r="A64" s="695"/>
      <c r="B64" s="105"/>
      <c r="C64" s="119"/>
      <c r="D64" s="136"/>
      <c r="E64" s="108"/>
      <c r="F64" s="163"/>
      <c r="G64" s="697"/>
    </row>
    <row r="65" spans="1:7" s="713" customFormat="1" x14ac:dyDescent="0.2">
      <c r="A65" s="695"/>
      <c r="B65" s="105"/>
      <c r="C65" s="119"/>
      <c r="D65" s="136"/>
      <c r="E65" s="108"/>
      <c r="F65" s="150"/>
      <c r="G65" s="697"/>
    </row>
    <row r="66" spans="1:7" s="713" customFormat="1" x14ac:dyDescent="0.2">
      <c r="A66" s="695"/>
      <c r="B66" s="105"/>
      <c r="C66" s="119"/>
      <c r="D66" s="144"/>
      <c r="E66" s="108"/>
      <c r="F66" s="150"/>
      <c r="G66" s="697"/>
    </row>
    <row r="67" spans="1:7" s="713" customFormat="1" x14ac:dyDescent="0.2">
      <c r="A67" s="695"/>
      <c r="B67" s="698"/>
      <c r="C67" s="119"/>
      <c r="D67" s="144"/>
      <c r="E67" s="699"/>
      <c r="F67" s="163"/>
      <c r="G67" s="697"/>
    </row>
    <row r="68" spans="1:7" s="713" customFormat="1" x14ac:dyDescent="0.2">
      <c r="A68" s="695"/>
      <c r="B68" s="106"/>
      <c r="C68" s="119"/>
      <c r="D68" s="136"/>
      <c r="E68" s="131"/>
      <c r="F68" s="163"/>
      <c r="G68" s="697"/>
    </row>
    <row r="69" spans="1:7" s="713" customFormat="1" x14ac:dyDescent="0.2">
      <c r="A69" s="695"/>
      <c r="B69" s="105"/>
      <c r="C69" s="119"/>
      <c r="D69" s="136"/>
      <c r="E69" s="205"/>
      <c r="F69" s="152"/>
      <c r="G69" s="697"/>
    </row>
    <row r="70" spans="1:7" s="713" customFormat="1" x14ac:dyDescent="0.2">
      <c r="A70" s="695"/>
      <c r="B70" s="700"/>
      <c r="C70" s="119"/>
      <c r="D70" s="136"/>
      <c r="E70" s="108"/>
      <c r="F70" s="163"/>
      <c r="G70" s="697"/>
    </row>
    <row r="71" spans="1:7" s="713" customFormat="1" x14ac:dyDescent="0.2">
      <c r="A71" s="695"/>
      <c r="B71" s="700"/>
      <c r="C71" s="119"/>
      <c r="D71" s="136"/>
      <c r="E71" s="108"/>
      <c r="F71" s="163"/>
      <c r="G71" s="697"/>
    </row>
    <row r="72" spans="1:7" s="713" customFormat="1" x14ac:dyDescent="0.2">
      <c r="A72" s="695"/>
      <c r="B72" s="698"/>
      <c r="C72" s="135"/>
      <c r="D72" s="259"/>
      <c r="E72" s="244"/>
      <c r="F72" s="163"/>
      <c r="G72" s="697"/>
    </row>
    <row r="73" spans="1:7" s="713" customFormat="1" x14ac:dyDescent="0.2">
      <c r="A73" s="695"/>
      <c r="B73" s="698"/>
      <c r="C73" s="119"/>
      <c r="D73" s="136"/>
      <c r="E73" s="205"/>
      <c r="F73" s="163"/>
      <c r="G73" s="697"/>
    </row>
    <row r="74" spans="1:7" s="713" customFormat="1" x14ac:dyDescent="0.2">
      <c r="A74" s="695"/>
      <c r="B74" s="106"/>
      <c r="C74" s="119"/>
      <c r="D74" s="136"/>
      <c r="E74" s="716"/>
      <c r="F74" s="717"/>
      <c r="G74" s="697"/>
    </row>
    <row r="75" spans="1:7" s="713" customFormat="1" x14ac:dyDescent="0.2">
      <c r="A75" s="695"/>
      <c r="B75" s="105"/>
      <c r="C75" s="119"/>
      <c r="D75" s="144"/>
      <c r="E75" s="716"/>
      <c r="F75" s="717"/>
      <c r="G75" s="697"/>
    </row>
    <row r="76" spans="1:7" s="713" customFormat="1" x14ac:dyDescent="0.2">
      <c r="A76" s="695"/>
      <c r="B76" s="105"/>
      <c r="C76" s="119"/>
      <c r="D76" s="136"/>
      <c r="E76" s="131"/>
      <c r="F76" s="717"/>
      <c r="G76" s="697"/>
    </row>
    <row r="77" spans="1:7" s="713" customFormat="1" x14ac:dyDescent="0.2">
      <c r="A77" s="695"/>
      <c r="B77" s="105"/>
      <c r="C77" s="119"/>
      <c r="D77" s="136"/>
      <c r="E77" s="131"/>
      <c r="F77" s="717"/>
      <c r="G77" s="697"/>
    </row>
    <row r="78" spans="1:7" s="713" customFormat="1" x14ac:dyDescent="0.2">
      <c r="A78" s="695"/>
      <c r="B78" s="105"/>
      <c r="C78" s="119"/>
      <c r="D78" s="136"/>
      <c r="E78" s="131"/>
      <c r="F78" s="717"/>
      <c r="G78" s="697"/>
    </row>
    <row r="79" spans="1:7" s="713" customFormat="1" x14ac:dyDescent="0.2">
      <c r="A79" s="695"/>
      <c r="B79" s="105"/>
      <c r="C79" s="119"/>
      <c r="D79" s="136"/>
      <c r="E79" s="131"/>
      <c r="F79" s="717"/>
      <c r="G79" s="697"/>
    </row>
    <row r="80" spans="1:7" s="713" customFormat="1" x14ac:dyDescent="0.2">
      <c r="A80" s="695"/>
      <c r="B80" s="698"/>
      <c r="C80" s="119"/>
      <c r="D80" s="136"/>
      <c r="E80" s="131"/>
      <c r="F80" s="717"/>
      <c r="G80" s="697"/>
    </row>
    <row r="81" spans="1:7" s="713" customFormat="1" x14ac:dyDescent="0.2">
      <c r="A81" s="695"/>
      <c r="B81" s="698"/>
      <c r="C81" s="119"/>
      <c r="D81" s="136"/>
      <c r="E81" s="131"/>
      <c r="F81" s="717"/>
      <c r="G81" s="697"/>
    </row>
    <row r="82" spans="1:7" s="713" customFormat="1" x14ac:dyDescent="0.2">
      <c r="A82" s="695"/>
      <c r="B82" s="698"/>
      <c r="C82" s="119"/>
      <c r="D82" s="136"/>
      <c r="E82" s="131"/>
      <c r="F82" s="717"/>
      <c r="G82" s="697"/>
    </row>
    <row r="83" spans="1:7" s="713" customFormat="1" x14ac:dyDescent="0.2">
      <c r="A83" s="695"/>
      <c r="B83" s="698"/>
      <c r="C83" s="119"/>
      <c r="D83" s="136"/>
      <c r="E83" s="131"/>
      <c r="F83" s="717"/>
      <c r="G83" s="697"/>
    </row>
    <row r="84" spans="1:7" s="713" customFormat="1" x14ac:dyDescent="0.2">
      <c r="A84" s="695"/>
      <c r="B84" s="698"/>
      <c r="C84" s="119"/>
      <c r="D84" s="136"/>
      <c r="E84" s="131"/>
      <c r="F84" s="717"/>
      <c r="G84" s="697"/>
    </row>
    <row r="85" spans="1:7" s="713" customFormat="1" x14ac:dyDescent="0.2">
      <c r="A85" s="695"/>
      <c r="B85" s="698"/>
      <c r="C85" s="119"/>
      <c r="D85" s="144"/>
      <c r="E85" s="131"/>
      <c r="F85" s="717"/>
      <c r="G85" s="697"/>
    </row>
    <row r="86" spans="1:7" s="713" customFormat="1" x14ac:dyDescent="0.2">
      <c r="A86" s="695"/>
      <c r="B86" s="698"/>
      <c r="C86" s="119"/>
      <c r="D86" s="144"/>
      <c r="E86" s="108"/>
      <c r="F86" s="163"/>
      <c r="G86" s="697"/>
    </row>
    <row r="87" spans="1:7" s="713" customFormat="1" x14ac:dyDescent="0.2">
      <c r="A87" s="695"/>
      <c r="B87" s="776"/>
      <c r="C87" s="777"/>
      <c r="D87" s="778"/>
      <c r="E87" s="779"/>
      <c r="F87" s="780"/>
      <c r="G87" s="697"/>
    </row>
    <row r="88" spans="1:7" s="713" customFormat="1" x14ac:dyDescent="0.2">
      <c r="A88" s="695"/>
      <c r="B88" s="698"/>
      <c r="C88" s="119"/>
      <c r="D88" s="136"/>
      <c r="E88" s="108"/>
      <c r="F88" s="163"/>
      <c r="G88" s="697"/>
    </row>
    <row r="89" spans="1:7" s="713" customFormat="1" x14ac:dyDescent="0.2">
      <c r="A89" s="695"/>
      <c r="B89" s="698"/>
      <c r="C89" s="119"/>
      <c r="D89" s="136"/>
      <c r="E89" s="108"/>
      <c r="F89" s="163"/>
      <c r="G89" s="697"/>
    </row>
    <row r="90" spans="1:7" s="713" customFormat="1" x14ac:dyDescent="0.2">
      <c r="A90" s="695"/>
      <c r="B90" s="698"/>
      <c r="C90" s="119"/>
      <c r="D90" s="144"/>
      <c r="E90" s="108"/>
      <c r="F90" s="149"/>
      <c r="G90" s="697"/>
    </row>
    <row r="91" spans="1:7" s="713" customFormat="1" ht="13.5" thickBot="1" x14ac:dyDescent="0.25">
      <c r="A91" s="702"/>
      <c r="B91" s="703"/>
      <c r="C91" s="704"/>
      <c r="D91" s="704"/>
      <c r="E91" s="703"/>
      <c r="F91" s="705" t="s">
        <v>15</v>
      </c>
      <c r="G91" s="706">
        <f>SUM(G59:G90)</f>
        <v>156000</v>
      </c>
    </row>
    <row r="92" spans="1:7" s="713" customFormat="1" ht="13.5" thickTop="1" x14ac:dyDescent="0.2">
      <c r="A92" s="985" t="s">
        <v>2768</v>
      </c>
      <c r="B92" s="1019"/>
      <c r="C92" s="1019"/>
      <c r="D92" s="1019"/>
      <c r="E92" s="1019"/>
      <c r="F92" s="1019"/>
      <c r="G92" s="1020"/>
    </row>
    <row r="93" spans="1:7" s="713" customFormat="1" ht="13.5" thickBot="1" x14ac:dyDescent="0.25">
      <c r="A93" s="707"/>
      <c r="B93" s="708"/>
      <c r="C93" s="708"/>
      <c r="D93" s="709"/>
      <c r="E93" s="708"/>
      <c r="F93" s="198"/>
      <c r="G93" s="199"/>
    </row>
    <row r="94" spans="1:7" s="713" customFormat="1" ht="13.5" thickTop="1" x14ac:dyDescent="0.2">
      <c r="A94" s="1023"/>
      <c r="B94" s="1024"/>
      <c r="C94" s="1024"/>
      <c r="D94" s="344" t="s">
        <v>11</v>
      </c>
      <c r="E94" s="1025" t="s">
        <v>12</v>
      </c>
      <c r="F94" s="1025"/>
      <c r="G94" s="1026"/>
    </row>
    <row r="95" spans="1:7" s="713" customFormat="1" ht="28.5" customHeight="1" x14ac:dyDescent="0.2">
      <c r="A95" s="1010" t="s">
        <v>17</v>
      </c>
      <c r="B95" s="1011"/>
      <c r="C95" s="1011"/>
      <c r="D95" s="121"/>
      <c r="E95" s="1027"/>
      <c r="F95" s="1028"/>
      <c r="G95" s="1029"/>
    </row>
    <row r="96" spans="1:7" s="713" customFormat="1" x14ac:dyDescent="0.2">
      <c r="A96" s="1010" t="s">
        <v>38</v>
      </c>
      <c r="B96" s="1011"/>
      <c r="C96" s="1011"/>
      <c r="D96" s="710" t="s">
        <v>147</v>
      </c>
      <c r="E96" s="1012" t="s">
        <v>142</v>
      </c>
      <c r="F96" s="1012"/>
      <c r="G96" s="1013"/>
    </row>
    <row r="97" spans="1:8" s="713" customFormat="1" ht="13.5" thickBot="1" x14ac:dyDescent="0.25">
      <c r="A97" s="1014" t="s">
        <v>39</v>
      </c>
      <c r="B97" s="1015"/>
      <c r="C97" s="1015"/>
      <c r="D97" s="125" t="s">
        <v>148</v>
      </c>
      <c r="E97" s="1016" t="s">
        <v>0</v>
      </c>
      <c r="F97" s="1017"/>
      <c r="G97" s="1018"/>
    </row>
    <row r="98" spans="1:8" s="713" customFormat="1" ht="16.5" x14ac:dyDescent="0.2">
      <c r="A98" s="997" t="s">
        <v>29</v>
      </c>
      <c r="B98" s="998"/>
      <c r="C98" s="998"/>
      <c r="D98" s="998"/>
      <c r="E98" s="998"/>
      <c r="F98" s="998"/>
      <c r="G98" s="999"/>
      <c r="H98" s="713">
        <v>3</v>
      </c>
    </row>
    <row r="99" spans="1:8" s="713" customFormat="1" x14ac:dyDescent="0.2">
      <c r="A99" s="1000" t="s">
        <v>48</v>
      </c>
      <c r="B99" s="1001"/>
      <c r="C99" s="1001"/>
      <c r="D99" s="1001"/>
      <c r="E99" s="1001"/>
      <c r="F99" s="1001"/>
      <c r="G99" s="1002"/>
      <c r="H99" s="775">
        <v>46118</v>
      </c>
    </row>
    <row r="100" spans="1:8" s="713" customFormat="1" x14ac:dyDescent="0.2">
      <c r="A100" s="1003" t="s">
        <v>49</v>
      </c>
      <c r="B100" s="1004"/>
      <c r="C100" s="1004"/>
      <c r="D100" s="1004"/>
      <c r="E100" s="1004"/>
      <c r="F100" s="1004"/>
      <c r="G100" s="1005"/>
      <c r="H100" s="775">
        <v>46119</v>
      </c>
    </row>
    <row r="101" spans="1:8" s="713" customFormat="1" x14ac:dyDescent="0.2">
      <c r="A101" s="674"/>
      <c r="B101" s="675"/>
      <c r="C101" s="676"/>
      <c r="D101" s="677"/>
      <c r="E101" s="675"/>
      <c r="F101" s="678"/>
      <c r="G101" s="737" t="s">
        <v>334</v>
      </c>
    </row>
    <row r="102" spans="1:8" s="713" customFormat="1" x14ac:dyDescent="0.2">
      <c r="A102" s="680" t="s">
        <v>1</v>
      </c>
      <c r="B102" s="681"/>
      <c r="C102" s="682" t="s">
        <v>7</v>
      </c>
      <c r="D102" s="681"/>
      <c r="E102" s="683" t="s">
        <v>2880</v>
      </c>
      <c r="F102" s="684"/>
      <c r="G102" s="685" t="s">
        <v>2879</v>
      </c>
    </row>
    <row r="103" spans="1:8" s="713" customFormat="1" x14ac:dyDescent="0.2">
      <c r="A103" s="686" t="s">
        <v>8</v>
      </c>
      <c r="B103" s="687"/>
      <c r="C103" s="688"/>
      <c r="D103" s="673"/>
      <c r="E103" s="1006"/>
      <c r="F103" s="1007"/>
      <c r="G103" s="689"/>
    </row>
    <row r="104" spans="1:8" s="713" customFormat="1" x14ac:dyDescent="0.2">
      <c r="A104" s="690" t="s">
        <v>37</v>
      </c>
      <c r="B104" s="261"/>
      <c r="C104" s="261"/>
      <c r="D104" s="261"/>
      <c r="E104" s="691" t="s">
        <v>46</v>
      </c>
      <c r="F104" s="692"/>
      <c r="G104" s="689" t="s">
        <v>50</v>
      </c>
    </row>
    <row r="105" spans="1:8" s="713" customFormat="1" x14ac:dyDescent="0.2">
      <c r="A105" s="674"/>
      <c r="B105" s="675"/>
      <c r="C105" s="676"/>
      <c r="D105" s="676"/>
      <c r="E105" s="1008"/>
      <c r="F105" s="1009"/>
      <c r="G105" s="693"/>
    </row>
    <row r="106" spans="1:8" s="713" customFormat="1" ht="26.25" customHeight="1" thickBot="1" x14ac:dyDescent="0.25">
      <c r="A106" s="694" t="s">
        <v>47</v>
      </c>
      <c r="B106" s="110" t="s">
        <v>23</v>
      </c>
      <c r="C106" s="110" t="s">
        <v>34</v>
      </c>
      <c r="D106" s="110" t="s">
        <v>53</v>
      </c>
      <c r="E106" s="114" t="s">
        <v>54</v>
      </c>
      <c r="F106" s="111" t="s">
        <v>55</v>
      </c>
      <c r="G106" s="112" t="s">
        <v>35</v>
      </c>
      <c r="H106" s="781"/>
    </row>
    <row r="107" spans="1:8" s="713" customFormat="1" ht="13.5" thickTop="1" x14ac:dyDescent="0.2">
      <c r="A107" s="746">
        <v>1</v>
      </c>
      <c r="B107" s="749"/>
      <c r="C107" s="385" t="s">
        <v>177</v>
      </c>
      <c r="D107" s="789" t="s">
        <v>2820</v>
      </c>
      <c r="E107" s="402">
        <v>30</v>
      </c>
      <c r="F107" s="587">
        <v>125</v>
      </c>
      <c r="G107" s="748">
        <f>F107*E107</f>
        <v>3750</v>
      </c>
      <c r="H107" s="782"/>
    </row>
    <row r="108" spans="1:8" s="713" customFormat="1" x14ac:dyDescent="0.2">
      <c r="A108" s="746">
        <v>2</v>
      </c>
      <c r="B108" s="749"/>
      <c r="C108" s="385" t="s">
        <v>177</v>
      </c>
      <c r="D108" s="370" t="s">
        <v>2821</v>
      </c>
      <c r="E108" s="402">
        <v>2</v>
      </c>
      <c r="F108" s="587">
        <v>150</v>
      </c>
      <c r="G108" s="748">
        <f t="shared" ref="G108:G138" si="0">F108*E108</f>
        <v>300</v>
      </c>
      <c r="H108" s="781"/>
    </row>
    <row r="109" spans="1:8" s="713" customFormat="1" x14ac:dyDescent="0.2">
      <c r="A109" s="746">
        <v>3</v>
      </c>
      <c r="B109" s="749"/>
      <c r="C109" s="791" t="s">
        <v>177</v>
      </c>
      <c r="D109" s="715" t="s">
        <v>2822</v>
      </c>
      <c r="E109" s="541">
        <v>1</v>
      </c>
      <c r="F109" s="406">
        <v>120</v>
      </c>
      <c r="G109" s="748">
        <f t="shared" si="0"/>
        <v>120</v>
      </c>
    </row>
    <row r="110" spans="1:8" s="713" customFormat="1" x14ac:dyDescent="0.2">
      <c r="A110" s="746">
        <v>4</v>
      </c>
      <c r="B110" s="749"/>
      <c r="C110" s="385" t="s">
        <v>177</v>
      </c>
      <c r="D110" s="792" t="s">
        <v>2823</v>
      </c>
      <c r="E110" s="407">
        <v>2</v>
      </c>
      <c r="F110" s="587">
        <v>220</v>
      </c>
      <c r="G110" s="748">
        <f t="shared" si="0"/>
        <v>440</v>
      </c>
    </row>
    <row r="111" spans="1:8" s="713" customFormat="1" x14ac:dyDescent="0.2">
      <c r="A111" s="746">
        <v>5</v>
      </c>
      <c r="B111" s="408"/>
      <c r="C111" s="385" t="s">
        <v>177</v>
      </c>
      <c r="D111" s="376" t="s">
        <v>2824</v>
      </c>
      <c r="E111" s="407">
        <v>50</v>
      </c>
      <c r="F111" s="587">
        <v>108</v>
      </c>
      <c r="G111" s="748">
        <f t="shared" si="0"/>
        <v>5400</v>
      </c>
    </row>
    <row r="112" spans="1:8" s="713" customFormat="1" x14ac:dyDescent="0.2">
      <c r="A112" s="746">
        <v>6</v>
      </c>
      <c r="B112" s="408"/>
      <c r="C112" s="385" t="s">
        <v>446</v>
      </c>
      <c r="D112" s="376" t="s">
        <v>2825</v>
      </c>
      <c r="E112" s="407">
        <v>10</v>
      </c>
      <c r="F112" s="587">
        <v>1617</v>
      </c>
      <c r="G112" s="748">
        <f t="shared" si="0"/>
        <v>16170</v>
      </c>
    </row>
    <row r="113" spans="1:7" s="713" customFormat="1" x14ac:dyDescent="0.2">
      <c r="A113" s="746">
        <v>7</v>
      </c>
      <c r="B113" s="408"/>
      <c r="C113" s="385" t="s">
        <v>177</v>
      </c>
      <c r="D113" s="376" t="s">
        <v>2826</v>
      </c>
      <c r="E113" s="407">
        <v>20</v>
      </c>
      <c r="F113" s="411">
        <v>259</v>
      </c>
      <c r="G113" s="748">
        <f t="shared" si="0"/>
        <v>5180</v>
      </c>
    </row>
    <row r="114" spans="1:7" s="713" customFormat="1" x14ac:dyDescent="0.2">
      <c r="A114" s="746">
        <v>8</v>
      </c>
      <c r="B114" s="408"/>
      <c r="C114" s="385" t="s">
        <v>177</v>
      </c>
      <c r="D114" s="383" t="s">
        <v>2827</v>
      </c>
      <c r="E114" s="407">
        <v>20</v>
      </c>
      <c r="F114" s="411">
        <v>140</v>
      </c>
      <c r="G114" s="748">
        <f t="shared" si="0"/>
        <v>2800</v>
      </c>
    </row>
    <row r="115" spans="1:7" s="713" customFormat="1" x14ac:dyDescent="0.2">
      <c r="A115" s="746">
        <v>9</v>
      </c>
      <c r="B115" s="749"/>
      <c r="C115" s="385" t="s">
        <v>185</v>
      </c>
      <c r="D115" s="383" t="s">
        <v>2851</v>
      </c>
      <c r="E115" s="750">
        <v>20</v>
      </c>
      <c r="F115" s="587">
        <v>42</v>
      </c>
      <c r="G115" s="748">
        <f t="shared" si="0"/>
        <v>840</v>
      </c>
    </row>
    <row r="116" spans="1:7" s="713" customFormat="1" x14ac:dyDescent="0.2">
      <c r="A116" s="746"/>
      <c r="B116" s="413"/>
      <c r="C116" s="385"/>
      <c r="D116" s="376" t="s">
        <v>2852</v>
      </c>
      <c r="E116" s="423"/>
      <c r="F116" s="587"/>
      <c r="G116" s="748"/>
    </row>
    <row r="117" spans="1:7" s="713" customFormat="1" x14ac:dyDescent="0.2">
      <c r="A117" s="746">
        <v>10</v>
      </c>
      <c r="B117" s="408"/>
      <c r="C117" s="385" t="s">
        <v>177</v>
      </c>
      <c r="D117" s="376" t="s">
        <v>2828</v>
      </c>
      <c r="E117" s="543">
        <v>5</v>
      </c>
      <c r="F117" s="415">
        <v>695</v>
      </c>
      <c r="G117" s="748">
        <f t="shared" si="0"/>
        <v>3475</v>
      </c>
    </row>
    <row r="118" spans="1:7" s="713" customFormat="1" x14ac:dyDescent="0.2">
      <c r="A118" s="746">
        <v>11</v>
      </c>
      <c r="B118" s="751"/>
      <c r="C118" s="385" t="s">
        <v>177</v>
      </c>
      <c r="D118" s="376" t="s">
        <v>2829</v>
      </c>
      <c r="E118" s="407">
        <v>3</v>
      </c>
      <c r="F118" s="587">
        <v>675</v>
      </c>
      <c r="G118" s="748">
        <f t="shared" si="0"/>
        <v>2025</v>
      </c>
    </row>
    <row r="119" spans="1:7" s="713" customFormat="1" x14ac:dyDescent="0.2">
      <c r="A119" s="746">
        <v>12</v>
      </c>
      <c r="B119" s="751"/>
      <c r="C119" s="385" t="s">
        <v>177</v>
      </c>
      <c r="D119" s="376" t="s">
        <v>2830</v>
      </c>
      <c r="E119" s="407">
        <v>1</v>
      </c>
      <c r="F119" s="587">
        <v>950</v>
      </c>
      <c r="G119" s="748">
        <f t="shared" si="0"/>
        <v>950</v>
      </c>
    </row>
    <row r="120" spans="1:7" s="713" customFormat="1" x14ac:dyDescent="0.2">
      <c r="A120" s="746">
        <v>13</v>
      </c>
      <c r="B120" s="749"/>
      <c r="C120" s="135" t="s">
        <v>177</v>
      </c>
      <c r="D120" s="259" t="s">
        <v>2831</v>
      </c>
      <c r="E120" s="244">
        <v>2</v>
      </c>
      <c r="F120" s="587">
        <v>220</v>
      </c>
      <c r="G120" s="748">
        <f t="shared" si="0"/>
        <v>440</v>
      </c>
    </row>
    <row r="121" spans="1:7" s="713" customFormat="1" x14ac:dyDescent="0.2">
      <c r="A121" s="746">
        <v>14</v>
      </c>
      <c r="B121" s="749"/>
      <c r="C121" s="135" t="s">
        <v>177</v>
      </c>
      <c r="D121" s="376" t="s">
        <v>2832</v>
      </c>
      <c r="E121" s="543">
        <v>1</v>
      </c>
      <c r="F121" s="587">
        <v>975</v>
      </c>
      <c r="G121" s="748">
        <f t="shared" si="0"/>
        <v>975</v>
      </c>
    </row>
    <row r="122" spans="1:7" s="713" customFormat="1" x14ac:dyDescent="0.2">
      <c r="A122" s="746">
        <v>15</v>
      </c>
      <c r="B122" s="413"/>
      <c r="C122" s="135" t="s">
        <v>177</v>
      </c>
      <c r="D122" s="376" t="s">
        <v>2833</v>
      </c>
      <c r="E122" s="772">
        <v>2</v>
      </c>
      <c r="F122" s="752">
        <v>360</v>
      </c>
      <c r="G122" s="748">
        <f t="shared" si="0"/>
        <v>720</v>
      </c>
    </row>
    <row r="123" spans="1:7" s="713" customFormat="1" x14ac:dyDescent="0.2">
      <c r="A123" s="746">
        <v>16</v>
      </c>
      <c r="B123" s="408"/>
      <c r="C123" s="385" t="s">
        <v>177</v>
      </c>
      <c r="D123" s="383" t="s">
        <v>2853</v>
      </c>
      <c r="E123" s="772">
        <v>50</v>
      </c>
      <c r="F123" s="752">
        <v>119.5</v>
      </c>
      <c r="G123" s="748">
        <f t="shared" si="0"/>
        <v>5975</v>
      </c>
    </row>
    <row r="124" spans="1:7" s="713" customFormat="1" x14ac:dyDescent="0.2">
      <c r="A124" s="746"/>
      <c r="B124" s="408"/>
      <c r="C124" s="385"/>
      <c r="D124" s="376" t="s">
        <v>2854</v>
      </c>
      <c r="E124" s="423"/>
      <c r="F124" s="752"/>
      <c r="G124" s="748"/>
    </row>
    <row r="125" spans="1:7" s="713" customFormat="1" x14ac:dyDescent="0.2">
      <c r="A125" s="746">
        <v>17</v>
      </c>
      <c r="B125" s="408"/>
      <c r="C125" s="385" t="s">
        <v>177</v>
      </c>
      <c r="D125" s="376" t="s">
        <v>2834</v>
      </c>
      <c r="E125" s="423">
        <v>1</v>
      </c>
      <c r="F125" s="752">
        <v>220</v>
      </c>
      <c r="G125" s="748">
        <f t="shared" si="0"/>
        <v>220</v>
      </c>
    </row>
    <row r="126" spans="1:7" s="713" customFormat="1" x14ac:dyDescent="0.2">
      <c r="A126" s="746">
        <v>18</v>
      </c>
      <c r="B126" s="798"/>
      <c r="C126" s="794" t="s">
        <v>177</v>
      </c>
      <c r="D126" s="787" t="s">
        <v>2872</v>
      </c>
      <c r="E126" s="801">
        <v>1</v>
      </c>
      <c r="F126" s="802">
        <v>2700</v>
      </c>
      <c r="G126" s="748">
        <f t="shared" si="0"/>
        <v>2700</v>
      </c>
    </row>
    <row r="127" spans="1:7" s="713" customFormat="1" x14ac:dyDescent="0.2">
      <c r="A127" s="746">
        <v>19</v>
      </c>
      <c r="B127" s="408"/>
      <c r="C127" s="385" t="s">
        <v>177</v>
      </c>
      <c r="D127" s="376" t="s">
        <v>2855</v>
      </c>
      <c r="E127" s="423">
        <v>40</v>
      </c>
      <c r="F127" s="752">
        <v>615</v>
      </c>
      <c r="G127" s="748">
        <f t="shared" si="0"/>
        <v>24600</v>
      </c>
    </row>
    <row r="128" spans="1:7" s="713" customFormat="1" x14ac:dyDescent="0.2">
      <c r="A128" s="746"/>
      <c r="B128" s="408"/>
      <c r="C128" s="385"/>
      <c r="D128" s="376" t="s">
        <v>2856</v>
      </c>
      <c r="E128" s="423"/>
      <c r="F128" s="752"/>
      <c r="G128" s="748"/>
    </row>
    <row r="129" spans="1:7" s="713" customFormat="1" x14ac:dyDescent="0.2">
      <c r="A129" s="746">
        <v>20</v>
      </c>
      <c r="B129" s="749"/>
      <c r="C129" s="385" t="s">
        <v>177</v>
      </c>
      <c r="D129" s="376" t="s">
        <v>2835</v>
      </c>
      <c r="E129" s="423">
        <v>2</v>
      </c>
      <c r="F129" s="752">
        <v>420</v>
      </c>
      <c r="G129" s="748">
        <f t="shared" si="0"/>
        <v>840</v>
      </c>
    </row>
    <row r="130" spans="1:7" s="713" customFormat="1" x14ac:dyDescent="0.2">
      <c r="A130" s="746">
        <v>21</v>
      </c>
      <c r="B130" s="749"/>
      <c r="C130" s="385" t="s">
        <v>177</v>
      </c>
      <c r="D130" s="376" t="s">
        <v>2836</v>
      </c>
      <c r="E130" s="423">
        <v>3</v>
      </c>
      <c r="F130" s="752">
        <v>295</v>
      </c>
      <c r="G130" s="748">
        <f t="shared" si="0"/>
        <v>885</v>
      </c>
    </row>
    <row r="131" spans="1:7" s="713" customFormat="1" x14ac:dyDescent="0.2">
      <c r="A131" s="746">
        <v>22</v>
      </c>
      <c r="B131" s="749"/>
      <c r="C131" s="385" t="s">
        <v>177</v>
      </c>
      <c r="D131" s="376" t="s">
        <v>2837</v>
      </c>
      <c r="E131" s="423">
        <v>1</v>
      </c>
      <c r="F131" s="752">
        <v>150</v>
      </c>
      <c r="G131" s="748">
        <f t="shared" si="0"/>
        <v>150</v>
      </c>
    </row>
    <row r="132" spans="1:7" s="713" customFormat="1" x14ac:dyDescent="0.2">
      <c r="A132" s="746">
        <v>23</v>
      </c>
      <c r="B132" s="749"/>
      <c r="C132" s="385" t="s">
        <v>177</v>
      </c>
      <c r="D132" s="376" t="s">
        <v>2838</v>
      </c>
      <c r="E132" s="423">
        <v>2</v>
      </c>
      <c r="F132" s="752">
        <v>90</v>
      </c>
      <c r="G132" s="748">
        <f t="shared" si="0"/>
        <v>180</v>
      </c>
    </row>
    <row r="133" spans="1:7" s="713" customFormat="1" x14ac:dyDescent="0.2">
      <c r="A133" s="746">
        <v>24</v>
      </c>
      <c r="B133" s="749"/>
      <c r="C133" s="385" t="s">
        <v>177</v>
      </c>
      <c r="D133" s="376" t="s">
        <v>2839</v>
      </c>
      <c r="E133" s="423">
        <v>5</v>
      </c>
      <c r="F133" s="752">
        <v>630</v>
      </c>
      <c r="G133" s="748">
        <f t="shared" si="0"/>
        <v>3150</v>
      </c>
    </row>
    <row r="134" spans="1:7" s="713" customFormat="1" x14ac:dyDescent="0.2">
      <c r="A134" s="746">
        <v>25</v>
      </c>
      <c r="B134" s="749"/>
      <c r="C134" s="385" t="s">
        <v>177</v>
      </c>
      <c r="D134" s="383" t="s">
        <v>2840</v>
      </c>
      <c r="E134" s="423">
        <v>1</v>
      </c>
      <c r="F134" s="752">
        <v>360</v>
      </c>
      <c r="G134" s="748">
        <f t="shared" si="0"/>
        <v>360</v>
      </c>
    </row>
    <row r="135" spans="1:7" s="713" customFormat="1" x14ac:dyDescent="0.2">
      <c r="A135" s="746">
        <v>26</v>
      </c>
      <c r="B135" s="749"/>
      <c r="C135" s="385" t="s">
        <v>177</v>
      </c>
      <c r="D135" s="383" t="s">
        <v>2841</v>
      </c>
      <c r="E135" s="407">
        <v>1</v>
      </c>
      <c r="F135" s="587">
        <v>900</v>
      </c>
      <c r="G135" s="748">
        <f t="shared" si="0"/>
        <v>900</v>
      </c>
    </row>
    <row r="136" spans="1:7" s="713" customFormat="1" x14ac:dyDescent="0.2">
      <c r="A136" s="746">
        <v>27</v>
      </c>
      <c r="B136" s="793"/>
      <c r="C136" s="794" t="s">
        <v>177</v>
      </c>
      <c r="D136" s="795" t="s">
        <v>2842</v>
      </c>
      <c r="E136" s="796">
        <v>1</v>
      </c>
      <c r="F136" s="797">
        <v>1150</v>
      </c>
      <c r="G136" s="748">
        <f t="shared" si="0"/>
        <v>1150</v>
      </c>
    </row>
    <row r="137" spans="1:7" s="713" customFormat="1" x14ac:dyDescent="0.2">
      <c r="A137" s="746">
        <v>28</v>
      </c>
      <c r="B137" s="749"/>
      <c r="C137" s="385" t="s">
        <v>177</v>
      </c>
      <c r="D137" s="376" t="s">
        <v>2843</v>
      </c>
      <c r="E137" s="407">
        <v>2</v>
      </c>
      <c r="F137" s="587">
        <v>550</v>
      </c>
      <c r="G137" s="748">
        <f t="shared" si="0"/>
        <v>1100</v>
      </c>
    </row>
    <row r="138" spans="1:7" s="713" customFormat="1" x14ac:dyDescent="0.2">
      <c r="A138" s="746">
        <v>29</v>
      </c>
      <c r="B138" s="749"/>
      <c r="C138" s="385" t="s">
        <v>185</v>
      </c>
      <c r="D138" s="376" t="s">
        <v>2844</v>
      </c>
      <c r="E138" s="407">
        <v>20</v>
      </c>
      <c r="F138" s="587">
        <v>47.5</v>
      </c>
      <c r="G138" s="748">
        <f t="shared" si="0"/>
        <v>950</v>
      </c>
    </row>
    <row r="139" spans="1:7" s="713" customFormat="1" ht="13.5" thickBot="1" x14ac:dyDescent="0.25">
      <c r="A139" s="702"/>
      <c r="B139" s="703"/>
      <c r="C139" s="704"/>
      <c r="D139" s="704"/>
      <c r="E139" s="703"/>
      <c r="F139" s="705" t="s">
        <v>158</v>
      </c>
      <c r="G139" s="706">
        <f>SUM(G107:G138)</f>
        <v>86745</v>
      </c>
    </row>
    <row r="140" spans="1:7" s="713" customFormat="1" ht="13.5" thickTop="1" x14ac:dyDescent="0.2">
      <c r="A140" s="985" t="s">
        <v>2768</v>
      </c>
      <c r="B140" s="1019"/>
      <c r="C140" s="1019"/>
      <c r="D140" s="1019"/>
      <c r="E140" s="1019"/>
      <c r="F140" s="1019"/>
      <c r="G140" s="1020"/>
    </row>
    <row r="141" spans="1:7" s="713" customFormat="1" ht="13.5" thickBot="1" x14ac:dyDescent="0.25">
      <c r="A141" s="707"/>
      <c r="B141" s="708"/>
      <c r="C141" s="708"/>
      <c r="D141" s="709"/>
      <c r="E141" s="708"/>
      <c r="F141" s="198"/>
      <c r="G141" s="199"/>
    </row>
    <row r="142" spans="1:7" s="713" customFormat="1" ht="13.5" thickTop="1" x14ac:dyDescent="0.2">
      <c r="A142" s="1023"/>
      <c r="B142" s="1024"/>
      <c r="C142" s="1024"/>
      <c r="D142" s="344" t="s">
        <v>11</v>
      </c>
      <c r="E142" s="1025" t="s">
        <v>12</v>
      </c>
      <c r="F142" s="1025"/>
      <c r="G142" s="1026"/>
    </row>
    <row r="143" spans="1:7" s="713" customFormat="1" ht="28.5" customHeight="1" x14ac:dyDescent="0.2">
      <c r="A143" s="1010" t="s">
        <v>17</v>
      </c>
      <c r="B143" s="1011"/>
      <c r="C143" s="1011"/>
      <c r="D143" s="121"/>
      <c r="E143" s="1027"/>
      <c r="F143" s="1028"/>
      <c r="G143" s="1029"/>
    </row>
    <row r="144" spans="1:7" s="713" customFormat="1" x14ac:dyDescent="0.2">
      <c r="A144" s="1010" t="s">
        <v>38</v>
      </c>
      <c r="B144" s="1011"/>
      <c r="C144" s="1011"/>
      <c r="D144" s="710" t="s">
        <v>147</v>
      </c>
      <c r="E144" s="1012" t="s">
        <v>142</v>
      </c>
      <c r="F144" s="1012"/>
      <c r="G144" s="1013"/>
    </row>
    <row r="145" spans="1:8" s="713" customFormat="1" ht="13.5" thickBot="1" x14ac:dyDescent="0.25">
      <c r="A145" s="1014" t="s">
        <v>39</v>
      </c>
      <c r="B145" s="1015"/>
      <c r="C145" s="1015"/>
      <c r="D145" s="125" t="s">
        <v>148</v>
      </c>
      <c r="E145" s="1016" t="s">
        <v>0</v>
      </c>
      <c r="F145" s="1017"/>
      <c r="G145" s="1018"/>
    </row>
    <row r="146" spans="1:8" s="713" customFormat="1" ht="16.5" x14ac:dyDescent="0.2">
      <c r="A146" s="997" t="s">
        <v>29</v>
      </c>
      <c r="B146" s="998"/>
      <c r="C146" s="998"/>
      <c r="D146" s="998"/>
      <c r="E146" s="998"/>
      <c r="F146" s="998"/>
      <c r="G146" s="999"/>
      <c r="H146" s="713">
        <v>4</v>
      </c>
    </row>
    <row r="147" spans="1:8" s="713" customFormat="1" x14ac:dyDescent="0.2">
      <c r="A147" s="1000" t="s">
        <v>48</v>
      </c>
      <c r="B147" s="1001"/>
      <c r="C147" s="1001"/>
      <c r="D147" s="1001"/>
      <c r="E147" s="1001"/>
      <c r="F147" s="1001"/>
      <c r="G147" s="1002"/>
      <c r="H147" s="775">
        <v>46118</v>
      </c>
    </row>
    <row r="148" spans="1:8" s="713" customFormat="1" x14ac:dyDescent="0.2">
      <c r="A148" s="1003" t="s">
        <v>49</v>
      </c>
      <c r="B148" s="1004"/>
      <c r="C148" s="1004"/>
      <c r="D148" s="1004"/>
      <c r="E148" s="1004"/>
      <c r="F148" s="1004"/>
      <c r="G148" s="1005"/>
    </row>
    <row r="149" spans="1:8" s="713" customFormat="1" x14ac:dyDescent="0.2">
      <c r="A149" s="674"/>
      <c r="B149" s="675"/>
      <c r="C149" s="676"/>
      <c r="D149" s="677"/>
      <c r="E149" s="675"/>
      <c r="F149" s="678"/>
      <c r="G149" s="737" t="s">
        <v>335</v>
      </c>
    </row>
    <row r="150" spans="1:8" s="713" customFormat="1" x14ac:dyDescent="0.2">
      <c r="A150" s="680" t="s">
        <v>1</v>
      </c>
      <c r="B150" s="681"/>
      <c r="C150" s="682" t="s">
        <v>7</v>
      </c>
      <c r="D150" s="681"/>
      <c r="E150" s="683" t="s">
        <v>2880</v>
      </c>
      <c r="F150" s="684"/>
      <c r="G150" s="685" t="s">
        <v>2879</v>
      </c>
    </row>
    <row r="151" spans="1:8" s="713" customFormat="1" x14ac:dyDescent="0.2">
      <c r="A151" s="686" t="s">
        <v>8</v>
      </c>
      <c r="B151" s="687"/>
      <c r="C151" s="688"/>
      <c r="D151" s="673"/>
      <c r="E151" s="1006"/>
      <c r="F151" s="1007"/>
      <c r="G151" s="689"/>
    </row>
    <row r="152" spans="1:8" s="713" customFormat="1" x14ac:dyDescent="0.2">
      <c r="A152" s="690" t="s">
        <v>37</v>
      </c>
      <c r="B152" s="261"/>
      <c r="C152" s="261"/>
      <c r="D152" s="261"/>
      <c r="E152" s="691" t="s">
        <v>46</v>
      </c>
      <c r="F152" s="692"/>
      <c r="G152" s="689" t="s">
        <v>50</v>
      </c>
    </row>
    <row r="153" spans="1:8" s="713" customFormat="1" x14ac:dyDescent="0.2">
      <c r="A153" s="674"/>
      <c r="B153" s="675"/>
      <c r="C153" s="676"/>
      <c r="D153" s="676"/>
      <c r="E153" s="1008"/>
      <c r="F153" s="1009"/>
      <c r="G153" s="693"/>
    </row>
    <row r="154" spans="1:8" s="713" customFormat="1" ht="26.25" customHeight="1" thickBot="1" x14ac:dyDescent="0.25">
      <c r="A154" s="694" t="s">
        <v>47</v>
      </c>
      <c r="B154" s="110" t="s">
        <v>23</v>
      </c>
      <c r="C154" s="110" t="s">
        <v>34</v>
      </c>
      <c r="D154" s="110" t="s">
        <v>53</v>
      </c>
      <c r="E154" s="114" t="s">
        <v>54</v>
      </c>
      <c r="F154" s="111" t="s">
        <v>55</v>
      </c>
      <c r="G154" s="112" t="s">
        <v>35</v>
      </c>
      <c r="H154" s="781"/>
    </row>
    <row r="155" spans="1:8" s="713" customFormat="1" ht="13.5" thickTop="1" x14ac:dyDescent="0.2">
      <c r="A155" s="746"/>
      <c r="B155" s="749"/>
      <c r="C155" s="385"/>
      <c r="D155" s="790" t="s">
        <v>160</v>
      </c>
      <c r="E155" s="402"/>
      <c r="F155" s="587"/>
      <c r="G155" s="728">
        <f>G139</f>
        <v>86745</v>
      </c>
      <c r="H155" s="782"/>
    </row>
    <row r="156" spans="1:8" s="713" customFormat="1" x14ac:dyDescent="0.2">
      <c r="A156" s="746">
        <v>30</v>
      </c>
      <c r="B156" s="749"/>
      <c r="C156" s="385" t="s">
        <v>177</v>
      </c>
      <c r="D156" s="370" t="s">
        <v>2857</v>
      </c>
      <c r="E156" s="402">
        <v>50</v>
      </c>
      <c r="F156" s="587">
        <v>1480</v>
      </c>
      <c r="G156" s="748">
        <f>F156*E156</f>
        <v>74000</v>
      </c>
      <c r="H156" s="781"/>
    </row>
    <row r="157" spans="1:8" s="713" customFormat="1" x14ac:dyDescent="0.2">
      <c r="A157" s="746"/>
      <c r="B157" s="749"/>
      <c r="C157" s="791"/>
      <c r="D157" s="715" t="s">
        <v>2858</v>
      </c>
      <c r="E157" s="541"/>
      <c r="F157" s="406"/>
      <c r="G157" s="748"/>
    </row>
    <row r="158" spans="1:8" s="713" customFormat="1" x14ac:dyDescent="0.2">
      <c r="A158" s="746">
        <v>31</v>
      </c>
      <c r="B158" s="749"/>
      <c r="C158" s="421" t="s">
        <v>2845</v>
      </c>
      <c r="D158" s="792" t="s">
        <v>2859</v>
      </c>
      <c r="E158" s="407">
        <v>20</v>
      </c>
      <c r="F158" s="587">
        <v>795</v>
      </c>
      <c r="G158" s="748">
        <f t="shared" ref="G158:G174" si="1">F158*E158</f>
        <v>15900</v>
      </c>
    </row>
    <row r="159" spans="1:8" s="713" customFormat="1" x14ac:dyDescent="0.2">
      <c r="A159" s="746"/>
      <c r="B159" s="408"/>
      <c r="C159" s="385"/>
      <c r="D159" s="376" t="s">
        <v>2860</v>
      </c>
      <c r="E159" s="407"/>
      <c r="F159" s="587"/>
      <c r="G159" s="748"/>
    </row>
    <row r="160" spans="1:8" s="713" customFormat="1" x14ac:dyDescent="0.2">
      <c r="A160" s="746">
        <v>32</v>
      </c>
      <c r="B160" s="408"/>
      <c r="C160" s="385" t="s">
        <v>177</v>
      </c>
      <c r="D160" s="376" t="s">
        <v>2846</v>
      </c>
      <c r="E160" s="407">
        <v>15</v>
      </c>
      <c r="F160" s="587">
        <v>169.5</v>
      </c>
      <c r="G160" s="748">
        <f t="shared" si="1"/>
        <v>2542.5</v>
      </c>
    </row>
    <row r="161" spans="1:13" s="713" customFormat="1" x14ac:dyDescent="0.2">
      <c r="A161" s="746">
        <v>33</v>
      </c>
      <c r="B161" s="408"/>
      <c r="C161" s="385" t="s">
        <v>177</v>
      </c>
      <c r="D161" s="376" t="s">
        <v>2847</v>
      </c>
      <c r="E161" s="407">
        <v>2</v>
      </c>
      <c r="F161" s="411">
        <v>827.5</v>
      </c>
      <c r="G161" s="748">
        <f t="shared" si="1"/>
        <v>1655</v>
      </c>
    </row>
    <row r="162" spans="1:13" s="713" customFormat="1" x14ac:dyDescent="0.2">
      <c r="A162" s="746">
        <v>34</v>
      </c>
      <c r="B162" s="408"/>
      <c r="C162" s="385" t="s">
        <v>177</v>
      </c>
      <c r="D162" s="383" t="s">
        <v>2861</v>
      </c>
      <c r="E162" s="407">
        <v>30</v>
      </c>
      <c r="F162" s="411">
        <v>575</v>
      </c>
      <c r="G162" s="748">
        <f t="shared" si="1"/>
        <v>17250</v>
      </c>
    </row>
    <row r="163" spans="1:13" s="713" customFormat="1" x14ac:dyDescent="0.2">
      <c r="A163" s="746"/>
      <c r="B163" s="798"/>
      <c r="C163" s="794"/>
      <c r="D163" s="795" t="s">
        <v>2862</v>
      </c>
      <c r="E163" s="796"/>
      <c r="F163" s="799"/>
      <c r="G163" s="748"/>
    </row>
    <row r="164" spans="1:13" s="713" customFormat="1" x14ac:dyDescent="0.2">
      <c r="A164" s="746">
        <v>35</v>
      </c>
      <c r="B164" s="749"/>
      <c r="C164" s="385" t="s">
        <v>177</v>
      </c>
      <c r="D164" s="383" t="s">
        <v>2861</v>
      </c>
      <c r="E164" s="750">
        <v>20</v>
      </c>
      <c r="F164" s="587">
        <v>920</v>
      </c>
      <c r="G164" s="748">
        <f t="shared" si="1"/>
        <v>18400</v>
      </c>
    </row>
    <row r="165" spans="1:13" s="713" customFormat="1" x14ac:dyDescent="0.2">
      <c r="A165" s="746"/>
      <c r="B165" s="793"/>
      <c r="C165" s="794"/>
      <c r="D165" s="795" t="s">
        <v>2863</v>
      </c>
      <c r="E165" s="800"/>
      <c r="F165" s="797"/>
      <c r="G165" s="748"/>
    </row>
    <row r="166" spans="1:13" s="713" customFormat="1" x14ac:dyDescent="0.2">
      <c r="A166" s="746">
        <v>36</v>
      </c>
      <c r="B166" s="413"/>
      <c r="C166" s="385" t="s">
        <v>177</v>
      </c>
      <c r="D166" s="376" t="s">
        <v>2864</v>
      </c>
      <c r="E166" s="423">
        <v>30</v>
      </c>
      <c r="F166" s="587">
        <v>475</v>
      </c>
      <c r="G166" s="748">
        <f t="shared" si="1"/>
        <v>14250</v>
      </c>
    </row>
    <row r="167" spans="1:13" s="713" customFormat="1" x14ac:dyDescent="0.2">
      <c r="A167" s="746"/>
      <c r="B167" s="408"/>
      <c r="C167" s="385"/>
      <c r="D167" s="376" t="s">
        <v>2865</v>
      </c>
      <c r="E167" s="543"/>
      <c r="F167" s="415"/>
      <c r="G167" s="748"/>
    </row>
    <row r="168" spans="1:13" s="713" customFormat="1" x14ac:dyDescent="0.2">
      <c r="A168" s="746">
        <v>37</v>
      </c>
      <c r="B168" s="751"/>
      <c r="C168" s="385" t="s">
        <v>177</v>
      </c>
      <c r="D168" s="376" t="s">
        <v>2866</v>
      </c>
      <c r="E168" s="407">
        <v>20</v>
      </c>
      <c r="F168" s="587">
        <v>240</v>
      </c>
      <c r="G168" s="748">
        <f t="shared" si="1"/>
        <v>4800</v>
      </c>
    </row>
    <row r="169" spans="1:13" s="713" customFormat="1" x14ac:dyDescent="0.2">
      <c r="A169" s="746"/>
      <c r="B169" s="751"/>
      <c r="C169" s="385"/>
      <c r="D169" s="376" t="s">
        <v>2867</v>
      </c>
      <c r="E169" s="407"/>
      <c r="F169" s="587"/>
      <c r="G169" s="748"/>
    </row>
    <row r="170" spans="1:13" s="713" customFormat="1" x14ac:dyDescent="0.2">
      <c r="A170" s="746">
        <v>38</v>
      </c>
      <c r="B170" s="749"/>
      <c r="C170" s="135" t="s">
        <v>375</v>
      </c>
      <c r="D170" s="259" t="s">
        <v>2848</v>
      </c>
      <c r="E170" s="244">
        <v>300</v>
      </c>
      <c r="F170" s="587">
        <v>275</v>
      </c>
      <c r="G170" s="748">
        <f t="shared" si="1"/>
        <v>82500</v>
      </c>
    </row>
    <row r="171" spans="1:13" s="713" customFormat="1" x14ac:dyDescent="0.2">
      <c r="A171" s="746">
        <v>39</v>
      </c>
      <c r="B171" s="749"/>
      <c r="C171" s="385" t="s">
        <v>177</v>
      </c>
      <c r="D171" s="376" t="s">
        <v>2849</v>
      </c>
      <c r="E171" s="543">
        <v>20</v>
      </c>
      <c r="F171" s="587">
        <v>125</v>
      </c>
      <c r="G171" s="748">
        <f t="shared" si="1"/>
        <v>2500</v>
      </c>
    </row>
    <row r="172" spans="1:13" s="713" customFormat="1" x14ac:dyDescent="0.2">
      <c r="A172" s="746">
        <v>40</v>
      </c>
      <c r="B172" s="413"/>
      <c r="C172" s="385" t="s">
        <v>375</v>
      </c>
      <c r="D172" s="376" t="s">
        <v>2868</v>
      </c>
      <c r="E172" s="772">
        <v>100</v>
      </c>
      <c r="F172" s="752">
        <v>106.5</v>
      </c>
      <c r="G172" s="748">
        <f t="shared" si="1"/>
        <v>10650</v>
      </c>
    </row>
    <row r="173" spans="1:13" s="713" customFormat="1" x14ac:dyDescent="0.2">
      <c r="A173" s="746"/>
      <c r="B173" s="408"/>
      <c r="C173" s="385"/>
      <c r="D173" s="383" t="s">
        <v>2869</v>
      </c>
      <c r="E173" s="772"/>
      <c r="F173" s="752"/>
      <c r="G173" s="748"/>
    </row>
    <row r="174" spans="1:13" s="713" customFormat="1" x14ac:dyDescent="0.2">
      <c r="A174" s="746">
        <v>41</v>
      </c>
      <c r="B174" s="408"/>
      <c r="C174" s="385" t="s">
        <v>177</v>
      </c>
      <c r="D174" s="376" t="s">
        <v>2850</v>
      </c>
      <c r="E174" s="423">
        <v>10</v>
      </c>
      <c r="F174" s="752">
        <v>295</v>
      </c>
      <c r="G174" s="748">
        <f t="shared" si="1"/>
        <v>2950</v>
      </c>
    </row>
    <row r="175" spans="1:13" s="713" customFormat="1" x14ac:dyDescent="0.2">
      <c r="A175" s="746"/>
      <c r="B175" s="408"/>
      <c r="C175" s="385"/>
      <c r="D175" s="376"/>
      <c r="E175" s="423"/>
      <c r="F175" s="752"/>
      <c r="G175" s="748"/>
      <c r="I175" s="385" t="s">
        <v>177</v>
      </c>
      <c r="J175" s="376" t="s">
        <v>2870</v>
      </c>
      <c r="K175" s="423">
        <v>10</v>
      </c>
      <c r="L175" s="752">
        <v>1350</v>
      </c>
      <c r="M175" s="713">
        <v>0</v>
      </c>
    </row>
    <row r="176" spans="1:13" s="713" customFormat="1" x14ac:dyDescent="0.2">
      <c r="A176" s="746"/>
      <c r="B176" s="408"/>
      <c r="C176" s="385"/>
      <c r="D176" s="376"/>
      <c r="E176" s="423"/>
      <c r="F176" s="752"/>
      <c r="G176" s="748"/>
      <c r="I176" s="385"/>
      <c r="J176" s="376" t="s">
        <v>2871</v>
      </c>
      <c r="K176" s="423"/>
      <c r="L176" s="752"/>
    </row>
    <row r="177" spans="1:7" s="713" customFormat="1" x14ac:dyDescent="0.2">
      <c r="A177" s="746"/>
      <c r="B177" s="408"/>
      <c r="C177" s="385"/>
      <c r="D177" s="376"/>
      <c r="E177" s="423"/>
      <c r="F177" s="752"/>
      <c r="G177" s="748"/>
    </row>
    <row r="178" spans="1:7" s="713" customFormat="1" x14ac:dyDescent="0.2">
      <c r="A178" s="746"/>
      <c r="B178" s="749"/>
      <c r="C178" s="385"/>
      <c r="D178" s="376"/>
      <c r="E178" s="423"/>
      <c r="F178" s="752"/>
      <c r="G178" s="748"/>
    </row>
    <row r="179" spans="1:7" s="713" customFormat="1" x14ac:dyDescent="0.2">
      <c r="A179" s="746"/>
      <c r="B179" s="749"/>
      <c r="C179" s="385"/>
      <c r="D179" s="376"/>
      <c r="E179" s="423"/>
      <c r="F179" s="752"/>
      <c r="G179" s="748"/>
    </row>
    <row r="180" spans="1:7" s="713" customFormat="1" x14ac:dyDescent="0.2">
      <c r="A180" s="746"/>
      <c r="B180" s="749"/>
      <c r="C180" s="385"/>
      <c r="D180" s="376"/>
      <c r="E180" s="423"/>
      <c r="F180" s="752"/>
      <c r="G180" s="748"/>
    </row>
    <row r="181" spans="1:7" s="713" customFormat="1" x14ac:dyDescent="0.2">
      <c r="A181" s="746"/>
      <c r="B181" s="749"/>
      <c r="C181" s="385"/>
      <c r="D181" s="376"/>
      <c r="E181" s="423"/>
      <c r="F181" s="752"/>
      <c r="G181" s="748"/>
    </row>
    <row r="182" spans="1:7" s="713" customFormat="1" x14ac:dyDescent="0.2">
      <c r="A182" s="746"/>
      <c r="B182" s="749"/>
      <c r="C182" s="385"/>
      <c r="D182" s="376"/>
      <c r="E182" s="423"/>
      <c r="F182" s="752"/>
      <c r="G182" s="748"/>
    </row>
    <row r="183" spans="1:7" s="713" customFormat="1" x14ac:dyDescent="0.2">
      <c r="A183" s="746"/>
      <c r="B183" s="793"/>
      <c r="C183" s="794"/>
      <c r="D183" s="795"/>
      <c r="E183" s="796"/>
      <c r="F183" s="797"/>
      <c r="G183" s="748"/>
    </row>
    <row r="184" spans="1:7" s="713" customFormat="1" x14ac:dyDescent="0.2">
      <c r="A184" s="746"/>
      <c r="B184" s="793"/>
      <c r="C184" s="794"/>
      <c r="D184" s="795"/>
      <c r="E184" s="796"/>
      <c r="F184" s="797"/>
      <c r="G184" s="748"/>
    </row>
    <row r="185" spans="1:7" s="713" customFormat="1" x14ac:dyDescent="0.2">
      <c r="A185" s="746"/>
      <c r="B185" s="749"/>
      <c r="C185" s="385"/>
      <c r="D185" s="376"/>
      <c r="E185" s="407"/>
      <c r="F185" s="587"/>
      <c r="G185" s="748"/>
    </row>
    <row r="186" spans="1:7" s="713" customFormat="1" x14ac:dyDescent="0.2">
      <c r="A186" s="746"/>
      <c r="B186" s="749"/>
      <c r="C186" s="385"/>
      <c r="D186" s="376"/>
      <c r="E186" s="407"/>
      <c r="F186" s="587"/>
      <c r="G186" s="748"/>
    </row>
    <row r="187" spans="1:7" s="713" customFormat="1" x14ac:dyDescent="0.2">
      <c r="A187" s="746"/>
      <c r="B187" s="749"/>
      <c r="C187" s="385"/>
      <c r="D187" s="383"/>
      <c r="E187" s="407"/>
      <c r="F187" s="406"/>
      <c r="G187" s="748"/>
    </row>
    <row r="188" spans="1:7" s="713" customFormat="1" ht="13.5" thickBot="1" x14ac:dyDescent="0.25">
      <c r="A188" s="702"/>
      <c r="B188" s="703"/>
      <c r="C188" s="704"/>
      <c r="D188" s="704"/>
      <c r="E188" s="703"/>
      <c r="F188" s="705" t="s">
        <v>15</v>
      </c>
      <c r="G188" s="706">
        <f>SUM(G155:G187)</f>
        <v>334142.5</v>
      </c>
    </row>
    <row r="189" spans="1:7" s="713" customFormat="1" ht="13.5" thickTop="1" x14ac:dyDescent="0.2">
      <c r="A189" s="985" t="s">
        <v>2768</v>
      </c>
      <c r="B189" s="1019"/>
      <c r="C189" s="1019"/>
      <c r="D189" s="1019"/>
      <c r="E189" s="1019"/>
      <c r="F189" s="1019"/>
      <c r="G189" s="1020"/>
    </row>
    <row r="190" spans="1:7" s="713" customFormat="1" ht="13.5" thickBot="1" x14ac:dyDescent="0.25">
      <c r="A190" s="707"/>
      <c r="B190" s="708"/>
      <c r="C190" s="708"/>
      <c r="D190" s="709"/>
      <c r="E190" s="708"/>
      <c r="F190" s="198"/>
      <c r="G190" s="199"/>
    </row>
    <row r="191" spans="1:7" s="713" customFormat="1" ht="13.5" thickTop="1" x14ac:dyDescent="0.2">
      <c r="A191" s="1023"/>
      <c r="B191" s="1024"/>
      <c r="C191" s="1024"/>
      <c r="D191" s="344" t="s">
        <v>11</v>
      </c>
      <c r="E191" s="1025" t="s">
        <v>12</v>
      </c>
      <c r="F191" s="1025"/>
      <c r="G191" s="1026"/>
    </row>
    <row r="192" spans="1:7" s="713" customFormat="1" ht="28.5" customHeight="1" x14ac:dyDescent="0.2">
      <c r="A192" s="1010" t="s">
        <v>17</v>
      </c>
      <c r="B192" s="1011"/>
      <c r="C192" s="1011"/>
      <c r="D192" s="121"/>
      <c r="E192" s="1027"/>
      <c r="F192" s="1028"/>
      <c r="G192" s="1029"/>
    </row>
    <row r="193" spans="1:8" s="713" customFormat="1" x14ac:dyDescent="0.2">
      <c r="A193" s="1010" t="s">
        <v>38</v>
      </c>
      <c r="B193" s="1011"/>
      <c r="C193" s="1011"/>
      <c r="D193" s="710" t="s">
        <v>147</v>
      </c>
      <c r="E193" s="1012" t="s">
        <v>142</v>
      </c>
      <c r="F193" s="1012"/>
      <c r="G193" s="1013"/>
    </row>
    <row r="194" spans="1:8" s="713" customFormat="1" ht="13.5" thickBot="1" x14ac:dyDescent="0.25">
      <c r="A194" s="1014" t="s">
        <v>39</v>
      </c>
      <c r="B194" s="1015"/>
      <c r="C194" s="1015"/>
      <c r="D194" s="125" t="s">
        <v>148</v>
      </c>
      <c r="E194" s="1016" t="s">
        <v>0</v>
      </c>
      <c r="F194" s="1017"/>
      <c r="G194" s="1018"/>
    </row>
    <row r="195" spans="1:8" s="713" customFormat="1" ht="16.5" x14ac:dyDescent="0.2">
      <c r="A195" s="997" t="s">
        <v>29</v>
      </c>
      <c r="B195" s="998"/>
      <c r="C195" s="998"/>
      <c r="D195" s="998"/>
      <c r="E195" s="998"/>
      <c r="F195" s="998"/>
      <c r="G195" s="999"/>
      <c r="H195" s="713">
        <v>5</v>
      </c>
    </row>
    <row r="196" spans="1:8" s="713" customFormat="1" x14ac:dyDescent="0.2">
      <c r="A196" s="1000" t="s">
        <v>48</v>
      </c>
      <c r="B196" s="1001"/>
      <c r="C196" s="1001"/>
      <c r="D196" s="1001"/>
      <c r="E196" s="1001"/>
      <c r="F196" s="1001"/>
      <c r="G196" s="1002"/>
      <c r="H196" s="775">
        <v>46134</v>
      </c>
    </row>
    <row r="197" spans="1:8" s="713" customFormat="1" x14ac:dyDescent="0.2">
      <c r="A197" s="1003" t="s">
        <v>49</v>
      </c>
      <c r="B197" s="1004"/>
      <c r="C197" s="1004"/>
      <c r="D197" s="1004"/>
      <c r="E197" s="1004"/>
      <c r="F197" s="1004"/>
      <c r="G197" s="1005"/>
    </row>
    <row r="198" spans="1:8" s="713" customFormat="1" x14ac:dyDescent="0.2">
      <c r="A198" s="674"/>
      <c r="B198" s="675"/>
      <c r="C198" s="676"/>
      <c r="D198" s="677"/>
      <c r="E198" s="675"/>
      <c r="F198" s="678"/>
      <c r="G198" s="679" t="s">
        <v>20</v>
      </c>
    </row>
    <row r="199" spans="1:8" s="713" customFormat="1" x14ac:dyDescent="0.2">
      <c r="A199" s="680" t="s">
        <v>1</v>
      </c>
      <c r="B199" s="681"/>
      <c r="C199" s="682" t="s">
        <v>7</v>
      </c>
      <c r="D199" s="681"/>
      <c r="E199" s="683" t="s">
        <v>2923</v>
      </c>
      <c r="F199" s="684"/>
      <c r="G199" s="685" t="s">
        <v>3526</v>
      </c>
    </row>
    <row r="200" spans="1:8" s="713" customFormat="1" x14ac:dyDescent="0.2">
      <c r="A200" s="686" t="s">
        <v>8</v>
      </c>
      <c r="B200" s="687"/>
      <c r="C200" s="688"/>
      <c r="D200" s="673"/>
      <c r="E200" s="1006"/>
      <c r="F200" s="1007"/>
      <c r="G200" s="689"/>
    </row>
    <row r="201" spans="1:8" s="713" customFormat="1" x14ac:dyDescent="0.2">
      <c r="A201" s="690" t="s">
        <v>37</v>
      </c>
      <c r="B201" s="261"/>
      <c r="C201" s="261"/>
      <c r="D201" s="261"/>
      <c r="E201" s="691" t="s">
        <v>46</v>
      </c>
      <c r="F201" s="692"/>
      <c r="G201" s="689" t="s">
        <v>50</v>
      </c>
    </row>
    <row r="202" spans="1:8" s="713" customFormat="1" x14ac:dyDescent="0.2">
      <c r="A202" s="674"/>
      <c r="B202" s="675"/>
      <c r="C202" s="676"/>
      <c r="D202" s="676"/>
      <c r="E202" s="1008"/>
      <c r="F202" s="1009"/>
      <c r="G202" s="693"/>
    </row>
    <row r="203" spans="1:8" s="713" customFormat="1" ht="26.25" customHeight="1" thickBot="1" x14ac:dyDescent="0.25">
      <c r="A203" s="694" t="s">
        <v>47</v>
      </c>
      <c r="B203" s="110" t="s">
        <v>23</v>
      </c>
      <c r="C203" s="110" t="s">
        <v>34</v>
      </c>
      <c r="D203" s="110" t="s">
        <v>53</v>
      </c>
      <c r="E203" s="114" t="s">
        <v>54</v>
      </c>
      <c r="F203" s="111" t="s">
        <v>55</v>
      </c>
      <c r="G203" s="112" t="s">
        <v>35</v>
      </c>
      <c r="H203" s="781"/>
    </row>
    <row r="204" spans="1:8" s="713" customFormat="1" ht="17.25" thickTop="1" x14ac:dyDescent="0.2">
      <c r="A204" s="695">
        <v>1</v>
      </c>
      <c r="B204" s="698"/>
      <c r="C204" s="385" t="s">
        <v>177</v>
      </c>
      <c r="D204" s="783" t="s">
        <v>3527</v>
      </c>
      <c r="E204" s="158">
        <v>7</v>
      </c>
      <c r="F204" s="163">
        <v>25000</v>
      </c>
      <c r="G204" s="697">
        <f>F204*E204</f>
        <v>175000</v>
      </c>
      <c r="H204" s="782"/>
    </row>
    <row r="205" spans="1:8" s="713" customFormat="1" x14ac:dyDescent="0.2">
      <c r="A205" s="695"/>
      <c r="B205" s="698"/>
      <c r="C205" s="119"/>
      <c r="D205" s="370"/>
      <c r="E205" s="158"/>
      <c r="F205" s="163"/>
      <c r="G205" s="697"/>
      <c r="H205" s="781"/>
    </row>
    <row r="206" spans="1:8" s="713" customFormat="1" x14ac:dyDescent="0.2">
      <c r="A206" s="695"/>
      <c r="B206" s="698"/>
      <c r="C206" s="714"/>
      <c r="D206" s="715"/>
      <c r="E206" s="204"/>
      <c r="F206" s="149"/>
      <c r="G206" s="697"/>
    </row>
    <row r="207" spans="1:8" s="713" customFormat="1" x14ac:dyDescent="0.2">
      <c r="A207" s="695"/>
      <c r="B207" s="698"/>
      <c r="C207" s="119"/>
      <c r="D207" s="203"/>
      <c r="E207" s="108"/>
      <c r="F207" s="163"/>
      <c r="G207" s="697"/>
    </row>
    <row r="208" spans="1:8" s="713" customFormat="1" x14ac:dyDescent="0.2">
      <c r="A208" s="695"/>
      <c r="B208" s="105"/>
      <c r="C208" s="119"/>
      <c r="D208" s="136"/>
      <c r="E208" s="108"/>
      <c r="F208" s="163"/>
      <c r="G208" s="697"/>
    </row>
    <row r="209" spans="1:7" s="713" customFormat="1" x14ac:dyDescent="0.2">
      <c r="A209" s="695"/>
      <c r="B209" s="105"/>
      <c r="C209" s="119"/>
      <c r="D209" s="136"/>
      <c r="E209" s="108"/>
      <c r="F209" s="163"/>
      <c r="G209" s="697"/>
    </row>
    <row r="210" spans="1:7" s="713" customFormat="1" x14ac:dyDescent="0.2">
      <c r="A210" s="695"/>
      <c r="B210" s="105"/>
      <c r="C210" s="119"/>
      <c r="D210" s="136"/>
      <c r="E210" s="108"/>
      <c r="F210" s="150"/>
      <c r="G210" s="697"/>
    </row>
    <row r="211" spans="1:7" s="713" customFormat="1" x14ac:dyDescent="0.2">
      <c r="A211" s="695"/>
      <c r="B211" s="105"/>
      <c r="C211" s="119"/>
      <c r="D211" s="144"/>
      <c r="E211" s="108"/>
      <c r="F211" s="150"/>
      <c r="G211" s="697"/>
    </row>
    <row r="212" spans="1:7" s="713" customFormat="1" x14ac:dyDescent="0.2">
      <c r="A212" s="695"/>
      <c r="B212" s="698"/>
      <c r="C212" s="119"/>
      <c r="D212" s="144"/>
      <c r="E212" s="699"/>
      <c r="F212" s="163"/>
      <c r="G212" s="697"/>
    </row>
    <row r="213" spans="1:7" s="713" customFormat="1" x14ac:dyDescent="0.2">
      <c r="A213" s="695"/>
      <c r="B213" s="106"/>
      <c r="C213" s="119"/>
      <c r="D213" s="136"/>
      <c r="E213" s="131"/>
      <c r="F213" s="163"/>
      <c r="G213" s="697"/>
    </row>
    <row r="214" spans="1:7" s="713" customFormat="1" x14ac:dyDescent="0.2">
      <c r="A214" s="695"/>
      <c r="B214" s="105"/>
      <c r="C214" s="119"/>
      <c r="D214" s="136"/>
      <c r="E214" s="205"/>
      <c r="F214" s="152"/>
      <c r="G214" s="697"/>
    </row>
    <row r="215" spans="1:7" s="713" customFormat="1" x14ac:dyDescent="0.2">
      <c r="A215" s="695"/>
      <c r="B215" s="700"/>
      <c r="C215" s="119"/>
      <c r="D215" s="136"/>
      <c r="E215" s="108"/>
      <c r="F215" s="163"/>
      <c r="G215" s="697"/>
    </row>
    <row r="216" spans="1:7" s="713" customFormat="1" x14ac:dyDescent="0.2">
      <c r="A216" s="695"/>
      <c r="B216" s="700"/>
      <c r="C216" s="119"/>
      <c r="D216" s="136"/>
      <c r="E216" s="108"/>
      <c r="F216" s="163"/>
      <c r="G216" s="697"/>
    </row>
    <row r="217" spans="1:7" s="713" customFormat="1" x14ac:dyDescent="0.2">
      <c r="A217" s="695"/>
      <c r="B217" s="698"/>
      <c r="C217" s="135"/>
      <c r="D217" s="259"/>
      <c r="E217" s="244"/>
      <c r="F217" s="163"/>
      <c r="G217" s="697"/>
    </row>
    <row r="218" spans="1:7" s="713" customFormat="1" x14ac:dyDescent="0.2">
      <c r="A218" s="695"/>
      <c r="B218" s="698"/>
      <c r="C218" s="119"/>
      <c r="D218" s="136"/>
      <c r="E218" s="205"/>
      <c r="F218" s="163"/>
      <c r="G218" s="697"/>
    </row>
    <row r="219" spans="1:7" s="713" customFormat="1" x14ac:dyDescent="0.2">
      <c r="A219" s="695"/>
      <c r="B219" s="106"/>
      <c r="C219" s="119"/>
      <c r="D219" s="136"/>
      <c r="E219" s="716"/>
      <c r="F219" s="717"/>
      <c r="G219" s="697"/>
    </row>
    <row r="220" spans="1:7" s="713" customFormat="1" x14ac:dyDescent="0.2">
      <c r="A220" s="695"/>
      <c r="B220" s="105"/>
      <c r="C220" s="119"/>
      <c r="D220" s="144"/>
      <c r="E220" s="716"/>
      <c r="F220" s="717"/>
      <c r="G220" s="697"/>
    </row>
    <row r="221" spans="1:7" s="713" customFormat="1" x14ac:dyDescent="0.2">
      <c r="A221" s="695"/>
      <c r="B221" s="105"/>
      <c r="C221" s="119"/>
      <c r="D221" s="136"/>
      <c r="E221" s="131"/>
      <c r="F221" s="717"/>
      <c r="G221" s="697"/>
    </row>
    <row r="222" spans="1:7" s="713" customFormat="1" x14ac:dyDescent="0.2">
      <c r="A222" s="695"/>
      <c r="B222" s="105"/>
      <c r="C222" s="119"/>
      <c r="D222" s="136"/>
      <c r="E222" s="131"/>
      <c r="F222" s="717"/>
      <c r="G222" s="697"/>
    </row>
    <row r="223" spans="1:7" s="713" customFormat="1" x14ac:dyDescent="0.2">
      <c r="A223" s="695"/>
      <c r="B223" s="105"/>
      <c r="C223" s="119"/>
      <c r="D223" s="136"/>
      <c r="E223" s="131"/>
      <c r="F223" s="717"/>
      <c r="G223" s="697"/>
    </row>
    <row r="224" spans="1:7" s="713" customFormat="1" x14ac:dyDescent="0.2">
      <c r="A224" s="695"/>
      <c r="B224" s="105"/>
      <c r="C224" s="119"/>
      <c r="D224" s="136"/>
      <c r="E224" s="131"/>
      <c r="F224" s="717"/>
      <c r="G224" s="697"/>
    </row>
    <row r="225" spans="1:7" s="713" customFormat="1" x14ac:dyDescent="0.2">
      <c r="A225" s="695"/>
      <c r="B225" s="698"/>
      <c r="C225" s="119"/>
      <c r="D225" s="136"/>
      <c r="E225" s="131"/>
      <c r="F225" s="717"/>
      <c r="G225" s="697"/>
    </row>
    <row r="226" spans="1:7" s="713" customFormat="1" x14ac:dyDescent="0.2">
      <c r="A226" s="695"/>
      <c r="B226" s="698"/>
      <c r="C226" s="119"/>
      <c r="D226" s="136"/>
      <c r="E226" s="131"/>
      <c r="F226" s="717"/>
      <c r="G226" s="697"/>
    </row>
    <row r="227" spans="1:7" s="713" customFormat="1" x14ac:dyDescent="0.2">
      <c r="A227" s="695"/>
      <c r="B227" s="698"/>
      <c r="C227" s="119"/>
      <c r="D227" s="136"/>
      <c r="E227" s="131"/>
      <c r="F227" s="717"/>
      <c r="G227" s="697"/>
    </row>
    <row r="228" spans="1:7" s="713" customFormat="1" x14ac:dyDescent="0.2">
      <c r="A228" s="695"/>
      <c r="B228" s="698"/>
      <c r="C228" s="119"/>
      <c r="D228" s="136"/>
      <c r="E228" s="131"/>
      <c r="F228" s="717"/>
      <c r="G228" s="697"/>
    </row>
    <row r="229" spans="1:7" s="713" customFormat="1" x14ac:dyDescent="0.2">
      <c r="A229" s="695"/>
      <c r="B229" s="698"/>
      <c r="C229" s="119"/>
      <c r="D229" s="136"/>
      <c r="E229" s="131"/>
      <c r="F229" s="717"/>
      <c r="G229" s="697"/>
    </row>
    <row r="230" spans="1:7" s="713" customFormat="1" x14ac:dyDescent="0.2">
      <c r="A230" s="695"/>
      <c r="B230" s="698"/>
      <c r="C230" s="119"/>
      <c r="D230" s="144"/>
      <c r="E230" s="131"/>
      <c r="F230" s="717"/>
      <c r="G230" s="697"/>
    </row>
    <row r="231" spans="1:7" s="713" customFormat="1" x14ac:dyDescent="0.2">
      <c r="A231" s="695"/>
      <c r="B231" s="698"/>
      <c r="C231" s="119"/>
      <c r="D231" s="144"/>
      <c r="E231" s="108"/>
      <c r="F231" s="163"/>
      <c r="G231" s="697"/>
    </row>
    <row r="232" spans="1:7" s="713" customFormat="1" x14ac:dyDescent="0.2">
      <c r="A232" s="695"/>
      <c r="B232" s="776"/>
      <c r="C232" s="777"/>
      <c r="D232" s="778"/>
      <c r="E232" s="779"/>
      <c r="F232" s="780"/>
      <c r="G232" s="697"/>
    </row>
    <row r="233" spans="1:7" s="713" customFormat="1" x14ac:dyDescent="0.2">
      <c r="A233" s="695"/>
      <c r="B233" s="698"/>
      <c r="C233" s="119"/>
      <c r="D233" s="136"/>
      <c r="E233" s="108"/>
      <c r="F233" s="163"/>
      <c r="G233" s="697"/>
    </row>
    <row r="234" spans="1:7" s="713" customFormat="1" x14ac:dyDescent="0.2">
      <c r="A234" s="695"/>
      <c r="B234" s="698"/>
      <c r="C234" s="119"/>
      <c r="D234" s="136"/>
      <c r="E234" s="108"/>
      <c r="F234" s="163"/>
      <c r="G234" s="697"/>
    </row>
    <row r="235" spans="1:7" s="713" customFormat="1" x14ac:dyDescent="0.2">
      <c r="A235" s="695"/>
      <c r="B235" s="698"/>
      <c r="C235" s="119"/>
      <c r="D235" s="144"/>
      <c r="E235" s="108"/>
      <c r="F235" s="149"/>
      <c r="G235" s="697"/>
    </row>
    <row r="236" spans="1:7" s="713" customFormat="1" ht="13.5" thickBot="1" x14ac:dyDescent="0.25">
      <c r="A236" s="702"/>
      <c r="B236" s="703"/>
      <c r="C236" s="704"/>
      <c r="D236" s="704"/>
      <c r="E236" s="703"/>
      <c r="F236" s="705" t="s">
        <v>15</v>
      </c>
      <c r="G236" s="706">
        <f>SUM(G204:G235)</f>
        <v>175000</v>
      </c>
    </row>
    <row r="237" spans="1:7" s="713" customFormat="1" ht="13.5" thickTop="1" x14ac:dyDescent="0.2">
      <c r="A237" s="985" t="s">
        <v>2768</v>
      </c>
      <c r="B237" s="1019"/>
      <c r="C237" s="1019"/>
      <c r="D237" s="1019"/>
      <c r="E237" s="1019"/>
      <c r="F237" s="1019"/>
      <c r="G237" s="1020"/>
    </row>
    <row r="238" spans="1:7" s="713" customFormat="1" ht="13.5" thickBot="1" x14ac:dyDescent="0.25">
      <c r="A238" s="707"/>
      <c r="B238" s="708"/>
      <c r="C238" s="708"/>
      <c r="D238" s="709"/>
      <c r="E238" s="708"/>
      <c r="F238" s="198"/>
      <c r="G238" s="199"/>
    </row>
    <row r="239" spans="1:7" s="713" customFormat="1" ht="13.5" thickTop="1" x14ac:dyDescent="0.2">
      <c r="A239" s="1023"/>
      <c r="B239" s="1024"/>
      <c r="C239" s="1024"/>
      <c r="D239" s="344" t="s">
        <v>11</v>
      </c>
      <c r="E239" s="1025" t="s">
        <v>12</v>
      </c>
      <c r="F239" s="1025"/>
      <c r="G239" s="1026"/>
    </row>
    <row r="240" spans="1:7" s="713" customFormat="1" ht="28.5" customHeight="1" x14ac:dyDescent="0.2">
      <c r="A240" s="1010" t="s">
        <v>17</v>
      </c>
      <c r="B240" s="1011"/>
      <c r="C240" s="1011"/>
      <c r="D240" s="121"/>
      <c r="E240" s="1027"/>
      <c r="F240" s="1028"/>
      <c r="G240" s="1029"/>
    </row>
    <row r="241" spans="1:9" s="713" customFormat="1" x14ac:dyDescent="0.2">
      <c r="A241" s="1010" t="s">
        <v>38</v>
      </c>
      <c r="B241" s="1011"/>
      <c r="C241" s="1011"/>
      <c r="D241" s="710" t="s">
        <v>147</v>
      </c>
      <c r="E241" s="1012" t="s">
        <v>142</v>
      </c>
      <c r="F241" s="1012"/>
      <c r="G241" s="1013"/>
    </row>
    <row r="242" spans="1:9" s="713" customFormat="1" ht="13.5" thickBot="1" x14ac:dyDescent="0.25">
      <c r="A242" s="1014" t="s">
        <v>39</v>
      </c>
      <c r="B242" s="1015"/>
      <c r="C242" s="1015"/>
      <c r="D242" s="125" t="s">
        <v>148</v>
      </c>
      <c r="E242" s="1016" t="s">
        <v>0</v>
      </c>
      <c r="F242" s="1017"/>
      <c r="G242" s="1018"/>
    </row>
    <row r="243" spans="1:9" s="713" customFormat="1" ht="16.5" x14ac:dyDescent="0.2">
      <c r="A243" s="997" t="s">
        <v>29</v>
      </c>
      <c r="B243" s="998"/>
      <c r="C243" s="998"/>
      <c r="D243" s="998"/>
      <c r="E243" s="998"/>
      <c r="F243" s="998"/>
      <c r="G243" s="999"/>
      <c r="H243" s="713">
        <v>6</v>
      </c>
    </row>
    <row r="244" spans="1:9" s="713" customFormat="1" x14ac:dyDescent="0.2">
      <c r="A244" s="1000" t="s">
        <v>48</v>
      </c>
      <c r="B244" s="1001"/>
      <c r="C244" s="1001"/>
      <c r="D244" s="1001"/>
      <c r="E244" s="1001"/>
      <c r="F244" s="1001"/>
      <c r="G244" s="1002"/>
      <c r="H244" s="775">
        <v>46135</v>
      </c>
    </row>
    <row r="245" spans="1:9" s="713" customFormat="1" x14ac:dyDescent="0.2">
      <c r="A245" s="1003" t="s">
        <v>49</v>
      </c>
      <c r="B245" s="1004"/>
      <c r="C245" s="1004"/>
      <c r="D245" s="1004"/>
      <c r="E245" s="1004"/>
      <c r="F245" s="1004"/>
      <c r="G245" s="1005"/>
      <c r="H245" s="775">
        <v>46139</v>
      </c>
    </row>
    <row r="246" spans="1:9" s="713" customFormat="1" x14ac:dyDescent="0.2">
      <c r="A246" s="674"/>
      <c r="B246" s="675"/>
      <c r="C246" s="676"/>
      <c r="D246" s="677"/>
      <c r="E246" s="675"/>
      <c r="F246" s="678"/>
      <c r="G246" s="679" t="s">
        <v>20</v>
      </c>
    </row>
    <row r="247" spans="1:9" s="713" customFormat="1" x14ac:dyDescent="0.2">
      <c r="A247" s="680" t="s">
        <v>1</v>
      </c>
      <c r="B247" s="681"/>
      <c r="C247" s="682" t="s">
        <v>7</v>
      </c>
      <c r="D247" s="681"/>
      <c r="E247" s="683" t="s">
        <v>3554</v>
      </c>
      <c r="F247" s="684"/>
      <c r="G247" s="685" t="s">
        <v>3537</v>
      </c>
    </row>
    <row r="248" spans="1:9" s="713" customFormat="1" x14ac:dyDescent="0.2">
      <c r="A248" s="686" t="s">
        <v>8</v>
      </c>
      <c r="B248" s="687"/>
      <c r="C248" s="688"/>
      <c r="D248" s="673"/>
      <c r="E248" s="1006"/>
      <c r="F248" s="1007"/>
      <c r="G248" s="689"/>
    </row>
    <row r="249" spans="1:9" s="713" customFormat="1" x14ac:dyDescent="0.2">
      <c r="A249" s="690" t="s">
        <v>37</v>
      </c>
      <c r="B249" s="261"/>
      <c r="C249" s="261"/>
      <c r="D249" s="261"/>
      <c r="E249" s="691" t="s">
        <v>46</v>
      </c>
      <c r="F249" s="692"/>
      <c r="G249" s="689" t="s">
        <v>50</v>
      </c>
    </row>
    <row r="250" spans="1:9" s="713" customFormat="1" x14ac:dyDescent="0.2">
      <c r="A250" s="674"/>
      <c r="B250" s="675"/>
      <c r="C250" s="676"/>
      <c r="D250" s="676"/>
      <c r="E250" s="1008"/>
      <c r="F250" s="1009"/>
      <c r="G250" s="693"/>
    </row>
    <row r="251" spans="1:9" s="713" customFormat="1" ht="26.25" customHeight="1" thickBot="1" x14ac:dyDescent="0.25">
      <c r="A251" s="694" t="s">
        <v>47</v>
      </c>
      <c r="B251" s="110" t="s">
        <v>23</v>
      </c>
      <c r="C251" s="110" t="s">
        <v>34</v>
      </c>
      <c r="D251" s="110" t="s">
        <v>53</v>
      </c>
      <c r="E251" s="114" t="s">
        <v>54</v>
      </c>
      <c r="F251" s="111" t="s">
        <v>55</v>
      </c>
      <c r="G251" s="112" t="s">
        <v>35</v>
      </c>
      <c r="H251" s="781"/>
    </row>
    <row r="252" spans="1:9" s="713" customFormat="1" ht="17.25" thickTop="1" x14ac:dyDescent="0.2">
      <c r="A252" s="695">
        <v>1</v>
      </c>
      <c r="B252" s="698"/>
      <c r="C252" s="385" t="s">
        <v>149</v>
      </c>
      <c r="D252" s="783" t="s">
        <v>3529</v>
      </c>
      <c r="E252" s="158">
        <v>2</v>
      </c>
      <c r="F252" s="163">
        <v>198500</v>
      </c>
      <c r="G252" s="697">
        <f>F252*E252</f>
        <v>397000</v>
      </c>
      <c r="H252" s="782"/>
      <c r="I252" s="713" t="s">
        <v>3223</v>
      </c>
    </row>
    <row r="253" spans="1:9" s="713" customFormat="1" x14ac:dyDescent="0.2">
      <c r="A253" s="695">
        <v>2</v>
      </c>
      <c r="B253" s="698"/>
      <c r="C253" s="385" t="s">
        <v>185</v>
      </c>
      <c r="D253" s="370" t="s">
        <v>3064</v>
      </c>
      <c r="E253" s="158">
        <v>2</v>
      </c>
      <c r="F253" s="163">
        <v>34500</v>
      </c>
      <c r="G253" s="697">
        <f t="shared" ref="G253:G254" si="2">F253*E253</f>
        <v>69000</v>
      </c>
      <c r="H253" s="781"/>
    </row>
    <row r="254" spans="1:9" s="713" customFormat="1" x14ac:dyDescent="0.2">
      <c r="A254" s="695">
        <v>3</v>
      </c>
      <c r="B254" s="698"/>
      <c r="C254" s="791" t="s">
        <v>185</v>
      </c>
      <c r="D254" s="715" t="s">
        <v>3065</v>
      </c>
      <c r="E254" s="204">
        <v>2</v>
      </c>
      <c r="F254" s="149">
        <v>34500</v>
      </c>
      <c r="G254" s="697">
        <f t="shared" si="2"/>
        <v>69000</v>
      </c>
    </row>
    <row r="255" spans="1:9" s="713" customFormat="1" x14ac:dyDescent="0.2">
      <c r="A255" s="695"/>
      <c r="B255" s="698"/>
      <c r="C255" s="119"/>
      <c r="D255" s="203"/>
      <c r="E255" s="108"/>
      <c r="F255" s="163"/>
      <c r="G255" s="697"/>
    </row>
    <row r="256" spans="1:9" s="713" customFormat="1" x14ac:dyDescent="0.2">
      <c r="A256" s="695"/>
      <c r="B256" s="105"/>
      <c r="C256" s="119"/>
      <c r="D256" s="136"/>
      <c r="E256" s="108"/>
      <c r="F256" s="163"/>
      <c r="G256" s="697"/>
    </row>
    <row r="257" spans="1:7" s="713" customFormat="1" x14ac:dyDescent="0.2">
      <c r="A257" s="695"/>
      <c r="B257" s="105"/>
      <c r="C257" s="119"/>
      <c r="D257" s="136"/>
      <c r="E257" s="108"/>
      <c r="F257" s="163"/>
      <c r="G257" s="697"/>
    </row>
    <row r="258" spans="1:7" s="713" customFormat="1" x14ac:dyDescent="0.2">
      <c r="A258" s="695"/>
      <c r="B258" s="105"/>
      <c r="C258" s="119"/>
      <c r="D258" s="136"/>
      <c r="E258" s="108"/>
      <c r="F258" s="150"/>
      <c r="G258" s="697"/>
    </row>
    <row r="259" spans="1:7" s="713" customFormat="1" x14ac:dyDescent="0.2">
      <c r="A259" s="695"/>
      <c r="B259" s="105"/>
      <c r="C259" s="119"/>
      <c r="D259" s="144"/>
      <c r="E259" s="108"/>
      <c r="F259" s="150"/>
      <c r="G259" s="697"/>
    </row>
    <row r="260" spans="1:7" s="713" customFormat="1" x14ac:dyDescent="0.2">
      <c r="A260" s="695"/>
      <c r="B260" s="698"/>
      <c r="C260" s="119"/>
      <c r="D260" s="144"/>
      <c r="E260" s="699"/>
      <c r="F260" s="163"/>
      <c r="G260" s="697"/>
    </row>
    <row r="261" spans="1:7" s="713" customFormat="1" x14ac:dyDescent="0.2">
      <c r="A261" s="695"/>
      <c r="B261" s="106"/>
      <c r="C261" s="119"/>
      <c r="D261" s="136"/>
      <c r="E261" s="131"/>
      <c r="F261" s="163"/>
      <c r="G261" s="697"/>
    </row>
    <row r="262" spans="1:7" s="713" customFormat="1" x14ac:dyDescent="0.2">
      <c r="A262" s="695"/>
      <c r="B262" s="105"/>
      <c r="C262" s="119"/>
      <c r="D262" s="136"/>
      <c r="E262" s="205"/>
      <c r="F262" s="152"/>
      <c r="G262" s="697"/>
    </row>
    <row r="263" spans="1:7" s="713" customFormat="1" x14ac:dyDescent="0.2">
      <c r="A263" s="695"/>
      <c r="B263" s="700"/>
      <c r="C263" s="119"/>
      <c r="D263" s="136"/>
      <c r="E263" s="108"/>
      <c r="F263" s="163"/>
      <c r="G263" s="697"/>
    </row>
    <row r="264" spans="1:7" s="713" customFormat="1" x14ac:dyDescent="0.2">
      <c r="A264" s="695"/>
      <c r="B264" s="700"/>
      <c r="C264" s="119"/>
      <c r="D264" s="136"/>
      <c r="E264" s="108"/>
      <c r="F264" s="163"/>
      <c r="G264" s="697"/>
    </row>
    <row r="265" spans="1:7" s="713" customFormat="1" x14ac:dyDescent="0.2">
      <c r="A265" s="695"/>
      <c r="B265" s="698"/>
      <c r="C265" s="135"/>
      <c r="D265" s="259"/>
      <c r="E265" s="244"/>
      <c r="F265" s="163"/>
      <c r="G265" s="697"/>
    </row>
    <row r="266" spans="1:7" s="713" customFormat="1" x14ac:dyDescent="0.2">
      <c r="A266" s="695"/>
      <c r="B266" s="698"/>
      <c r="C266" s="119"/>
      <c r="D266" s="136"/>
      <c r="E266" s="205"/>
      <c r="F266" s="163"/>
      <c r="G266" s="697"/>
    </row>
    <row r="267" spans="1:7" s="713" customFormat="1" x14ac:dyDescent="0.2">
      <c r="A267" s="695"/>
      <c r="B267" s="106"/>
      <c r="C267" s="119"/>
      <c r="D267" s="136"/>
      <c r="E267" s="716"/>
      <c r="F267" s="717"/>
      <c r="G267" s="697"/>
    </row>
    <row r="268" spans="1:7" s="713" customFormat="1" x14ac:dyDescent="0.2">
      <c r="A268" s="695"/>
      <c r="B268" s="105"/>
      <c r="C268" s="119"/>
      <c r="D268" s="144"/>
      <c r="E268" s="716"/>
      <c r="F268" s="717"/>
      <c r="G268" s="697"/>
    </row>
    <row r="269" spans="1:7" s="713" customFormat="1" x14ac:dyDescent="0.2">
      <c r="A269" s="695"/>
      <c r="B269" s="105"/>
      <c r="C269" s="119"/>
      <c r="D269" s="136"/>
      <c r="E269" s="131"/>
      <c r="F269" s="717"/>
      <c r="G269" s="697"/>
    </row>
    <row r="270" spans="1:7" s="713" customFormat="1" x14ac:dyDescent="0.2">
      <c r="A270" s="695"/>
      <c r="B270" s="105"/>
      <c r="C270" s="119"/>
      <c r="D270" s="136"/>
      <c r="E270" s="131"/>
      <c r="F270" s="717"/>
      <c r="G270" s="697"/>
    </row>
    <row r="271" spans="1:7" s="713" customFormat="1" x14ac:dyDescent="0.2">
      <c r="A271" s="695"/>
      <c r="B271" s="105"/>
      <c r="C271" s="119"/>
      <c r="D271" s="136"/>
      <c r="E271" s="131"/>
      <c r="F271" s="717"/>
      <c r="G271" s="697"/>
    </row>
    <row r="272" spans="1:7" s="713" customFormat="1" x14ac:dyDescent="0.2">
      <c r="A272" s="695"/>
      <c r="B272" s="105"/>
      <c r="C272" s="119"/>
      <c r="D272" s="136"/>
      <c r="E272" s="131"/>
      <c r="F272" s="717"/>
      <c r="G272" s="697"/>
    </row>
    <row r="273" spans="1:7" s="713" customFormat="1" x14ac:dyDescent="0.2">
      <c r="A273" s="695"/>
      <c r="B273" s="698"/>
      <c r="C273" s="119"/>
      <c r="D273" s="136"/>
      <c r="E273" s="131"/>
      <c r="F273" s="717"/>
      <c r="G273" s="697"/>
    </row>
    <row r="274" spans="1:7" s="713" customFormat="1" x14ac:dyDescent="0.2">
      <c r="A274" s="695"/>
      <c r="B274" s="698"/>
      <c r="C274" s="119"/>
      <c r="D274" s="136"/>
      <c r="E274" s="131"/>
      <c r="F274" s="717"/>
      <c r="G274" s="697"/>
    </row>
    <row r="275" spans="1:7" s="713" customFormat="1" x14ac:dyDescent="0.2">
      <c r="A275" s="695"/>
      <c r="B275" s="698"/>
      <c r="C275" s="119"/>
      <c r="D275" s="136"/>
      <c r="E275" s="131"/>
      <c r="F275" s="717"/>
      <c r="G275" s="697"/>
    </row>
    <row r="276" spans="1:7" s="713" customFormat="1" x14ac:dyDescent="0.2">
      <c r="A276" s="695"/>
      <c r="B276" s="698"/>
      <c r="C276" s="119"/>
      <c r="D276" s="136"/>
      <c r="E276" s="131"/>
      <c r="F276" s="717"/>
      <c r="G276" s="697"/>
    </row>
    <row r="277" spans="1:7" s="713" customFormat="1" x14ac:dyDescent="0.2">
      <c r="A277" s="695"/>
      <c r="B277" s="698"/>
      <c r="C277" s="119"/>
      <c r="D277" s="136"/>
      <c r="E277" s="131"/>
      <c r="F277" s="717"/>
      <c r="G277" s="697"/>
    </row>
    <row r="278" spans="1:7" s="713" customFormat="1" x14ac:dyDescent="0.2">
      <c r="A278" s="695"/>
      <c r="B278" s="698"/>
      <c r="C278" s="119"/>
      <c r="D278" s="144"/>
      <c r="E278" s="131"/>
      <c r="F278" s="717"/>
      <c r="G278" s="697"/>
    </row>
    <row r="279" spans="1:7" s="713" customFormat="1" x14ac:dyDescent="0.2">
      <c r="A279" s="695"/>
      <c r="B279" s="698"/>
      <c r="C279" s="119"/>
      <c r="D279" s="144"/>
      <c r="E279" s="108"/>
      <c r="F279" s="163"/>
      <c r="G279" s="697"/>
    </row>
    <row r="280" spans="1:7" s="713" customFormat="1" x14ac:dyDescent="0.2">
      <c r="A280" s="695"/>
      <c r="B280" s="776"/>
      <c r="C280" s="777"/>
      <c r="D280" s="778"/>
      <c r="E280" s="779"/>
      <c r="F280" s="780"/>
      <c r="G280" s="697"/>
    </row>
    <row r="281" spans="1:7" s="713" customFormat="1" x14ac:dyDescent="0.2">
      <c r="A281" s="695"/>
      <c r="B281" s="698"/>
      <c r="C281" s="119"/>
      <c r="D281" s="136"/>
      <c r="E281" s="108"/>
      <c r="F281" s="163"/>
      <c r="G281" s="697"/>
    </row>
    <row r="282" spans="1:7" s="713" customFormat="1" x14ac:dyDescent="0.2">
      <c r="A282" s="695"/>
      <c r="B282" s="698"/>
      <c r="C282" s="119"/>
      <c r="D282" s="136"/>
      <c r="E282" s="108"/>
      <c r="F282" s="163"/>
      <c r="G282" s="697"/>
    </row>
    <row r="283" spans="1:7" s="713" customFormat="1" x14ac:dyDescent="0.2">
      <c r="A283" s="695"/>
      <c r="B283" s="698"/>
      <c r="C283" s="119"/>
      <c r="D283" s="144"/>
      <c r="E283" s="108"/>
      <c r="F283" s="149"/>
      <c r="G283" s="697"/>
    </row>
    <row r="284" spans="1:7" s="713" customFormat="1" ht="13.5" thickBot="1" x14ac:dyDescent="0.25">
      <c r="A284" s="702"/>
      <c r="B284" s="703"/>
      <c r="C284" s="704"/>
      <c r="D284" s="704"/>
      <c r="E284" s="703"/>
      <c r="F284" s="705" t="s">
        <v>15</v>
      </c>
      <c r="G284" s="706">
        <f>SUM(G252:G283)</f>
        <v>535000</v>
      </c>
    </row>
    <row r="285" spans="1:7" s="713" customFormat="1" ht="13.5" thickTop="1" x14ac:dyDescent="0.2">
      <c r="A285" s="985" t="s">
        <v>2768</v>
      </c>
      <c r="B285" s="1019"/>
      <c r="C285" s="1019"/>
      <c r="D285" s="1019"/>
      <c r="E285" s="1019"/>
      <c r="F285" s="1019"/>
      <c r="G285" s="1020"/>
    </row>
    <row r="286" spans="1:7" s="713" customFormat="1" ht="13.5" thickBot="1" x14ac:dyDescent="0.25">
      <c r="A286" s="707"/>
      <c r="B286" s="708"/>
      <c r="C286" s="708"/>
      <c r="D286" s="709"/>
      <c r="E286" s="708"/>
      <c r="F286" s="198"/>
      <c r="G286" s="199"/>
    </row>
    <row r="287" spans="1:7" s="713" customFormat="1" ht="13.5" thickTop="1" x14ac:dyDescent="0.2">
      <c r="A287" s="1023"/>
      <c r="B287" s="1024"/>
      <c r="C287" s="1024"/>
      <c r="D287" s="344" t="s">
        <v>11</v>
      </c>
      <c r="E287" s="1025" t="s">
        <v>12</v>
      </c>
      <c r="F287" s="1025"/>
      <c r="G287" s="1026"/>
    </row>
    <row r="288" spans="1:7" s="713" customFormat="1" ht="28.5" customHeight="1" x14ac:dyDescent="0.2">
      <c r="A288" s="1010" t="s">
        <v>17</v>
      </c>
      <c r="B288" s="1011"/>
      <c r="C288" s="1011"/>
      <c r="D288" s="121"/>
      <c r="E288" s="1027"/>
      <c r="F288" s="1028"/>
      <c r="G288" s="1029"/>
    </row>
    <row r="289" spans="1:7" s="713" customFormat="1" x14ac:dyDescent="0.2">
      <c r="A289" s="1010" t="s">
        <v>38</v>
      </c>
      <c r="B289" s="1011"/>
      <c r="C289" s="1011"/>
      <c r="D289" s="710" t="s">
        <v>147</v>
      </c>
      <c r="E289" s="1012" t="s">
        <v>142</v>
      </c>
      <c r="F289" s="1012"/>
      <c r="G289" s="1013"/>
    </row>
    <row r="290" spans="1:7" s="713" customFormat="1" ht="13.5" thickBot="1" x14ac:dyDescent="0.25">
      <c r="A290" s="1014" t="s">
        <v>39</v>
      </c>
      <c r="B290" s="1015"/>
      <c r="C290" s="1015"/>
      <c r="D290" s="125" t="s">
        <v>148</v>
      </c>
      <c r="E290" s="1016" t="s">
        <v>0</v>
      </c>
      <c r="F290" s="1017"/>
      <c r="G290" s="1018"/>
    </row>
  </sheetData>
  <mergeCells count="84">
    <mergeCell ref="A289:C289"/>
    <mergeCell ref="E289:G289"/>
    <mergeCell ref="A290:C290"/>
    <mergeCell ref="E290:G290"/>
    <mergeCell ref="A285:G285"/>
    <mergeCell ref="A287:C287"/>
    <mergeCell ref="E287:G287"/>
    <mergeCell ref="A288:C288"/>
    <mergeCell ref="E288:G288"/>
    <mergeCell ref="A243:G243"/>
    <mergeCell ref="A244:G244"/>
    <mergeCell ref="A245:G245"/>
    <mergeCell ref="E248:F248"/>
    <mergeCell ref="E250:F250"/>
    <mergeCell ref="A194:C194"/>
    <mergeCell ref="E194:G194"/>
    <mergeCell ref="A191:C191"/>
    <mergeCell ref="E191:G191"/>
    <mergeCell ref="A192:C192"/>
    <mergeCell ref="E192:G192"/>
    <mergeCell ref="A193:C193"/>
    <mergeCell ref="E193:G193"/>
    <mergeCell ref="A147:G147"/>
    <mergeCell ref="A148:G148"/>
    <mergeCell ref="E151:F151"/>
    <mergeCell ref="E153:F153"/>
    <mergeCell ref="A189:G189"/>
    <mergeCell ref="A144:C144"/>
    <mergeCell ref="E144:G144"/>
    <mergeCell ref="A145:C145"/>
    <mergeCell ref="E145:G145"/>
    <mergeCell ref="A146:G146"/>
    <mergeCell ref="A140:G140"/>
    <mergeCell ref="A142:C142"/>
    <mergeCell ref="E142:G142"/>
    <mergeCell ref="A143:C143"/>
    <mergeCell ref="E143:G143"/>
    <mergeCell ref="A98:G98"/>
    <mergeCell ref="A99:G99"/>
    <mergeCell ref="A100:G100"/>
    <mergeCell ref="E103:F103"/>
    <mergeCell ref="E105:F105"/>
    <mergeCell ref="A44:G44"/>
    <mergeCell ref="A1:G1"/>
    <mergeCell ref="A2:G2"/>
    <mergeCell ref="A3:G3"/>
    <mergeCell ref="E6:F6"/>
    <mergeCell ref="E8:F8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6:C96"/>
    <mergeCell ref="E96:G96"/>
    <mergeCell ref="A97:C97"/>
    <mergeCell ref="E97:G97"/>
    <mergeCell ref="A92:G92"/>
    <mergeCell ref="A94:C94"/>
    <mergeCell ref="E94:G94"/>
    <mergeCell ref="A95:C95"/>
    <mergeCell ref="E95:G95"/>
    <mergeCell ref="A195:G195"/>
    <mergeCell ref="A196:G196"/>
    <mergeCell ref="A197:G197"/>
    <mergeCell ref="E200:F200"/>
    <mergeCell ref="E202:F202"/>
    <mergeCell ref="A241:C241"/>
    <mergeCell ref="E241:G241"/>
    <mergeCell ref="A242:C242"/>
    <mergeCell ref="E242:G242"/>
    <mergeCell ref="A237:G237"/>
    <mergeCell ref="A239:C239"/>
    <mergeCell ref="E239:G239"/>
    <mergeCell ref="A240:C240"/>
    <mergeCell ref="E240:G240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130E-FCC4-4228-B4BD-3F5E555BA45A}">
  <dimension ref="A1:I196"/>
  <sheetViews>
    <sheetView topLeftCell="A91" zoomScale="110" zoomScaleNormal="110" workbookViewId="0">
      <selection activeCell="D108" sqref="D108:F113"/>
    </sheetView>
  </sheetViews>
  <sheetFormatPr defaultRowHeight="12.75" x14ac:dyDescent="0.2"/>
  <cols>
    <col min="1" max="1" width="6.42578125" style="250" customWidth="1"/>
    <col min="2" max="2" width="6.5703125" style="711" customWidth="1"/>
    <col min="3" max="3" width="10.42578125" style="673" customWidth="1"/>
    <col min="4" max="4" width="36" style="250" customWidth="1"/>
    <col min="5" max="5" width="9.28515625" style="711" customWidth="1"/>
    <col min="6" max="6" width="12.140625" style="712" customWidth="1"/>
    <col min="7" max="7" width="14.85546875" style="250" customWidth="1"/>
    <col min="8" max="8" width="11.28515625" style="713" bestFit="1" customWidth="1"/>
    <col min="9" max="9" width="10.28515625" style="250" bestFit="1" customWidth="1"/>
    <col min="10" max="10" width="11.28515625" style="250" customWidth="1"/>
    <col min="11" max="16384" width="9.140625" style="250"/>
  </cols>
  <sheetData>
    <row r="1" spans="1:8" s="713" customFormat="1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s="713" customFormat="1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3066</v>
      </c>
    </row>
    <row r="3" spans="1:8" s="713" customFormat="1" x14ac:dyDescent="0.2">
      <c r="A3" s="1003" t="s">
        <v>49</v>
      </c>
      <c r="B3" s="1004"/>
      <c r="C3" s="1004"/>
      <c r="D3" s="1004"/>
      <c r="E3" s="1004"/>
      <c r="F3" s="1004"/>
      <c r="G3" s="1005"/>
      <c r="H3" s="804" t="s">
        <v>3066</v>
      </c>
    </row>
    <row r="4" spans="1:8" s="713" customFormat="1" x14ac:dyDescent="0.2">
      <c r="A4" s="674"/>
      <c r="B4" s="675"/>
      <c r="C4" s="676"/>
      <c r="D4" s="677"/>
      <c r="E4" s="675"/>
      <c r="F4" s="678"/>
      <c r="G4" s="679" t="s">
        <v>20</v>
      </c>
    </row>
    <row r="5" spans="1:8" s="713" customFormat="1" x14ac:dyDescent="0.2">
      <c r="A5" s="680" t="s">
        <v>1</v>
      </c>
      <c r="B5" s="681"/>
      <c r="C5" s="682" t="s">
        <v>7</v>
      </c>
      <c r="D5" s="681"/>
      <c r="E5" s="683" t="s">
        <v>3089</v>
      </c>
      <c r="F5" s="684"/>
      <c r="G5" s="685" t="s">
        <v>3076</v>
      </c>
    </row>
    <row r="6" spans="1:8" s="713" customFormat="1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s="713" customFormat="1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8" s="713" customFormat="1" x14ac:dyDescent="0.2">
      <c r="A8" s="674"/>
      <c r="B8" s="675"/>
      <c r="C8" s="676"/>
      <c r="D8" s="676"/>
      <c r="E8" s="1008"/>
      <c r="F8" s="1009"/>
      <c r="G8" s="693"/>
    </row>
    <row r="9" spans="1:8" s="713" customFormat="1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s="713" customFormat="1" ht="13.5" thickTop="1" x14ac:dyDescent="0.2">
      <c r="A10" s="695">
        <v>1</v>
      </c>
      <c r="B10" s="698"/>
      <c r="C10" s="385" t="s">
        <v>2771</v>
      </c>
      <c r="D10" s="376" t="s">
        <v>3081</v>
      </c>
      <c r="E10" s="158">
        <v>2</v>
      </c>
      <c r="F10" s="163">
        <v>450</v>
      </c>
      <c r="G10" s="697">
        <f>F10*E10</f>
        <v>900</v>
      </c>
    </row>
    <row r="11" spans="1:8" s="713" customFormat="1" x14ac:dyDescent="0.2">
      <c r="A11" s="695">
        <v>2</v>
      </c>
      <c r="B11" s="698"/>
      <c r="C11" s="385" t="s">
        <v>2771</v>
      </c>
      <c r="D11" s="370" t="s">
        <v>2881</v>
      </c>
      <c r="E11" s="205">
        <v>1000</v>
      </c>
      <c r="F11" s="163">
        <v>520</v>
      </c>
      <c r="G11" s="697">
        <f>F11*E11</f>
        <v>520000</v>
      </c>
    </row>
    <row r="12" spans="1:8" s="713" customFormat="1" x14ac:dyDescent="0.2">
      <c r="A12" s="695"/>
      <c r="B12" s="698"/>
      <c r="C12" s="714"/>
      <c r="D12" s="715"/>
      <c r="E12" s="204"/>
      <c r="F12" s="149"/>
      <c r="G12" s="697"/>
    </row>
    <row r="13" spans="1:8" s="713" customFormat="1" x14ac:dyDescent="0.2">
      <c r="A13" s="695"/>
      <c r="B13" s="698"/>
      <c r="C13" s="119"/>
      <c r="D13" s="203"/>
      <c r="E13" s="108"/>
      <c r="F13" s="163"/>
      <c r="G13" s="697"/>
    </row>
    <row r="14" spans="1:8" s="713" customFormat="1" x14ac:dyDescent="0.2">
      <c r="A14" s="695"/>
      <c r="B14" s="105"/>
      <c r="C14" s="119"/>
      <c r="D14" s="136"/>
      <c r="E14" s="108"/>
      <c r="F14" s="163"/>
      <c r="G14" s="697"/>
    </row>
    <row r="15" spans="1:8" s="713" customFormat="1" x14ac:dyDescent="0.2">
      <c r="A15" s="695"/>
      <c r="B15" s="105"/>
      <c r="C15" s="119"/>
      <c r="D15" s="136"/>
      <c r="E15" s="108"/>
      <c r="F15" s="163"/>
      <c r="G15" s="697"/>
    </row>
    <row r="16" spans="1:8" s="713" customFormat="1" x14ac:dyDescent="0.2">
      <c r="A16" s="695"/>
      <c r="B16" s="105"/>
      <c r="C16" s="119"/>
      <c r="D16" s="136"/>
      <c r="E16" s="108"/>
      <c r="F16" s="150"/>
      <c r="G16" s="697"/>
    </row>
    <row r="17" spans="1:7" s="713" customFormat="1" x14ac:dyDescent="0.2">
      <c r="A17" s="695"/>
      <c r="B17" s="105"/>
      <c r="C17" s="119"/>
      <c r="D17" s="144"/>
      <c r="E17" s="108"/>
      <c r="F17" s="150"/>
      <c r="G17" s="697"/>
    </row>
    <row r="18" spans="1:7" s="713" customFormat="1" x14ac:dyDescent="0.2">
      <c r="A18" s="695"/>
      <c r="B18" s="698"/>
      <c r="C18" s="119"/>
      <c r="D18" s="144"/>
      <c r="E18" s="699"/>
      <c r="F18" s="163"/>
      <c r="G18" s="697"/>
    </row>
    <row r="19" spans="1:7" s="713" customFormat="1" x14ac:dyDescent="0.2">
      <c r="A19" s="695"/>
      <c r="B19" s="106"/>
      <c r="C19" s="119"/>
      <c r="D19" s="136"/>
      <c r="E19" s="131"/>
      <c r="F19" s="163"/>
      <c r="G19" s="697"/>
    </row>
    <row r="20" spans="1:7" s="713" customFormat="1" x14ac:dyDescent="0.2">
      <c r="A20" s="695"/>
      <c r="B20" s="105"/>
      <c r="C20" s="119"/>
      <c r="D20" s="136"/>
      <c r="E20" s="205"/>
      <c r="F20" s="152"/>
      <c r="G20" s="697"/>
    </row>
    <row r="21" spans="1:7" s="713" customFormat="1" x14ac:dyDescent="0.2">
      <c r="A21" s="695"/>
      <c r="B21" s="700"/>
      <c r="C21" s="119"/>
      <c r="D21" s="136"/>
      <c r="E21" s="108"/>
      <c r="F21" s="163"/>
      <c r="G21" s="697"/>
    </row>
    <row r="22" spans="1:7" s="713" customFormat="1" x14ac:dyDescent="0.2">
      <c r="A22" s="695"/>
      <c r="B22" s="700"/>
      <c r="C22" s="119"/>
      <c r="D22" s="136"/>
      <c r="E22" s="108"/>
      <c r="F22" s="163"/>
      <c r="G22" s="697"/>
    </row>
    <row r="23" spans="1:7" s="713" customFormat="1" x14ac:dyDescent="0.2">
      <c r="A23" s="695"/>
      <c r="B23" s="698"/>
      <c r="C23" s="135"/>
      <c r="D23" s="259"/>
      <c r="E23" s="244"/>
      <c r="F23" s="163"/>
      <c r="G23" s="697"/>
    </row>
    <row r="24" spans="1:7" s="713" customFormat="1" x14ac:dyDescent="0.2">
      <c r="A24" s="695"/>
      <c r="B24" s="698"/>
      <c r="C24" s="119"/>
      <c r="D24" s="136"/>
      <c r="E24" s="205"/>
      <c r="F24" s="163"/>
      <c r="G24" s="697"/>
    </row>
    <row r="25" spans="1:7" s="713" customFormat="1" x14ac:dyDescent="0.2">
      <c r="A25" s="695"/>
      <c r="B25" s="106"/>
      <c r="C25" s="119"/>
      <c r="D25" s="136"/>
      <c r="E25" s="716"/>
      <c r="F25" s="717"/>
      <c r="G25" s="697"/>
    </row>
    <row r="26" spans="1:7" s="713" customFormat="1" x14ac:dyDescent="0.2">
      <c r="A26" s="695"/>
      <c r="B26" s="105"/>
      <c r="C26" s="119"/>
      <c r="D26" s="144"/>
      <c r="E26" s="716"/>
      <c r="F26" s="717"/>
      <c r="G26" s="697"/>
    </row>
    <row r="27" spans="1:7" s="713" customFormat="1" x14ac:dyDescent="0.2">
      <c r="A27" s="695"/>
      <c r="B27" s="105"/>
      <c r="C27" s="119"/>
      <c r="D27" s="136"/>
      <c r="E27" s="131"/>
      <c r="F27" s="717"/>
      <c r="G27" s="697"/>
    </row>
    <row r="28" spans="1:7" s="713" customFormat="1" x14ac:dyDescent="0.2">
      <c r="A28" s="695"/>
      <c r="B28" s="105"/>
      <c r="C28" s="119"/>
      <c r="D28" s="136"/>
      <c r="E28" s="131"/>
      <c r="F28" s="717"/>
      <c r="G28" s="697"/>
    </row>
    <row r="29" spans="1:7" s="713" customFormat="1" x14ac:dyDescent="0.2">
      <c r="A29" s="695"/>
      <c r="B29" s="105"/>
      <c r="C29" s="119"/>
      <c r="D29" s="136"/>
      <c r="E29" s="131"/>
      <c r="F29" s="717"/>
      <c r="G29" s="697"/>
    </row>
    <row r="30" spans="1:7" s="713" customFormat="1" x14ac:dyDescent="0.2">
      <c r="A30" s="695"/>
      <c r="B30" s="105"/>
      <c r="C30" s="119"/>
      <c r="D30" s="136"/>
      <c r="E30" s="131"/>
      <c r="F30" s="717"/>
      <c r="G30" s="697"/>
    </row>
    <row r="31" spans="1:7" s="713" customFormat="1" x14ac:dyDescent="0.2">
      <c r="A31" s="695"/>
      <c r="B31" s="698"/>
      <c r="C31" s="119"/>
      <c r="D31" s="136"/>
      <c r="E31" s="131"/>
      <c r="F31" s="717"/>
      <c r="G31" s="697"/>
    </row>
    <row r="32" spans="1:7" s="713" customFormat="1" x14ac:dyDescent="0.2">
      <c r="A32" s="695"/>
      <c r="B32" s="698"/>
      <c r="C32" s="119"/>
      <c r="D32" s="136"/>
      <c r="E32" s="131"/>
      <c r="F32" s="717"/>
      <c r="G32" s="697"/>
    </row>
    <row r="33" spans="1:7" s="713" customFormat="1" x14ac:dyDescent="0.2">
      <c r="A33" s="695"/>
      <c r="B33" s="698"/>
      <c r="C33" s="119"/>
      <c r="D33" s="136"/>
      <c r="E33" s="131"/>
      <c r="F33" s="717"/>
      <c r="G33" s="697"/>
    </row>
    <row r="34" spans="1:7" s="713" customFormat="1" x14ac:dyDescent="0.2">
      <c r="A34" s="695"/>
      <c r="B34" s="698"/>
      <c r="C34" s="119"/>
      <c r="D34" s="136"/>
      <c r="E34" s="131"/>
      <c r="F34" s="717"/>
      <c r="G34" s="697"/>
    </row>
    <row r="35" spans="1:7" s="713" customFormat="1" x14ac:dyDescent="0.2">
      <c r="A35" s="695"/>
      <c r="B35" s="698"/>
      <c r="C35" s="119"/>
      <c r="D35" s="136"/>
      <c r="E35" s="131"/>
      <c r="F35" s="717"/>
      <c r="G35" s="697"/>
    </row>
    <row r="36" spans="1:7" s="713" customFormat="1" x14ac:dyDescent="0.2">
      <c r="A36" s="695"/>
      <c r="B36" s="698"/>
      <c r="C36" s="119"/>
      <c r="D36" s="144"/>
      <c r="E36" s="131"/>
      <c r="F36" s="717"/>
      <c r="G36" s="697"/>
    </row>
    <row r="37" spans="1:7" s="713" customFormat="1" x14ac:dyDescent="0.2">
      <c r="A37" s="695"/>
      <c r="B37" s="698"/>
      <c r="C37" s="119"/>
      <c r="D37" s="144"/>
      <c r="E37" s="108"/>
      <c r="F37" s="163"/>
      <c r="G37" s="697"/>
    </row>
    <row r="38" spans="1:7" s="713" customFormat="1" x14ac:dyDescent="0.2">
      <c r="A38" s="695"/>
      <c r="B38" s="698"/>
      <c r="C38" s="119"/>
      <c r="D38" s="136"/>
      <c r="E38" s="108"/>
      <c r="F38" s="163"/>
      <c r="G38" s="697"/>
    </row>
    <row r="39" spans="1:7" s="713" customFormat="1" x14ac:dyDescent="0.2">
      <c r="A39" s="695"/>
      <c r="B39" s="698"/>
      <c r="C39" s="119"/>
      <c r="D39" s="136"/>
      <c r="E39" s="108"/>
      <c r="F39" s="163"/>
      <c r="G39" s="697"/>
    </row>
    <row r="40" spans="1:7" s="713" customFormat="1" x14ac:dyDescent="0.2">
      <c r="A40" s="695"/>
      <c r="B40" s="698"/>
      <c r="C40" s="119"/>
      <c r="D40" s="136"/>
      <c r="E40" s="108"/>
      <c r="F40" s="163"/>
      <c r="G40" s="697"/>
    </row>
    <row r="41" spans="1:7" s="713" customFormat="1" x14ac:dyDescent="0.2">
      <c r="A41" s="695"/>
      <c r="B41" s="698"/>
      <c r="C41" s="119"/>
      <c r="D41" s="118"/>
      <c r="E41" s="108"/>
      <c r="F41" s="149"/>
      <c r="G41" s="697"/>
    </row>
    <row r="42" spans="1:7" s="713" customFormat="1" x14ac:dyDescent="0.2">
      <c r="A42" s="695"/>
      <c r="B42" s="698"/>
      <c r="C42" s="119"/>
      <c r="D42" s="144"/>
      <c r="E42" s="108"/>
      <c r="F42" s="149"/>
      <c r="G42" s="697"/>
    </row>
    <row r="43" spans="1:7" s="713" customFormat="1" ht="13.5" thickBot="1" x14ac:dyDescent="0.25">
      <c r="A43" s="702"/>
      <c r="B43" s="703"/>
      <c r="C43" s="704"/>
      <c r="D43" s="704"/>
      <c r="E43" s="703"/>
      <c r="F43" s="705" t="s">
        <v>15</v>
      </c>
      <c r="G43" s="706">
        <f>SUM(G10:G42)</f>
        <v>520900</v>
      </c>
    </row>
    <row r="44" spans="1:7" s="713" customFormat="1" ht="13.5" thickTop="1" x14ac:dyDescent="0.2">
      <c r="A44" s="985" t="s">
        <v>3082</v>
      </c>
      <c r="B44" s="1019"/>
      <c r="C44" s="1019"/>
      <c r="D44" s="1019"/>
      <c r="E44" s="1019"/>
      <c r="F44" s="1019"/>
      <c r="G44" s="1020"/>
    </row>
    <row r="45" spans="1:7" s="713" customFormat="1" ht="13.5" thickBot="1" x14ac:dyDescent="0.25">
      <c r="A45" s="707"/>
      <c r="B45" s="708"/>
      <c r="C45" s="708"/>
      <c r="D45" s="709"/>
      <c r="E45" s="708"/>
      <c r="F45" s="198"/>
      <c r="G45" s="199"/>
    </row>
    <row r="46" spans="1:7" s="713" customFormat="1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s="713" customFormat="1" ht="28.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s="713" customFormat="1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8" s="713" customFormat="1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8" s="713" customFormat="1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8" s="713" customFormat="1" x14ac:dyDescent="0.2">
      <c r="A51" s="1000" t="s">
        <v>48</v>
      </c>
      <c r="B51" s="1001"/>
      <c r="C51" s="1001"/>
      <c r="D51" s="1001"/>
      <c r="E51" s="1001"/>
      <c r="F51" s="1001"/>
      <c r="G51" s="1002"/>
      <c r="H51" s="804" t="s">
        <v>3066</v>
      </c>
    </row>
    <row r="52" spans="1:8" s="713" customFormat="1" x14ac:dyDescent="0.2">
      <c r="A52" s="1003" t="s">
        <v>49</v>
      </c>
      <c r="B52" s="1004"/>
      <c r="C52" s="1004"/>
      <c r="D52" s="1004"/>
      <c r="E52" s="1004"/>
      <c r="F52" s="1004"/>
      <c r="G52" s="1005"/>
      <c r="H52" s="804" t="s">
        <v>3180</v>
      </c>
    </row>
    <row r="53" spans="1:8" s="713" customFormat="1" x14ac:dyDescent="0.2">
      <c r="A53" s="674"/>
      <c r="B53" s="675"/>
      <c r="C53" s="676"/>
      <c r="D53" s="677"/>
      <c r="E53" s="675"/>
      <c r="F53" s="678"/>
      <c r="G53" s="679" t="s">
        <v>20</v>
      </c>
    </row>
    <row r="54" spans="1:8" s="713" customFormat="1" x14ac:dyDescent="0.2">
      <c r="A54" s="680" t="s">
        <v>1</v>
      </c>
      <c r="B54" s="681"/>
      <c r="C54" s="682" t="s">
        <v>7</v>
      </c>
      <c r="D54" s="681"/>
      <c r="E54" s="683" t="s">
        <v>3191</v>
      </c>
      <c r="F54" s="684"/>
      <c r="G54" s="685" t="s">
        <v>3175</v>
      </c>
    </row>
    <row r="55" spans="1:8" s="713" customFormat="1" x14ac:dyDescent="0.2">
      <c r="A55" s="686" t="s">
        <v>8</v>
      </c>
      <c r="B55" s="687"/>
      <c r="C55" s="688"/>
      <c r="D55" s="673"/>
      <c r="E55" s="1006"/>
      <c r="F55" s="1007"/>
      <c r="G55" s="689"/>
    </row>
    <row r="56" spans="1:8" s="713" customFormat="1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50</v>
      </c>
    </row>
    <row r="57" spans="1:8" s="713" customFormat="1" x14ac:dyDescent="0.2">
      <c r="A57" s="674"/>
      <c r="B57" s="675"/>
      <c r="C57" s="676"/>
      <c r="D57" s="676"/>
      <c r="E57" s="1008"/>
      <c r="F57" s="1009"/>
      <c r="G57" s="693"/>
    </row>
    <row r="58" spans="1:8" s="713" customFormat="1" ht="26.25" customHeight="1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8" s="713" customFormat="1" ht="13.5" thickTop="1" x14ac:dyDescent="0.2">
      <c r="A59" s="695"/>
      <c r="B59" s="698"/>
      <c r="C59" s="385"/>
      <c r="D59" s="357" t="s">
        <v>3083</v>
      </c>
      <c r="E59" s="158"/>
      <c r="F59" s="163"/>
      <c r="G59" s="697"/>
    </row>
    <row r="60" spans="1:8" s="713" customFormat="1" x14ac:dyDescent="0.2">
      <c r="A60" s="695">
        <v>1</v>
      </c>
      <c r="B60" s="698"/>
      <c r="C60" s="385" t="s">
        <v>366</v>
      </c>
      <c r="D60" s="370" t="s">
        <v>3147</v>
      </c>
      <c r="E60" s="205">
        <v>65</v>
      </c>
      <c r="F60" s="163">
        <v>1020</v>
      </c>
      <c r="G60" s="697">
        <f>F60*E60</f>
        <v>66300</v>
      </c>
    </row>
    <row r="61" spans="1:8" s="713" customFormat="1" x14ac:dyDescent="0.2">
      <c r="A61" s="695"/>
      <c r="B61" s="776"/>
      <c r="C61" s="791"/>
      <c r="D61" s="666" t="s">
        <v>3148</v>
      </c>
      <c r="E61" s="829"/>
      <c r="F61" s="780"/>
      <c r="G61" s="697"/>
    </row>
    <row r="62" spans="1:8" s="713" customFormat="1" x14ac:dyDescent="0.2">
      <c r="A62" s="695">
        <v>2</v>
      </c>
      <c r="B62" s="698"/>
      <c r="C62" s="791" t="s">
        <v>366</v>
      </c>
      <c r="D62" s="715" t="s">
        <v>3143</v>
      </c>
      <c r="E62" s="204">
        <v>1</v>
      </c>
      <c r="F62" s="149">
        <v>760</v>
      </c>
      <c r="G62" s="697">
        <f t="shared" ref="G62:G65" si="0">F62*E62</f>
        <v>760</v>
      </c>
    </row>
    <row r="63" spans="1:8" s="713" customFormat="1" x14ac:dyDescent="0.2">
      <c r="A63" s="695">
        <v>3</v>
      </c>
      <c r="B63" s="698"/>
      <c r="C63" s="385" t="s">
        <v>185</v>
      </c>
      <c r="D63" s="203" t="s">
        <v>3144</v>
      </c>
      <c r="E63" s="108">
        <v>1</v>
      </c>
      <c r="F63" s="163">
        <v>2935</v>
      </c>
      <c r="G63" s="697">
        <f t="shared" si="0"/>
        <v>2935</v>
      </c>
    </row>
    <row r="64" spans="1:8" s="713" customFormat="1" x14ac:dyDescent="0.2">
      <c r="A64" s="695">
        <v>4</v>
      </c>
      <c r="B64" s="105"/>
      <c r="C64" s="385" t="s">
        <v>185</v>
      </c>
      <c r="D64" s="136" t="s">
        <v>3145</v>
      </c>
      <c r="E64" s="108">
        <v>1</v>
      </c>
      <c r="F64" s="163">
        <v>17150</v>
      </c>
      <c r="G64" s="697">
        <f t="shared" si="0"/>
        <v>17150</v>
      </c>
    </row>
    <row r="65" spans="1:7" s="713" customFormat="1" x14ac:dyDescent="0.2">
      <c r="A65" s="695">
        <v>5</v>
      </c>
      <c r="B65" s="105"/>
      <c r="C65" s="385" t="s">
        <v>177</v>
      </c>
      <c r="D65" s="376" t="s">
        <v>3149</v>
      </c>
      <c r="E65" s="108">
        <v>1</v>
      </c>
      <c r="F65" s="163">
        <v>3300</v>
      </c>
      <c r="G65" s="697">
        <f t="shared" si="0"/>
        <v>3300</v>
      </c>
    </row>
    <row r="66" spans="1:7" s="713" customFormat="1" x14ac:dyDescent="0.2">
      <c r="A66" s="695"/>
      <c r="B66" s="105"/>
      <c r="C66" s="119"/>
      <c r="D66" s="136" t="s">
        <v>3150</v>
      </c>
      <c r="E66" s="108"/>
      <c r="F66" s="150"/>
      <c r="G66" s="697"/>
    </row>
    <row r="67" spans="1:7" s="713" customFormat="1" x14ac:dyDescent="0.2">
      <c r="A67" s="695"/>
      <c r="B67" s="105"/>
      <c r="C67" s="119"/>
      <c r="D67" s="144"/>
      <c r="E67" s="108"/>
      <c r="F67" s="150"/>
      <c r="G67" s="697"/>
    </row>
    <row r="68" spans="1:7" s="713" customFormat="1" x14ac:dyDescent="0.2">
      <c r="A68" s="695"/>
      <c r="B68" s="698"/>
      <c r="C68" s="119"/>
      <c r="D68" s="144"/>
      <c r="E68" s="699"/>
      <c r="F68" s="163"/>
      <c r="G68" s="697"/>
    </row>
    <row r="69" spans="1:7" s="713" customFormat="1" x14ac:dyDescent="0.2">
      <c r="A69" s="695"/>
      <c r="B69" s="106"/>
      <c r="C69" s="119"/>
      <c r="D69" s="136"/>
      <c r="E69" s="131"/>
      <c r="F69" s="163"/>
      <c r="G69" s="697"/>
    </row>
    <row r="70" spans="1:7" s="713" customFormat="1" x14ac:dyDescent="0.2">
      <c r="A70" s="695"/>
      <c r="B70" s="105"/>
      <c r="C70" s="119"/>
      <c r="D70" s="136"/>
      <c r="E70" s="205"/>
      <c r="F70" s="152"/>
      <c r="G70" s="697"/>
    </row>
    <row r="71" spans="1:7" s="713" customFormat="1" x14ac:dyDescent="0.2">
      <c r="A71" s="695"/>
      <c r="B71" s="700"/>
      <c r="C71" s="119"/>
      <c r="D71" s="136"/>
      <c r="E71" s="108"/>
      <c r="F71" s="163"/>
      <c r="G71" s="697"/>
    </row>
    <row r="72" spans="1:7" s="713" customFormat="1" x14ac:dyDescent="0.2">
      <c r="A72" s="695"/>
      <c r="B72" s="700"/>
      <c r="C72" s="119"/>
      <c r="D72" s="136"/>
      <c r="E72" s="108"/>
      <c r="F72" s="163"/>
      <c r="G72" s="697"/>
    </row>
    <row r="73" spans="1:7" s="713" customFormat="1" x14ac:dyDescent="0.2">
      <c r="A73" s="695"/>
      <c r="B73" s="698"/>
      <c r="C73" s="135"/>
      <c r="D73" s="259"/>
      <c r="E73" s="244"/>
      <c r="F73" s="163"/>
      <c r="G73" s="697"/>
    </row>
    <row r="74" spans="1:7" s="713" customFormat="1" x14ac:dyDescent="0.2">
      <c r="A74" s="695"/>
      <c r="B74" s="698"/>
      <c r="C74" s="119"/>
      <c r="D74" s="136"/>
      <c r="E74" s="205"/>
      <c r="F74" s="163"/>
      <c r="G74" s="697"/>
    </row>
    <row r="75" spans="1:7" s="713" customFormat="1" x14ac:dyDescent="0.2">
      <c r="A75" s="695"/>
      <c r="B75" s="106"/>
      <c r="C75" s="119"/>
      <c r="D75" s="136"/>
      <c r="E75" s="716"/>
      <c r="F75" s="717"/>
      <c r="G75" s="697"/>
    </row>
    <row r="76" spans="1:7" s="713" customFormat="1" x14ac:dyDescent="0.2">
      <c r="A76" s="695"/>
      <c r="B76" s="105"/>
      <c r="C76" s="119"/>
      <c r="D76" s="144"/>
      <c r="E76" s="716"/>
      <c r="F76" s="717"/>
      <c r="G76" s="697"/>
    </row>
    <row r="77" spans="1:7" s="713" customFormat="1" x14ac:dyDescent="0.2">
      <c r="A77" s="695"/>
      <c r="B77" s="105"/>
      <c r="C77" s="119"/>
      <c r="D77" s="136"/>
      <c r="E77" s="131"/>
      <c r="F77" s="717"/>
      <c r="G77" s="697"/>
    </row>
    <row r="78" spans="1:7" s="713" customFormat="1" x14ac:dyDescent="0.2">
      <c r="A78" s="695"/>
      <c r="B78" s="105"/>
      <c r="C78" s="119"/>
      <c r="D78" s="136"/>
      <c r="E78" s="131"/>
      <c r="F78" s="717"/>
      <c r="G78" s="697"/>
    </row>
    <row r="79" spans="1:7" s="713" customFormat="1" x14ac:dyDescent="0.2">
      <c r="A79" s="695"/>
      <c r="B79" s="105"/>
      <c r="C79" s="119"/>
      <c r="D79" s="136"/>
      <c r="E79" s="131"/>
      <c r="F79" s="717"/>
      <c r="G79" s="697"/>
    </row>
    <row r="80" spans="1:7" s="713" customFormat="1" x14ac:dyDescent="0.2">
      <c r="A80" s="695"/>
      <c r="B80" s="105"/>
      <c r="C80" s="119"/>
      <c r="D80" s="136"/>
      <c r="E80" s="131"/>
      <c r="F80" s="717"/>
      <c r="G80" s="697"/>
    </row>
    <row r="81" spans="1:7" s="713" customFormat="1" x14ac:dyDescent="0.2">
      <c r="A81" s="695"/>
      <c r="B81" s="698"/>
      <c r="C81" s="119"/>
      <c r="D81" s="136"/>
      <c r="E81" s="131"/>
      <c r="F81" s="717"/>
      <c r="G81" s="697"/>
    </row>
    <row r="82" spans="1:7" s="713" customFormat="1" x14ac:dyDescent="0.2">
      <c r="A82" s="695"/>
      <c r="B82" s="698"/>
      <c r="C82" s="119"/>
      <c r="D82" s="136"/>
      <c r="E82" s="131"/>
      <c r="F82" s="717"/>
      <c r="G82" s="697"/>
    </row>
    <row r="83" spans="1:7" s="713" customFormat="1" x14ac:dyDescent="0.2">
      <c r="A83" s="695"/>
      <c r="B83" s="698"/>
      <c r="C83" s="119"/>
      <c r="D83" s="136"/>
      <c r="E83" s="131"/>
      <c r="F83" s="717"/>
      <c r="G83" s="697"/>
    </row>
    <row r="84" spans="1:7" s="713" customFormat="1" x14ac:dyDescent="0.2">
      <c r="A84" s="695"/>
      <c r="B84" s="698"/>
      <c r="C84" s="119"/>
      <c r="D84" s="136"/>
      <c r="E84" s="131"/>
      <c r="F84" s="717"/>
      <c r="G84" s="697"/>
    </row>
    <row r="85" spans="1:7" s="713" customFormat="1" x14ac:dyDescent="0.2">
      <c r="A85" s="695"/>
      <c r="B85" s="698"/>
      <c r="C85" s="119"/>
      <c r="D85" s="136"/>
      <c r="E85" s="131"/>
      <c r="F85" s="717"/>
      <c r="G85" s="697"/>
    </row>
    <row r="86" spans="1:7" s="713" customFormat="1" x14ac:dyDescent="0.2">
      <c r="A86" s="695"/>
      <c r="B86" s="698"/>
      <c r="C86" s="119"/>
      <c r="D86" s="144"/>
      <c r="E86" s="131"/>
      <c r="F86" s="717"/>
      <c r="G86" s="697"/>
    </row>
    <row r="87" spans="1:7" s="713" customFormat="1" x14ac:dyDescent="0.2">
      <c r="A87" s="695"/>
      <c r="B87" s="698"/>
      <c r="C87" s="119"/>
      <c r="D87" s="144"/>
      <c r="E87" s="108"/>
      <c r="F87" s="163"/>
      <c r="G87" s="697"/>
    </row>
    <row r="88" spans="1:7" s="713" customFormat="1" x14ac:dyDescent="0.2">
      <c r="A88" s="695"/>
      <c r="B88" s="698"/>
      <c r="C88" s="119"/>
      <c r="D88" s="136"/>
      <c r="E88" s="108"/>
      <c r="F88" s="163"/>
      <c r="G88" s="697"/>
    </row>
    <row r="89" spans="1:7" s="713" customFormat="1" x14ac:dyDescent="0.2">
      <c r="A89" s="695"/>
      <c r="B89" s="698"/>
      <c r="C89" s="119"/>
      <c r="D89" s="136"/>
      <c r="E89" s="108"/>
      <c r="F89" s="163"/>
      <c r="G89" s="697"/>
    </row>
    <row r="90" spans="1:7" s="713" customFormat="1" x14ac:dyDescent="0.2">
      <c r="A90" s="695"/>
      <c r="B90" s="698"/>
      <c r="C90" s="119"/>
      <c r="D90" s="118"/>
      <c r="E90" s="108"/>
      <c r="F90" s="149"/>
      <c r="G90" s="697"/>
    </row>
    <row r="91" spans="1:7" s="713" customFormat="1" x14ac:dyDescent="0.2">
      <c r="A91" s="695"/>
      <c r="B91" s="698"/>
      <c r="C91" s="119"/>
      <c r="D91" s="144"/>
      <c r="E91" s="108"/>
      <c r="F91" s="149"/>
      <c r="G91" s="697"/>
    </row>
    <row r="92" spans="1:7" s="713" customFormat="1" ht="13.5" thickBot="1" x14ac:dyDescent="0.25">
      <c r="A92" s="702"/>
      <c r="B92" s="703"/>
      <c r="C92" s="704"/>
      <c r="D92" s="704"/>
      <c r="E92" s="703"/>
      <c r="F92" s="705" t="s">
        <v>15</v>
      </c>
      <c r="G92" s="706">
        <f>SUM(G59:G91)</f>
        <v>90445</v>
      </c>
    </row>
    <row r="93" spans="1:7" s="713" customFormat="1" ht="13.5" thickTop="1" x14ac:dyDescent="0.2">
      <c r="A93" s="985" t="s">
        <v>3082</v>
      </c>
      <c r="B93" s="1019"/>
      <c r="C93" s="1019"/>
      <c r="D93" s="1019"/>
      <c r="E93" s="1019"/>
      <c r="F93" s="1019"/>
      <c r="G93" s="1020"/>
    </row>
    <row r="94" spans="1:7" s="713" customFormat="1" ht="13.5" thickBot="1" x14ac:dyDescent="0.25">
      <c r="A94" s="707"/>
      <c r="B94" s="708"/>
      <c r="C94" s="708"/>
      <c r="D94" s="709"/>
      <c r="E94" s="708"/>
      <c r="F94" s="198"/>
      <c r="G94" s="199"/>
    </row>
    <row r="95" spans="1:7" s="713" customFormat="1" ht="13.5" thickTop="1" x14ac:dyDescent="0.2">
      <c r="A95" s="1023"/>
      <c r="B95" s="1024"/>
      <c r="C95" s="1024"/>
      <c r="D95" s="344" t="s">
        <v>11</v>
      </c>
      <c r="E95" s="1025" t="s">
        <v>12</v>
      </c>
      <c r="F95" s="1025"/>
      <c r="G95" s="1026"/>
    </row>
    <row r="96" spans="1:7" s="713" customFormat="1" ht="28.5" customHeight="1" x14ac:dyDescent="0.2">
      <c r="A96" s="1010" t="s">
        <v>17</v>
      </c>
      <c r="B96" s="1011"/>
      <c r="C96" s="1011"/>
      <c r="D96" s="121"/>
      <c r="E96" s="1027"/>
      <c r="F96" s="1028"/>
      <c r="G96" s="1029"/>
    </row>
    <row r="97" spans="1:9" s="713" customFormat="1" x14ac:dyDescent="0.2">
      <c r="A97" s="1010" t="s">
        <v>38</v>
      </c>
      <c r="B97" s="1011"/>
      <c r="C97" s="1011"/>
      <c r="D97" s="710" t="s">
        <v>147</v>
      </c>
      <c r="E97" s="1012" t="s">
        <v>142</v>
      </c>
      <c r="F97" s="1012"/>
      <c r="G97" s="1013"/>
    </row>
    <row r="98" spans="1:9" s="713" customFormat="1" ht="13.5" thickBot="1" x14ac:dyDescent="0.25">
      <c r="A98" s="1014" t="s">
        <v>39</v>
      </c>
      <c r="B98" s="1015"/>
      <c r="C98" s="1015"/>
      <c r="D98" s="125" t="s">
        <v>148</v>
      </c>
      <c r="E98" s="1016" t="s">
        <v>0</v>
      </c>
      <c r="F98" s="1017"/>
      <c r="G98" s="1018"/>
    </row>
    <row r="99" spans="1:9" s="713" customFormat="1" ht="16.5" x14ac:dyDescent="0.2">
      <c r="A99" s="997" t="s">
        <v>29</v>
      </c>
      <c r="B99" s="998"/>
      <c r="C99" s="998"/>
      <c r="D99" s="998"/>
      <c r="E99" s="998"/>
      <c r="F99" s="998"/>
      <c r="G99" s="999"/>
      <c r="H99" s="713">
        <v>3</v>
      </c>
    </row>
    <row r="100" spans="1:9" s="713" customFormat="1" x14ac:dyDescent="0.2">
      <c r="A100" s="1000" t="s">
        <v>48</v>
      </c>
      <c r="B100" s="1001"/>
      <c r="C100" s="1001"/>
      <c r="D100" s="1001"/>
      <c r="E100" s="1001"/>
      <c r="F100" s="1001"/>
      <c r="G100" s="1002"/>
      <c r="H100" s="804" t="s">
        <v>3380</v>
      </c>
      <c r="I100" s="804" t="s">
        <v>3536</v>
      </c>
    </row>
    <row r="101" spans="1:9" s="713" customFormat="1" x14ac:dyDescent="0.2">
      <c r="A101" s="1003" t="s">
        <v>49</v>
      </c>
      <c r="B101" s="1004"/>
      <c r="C101" s="1004"/>
      <c r="D101" s="1004"/>
      <c r="E101" s="1004"/>
      <c r="F101" s="1004"/>
      <c r="G101" s="1005"/>
      <c r="H101" s="804"/>
    </row>
    <row r="102" spans="1:9" s="713" customFormat="1" x14ac:dyDescent="0.2">
      <c r="A102" s="674"/>
      <c r="B102" s="675"/>
      <c r="C102" s="676"/>
      <c r="D102" s="677"/>
      <c r="E102" s="675"/>
      <c r="F102" s="678"/>
      <c r="G102" s="679" t="s">
        <v>20</v>
      </c>
    </row>
    <row r="103" spans="1:9" s="713" customFormat="1" x14ac:dyDescent="0.2">
      <c r="A103" s="680" t="s">
        <v>1</v>
      </c>
      <c r="B103" s="681"/>
      <c r="C103" s="682" t="s">
        <v>7</v>
      </c>
      <c r="D103" s="681"/>
      <c r="E103" s="683" t="s">
        <v>3549</v>
      </c>
      <c r="F103" s="684"/>
      <c r="G103" s="685" t="s">
        <v>3537</v>
      </c>
    </row>
    <row r="104" spans="1:9" s="713" customFormat="1" x14ac:dyDescent="0.2">
      <c r="A104" s="686" t="s">
        <v>8</v>
      </c>
      <c r="B104" s="687"/>
      <c r="C104" s="688"/>
      <c r="D104" s="673"/>
      <c r="E104" s="1006"/>
      <c r="F104" s="1007"/>
      <c r="G104" s="689"/>
    </row>
    <row r="105" spans="1:9" s="713" customFormat="1" x14ac:dyDescent="0.2">
      <c r="A105" s="690" t="s">
        <v>37</v>
      </c>
      <c r="B105" s="261"/>
      <c r="C105" s="261"/>
      <c r="D105" s="261"/>
      <c r="E105" s="691" t="s">
        <v>46</v>
      </c>
      <c r="F105" s="692"/>
      <c r="G105" s="689" t="s">
        <v>50</v>
      </c>
    </row>
    <row r="106" spans="1:9" s="713" customFormat="1" x14ac:dyDescent="0.2">
      <c r="A106" s="674"/>
      <c r="B106" s="675"/>
      <c r="C106" s="676"/>
      <c r="D106" s="676"/>
      <c r="E106" s="1008"/>
      <c r="F106" s="1009"/>
      <c r="G106" s="693"/>
    </row>
    <row r="107" spans="1:9" s="713" customFormat="1" ht="26.25" customHeight="1" thickBot="1" x14ac:dyDescent="0.25">
      <c r="A107" s="694" t="s">
        <v>47</v>
      </c>
      <c r="B107" s="110" t="s">
        <v>23</v>
      </c>
      <c r="C107" s="110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9" s="713" customFormat="1" ht="13.5" thickTop="1" x14ac:dyDescent="0.2">
      <c r="A108" s="695">
        <v>1</v>
      </c>
      <c r="B108" s="698"/>
      <c r="C108" s="385" t="s">
        <v>185</v>
      </c>
      <c r="D108" s="376" t="s">
        <v>3077</v>
      </c>
      <c r="E108" s="158">
        <v>4</v>
      </c>
      <c r="F108" s="163">
        <v>76380</v>
      </c>
      <c r="G108" s="697">
        <f>F108*E108</f>
        <v>305520</v>
      </c>
      <c r="I108" s="713" t="s">
        <v>3523</v>
      </c>
    </row>
    <row r="109" spans="1:9" s="713" customFormat="1" x14ac:dyDescent="0.2">
      <c r="A109" s="695">
        <v>2</v>
      </c>
      <c r="B109" s="698"/>
      <c r="C109" s="385" t="s">
        <v>176</v>
      </c>
      <c r="D109" s="370" t="s">
        <v>3078</v>
      </c>
      <c r="E109" s="205">
        <v>2</v>
      </c>
      <c r="F109" s="163">
        <v>56373</v>
      </c>
      <c r="G109" s="697">
        <f t="shared" ref="G109:G113" si="1">F109*E109</f>
        <v>112746</v>
      </c>
    </row>
    <row r="110" spans="1:9" s="713" customFormat="1" x14ac:dyDescent="0.2">
      <c r="A110" s="695">
        <v>3</v>
      </c>
      <c r="B110" s="698"/>
      <c r="C110" s="791" t="s">
        <v>153</v>
      </c>
      <c r="D110" s="715" t="s">
        <v>3079</v>
      </c>
      <c r="E110" s="204">
        <v>4</v>
      </c>
      <c r="F110" s="149">
        <v>80548.12</v>
      </c>
      <c r="G110" s="697">
        <f t="shared" si="1"/>
        <v>322192.48</v>
      </c>
    </row>
    <row r="111" spans="1:9" s="713" customFormat="1" x14ac:dyDescent="0.2">
      <c r="A111" s="695">
        <v>4</v>
      </c>
      <c r="B111" s="698"/>
      <c r="C111" s="385" t="s">
        <v>185</v>
      </c>
      <c r="D111" s="792" t="s">
        <v>3080</v>
      </c>
      <c r="E111" s="108">
        <v>1</v>
      </c>
      <c r="F111" s="163">
        <v>18201.88</v>
      </c>
      <c r="G111" s="697">
        <f t="shared" si="1"/>
        <v>18201.88</v>
      </c>
    </row>
    <row r="112" spans="1:9" s="713" customFormat="1" x14ac:dyDescent="0.2">
      <c r="A112" s="695">
        <v>5</v>
      </c>
      <c r="B112" s="105"/>
      <c r="C112" s="385" t="s">
        <v>2779</v>
      </c>
      <c r="D112" s="376" t="s">
        <v>3073</v>
      </c>
      <c r="E112" s="108">
        <v>1</v>
      </c>
      <c r="F112" s="163">
        <v>46550</v>
      </c>
      <c r="G112" s="697">
        <f t="shared" si="1"/>
        <v>46550</v>
      </c>
    </row>
    <row r="113" spans="1:7" s="713" customFormat="1" x14ac:dyDescent="0.2">
      <c r="A113" s="695">
        <v>6</v>
      </c>
      <c r="B113" s="105"/>
      <c r="C113" s="385" t="s">
        <v>2771</v>
      </c>
      <c r="D113" s="376" t="s">
        <v>3074</v>
      </c>
      <c r="E113" s="108">
        <v>1</v>
      </c>
      <c r="F113" s="163">
        <v>21947</v>
      </c>
      <c r="G113" s="697">
        <f t="shared" si="1"/>
        <v>21947</v>
      </c>
    </row>
    <row r="114" spans="1:7" s="713" customFormat="1" x14ac:dyDescent="0.2">
      <c r="A114" s="695"/>
      <c r="B114" s="105"/>
      <c r="C114" s="119"/>
      <c r="D114" s="136"/>
      <c r="E114" s="108"/>
      <c r="F114" s="150"/>
      <c r="G114" s="697"/>
    </row>
    <row r="115" spans="1:7" s="713" customFormat="1" x14ac:dyDescent="0.2">
      <c r="A115" s="695"/>
      <c r="B115" s="105"/>
      <c r="C115" s="119"/>
      <c r="D115" s="144"/>
      <c r="E115" s="108"/>
      <c r="F115" s="150"/>
      <c r="G115" s="697"/>
    </row>
    <row r="116" spans="1:7" s="713" customFormat="1" x14ac:dyDescent="0.2">
      <c r="A116" s="695"/>
      <c r="B116" s="698"/>
      <c r="C116" s="119"/>
      <c r="D116" s="144"/>
      <c r="E116" s="699"/>
      <c r="F116" s="163"/>
      <c r="G116" s="697"/>
    </row>
    <row r="117" spans="1:7" s="713" customFormat="1" x14ac:dyDescent="0.2">
      <c r="A117" s="695"/>
      <c r="B117" s="106"/>
      <c r="C117" s="119"/>
      <c r="D117" s="136"/>
      <c r="E117" s="131"/>
      <c r="F117" s="163"/>
      <c r="G117" s="697"/>
    </row>
    <row r="118" spans="1:7" s="713" customFormat="1" x14ac:dyDescent="0.2">
      <c r="A118" s="695"/>
      <c r="B118" s="105"/>
      <c r="C118" s="119"/>
      <c r="D118" s="136"/>
      <c r="E118" s="205"/>
      <c r="F118" s="152"/>
      <c r="G118" s="697"/>
    </row>
    <row r="119" spans="1:7" s="713" customFormat="1" x14ac:dyDescent="0.2">
      <c r="A119" s="695"/>
      <c r="B119" s="700"/>
      <c r="C119" s="119"/>
      <c r="D119" s="136"/>
      <c r="E119" s="108"/>
      <c r="F119" s="163"/>
      <c r="G119" s="697"/>
    </row>
    <row r="120" spans="1:7" s="713" customFormat="1" x14ac:dyDescent="0.2">
      <c r="A120" s="695"/>
      <c r="B120" s="700"/>
      <c r="C120" s="119"/>
      <c r="D120" s="136"/>
      <c r="E120" s="108"/>
      <c r="F120" s="163"/>
      <c r="G120" s="697"/>
    </row>
    <row r="121" spans="1:7" s="713" customFormat="1" x14ac:dyDescent="0.2">
      <c r="A121" s="695"/>
      <c r="B121" s="698"/>
      <c r="C121" s="135"/>
      <c r="D121" s="259"/>
      <c r="E121" s="244"/>
      <c r="F121" s="163"/>
      <c r="G121" s="697"/>
    </row>
    <row r="122" spans="1:7" s="713" customFormat="1" x14ac:dyDescent="0.2">
      <c r="A122" s="695"/>
      <c r="B122" s="698"/>
      <c r="C122" s="119"/>
      <c r="D122" s="136"/>
      <c r="E122" s="205"/>
      <c r="F122" s="163"/>
      <c r="G122" s="697"/>
    </row>
    <row r="123" spans="1:7" s="713" customFormat="1" x14ac:dyDescent="0.2">
      <c r="A123" s="695"/>
      <c r="B123" s="106"/>
      <c r="C123" s="119"/>
      <c r="D123" s="136"/>
      <c r="E123" s="716"/>
      <c r="F123" s="717"/>
      <c r="G123" s="697"/>
    </row>
    <row r="124" spans="1:7" s="713" customFormat="1" x14ac:dyDescent="0.2">
      <c r="A124" s="695"/>
      <c r="B124" s="105"/>
      <c r="C124" s="119"/>
      <c r="D124" s="144"/>
      <c r="E124" s="716"/>
      <c r="F124" s="717"/>
      <c r="G124" s="697"/>
    </row>
    <row r="125" spans="1:7" s="713" customFormat="1" x14ac:dyDescent="0.2">
      <c r="A125" s="695"/>
      <c r="B125" s="105"/>
      <c r="C125" s="119"/>
      <c r="D125" s="136"/>
      <c r="E125" s="131"/>
      <c r="F125" s="717"/>
      <c r="G125" s="697"/>
    </row>
    <row r="126" spans="1:7" s="713" customFormat="1" x14ac:dyDescent="0.2">
      <c r="A126" s="695"/>
      <c r="B126" s="105"/>
      <c r="C126" s="119"/>
      <c r="D126" s="136"/>
      <c r="E126" s="131"/>
      <c r="F126" s="717"/>
      <c r="G126" s="697"/>
    </row>
    <row r="127" spans="1:7" s="713" customFormat="1" x14ac:dyDescent="0.2">
      <c r="A127" s="695"/>
      <c r="B127" s="105"/>
      <c r="C127" s="119"/>
      <c r="D127" s="136"/>
      <c r="E127" s="131"/>
      <c r="F127" s="717"/>
      <c r="G127" s="697"/>
    </row>
    <row r="128" spans="1:7" s="713" customFormat="1" x14ac:dyDescent="0.2">
      <c r="A128" s="695"/>
      <c r="B128" s="105"/>
      <c r="C128" s="119"/>
      <c r="D128" s="136"/>
      <c r="E128" s="131"/>
      <c r="F128" s="717"/>
      <c r="G128" s="697"/>
    </row>
    <row r="129" spans="1:7" s="713" customFormat="1" x14ac:dyDescent="0.2">
      <c r="A129" s="695"/>
      <c r="B129" s="698"/>
      <c r="C129" s="119"/>
      <c r="D129" s="136"/>
      <c r="E129" s="131"/>
      <c r="F129" s="717"/>
      <c r="G129" s="697"/>
    </row>
    <row r="130" spans="1:7" s="713" customFormat="1" x14ac:dyDescent="0.2">
      <c r="A130" s="695"/>
      <c r="B130" s="698"/>
      <c r="C130" s="119"/>
      <c r="D130" s="136"/>
      <c r="E130" s="131"/>
      <c r="F130" s="717"/>
      <c r="G130" s="697"/>
    </row>
    <row r="131" spans="1:7" s="713" customFormat="1" x14ac:dyDescent="0.2">
      <c r="A131" s="695"/>
      <c r="B131" s="698"/>
      <c r="C131" s="119"/>
      <c r="D131" s="136"/>
      <c r="E131" s="131"/>
      <c r="F131" s="717"/>
      <c r="G131" s="697"/>
    </row>
    <row r="132" spans="1:7" s="713" customFormat="1" x14ac:dyDescent="0.2">
      <c r="A132" s="695"/>
      <c r="B132" s="698"/>
      <c r="C132" s="119"/>
      <c r="D132" s="136"/>
      <c r="E132" s="131"/>
      <c r="F132" s="717"/>
      <c r="G132" s="697"/>
    </row>
    <row r="133" spans="1:7" s="713" customFormat="1" x14ac:dyDescent="0.2">
      <c r="A133" s="695"/>
      <c r="B133" s="698"/>
      <c r="C133" s="119"/>
      <c r="D133" s="136"/>
      <c r="E133" s="131"/>
      <c r="F133" s="717"/>
      <c r="G133" s="697"/>
    </row>
    <row r="134" spans="1:7" s="713" customFormat="1" x14ac:dyDescent="0.2">
      <c r="A134" s="695"/>
      <c r="B134" s="698"/>
      <c r="C134" s="119"/>
      <c r="D134" s="144"/>
      <c r="E134" s="131"/>
      <c r="F134" s="717"/>
      <c r="G134" s="697"/>
    </row>
    <row r="135" spans="1:7" s="713" customFormat="1" x14ac:dyDescent="0.2">
      <c r="A135" s="695"/>
      <c r="B135" s="698"/>
      <c r="C135" s="119"/>
      <c r="D135" s="144"/>
      <c r="E135" s="108"/>
      <c r="F135" s="163"/>
      <c r="G135" s="697"/>
    </row>
    <row r="136" spans="1:7" s="713" customFormat="1" x14ac:dyDescent="0.2">
      <c r="A136" s="695"/>
      <c r="B136" s="698"/>
      <c r="C136" s="119"/>
      <c r="D136" s="136"/>
      <c r="E136" s="108"/>
      <c r="F136" s="163"/>
      <c r="G136" s="697"/>
    </row>
    <row r="137" spans="1:7" s="713" customFormat="1" x14ac:dyDescent="0.2">
      <c r="A137" s="695"/>
      <c r="B137" s="698"/>
      <c r="C137" s="119"/>
      <c r="D137" s="136"/>
      <c r="E137" s="108"/>
      <c r="F137" s="163"/>
      <c r="G137" s="697"/>
    </row>
    <row r="138" spans="1:7" s="713" customFormat="1" x14ac:dyDescent="0.2">
      <c r="A138" s="695"/>
      <c r="B138" s="698"/>
      <c r="C138" s="119"/>
      <c r="D138" s="136"/>
      <c r="E138" s="108"/>
      <c r="F138" s="163"/>
      <c r="G138" s="697"/>
    </row>
    <row r="139" spans="1:7" s="713" customFormat="1" x14ac:dyDescent="0.2">
      <c r="A139" s="695"/>
      <c r="B139" s="698"/>
      <c r="C139" s="119"/>
      <c r="D139" s="118"/>
      <c r="E139" s="108"/>
      <c r="F139" s="149"/>
      <c r="G139" s="697"/>
    </row>
    <row r="140" spans="1:7" s="713" customFormat="1" x14ac:dyDescent="0.2">
      <c r="A140" s="695"/>
      <c r="B140" s="698"/>
      <c r="C140" s="119"/>
      <c r="D140" s="144"/>
      <c r="E140" s="108"/>
      <c r="F140" s="149"/>
      <c r="G140" s="697"/>
    </row>
    <row r="141" spans="1:7" s="713" customFormat="1" ht="13.5" thickBot="1" x14ac:dyDescent="0.25">
      <c r="A141" s="702"/>
      <c r="B141" s="703"/>
      <c r="C141" s="704"/>
      <c r="D141" s="704"/>
      <c r="E141" s="703"/>
      <c r="F141" s="705" t="s">
        <v>15</v>
      </c>
      <c r="G141" s="706">
        <f>SUM(G108:G140)</f>
        <v>827157.36</v>
      </c>
    </row>
    <row r="142" spans="1:7" s="713" customFormat="1" ht="13.5" thickTop="1" x14ac:dyDescent="0.2">
      <c r="A142" s="985" t="s">
        <v>3082</v>
      </c>
      <c r="B142" s="1019"/>
      <c r="C142" s="1019"/>
      <c r="D142" s="1019"/>
      <c r="E142" s="1019"/>
      <c r="F142" s="1019"/>
      <c r="G142" s="1020"/>
    </row>
    <row r="143" spans="1:7" s="713" customFormat="1" ht="13.5" thickBot="1" x14ac:dyDescent="0.25">
      <c r="A143" s="707"/>
      <c r="B143" s="708"/>
      <c r="C143" s="708"/>
      <c r="D143" s="709"/>
      <c r="E143" s="708"/>
      <c r="F143" s="198"/>
      <c r="G143" s="199"/>
    </row>
    <row r="144" spans="1:7" s="713" customFormat="1" ht="13.5" thickTop="1" x14ac:dyDescent="0.2">
      <c r="A144" s="1023"/>
      <c r="B144" s="1024"/>
      <c r="C144" s="1024"/>
      <c r="D144" s="344" t="s">
        <v>11</v>
      </c>
      <c r="E144" s="1025" t="s">
        <v>12</v>
      </c>
      <c r="F144" s="1025"/>
      <c r="G144" s="1026"/>
    </row>
    <row r="145" spans="1:8" s="713" customFormat="1" ht="28.5" customHeight="1" x14ac:dyDescent="0.2">
      <c r="A145" s="1010" t="s">
        <v>17</v>
      </c>
      <c r="B145" s="1011"/>
      <c r="C145" s="1011"/>
      <c r="D145" s="121"/>
      <c r="E145" s="1027"/>
      <c r="F145" s="1028"/>
      <c r="G145" s="1029"/>
    </row>
    <row r="146" spans="1:8" s="713" customFormat="1" x14ac:dyDescent="0.2">
      <c r="A146" s="1010" t="s">
        <v>38</v>
      </c>
      <c r="B146" s="1011"/>
      <c r="C146" s="1011"/>
      <c r="D146" s="710" t="s">
        <v>147</v>
      </c>
      <c r="E146" s="1012" t="s">
        <v>142</v>
      </c>
      <c r="F146" s="1012"/>
      <c r="G146" s="1013"/>
    </row>
    <row r="147" spans="1:8" s="713" customFormat="1" ht="13.5" thickBot="1" x14ac:dyDescent="0.25">
      <c r="A147" s="1014" t="s">
        <v>39</v>
      </c>
      <c r="B147" s="1015"/>
      <c r="C147" s="1015"/>
      <c r="D147" s="125" t="s">
        <v>148</v>
      </c>
      <c r="E147" s="1016" t="s">
        <v>0</v>
      </c>
      <c r="F147" s="1017"/>
      <c r="G147" s="1018"/>
    </row>
    <row r="148" spans="1:8" s="713" customFormat="1" ht="16.5" x14ac:dyDescent="0.2">
      <c r="A148" s="997" t="s">
        <v>29</v>
      </c>
      <c r="B148" s="998"/>
      <c r="C148" s="998"/>
      <c r="D148" s="998"/>
      <c r="E148" s="998"/>
      <c r="F148" s="998"/>
      <c r="G148" s="999"/>
      <c r="H148" s="713">
        <v>4</v>
      </c>
    </row>
    <row r="149" spans="1:8" s="713" customFormat="1" x14ac:dyDescent="0.2">
      <c r="A149" s="1000" t="s">
        <v>48</v>
      </c>
      <c r="B149" s="1001"/>
      <c r="C149" s="1001"/>
      <c r="D149" s="1001"/>
      <c r="E149" s="1001"/>
      <c r="F149" s="1001"/>
      <c r="G149" s="1002"/>
      <c r="H149" s="804" t="s">
        <v>3536</v>
      </c>
    </row>
    <row r="150" spans="1:8" s="713" customFormat="1" x14ac:dyDescent="0.2">
      <c r="A150" s="1003" t="s">
        <v>49</v>
      </c>
      <c r="B150" s="1004"/>
      <c r="C150" s="1004"/>
      <c r="D150" s="1004"/>
      <c r="E150" s="1004"/>
      <c r="F150" s="1004"/>
      <c r="G150" s="1005"/>
      <c r="H150" s="804" t="s">
        <v>3536</v>
      </c>
    </row>
    <row r="151" spans="1:8" s="713" customFormat="1" x14ac:dyDescent="0.2">
      <c r="A151" s="674"/>
      <c r="B151" s="675"/>
      <c r="C151" s="676"/>
      <c r="D151" s="677"/>
      <c r="E151" s="675"/>
      <c r="F151" s="678"/>
      <c r="G151" s="679" t="s">
        <v>20</v>
      </c>
    </row>
    <row r="152" spans="1:8" s="713" customFormat="1" x14ac:dyDescent="0.2">
      <c r="A152" s="680" t="s">
        <v>1</v>
      </c>
      <c r="B152" s="681"/>
      <c r="C152" s="682" t="s">
        <v>7</v>
      </c>
      <c r="D152" s="681"/>
      <c r="E152" s="683" t="s">
        <v>3548</v>
      </c>
      <c r="F152" s="684"/>
      <c r="G152" s="685" t="s">
        <v>3537</v>
      </c>
    </row>
    <row r="153" spans="1:8" s="713" customFormat="1" x14ac:dyDescent="0.2">
      <c r="A153" s="686" t="s">
        <v>8</v>
      </c>
      <c r="B153" s="687"/>
      <c r="C153" s="688"/>
      <c r="D153" s="673"/>
      <c r="E153" s="1006"/>
      <c r="F153" s="1007"/>
      <c r="G153" s="689"/>
    </row>
    <row r="154" spans="1:8" s="713" customFormat="1" x14ac:dyDescent="0.2">
      <c r="A154" s="690" t="s">
        <v>37</v>
      </c>
      <c r="B154" s="261"/>
      <c r="C154" s="261"/>
      <c r="D154" s="261"/>
      <c r="E154" s="691" t="s">
        <v>46</v>
      </c>
      <c r="F154" s="692"/>
      <c r="G154" s="689" t="s">
        <v>50</v>
      </c>
    </row>
    <row r="155" spans="1:8" s="713" customFormat="1" x14ac:dyDescent="0.2">
      <c r="A155" s="674"/>
      <c r="B155" s="675"/>
      <c r="C155" s="676"/>
      <c r="D155" s="676"/>
      <c r="E155" s="1008"/>
      <c r="F155" s="1009"/>
      <c r="G155" s="693"/>
    </row>
    <row r="156" spans="1:8" s="713" customFormat="1" ht="26.25" customHeight="1" thickBot="1" x14ac:dyDescent="0.25">
      <c r="A156" s="694" t="s">
        <v>47</v>
      </c>
      <c r="B156" s="110" t="s">
        <v>23</v>
      </c>
      <c r="C156" s="110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8" s="713" customFormat="1" ht="13.5" thickTop="1" x14ac:dyDescent="0.2">
      <c r="A157" s="695">
        <v>1</v>
      </c>
      <c r="B157" s="698"/>
      <c r="C157" s="385" t="s">
        <v>2779</v>
      </c>
      <c r="D157" s="376" t="s">
        <v>3538</v>
      </c>
      <c r="E157" s="158">
        <v>3</v>
      </c>
      <c r="F157" s="163">
        <v>19046</v>
      </c>
      <c r="G157" s="697">
        <f>F157*E157</f>
        <v>57138</v>
      </c>
    </row>
    <row r="158" spans="1:8" s="713" customFormat="1" x14ac:dyDescent="0.2">
      <c r="A158" s="695">
        <v>2</v>
      </c>
      <c r="B158" s="698"/>
      <c r="C158" s="385" t="s">
        <v>2779</v>
      </c>
      <c r="D158" s="370" t="s">
        <v>3539</v>
      </c>
      <c r="E158" s="205">
        <v>2</v>
      </c>
      <c r="F158" s="163">
        <v>30696</v>
      </c>
      <c r="G158" s="697">
        <f t="shared" ref="G158:G167" si="2">F158*E158</f>
        <v>61392</v>
      </c>
    </row>
    <row r="159" spans="1:8" s="713" customFormat="1" x14ac:dyDescent="0.2">
      <c r="A159" s="695">
        <v>3</v>
      </c>
      <c r="B159" s="698"/>
      <c r="C159" s="791" t="s">
        <v>2779</v>
      </c>
      <c r="D159" s="715" t="s">
        <v>3540</v>
      </c>
      <c r="E159" s="204">
        <v>5</v>
      </c>
      <c r="F159" s="149">
        <v>18705</v>
      </c>
      <c r="G159" s="697">
        <f t="shared" si="2"/>
        <v>93525</v>
      </c>
    </row>
    <row r="160" spans="1:8" s="713" customFormat="1" x14ac:dyDescent="0.2">
      <c r="A160" s="695">
        <v>4</v>
      </c>
      <c r="B160" s="698"/>
      <c r="C160" s="385" t="s">
        <v>2779</v>
      </c>
      <c r="D160" s="792" t="s">
        <v>3541</v>
      </c>
      <c r="E160" s="108">
        <v>5</v>
      </c>
      <c r="F160" s="163">
        <v>18755</v>
      </c>
      <c r="G160" s="697">
        <f t="shared" si="2"/>
        <v>93775</v>
      </c>
    </row>
    <row r="161" spans="1:7" s="713" customFormat="1" x14ac:dyDescent="0.2">
      <c r="A161" s="695">
        <v>5</v>
      </c>
      <c r="B161" s="105"/>
      <c r="C161" s="385" t="s">
        <v>2779</v>
      </c>
      <c r="D161" s="376" t="s">
        <v>3542</v>
      </c>
      <c r="E161" s="108">
        <v>5</v>
      </c>
      <c r="F161" s="163">
        <v>26000</v>
      </c>
      <c r="G161" s="697">
        <f t="shared" si="2"/>
        <v>130000</v>
      </c>
    </row>
    <row r="162" spans="1:7" s="713" customFormat="1" x14ac:dyDescent="0.2">
      <c r="A162" s="695">
        <v>6</v>
      </c>
      <c r="B162" s="105"/>
      <c r="C162" s="385" t="s">
        <v>2779</v>
      </c>
      <c r="D162" s="376" t="s">
        <v>3543</v>
      </c>
      <c r="E162" s="108">
        <v>5</v>
      </c>
      <c r="F162" s="163">
        <v>14252</v>
      </c>
      <c r="G162" s="697">
        <f t="shared" si="2"/>
        <v>71260</v>
      </c>
    </row>
    <row r="163" spans="1:7" s="713" customFormat="1" x14ac:dyDescent="0.2">
      <c r="A163" s="695">
        <v>7</v>
      </c>
      <c r="B163" s="105"/>
      <c r="C163" s="119" t="s">
        <v>2779</v>
      </c>
      <c r="D163" s="136" t="s">
        <v>3099</v>
      </c>
      <c r="E163" s="108">
        <v>1</v>
      </c>
      <c r="F163" s="150">
        <v>63250</v>
      </c>
      <c r="G163" s="697">
        <f t="shared" si="2"/>
        <v>63250</v>
      </c>
    </row>
    <row r="164" spans="1:7" s="713" customFormat="1" x14ac:dyDescent="0.2">
      <c r="A164" s="695">
        <v>8</v>
      </c>
      <c r="B164" s="105"/>
      <c r="C164" s="119" t="s">
        <v>2779</v>
      </c>
      <c r="D164" s="144" t="s">
        <v>3544</v>
      </c>
      <c r="E164" s="108">
        <v>1</v>
      </c>
      <c r="F164" s="150">
        <v>71300</v>
      </c>
      <c r="G164" s="697">
        <f t="shared" si="2"/>
        <v>71300</v>
      </c>
    </row>
    <row r="165" spans="1:7" s="713" customFormat="1" x14ac:dyDescent="0.2">
      <c r="A165" s="695">
        <v>9</v>
      </c>
      <c r="B165" s="698"/>
      <c r="C165" s="119" t="s">
        <v>2779</v>
      </c>
      <c r="D165" s="144" t="s">
        <v>3545</v>
      </c>
      <c r="E165" s="699">
        <v>3</v>
      </c>
      <c r="F165" s="163">
        <v>14309</v>
      </c>
      <c r="G165" s="697">
        <f t="shared" si="2"/>
        <v>42927</v>
      </c>
    </row>
    <row r="166" spans="1:7" s="713" customFormat="1" x14ac:dyDescent="0.2">
      <c r="A166" s="695">
        <v>10</v>
      </c>
      <c r="B166" s="106"/>
      <c r="C166" s="119" t="s">
        <v>2779</v>
      </c>
      <c r="D166" s="136" t="s">
        <v>3546</v>
      </c>
      <c r="E166" s="131">
        <v>3</v>
      </c>
      <c r="F166" s="163">
        <v>14005</v>
      </c>
      <c r="G166" s="697">
        <f t="shared" si="2"/>
        <v>42015</v>
      </c>
    </row>
    <row r="167" spans="1:7" s="713" customFormat="1" x14ac:dyDescent="0.2">
      <c r="A167" s="695">
        <v>11</v>
      </c>
      <c r="B167" s="105"/>
      <c r="C167" s="119" t="s">
        <v>2779</v>
      </c>
      <c r="D167" s="376" t="s">
        <v>3547</v>
      </c>
      <c r="E167" s="205">
        <v>5</v>
      </c>
      <c r="F167" s="152">
        <v>20790</v>
      </c>
      <c r="G167" s="697">
        <f t="shared" si="2"/>
        <v>103950</v>
      </c>
    </row>
    <row r="168" spans="1:7" s="713" customFormat="1" x14ac:dyDescent="0.2">
      <c r="A168" s="695"/>
      <c r="B168" s="700"/>
      <c r="C168" s="119"/>
      <c r="D168" s="136"/>
      <c r="E168" s="108"/>
      <c r="F168" s="163"/>
      <c r="G168" s="697"/>
    </row>
    <row r="169" spans="1:7" s="713" customFormat="1" x14ac:dyDescent="0.2">
      <c r="A169" s="695"/>
      <c r="B169" s="700"/>
      <c r="C169" s="119"/>
      <c r="D169" s="136"/>
      <c r="E169" s="108"/>
      <c r="F169" s="163"/>
      <c r="G169" s="697"/>
    </row>
    <row r="170" spans="1:7" s="713" customFormat="1" x14ac:dyDescent="0.2">
      <c r="A170" s="695"/>
      <c r="B170" s="698"/>
      <c r="C170" s="135"/>
      <c r="D170" s="259"/>
      <c r="E170" s="244"/>
      <c r="F170" s="163"/>
      <c r="G170" s="697"/>
    </row>
    <row r="171" spans="1:7" s="713" customFormat="1" x14ac:dyDescent="0.2">
      <c r="A171" s="695"/>
      <c r="B171" s="698"/>
      <c r="C171" s="119"/>
      <c r="D171" s="136"/>
      <c r="E171" s="205"/>
      <c r="F171" s="163"/>
      <c r="G171" s="697"/>
    </row>
    <row r="172" spans="1:7" s="713" customFormat="1" x14ac:dyDescent="0.2">
      <c r="A172" s="695"/>
      <c r="B172" s="106"/>
      <c r="C172" s="119"/>
      <c r="D172" s="136"/>
      <c r="E172" s="716"/>
      <c r="F172" s="717"/>
      <c r="G172" s="697"/>
    </row>
    <row r="173" spans="1:7" s="713" customFormat="1" x14ac:dyDescent="0.2">
      <c r="A173" s="695"/>
      <c r="B173" s="105"/>
      <c r="C173" s="119"/>
      <c r="D173" s="144"/>
      <c r="E173" s="716"/>
      <c r="F173" s="717"/>
      <c r="G173" s="697"/>
    </row>
    <row r="174" spans="1:7" s="713" customFormat="1" x14ac:dyDescent="0.2">
      <c r="A174" s="695"/>
      <c r="B174" s="105"/>
      <c r="C174" s="119"/>
      <c r="D174" s="136"/>
      <c r="E174" s="131"/>
      <c r="F174" s="717"/>
      <c r="G174" s="697"/>
    </row>
    <row r="175" spans="1:7" s="713" customFormat="1" x14ac:dyDescent="0.2">
      <c r="A175" s="695"/>
      <c r="B175" s="105"/>
      <c r="C175" s="119"/>
      <c r="D175" s="136"/>
      <c r="E175" s="131"/>
      <c r="F175" s="717"/>
      <c r="G175" s="697"/>
    </row>
    <row r="176" spans="1:7" s="713" customFormat="1" x14ac:dyDescent="0.2">
      <c r="A176" s="695"/>
      <c r="B176" s="105"/>
      <c r="C176" s="119"/>
      <c r="D176" s="136"/>
      <c r="E176" s="131"/>
      <c r="F176" s="717"/>
      <c r="G176" s="697"/>
    </row>
    <row r="177" spans="1:7" s="713" customFormat="1" x14ac:dyDescent="0.2">
      <c r="A177" s="695"/>
      <c r="B177" s="105"/>
      <c r="C177" s="119"/>
      <c r="D177" s="136"/>
      <c r="E177" s="131"/>
      <c r="F177" s="717"/>
      <c r="G177" s="697"/>
    </row>
    <row r="178" spans="1:7" s="713" customFormat="1" x14ac:dyDescent="0.2">
      <c r="A178" s="695"/>
      <c r="B178" s="698"/>
      <c r="C178" s="119"/>
      <c r="D178" s="136"/>
      <c r="E178" s="131"/>
      <c r="F178" s="717"/>
      <c r="G178" s="697"/>
    </row>
    <row r="179" spans="1:7" s="713" customFormat="1" x14ac:dyDescent="0.2">
      <c r="A179" s="695"/>
      <c r="B179" s="698"/>
      <c r="C179" s="119"/>
      <c r="D179" s="136"/>
      <c r="E179" s="131"/>
      <c r="F179" s="717"/>
      <c r="G179" s="697"/>
    </row>
    <row r="180" spans="1:7" s="713" customFormat="1" x14ac:dyDescent="0.2">
      <c r="A180" s="695"/>
      <c r="B180" s="698"/>
      <c r="C180" s="119"/>
      <c r="D180" s="136"/>
      <c r="E180" s="131"/>
      <c r="F180" s="717"/>
      <c r="G180" s="697"/>
    </row>
    <row r="181" spans="1:7" s="713" customFormat="1" x14ac:dyDescent="0.2">
      <c r="A181" s="695"/>
      <c r="B181" s="698"/>
      <c r="C181" s="119"/>
      <c r="D181" s="136"/>
      <c r="E181" s="131"/>
      <c r="F181" s="717"/>
      <c r="G181" s="697"/>
    </row>
    <row r="182" spans="1:7" s="713" customFormat="1" x14ac:dyDescent="0.2">
      <c r="A182" s="695"/>
      <c r="B182" s="698"/>
      <c r="C182" s="119"/>
      <c r="D182" s="136"/>
      <c r="E182" s="131"/>
      <c r="F182" s="717"/>
      <c r="G182" s="697"/>
    </row>
    <row r="183" spans="1:7" s="713" customFormat="1" x14ac:dyDescent="0.2">
      <c r="A183" s="695"/>
      <c r="B183" s="698"/>
      <c r="C183" s="119"/>
      <c r="D183" s="144"/>
      <c r="E183" s="131"/>
      <c r="F183" s="717"/>
      <c r="G183" s="697"/>
    </row>
    <row r="184" spans="1:7" s="713" customFormat="1" x14ac:dyDescent="0.2">
      <c r="A184" s="695"/>
      <c r="B184" s="698"/>
      <c r="C184" s="119"/>
      <c r="D184" s="144"/>
      <c r="E184" s="108"/>
      <c r="F184" s="163"/>
      <c r="G184" s="697"/>
    </row>
    <row r="185" spans="1:7" s="713" customFormat="1" x14ac:dyDescent="0.2">
      <c r="A185" s="695"/>
      <c r="B185" s="698"/>
      <c r="C185" s="119"/>
      <c r="D185" s="136"/>
      <c r="E185" s="108"/>
      <c r="F185" s="163"/>
      <c r="G185" s="697"/>
    </row>
    <row r="186" spans="1:7" s="713" customFormat="1" x14ac:dyDescent="0.2">
      <c r="A186" s="695"/>
      <c r="B186" s="698"/>
      <c r="C186" s="119"/>
      <c r="D186" s="136"/>
      <c r="E186" s="108"/>
      <c r="F186" s="163"/>
      <c r="G186" s="697"/>
    </row>
    <row r="187" spans="1:7" s="713" customFormat="1" x14ac:dyDescent="0.2">
      <c r="A187" s="695"/>
      <c r="B187" s="698"/>
      <c r="C187" s="119"/>
      <c r="D187" s="136"/>
      <c r="E187" s="108"/>
      <c r="F187" s="163"/>
      <c r="G187" s="697"/>
    </row>
    <row r="188" spans="1:7" s="713" customFormat="1" x14ac:dyDescent="0.2">
      <c r="A188" s="695"/>
      <c r="B188" s="698"/>
      <c r="C188" s="119"/>
      <c r="D188" s="118"/>
      <c r="E188" s="108"/>
      <c r="F188" s="149"/>
      <c r="G188" s="697"/>
    </row>
    <row r="189" spans="1:7" s="713" customFormat="1" x14ac:dyDescent="0.2">
      <c r="A189" s="695"/>
      <c r="B189" s="698"/>
      <c r="C189" s="119"/>
      <c r="D189" s="144"/>
      <c r="E189" s="108"/>
      <c r="F189" s="149"/>
      <c r="G189" s="697"/>
    </row>
    <row r="190" spans="1:7" s="713" customFormat="1" ht="13.5" thickBot="1" x14ac:dyDescent="0.25">
      <c r="A190" s="702"/>
      <c r="B190" s="703"/>
      <c r="C190" s="704"/>
      <c r="D190" s="704"/>
      <c r="E190" s="703"/>
      <c r="F190" s="705" t="s">
        <v>15</v>
      </c>
      <c r="G190" s="706">
        <f>SUM(G157:G189)</f>
        <v>830532</v>
      </c>
    </row>
    <row r="191" spans="1:7" s="713" customFormat="1" ht="13.5" thickTop="1" x14ac:dyDescent="0.2">
      <c r="A191" s="985" t="s">
        <v>3082</v>
      </c>
      <c r="B191" s="1019"/>
      <c r="C191" s="1019"/>
      <c r="D191" s="1019"/>
      <c r="E191" s="1019"/>
      <c r="F191" s="1019"/>
      <c r="G191" s="1020"/>
    </row>
    <row r="192" spans="1:7" s="713" customFormat="1" ht="13.5" thickBot="1" x14ac:dyDescent="0.25">
      <c r="A192" s="707"/>
      <c r="B192" s="708"/>
      <c r="C192" s="708"/>
      <c r="D192" s="709"/>
      <c r="E192" s="708"/>
      <c r="F192" s="198"/>
      <c r="G192" s="199"/>
    </row>
    <row r="193" spans="1:7" s="713" customFormat="1" ht="13.5" thickTop="1" x14ac:dyDescent="0.2">
      <c r="A193" s="1023"/>
      <c r="B193" s="1024"/>
      <c r="C193" s="1024"/>
      <c r="D193" s="344" t="s">
        <v>11</v>
      </c>
      <c r="E193" s="1025" t="s">
        <v>12</v>
      </c>
      <c r="F193" s="1025"/>
      <c r="G193" s="1026"/>
    </row>
    <row r="194" spans="1:7" s="713" customFormat="1" ht="28.5" customHeight="1" x14ac:dyDescent="0.2">
      <c r="A194" s="1010" t="s">
        <v>17</v>
      </c>
      <c r="B194" s="1011"/>
      <c r="C194" s="1011"/>
      <c r="D194" s="121"/>
      <c r="E194" s="1027"/>
      <c r="F194" s="1028"/>
      <c r="G194" s="1029"/>
    </row>
    <row r="195" spans="1:7" s="713" customFormat="1" x14ac:dyDescent="0.2">
      <c r="A195" s="1010" t="s">
        <v>38</v>
      </c>
      <c r="B195" s="1011"/>
      <c r="C195" s="1011"/>
      <c r="D195" s="710" t="s">
        <v>147</v>
      </c>
      <c r="E195" s="1012" t="s">
        <v>142</v>
      </c>
      <c r="F195" s="1012"/>
      <c r="G195" s="1013"/>
    </row>
    <row r="196" spans="1:7" s="713" customFormat="1" ht="13.5" thickBot="1" x14ac:dyDescent="0.25">
      <c r="A196" s="1014" t="s">
        <v>39</v>
      </c>
      <c r="B196" s="1015"/>
      <c r="C196" s="1015"/>
      <c r="D196" s="125" t="s">
        <v>148</v>
      </c>
      <c r="E196" s="1016" t="s">
        <v>0</v>
      </c>
      <c r="F196" s="1017"/>
      <c r="G196" s="1018"/>
    </row>
  </sheetData>
  <mergeCells count="56">
    <mergeCell ref="A44:G44"/>
    <mergeCell ref="A1:G1"/>
    <mergeCell ref="A2:G2"/>
    <mergeCell ref="A3:G3"/>
    <mergeCell ref="E6:F6"/>
    <mergeCell ref="E8:F8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99:G99"/>
    <mergeCell ref="A100:G100"/>
    <mergeCell ref="A101:G101"/>
    <mergeCell ref="E104:F104"/>
    <mergeCell ref="E106:F106"/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148:G148"/>
    <mergeCell ref="A149:G149"/>
    <mergeCell ref="A150:G150"/>
    <mergeCell ref="E153:F153"/>
    <mergeCell ref="E155:F155"/>
    <mergeCell ref="A195:C195"/>
    <mergeCell ref="E195:G195"/>
    <mergeCell ref="A196:C196"/>
    <mergeCell ref="E196:G196"/>
    <mergeCell ref="A191:G191"/>
    <mergeCell ref="A193:C193"/>
    <mergeCell ref="E193:G193"/>
    <mergeCell ref="A194:C194"/>
    <mergeCell ref="E194:G194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45"/>
  <sheetViews>
    <sheetView zoomScale="110" zoomScaleNormal="110" workbookViewId="0">
      <selection activeCell="J15" sqref="J15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7109375" style="250" customWidth="1"/>
    <col min="5" max="5" width="9.28515625" style="711" customWidth="1"/>
    <col min="6" max="6" width="12.140625" style="712" customWidth="1"/>
    <col min="7" max="7" width="13.5703125" style="250" customWidth="1"/>
    <col min="8" max="8" width="10.7109375" style="250" customWidth="1"/>
    <col min="9" max="9" width="9.28515625" style="250" bestFit="1" customWidth="1"/>
    <col min="10" max="10" width="10.42578125" style="250" bestFit="1" customWidth="1"/>
    <col min="11" max="11" width="9.28515625" style="250" bestFit="1" customWidth="1"/>
    <col min="12" max="12" width="10.28515625" style="250" bestFit="1" customWidth="1"/>
    <col min="13" max="14" width="9.140625" style="250"/>
    <col min="15" max="16" width="9.28515625" style="250" bestFit="1" customWidth="1"/>
    <col min="17" max="17" width="11.28515625" style="250" customWidth="1"/>
    <col min="18" max="16384" width="9.140625" style="250"/>
  </cols>
  <sheetData>
    <row r="1" spans="1:7" ht="16.5" x14ac:dyDescent="0.2">
      <c r="A1" s="997" t="s">
        <v>29</v>
      </c>
      <c r="B1" s="998"/>
      <c r="C1" s="998"/>
      <c r="D1" s="998"/>
      <c r="E1" s="998"/>
      <c r="F1" s="998"/>
      <c r="G1" s="999"/>
    </row>
    <row r="2" spans="1:7" x14ac:dyDescent="0.2">
      <c r="A2" s="1000" t="s">
        <v>48</v>
      </c>
      <c r="B2" s="1001"/>
      <c r="C2" s="1001"/>
      <c r="D2" s="1001"/>
      <c r="E2" s="1001"/>
      <c r="F2" s="1001"/>
      <c r="G2" s="1002"/>
    </row>
    <row r="3" spans="1:7" x14ac:dyDescent="0.2">
      <c r="A3" s="1003" t="s">
        <v>49</v>
      </c>
      <c r="B3" s="1004"/>
      <c r="C3" s="1004"/>
      <c r="D3" s="1004"/>
      <c r="E3" s="1004"/>
      <c r="F3" s="1004"/>
      <c r="G3" s="1005"/>
    </row>
    <row r="4" spans="1:7" x14ac:dyDescent="0.2">
      <c r="A4" s="674"/>
      <c r="B4" s="675"/>
      <c r="C4" s="676"/>
      <c r="D4" s="677"/>
      <c r="E4" s="675"/>
      <c r="F4" s="678"/>
      <c r="G4" s="679" t="s">
        <v>180</v>
      </c>
    </row>
    <row r="5" spans="1:7" x14ac:dyDescent="0.2">
      <c r="A5" s="680" t="s">
        <v>1</v>
      </c>
      <c r="B5" s="681"/>
      <c r="C5" s="682" t="s">
        <v>7</v>
      </c>
      <c r="D5" s="681"/>
      <c r="E5" s="683" t="s">
        <v>189</v>
      </c>
      <c r="F5" s="684"/>
      <c r="G5" s="685" t="s">
        <v>62</v>
      </c>
    </row>
    <row r="6" spans="1:7" x14ac:dyDescent="0.2">
      <c r="A6" s="686" t="s">
        <v>8</v>
      </c>
      <c r="B6" s="687"/>
      <c r="C6" s="688"/>
      <c r="D6" s="673"/>
      <c r="E6" s="1006"/>
      <c r="F6" s="1007"/>
      <c r="G6" s="689"/>
    </row>
    <row r="7" spans="1:7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190</v>
      </c>
    </row>
    <row r="8" spans="1:7" x14ac:dyDescent="0.2">
      <c r="A8" s="674"/>
      <c r="B8" s="675"/>
      <c r="C8" s="676"/>
      <c r="D8" s="676"/>
      <c r="E8" s="1008"/>
      <c r="F8" s="1009"/>
      <c r="G8" s="693"/>
    </row>
    <row r="9" spans="1:7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695"/>
      <c r="B10" s="698"/>
      <c r="C10" s="119"/>
      <c r="D10" s="259"/>
      <c r="E10" s="158"/>
      <c r="F10" s="724"/>
      <c r="G10" s="697"/>
    </row>
    <row r="11" spans="1:7" x14ac:dyDescent="0.2">
      <c r="A11" s="695"/>
      <c r="B11" s="698"/>
      <c r="C11" s="119"/>
      <c r="D11" s="203"/>
      <c r="E11" s="108"/>
      <c r="F11" s="70"/>
      <c r="G11" s="697"/>
    </row>
    <row r="12" spans="1:7" x14ac:dyDescent="0.2">
      <c r="A12" s="695"/>
      <c r="B12" s="105"/>
      <c r="C12" s="119"/>
      <c r="D12" s="136"/>
      <c r="E12" s="108"/>
      <c r="F12" s="70"/>
      <c r="G12" s="697"/>
    </row>
    <row r="13" spans="1:7" x14ac:dyDescent="0.2">
      <c r="A13" s="695"/>
      <c r="B13" s="105"/>
      <c r="C13" s="119"/>
      <c r="D13" s="136"/>
      <c r="E13" s="108"/>
      <c r="F13" s="70"/>
      <c r="G13" s="697"/>
    </row>
    <row r="14" spans="1:7" x14ac:dyDescent="0.2">
      <c r="A14" s="695"/>
      <c r="B14" s="105"/>
      <c r="C14" s="135"/>
      <c r="D14" s="259"/>
      <c r="E14" s="108"/>
      <c r="F14" s="264"/>
      <c r="G14" s="697"/>
    </row>
    <row r="15" spans="1:7" x14ac:dyDescent="0.2">
      <c r="A15" s="695"/>
      <c r="B15" s="105"/>
      <c r="C15" s="119"/>
      <c r="D15" s="144"/>
      <c r="E15" s="108"/>
      <c r="F15" s="264"/>
      <c r="G15" s="697"/>
    </row>
    <row r="16" spans="1:7" x14ac:dyDescent="0.2">
      <c r="A16" s="695"/>
      <c r="B16" s="698"/>
      <c r="C16" s="119"/>
      <c r="D16" s="144"/>
      <c r="E16" s="699"/>
      <c r="F16" s="70"/>
      <c r="G16" s="697"/>
    </row>
    <row r="17" spans="1:7" x14ac:dyDescent="0.2">
      <c r="A17" s="695"/>
      <c r="B17" s="106"/>
      <c r="C17" s="119"/>
      <c r="D17" s="136"/>
      <c r="E17" s="131"/>
      <c r="F17" s="70"/>
      <c r="G17" s="697"/>
    </row>
    <row r="18" spans="1:7" x14ac:dyDescent="0.2">
      <c r="A18" s="695"/>
      <c r="B18" s="105"/>
      <c r="C18" s="119"/>
      <c r="D18" s="136"/>
      <c r="E18" s="205"/>
      <c r="F18" s="265"/>
      <c r="G18" s="697"/>
    </row>
    <row r="19" spans="1:7" x14ac:dyDescent="0.2">
      <c r="A19" s="695"/>
      <c r="B19" s="700"/>
      <c r="C19" s="119"/>
      <c r="D19" s="136"/>
      <c r="E19" s="108"/>
      <c r="F19" s="70"/>
      <c r="G19" s="697"/>
    </row>
    <row r="20" spans="1:7" x14ac:dyDescent="0.2">
      <c r="A20" s="695"/>
      <c r="B20" s="700"/>
      <c r="C20" s="119"/>
      <c r="D20" s="136"/>
      <c r="E20" s="108"/>
      <c r="F20" s="70"/>
      <c r="G20" s="697"/>
    </row>
    <row r="21" spans="1:7" x14ac:dyDescent="0.2">
      <c r="A21" s="695"/>
      <c r="B21" s="698"/>
      <c r="C21" s="135"/>
      <c r="D21" s="136"/>
      <c r="E21" s="205"/>
      <c r="F21" s="724"/>
      <c r="G21" s="697"/>
    </row>
    <row r="22" spans="1:7" x14ac:dyDescent="0.2">
      <c r="A22" s="695"/>
      <c r="B22" s="698"/>
      <c r="C22" s="135"/>
      <c r="D22" s="136"/>
      <c r="E22" s="205"/>
      <c r="F22" s="70"/>
      <c r="G22" s="697"/>
    </row>
    <row r="23" spans="1:7" x14ac:dyDescent="0.2">
      <c r="A23" s="695"/>
      <c r="B23" s="106"/>
      <c r="C23" s="119"/>
      <c r="D23" s="136"/>
      <c r="E23" s="716"/>
      <c r="F23" s="701"/>
      <c r="G23" s="697"/>
    </row>
    <row r="24" spans="1:7" x14ac:dyDescent="0.2">
      <c r="A24" s="695"/>
      <c r="B24" s="105"/>
      <c r="C24" s="119"/>
      <c r="D24" s="144"/>
      <c r="E24" s="716"/>
      <c r="F24" s="701"/>
      <c r="G24" s="697"/>
    </row>
    <row r="25" spans="1:7" x14ac:dyDescent="0.2">
      <c r="A25" s="695"/>
      <c r="B25" s="105"/>
      <c r="C25" s="119"/>
      <c r="D25" s="136"/>
      <c r="E25" s="131"/>
      <c r="F25" s="701"/>
      <c r="G25" s="697"/>
    </row>
    <row r="26" spans="1:7" x14ac:dyDescent="0.2">
      <c r="A26" s="695"/>
      <c r="B26" s="698"/>
      <c r="C26" s="119"/>
      <c r="D26" s="136"/>
      <c r="E26" s="131"/>
      <c r="F26" s="701"/>
      <c r="G26" s="697"/>
    </row>
    <row r="27" spans="1:7" x14ac:dyDescent="0.2">
      <c r="A27" s="695"/>
      <c r="B27" s="698"/>
      <c r="C27" s="119"/>
      <c r="D27" s="136"/>
      <c r="E27" s="131"/>
      <c r="F27" s="701"/>
      <c r="G27" s="697"/>
    </row>
    <row r="28" spans="1:7" x14ac:dyDescent="0.2">
      <c r="A28" s="695"/>
      <c r="B28" s="698"/>
      <c r="C28" s="119"/>
      <c r="D28" s="136"/>
      <c r="E28" s="131"/>
      <c r="F28" s="701"/>
      <c r="G28" s="697"/>
    </row>
    <row r="29" spans="1:7" x14ac:dyDescent="0.2">
      <c r="A29" s="695"/>
      <c r="B29" s="698"/>
      <c r="C29" s="119"/>
      <c r="D29" s="136"/>
      <c r="E29" s="131"/>
      <c r="F29" s="701"/>
      <c r="G29" s="697"/>
    </row>
    <row r="30" spans="1:7" x14ac:dyDescent="0.2">
      <c r="A30" s="695"/>
      <c r="B30" s="698"/>
      <c r="C30" s="119"/>
      <c r="D30" s="136"/>
      <c r="E30" s="131"/>
      <c r="F30" s="701"/>
      <c r="G30" s="697"/>
    </row>
    <row r="31" spans="1:7" x14ac:dyDescent="0.2">
      <c r="A31" s="695"/>
      <c r="B31" s="698"/>
      <c r="C31" s="119"/>
      <c r="D31" s="144"/>
      <c r="E31" s="131"/>
      <c r="F31" s="701"/>
      <c r="G31" s="697"/>
    </row>
    <row r="32" spans="1:7" x14ac:dyDescent="0.2">
      <c r="A32" s="695"/>
      <c r="B32" s="698"/>
      <c r="C32" s="119"/>
      <c r="D32" s="252"/>
      <c r="E32" s="108"/>
      <c r="F32" s="70"/>
      <c r="G32" s="697"/>
    </row>
    <row r="33" spans="1:7" x14ac:dyDescent="0.2">
      <c r="A33" s="695"/>
      <c r="B33" s="698"/>
      <c r="C33" s="119"/>
      <c r="D33" s="259"/>
      <c r="E33" s="108"/>
      <c r="F33" s="70"/>
      <c r="G33" s="697"/>
    </row>
    <row r="34" spans="1:7" x14ac:dyDescent="0.2">
      <c r="A34" s="695"/>
      <c r="B34" s="698"/>
      <c r="C34" s="119"/>
      <c r="D34" s="259"/>
      <c r="E34" s="108"/>
      <c r="F34" s="70"/>
      <c r="G34" s="697"/>
    </row>
    <row r="35" spans="1:7" x14ac:dyDescent="0.2">
      <c r="A35" s="695"/>
      <c r="B35" s="698"/>
      <c r="C35" s="119"/>
      <c r="D35" s="259"/>
      <c r="E35" s="131"/>
      <c r="F35" s="701"/>
      <c r="G35" s="697"/>
    </row>
    <row r="36" spans="1:7" x14ac:dyDescent="0.2">
      <c r="A36" s="695"/>
      <c r="B36" s="698"/>
      <c r="C36" s="119"/>
      <c r="D36" s="253"/>
      <c r="E36" s="108"/>
      <c r="F36" s="263"/>
      <c r="G36" s="697"/>
    </row>
    <row r="37" spans="1:7" x14ac:dyDescent="0.2">
      <c r="A37" s="695"/>
      <c r="B37" s="698"/>
      <c r="C37" s="119"/>
      <c r="D37" s="144"/>
      <c r="E37" s="108"/>
      <c r="F37" s="263"/>
      <c r="G37" s="697"/>
    </row>
    <row r="38" spans="1:7" x14ac:dyDescent="0.2">
      <c r="A38" s="695"/>
      <c r="B38" s="698"/>
      <c r="C38" s="119"/>
      <c r="D38" s="129"/>
      <c r="E38" s="158"/>
      <c r="F38" s="263"/>
      <c r="G38" s="697"/>
    </row>
    <row r="39" spans="1:7" x14ac:dyDescent="0.2">
      <c r="A39" s="695"/>
      <c r="B39" s="698"/>
      <c r="C39" s="119"/>
      <c r="D39" s="129"/>
      <c r="E39" s="158"/>
      <c r="F39" s="263"/>
      <c r="G39" s="124"/>
    </row>
    <row r="40" spans="1:7" x14ac:dyDescent="0.2">
      <c r="A40" s="725"/>
      <c r="B40" s="698"/>
      <c r="C40" s="119"/>
      <c r="D40" s="129"/>
      <c r="E40" s="158"/>
      <c r="F40" s="263"/>
      <c r="G40" s="124"/>
    </row>
    <row r="41" spans="1:7" x14ac:dyDescent="0.2">
      <c r="A41" s="725"/>
      <c r="B41" s="698"/>
      <c r="C41" s="119"/>
      <c r="D41" s="129"/>
      <c r="E41" s="158"/>
      <c r="F41" s="263"/>
      <c r="G41" s="124"/>
    </row>
    <row r="42" spans="1:7" ht="13.5" thickBot="1" x14ac:dyDescent="0.25">
      <c r="A42" s="726"/>
      <c r="B42" s="703"/>
      <c r="C42" s="704"/>
      <c r="D42" s="704"/>
      <c r="E42" s="703"/>
      <c r="F42" s="705" t="s">
        <v>158</v>
      </c>
      <c r="G42" s="727"/>
    </row>
    <row r="43" spans="1:7" ht="13.5" thickTop="1" x14ac:dyDescent="0.2">
      <c r="A43" s="1030" t="s">
        <v>183</v>
      </c>
      <c r="B43" s="1019"/>
      <c r="C43" s="1019"/>
      <c r="D43" s="1019"/>
      <c r="E43" s="1019"/>
      <c r="F43" s="1019"/>
      <c r="G43" s="1020"/>
    </row>
    <row r="44" spans="1:7" ht="13.5" thickBot="1" x14ac:dyDescent="0.25">
      <c r="A44" s="707"/>
      <c r="B44" s="708"/>
      <c r="C44" s="708"/>
      <c r="D44" s="709"/>
      <c r="E44" s="708"/>
      <c r="F44" s="198"/>
      <c r="G44" s="199"/>
    </row>
    <row r="45" spans="1:7" ht="13.5" thickTop="1" x14ac:dyDescent="0.2">
      <c r="A45" s="1023"/>
      <c r="B45" s="1024"/>
      <c r="C45" s="1024"/>
      <c r="D45" s="344" t="s">
        <v>11</v>
      </c>
      <c r="E45" s="1025" t="s">
        <v>12</v>
      </c>
      <c r="F45" s="1025"/>
      <c r="G45" s="1026"/>
    </row>
    <row r="46" spans="1:7" ht="27.75" customHeight="1" x14ac:dyDescent="0.2">
      <c r="A46" s="1010" t="s">
        <v>17</v>
      </c>
      <c r="B46" s="1011"/>
      <c r="C46" s="1011"/>
      <c r="D46" s="121"/>
      <c r="E46" s="1027"/>
      <c r="F46" s="1028"/>
      <c r="G46" s="1029"/>
    </row>
    <row r="47" spans="1:7" x14ac:dyDescent="0.2">
      <c r="A47" s="1010" t="s">
        <v>38</v>
      </c>
      <c r="B47" s="1011"/>
      <c r="C47" s="1011"/>
      <c r="D47" s="710" t="s">
        <v>147</v>
      </c>
      <c r="E47" s="1012" t="s">
        <v>142</v>
      </c>
      <c r="F47" s="1012"/>
      <c r="G47" s="1013"/>
    </row>
    <row r="48" spans="1:7" ht="13.5" thickBot="1" x14ac:dyDescent="0.25">
      <c r="A48" s="1014" t="s">
        <v>39</v>
      </c>
      <c r="B48" s="1015"/>
      <c r="C48" s="1015"/>
      <c r="D48" s="125" t="s">
        <v>148</v>
      </c>
      <c r="E48" s="1016" t="s">
        <v>0</v>
      </c>
      <c r="F48" s="1017"/>
      <c r="G48" s="1018"/>
    </row>
    <row r="49" spans="1:7" ht="16.5" x14ac:dyDescent="0.2">
      <c r="A49" s="997" t="s">
        <v>29</v>
      </c>
      <c r="B49" s="998"/>
      <c r="C49" s="998"/>
      <c r="D49" s="998"/>
      <c r="E49" s="998"/>
      <c r="F49" s="998"/>
      <c r="G49" s="999"/>
    </row>
    <row r="50" spans="1:7" x14ac:dyDescent="0.2">
      <c r="A50" s="1000" t="s">
        <v>48</v>
      </c>
      <c r="B50" s="1001"/>
      <c r="C50" s="1001"/>
      <c r="D50" s="1001"/>
      <c r="E50" s="1001"/>
      <c r="F50" s="1001"/>
      <c r="G50" s="1002"/>
    </row>
    <row r="51" spans="1:7" x14ac:dyDescent="0.2">
      <c r="A51" s="1003" t="s">
        <v>49</v>
      </c>
      <c r="B51" s="1004"/>
      <c r="C51" s="1004"/>
      <c r="D51" s="1004"/>
      <c r="E51" s="1004"/>
      <c r="F51" s="1004"/>
      <c r="G51" s="1005"/>
    </row>
    <row r="52" spans="1:7" x14ac:dyDescent="0.2">
      <c r="A52" s="674"/>
      <c r="B52" s="675"/>
      <c r="C52" s="676"/>
      <c r="D52" s="677"/>
      <c r="E52" s="675"/>
      <c r="F52" s="678"/>
      <c r="G52" s="679" t="s">
        <v>181</v>
      </c>
    </row>
    <row r="53" spans="1:7" x14ac:dyDescent="0.2">
      <c r="A53" s="680" t="s">
        <v>1</v>
      </c>
      <c r="B53" s="681"/>
      <c r="C53" s="682" t="s">
        <v>7</v>
      </c>
      <c r="D53" s="681"/>
      <c r="E53" s="683" t="s">
        <v>189</v>
      </c>
      <c r="F53" s="684"/>
      <c r="G53" s="685" t="s">
        <v>62</v>
      </c>
    </row>
    <row r="54" spans="1:7" x14ac:dyDescent="0.2">
      <c r="A54" s="686" t="s">
        <v>8</v>
      </c>
      <c r="B54" s="687"/>
      <c r="C54" s="688"/>
      <c r="D54" s="673"/>
      <c r="E54" s="1006"/>
      <c r="F54" s="1007"/>
      <c r="G54" s="689"/>
    </row>
    <row r="55" spans="1:7" x14ac:dyDescent="0.2">
      <c r="A55" s="690" t="s">
        <v>37</v>
      </c>
      <c r="B55" s="261"/>
      <c r="C55" s="261"/>
      <c r="D55" s="261"/>
      <c r="E55" s="691" t="s">
        <v>46</v>
      </c>
      <c r="F55" s="692"/>
      <c r="G55" s="689" t="s">
        <v>190</v>
      </c>
    </row>
    <row r="56" spans="1:7" x14ac:dyDescent="0.2">
      <c r="A56" s="674"/>
      <c r="B56" s="675"/>
      <c r="C56" s="676"/>
      <c r="D56" s="676"/>
      <c r="E56" s="1008"/>
      <c r="F56" s="1009"/>
      <c r="G56" s="693"/>
    </row>
    <row r="57" spans="1:7" ht="26.25" customHeight="1" thickBot="1" x14ac:dyDescent="0.25">
      <c r="A57" s="694" t="s">
        <v>47</v>
      </c>
      <c r="B57" s="110" t="s">
        <v>23</v>
      </c>
      <c r="C57" s="110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695" t="s">
        <v>8</v>
      </c>
      <c r="B58" s="698"/>
      <c r="C58" s="119"/>
      <c r="D58" s="202" t="s">
        <v>160</v>
      </c>
      <c r="E58" s="158"/>
      <c r="F58" s="163"/>
      <c r="G58" s="728"/>
    </row>
    <row r="59" spans="1:7" x14ac:dyDescent="0.2">
      <c r="A59" s="695"/>
      <c r="B59" s="698"/>
      <c r="C59" s="119"/>
      <c r="D59" s="129"/>
      <c r="E59" s="108"/>
      <c r="F59" s="70"/>
      <c r="G59" s="697"/>
    </row>
    <row r="60" spans="1:7" x14ac:dyDescent="0.2">
      <c r="A60" s="695"/>
      <c r="B60" s="105"/>
      <c r="C60" s="135"/>
      <c r="D60" s="136"/>
      <c r="E60" s="108"/>
      <c r="F60" s="70"/>
      <c r="G60" s="697"/>
    </row>
    <row r="61" spans="1:7" x14ac:dyDescent="0.2">
      <c r="A61" s="695"/>
      <c r="B61" s="105"/>
      <c r="C61" s="119"/>
      <c r="D61" s="136"/>
      <c r="E61" s="108"/>
      <c r="F61" s="70"/>
      <c r="G61" s="697"/>
    </row>
    <row r="62" spans="1:7" x14ac:dyDescent="0.2">
      <c r="A62" s="695"/>
      <c r="B62" s="105"/>
      <c r="C62" s="119"/>
      <c r="D62" s="136"/>
      <c r="E62" s="108"/>
      <c r="F62" s="264"/>
      <c r="G62" s="697"/>
    </row>
    <row r="63" spans="1:7" x14ac:dyDescent="0.2">
      <c r="A63" s="695"/>
      <c r="B63" s="105"/>
      <c r="C63" s="119"/>
      <c r="D63" s="144"/>
      <c r="E63" s="108"/>
      <c r="F63" s="264"/>
      <c r="G63" s="697"/>
    </row>
    <row r="64" spans="1:7" x14ac:dyDescent="0.2">
      <c r="A64" s="695"/>
      <c r="B64" s="698"/>
      <c r="C64" s="119"/>
      <c r="D64" s="144"/>
      <c r="E64" s="699"/>
      <c r="F64" s="70"/>
      <c r="G64" s="697"/>
    </row>
    <row r="65" spans="1:7" x14ac:dyDescent="0.2">
      <c r="A65" s="695"/>
      <c r="B65" s="106"/>
      <c r="C65" s="119"/>
      <c r="D65" s="136"/>
      <c r="E65" s="131"/>
      <c r="F65" s="70"/>
      <c r="G65" s="697"/>
    </row>
    <row r="66" spans="1:7" x14ac:dyDescent="0.2">
      <c r="A66" s="695"/>
      <c r="B66" s="105"/>
      <c r="C66" s="119"/>
      <c r="D66" s="136"/>
      <c r="E66" s="108"/>
      <c r="F66" s="265"/>
      <c r="G66" s="697"/>
    </row>
    <row r="67" spans="1:7" x14ac:dyDescent="0.2">
      <c r="A67" s="695"/>
      <c r="B67" s="700"/>
      <c r="C67" s="119"/>
      <c r="D67" s="136"/>
      <c r="E67" s="108"/>
      <c r="F67" s="70"/>
      <c r="G67" s="697"/>
    </row>
    <row r="68" spans="1:7" x14ac:dyDescent="0.2">
      <c r="A68" s="695"/>
      <c r="B68" s="698"/>
      <c r="C68" s="119"/>
      <c r="D68" s="136"/>
      <c r="E68" s="108"/>
      <c r="F68" s="70"/>
      <c r="G68" s="697"/>
    </row>
    <row r="69" spans="1:7" x14ac:dyDescent="0.2">
      <c r="A69" s="695"/>
      <c r="B69" s="698"/>
      <c r="C69" s="135"/>
      <c r="D69" s="259"/>
      <c r="E69" s="108"/>
      <c r="F69" s="70"/>
      <c r="G69" s="697"/>
    </row>
    <row r="70" spans="1:7" x14ac:dyDescent="0.2">
      <c r="A70" s="695"/>
      <c r="B70" s="106"/>
      <c r="C70" s="119"/>
      <c r="D70" s="259"/>
      <c r="E70" s="131"/>
      <c r="F70" s="70"/>
      <c r="G70" s="697"/>
    </row>
    <row r="71" spans="1:7" x14ac:dyDescent="0.2">
      <c r="A71" s="695"/>
      <c r="B71" s="105"/>
      <c r="C71" s="119"/>
      <c r="D71" s="144"/>
      <c r="E71" s="131"/>
      <c r="F71" s="701"/>
      <c r="G71" s="697"/>
    </row>
    <row r="72" spans="1:7" x14ac:dyDescent="0.2">
      <c r="A72" s="695"/>
      <c r="B72" s="698"/>
      <c r="C72" s="119"/>
      <c r="D72" s="136"/>
      <c r="E72" s="131"/>
      <c r="F72" s="701"/>
      <c r="G72" s="697"/>
    </row>
    <row r="73" spans="1:7" x14ac:dyDescent="0.2">
      <c r="A73" s="695"/>
      <c r="B73" s="698"/>
      <c r="C73" s="119"/>
      <c r="D73" s="136"/>
      <c r="E73" s="131"/>
      <c r="F73" s="701"/>
      <c r="G73" s="697"/>
    </row>
    <row r="74" spans="1:7" x14ac:dyDescent="0.2">
      <c r="A74" s="695"/>
      <c r="B74" s="698"/>
      <c r="C74" s="119"/>
      <c r="D74" s="136"/>
      <c r="E74" s="131"/>
      <c r="F74" s="701"/>
      <c r="G74" s="697"/>
    </row>
    <row r="75" spans="1:7" x14ac:dyDescent="0.2">
      <c r="A75" s="695"/>
      <c r="B75" s="698"/>
      <c r="C75" s="119"/>
      <c r="D75" s="136"/>
      <c r="E75" s="131"/>
      <c r="F75" s="701"/>
      <c r="G75" s="697"/>
    </row>
    <row r="76" spans="1:7" x14ac:dyDescent="0.2">
      <c r="A76" s="695"/>
      <c r="B76" s="698"/>
      <c r="C76" s="119"/>
      <c r="D76" s="136"/>
      <c r="E76" s="131"/>
      <c r="F76" s="701"/>
      <c r="G76" s="697"/>
    </row>
    <row r="77" spans="1:7" x14ac:dyDescent="0.2">
      <c r="A77" s="695"/>
      <c r="B77" s="698"/>
      <c r="C77" s="119"/>
      <c r="D77" s="144"/>
      <c r="E77" s="131"/>
      <c r="F77" s="701"/>
      <c r="G77" s="697"/>
    </row>
    <row r="78" spans="1:7" x14ac:dyDescent="0.2">
      <c r="A78" s="695"/>
      <c r="B78" s="698"/>
      <c r="C78" s="135"/>
      <c r="D78" s="144"/>
      <c r="E78" s="108"/>
      <c r="F78" s="70"/>
      <c r="G78" s="697"/>
    </row>
    <row r="79" spans="1:7" x14ac:dyDescent="0.2">
      <c r="A79" s="695"/>
      <c r="B79" s="698"/>
      <c r="C79" s="135"/>
      <c r="D79" s="259"/>
      <c r="E79" s="131"/>
      <c r="F79" s="701"/>
      <c r="G79" s="697"/>
    </row>
    <row r="80" spans="1:7" x14ac:dyDescent="0.2">
      <c r="A80" s="695"/>
      <c r="B80" s="698"/>
      <c r="C80" s="119"/>
      <c r="D80" s="118"/>
      <c r="E80" s="108"/>
      <c r="F80" s="263"/>
      <c r="G80" s="697"/>
    </row>
    <row r="81" spans="1:7" x14ac:dyDescent="0.2">
      <c r="A81" s="695"/>
      <c r="B81" s="698"/>
      <c r="C81" s="119"/>
      <c r="D81" s="118"/>
      <c r="E81" s="108"/>
      <c r="F81" s="263"/>
      <c r="G81" s="697"/>
    </row>
    <row r="82" spans="1:7" x14ac:dyDescent="0.2">
      <c r="A82" s="695"/>
      <c r="B82" s="698"/>
      <c r="C82" s="135"/>
      <c r="D82" s="253"/>
      <c r="E82" s="108"/>
      <c r="F82" s="263"/>
      <c r="G82" s="697"/>
    </row>
    <row r="83" spans="1:7" x14ac:dyDescent="0.2">
      <c r="A83" s="695"/>
      <c r="B83" s="698"/>
      <c r="C83" s="135"/>
      <c r="D83" s="253"/>
      <c r="E83" s="108"/>
      <c r="F83" s="263"/>
      <c r="G83" s="697"/>
    </row>
    <row r="84" spans="1:7" x14ac:dyDescent="0.2">
      <c r="A84" s="695"/>
      <c r="B84" s="698"/>
      <c r="C84" s="135"/>
      <c r="D84" s="252"/>
      <c r="E84" s="108"/>
      <c r="F84" s="263"/>
      <c r="G84" s="124"/>
    </row>
    <row r="85" spans="1:7" x14ac:dyDescent="0.2">
      <c r="A85" s="695"/>
      <c r="B85" s="696"/>
      <c r="C85" s="135"/>
      <c r="D85" s="136"/>
      <c r="E85" s="108"/>
      <c r="F85" s="271"/>
      <c r="G85" s="697"/>
    </row>
    <row r="86" spans="1:7" x14ac:dyDescent="0.2">
      <c r="A86" s="695"/>
      <c r="B86" s="696"/>
      <c r="C86" s="119"/>
      <c r="D86" s="144"/>
      <c r="E86" s="108"/>
      <c r="F86" s="271"/>
      <c r="G86" s="697"/>
    </row>
    <row r="87" spans="1:7" x14ac:dyDescent="0.2">
      <c r="A87" s="695"/>
      <c r="B87" s="696"/>
      <c r="C87" s="119"/>
      <c r="D87" s="144"/>
      <c r="E87" s="699"/>
      <c r="F87" s="271"/>
      <c r="G87" s="697"/>
    </row>
    <row r="88" spans="1:7" x14ac:dyDescent="0.2">
      <c r="A88" s="695"/>
      <c r="B88" s="696"/>
      <c r="C88" s="344"/>
      <c r="D88" s="345"/>
      <c r="E88" s="729"/>
      <c r="F88" s="271"/>
      <c r="G88" s="697"/>
    </row>
    <row r="89" spans="1:7" x14ac:dyDescent="0.2">
      <c r="A89" s="695"/>
      <c r="B89" s="696"/>
      <c r="C89" s="730"/>
      <c r="D89" s="269"/>
      <c r="E89" s="270"/>
      <c r="F89" s="271"/>
      <c r="G89" s="697"/>
    </row>
    <row r="90" spans="1:7" ht="13.5" thickBot="1" x14ac:dyDescent="0.25">
      <c r="A90" s="702"/>
      <c r="B90" s="703"/>
      <c r="C90" s="704"/>
      <c r="D90" s="704"/>
      <c r="E90" s="703"/>
      <c r="F90" s="705" t="s">
        <v>158</v>
      </c>
      <c r="G90" s="727"/>
    </row>
    <row r="91" spans="1:7" ht="13.5" thickTop="1" x14ac:dyDescent="0.2">
      <c r="A91" s="1030" t="s">
        <v>183</v>
      </c>
      <c r="B91" s="1019"/>
      <c r="C91" s="1019"/>
      <c r="D91" s="1019"/>
      <c r="E91" s="1019"/>
      <c r="F91" s="1019"/>
      <c r="G91" s="1020"/>
    </row>
    <row r="92" spans="1:7" ht="13.5" thickBot="1" x14ac:dyDescent="0.25">
      <c r="A92" s="707"/>
      <c r="B92" s="708"/>
      <c r="C92" s="708"/>
      <c r="D92" s="709"/>
      <c r="E92" s="708"/>
      <c r="F92" s="198"/>
      <c r="G92" s="199"/>
    </row>
    <row r="93" spans="1:7" ht="13.5" thickTop="1" x14ac:dyDescent="0.2">
      <c r="A93" s="1023"/>
      <c r="B93" s="1024"/>
      <c r="C93" s="1024"/>
      <c r="D93" s="344" t="s">
        <v>11</v>
      </c>
      <c r="E93" s="1025" t="s">
        <v>12</v>
      </c>
      <c r="F93" s="1025"/>
      <c r="G93" s="1026"/>
    </row>
    <row r="94" spans="1:7" ht="27.75" customHeight="1" x14ac:dyDescent="0.2">
      <c r="A94" s="1010" t="s">
        <v>17</v>
      </c>
      <c r="B94" s="1011"/>
      <c r="C94" s="1011"/>
      <c r="D94" s="121"/>
      <c r="E94" s="1027"/>
      <c r="F94" s="1028"/>
      <c r="G94" s="1029"/>
    </row>
    <row r="95" spans="1:7" x14ac:dyDescent="0.2">
      <c r="A95" s="1010" t="s">
        <v>38</v>
      </c>
      <c r="B95" s="1011"/>
      <c r="C95" s="1011"/>
      <c r="D95" s="710" t="s">
        <v>147</v>
      </c>
      <c r="E95" s="1012" t="s">
        <v>142</v>
      </c>
      <c r="F95" s="1012"/>
      <c r="G95" s="1013"/>
    </row>
    <row r="96" spans="1:7" ht="13.5" thickBot="1" x14ac:dyDescent="0.25">
      <c r="A96" s="1014" t="s">
        <v>39</v>
      </c>
      <c r="B96" s="1015"/>
      <c r="C96" s="1015"/>
      <c r="D96" s="125" t="s">
        <v>148</v>
      </c>
      <c r="E96" s="1016" t="s">
        <v>0</v>
      </c>
      <c r="F96" s="1017"/>
      <c r="G96" s="1018"/>
    </row>
    <row r="97" spans="1:7" ht="16.5" x14ac:dyDescent="0.2">
      <c r="A97" s="997" t="s">
        <v>29</v>
      </c>
      <c r="B97" s="998"/>
      <c r="C97" s="998"/>
      <c r="D97" s="998"/>
      <c r="E97" s="998"/>
      <c r="F97" s="998"/>
      <c r="G97" s="999"/>
    </row>
    <row r="98" spans="1:7" x14ac:dyDescent="0.2">
      <c r="A98" s="1000" t="s">
        <v>48</v>
      </c>
      <c r="B98" s="1001"/>
      <c r="C98" s="1001"/>
      <c r="D98" s="1001"/>
      <c r="E98" s="1001"/>
      <c r="F98" s="1001"/>
      <c r="G98" s="1002"/>
    </row>
    <row r="99" spans="1:7" x14ac:dyDescent="0.2">
      <c r="A99" s="1003" t="s">
        <v>49</v>
      </c>
      <c r="B99" s="1004"/>
      <c r="C99" s="1004"/>
      <c r="D99" s="1004"/>
      <c r="E99" s="1004"/>
      <c r="F99" s="1004"/>
      <c r="G99" s="1005"/>
    </row>
    <row r="100" spans="1:7" x14ac:dyDescent="0.2">
      <c r="A100" s="674"/>
      <c r="B100" s="675"/>
      <c r="C100" s="676"/>
      <c r="D100" s="677"/>
      <c r="E100" s="675"/>
      <c r="F100" s="678"/>
      <c r="G100" s="679" t="s">
        <v>182</v>
      </c>
    </row>
    <row r="101" spans="1:7" x14ac:dyDescent="0.2">
      <c r="A101" s="680" t="s">
        <v>1</v>
      </c>
      <c r="B101" s="681"/>
      <c r="C101" s="682" t="s">
        <v>7</v>
      </c>
      <c r="D101" s="681"/>
      <c r="E101" s="683" t="s">
        <v>189</v>
      </c>
      <c r="F101" s="684"/>
      <c r="G101" s="685" t="s">
        <v>62</v>
      </c>
    </row>
    <row r="102" spans="1:7" x14ac:dyDescent="0.2">
      <c r="A102" s="686" t="s">
        <v>8</v>
      </c>
      <c r="B102" s="687"/>
      <c r="C102" s="688"/>
      <c r="D102" s="673"/>
      <c r="E102" s="1006"/>
      <c r="F102" s="1007"/>
      <c r="G102" s="689"/>
    </row>
    <row r="103" spans="1:7" x14ac:dyDescent="0.2">
      <c r="A103" s="690" t="s">
        <v>37</v>
      </c>
      <c r="B103" s="261"/>
      <c r="C103" s="261"/>
      <c r="D103" s="261"/>
      <c r="E103" s="691" t="s">
        <v>46</v>
      </c>
      <c r="F103" s="692"/>
      <c r="G103" s="689" t="s">
        <v>190</v>
      </c>
    </row>
    <row r="104" spans="1:7" x14ac:dyDescent="0.2">
      <c r="A104" s="674"/>
      <c r="B104" s="675"/>
      <c r="C104" s="676"/>
      <c r="D104" s="676"/>
      <c r="E104" s="1008"/>
      <c r="F104" s="1009"/>
      <c r="G104" s="693"/>
    </row>
    <row r="105" spans="1:7" ht="26.25" customHeight="1" thickBot="1" x14ac:dyDescent="0.25">
      <c r="A105" s="694" t="s">
        <v>47</v>
      </c>
      <c r="B105" s="110" t="s">
        <v>23</v>
      </c>
      <c r="C105" s="110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7" ht="13.5" thickTop="1" x14ac:dyDescent="0.2">
      <c r="A106" s="695" t="s">
        <v>8</v>
      </c>
      <c r="B106" s="698"/>
      <c r="C106" s="119"/>
      <c r="D106" s="202" t="s">
        <v>160</v>
      </c>
      <c r="E106" s="158"/>
      <c r="F106" s="163"/>
      <c r="G106" s="728"/>
    </row>
    <row r="107" spans="1:7" x14ac:dyDescent="0.2">
      <c r="A107" s="695"/>
      <c r="B107" s="106"/>
      <c r="C107" s="135"/>
      <c r="D107" s="259"/>
      <c r="E107" s="131"/>
      <c r="F107" s="163"/>
      <c r="G107" s="697"/>
    </row>
    <row r="108" spans="1:7" x14ac:dyDescent="0.2">
      <c r="A108" s="695"/>
      <c r="B108" s="105"/>
      <c r="C108" s="119"/>
      <c r="D108" s="136"/>
      <c r="E108" s="108"/>
      <c r="F108" s="152"/>
      <c r="G108" s="697"/>
    </row>
    <row r="109" spans="1:7" x14ac:dyDescent="0.2">
      <c r="A109" s="695"/>
      <c r="B109" s="105"/>
      <c r="C109" s="135"/>
      <c r="D109" s="259"/>
      <c r="E109" s="108"/>
      <c r="F109" s="152"/>
      <c r="G109" s="697"/>
    </row>
    <row r="110" spans="1:7" x14ac:dyDescent="0.2">
      <c r="A110" s="695"/>
      <c r="B110" s="700"/>
      <c r="C110" s="119"/>
      <c r="D110" s="251"/>
      <c r="E110" s="108"/>
      <c r="F110" s="163"/>
      <c r="G110" s="697"/>
    </row>
    <row r="111" spans="1:7" x14ac:dyDescent="0.2">
      <c r="A111" s="695"/>
      <c r="B111" s="700"/>
      <c r="C111" s="135"/>
      <c r="D111" s="259"/>
      <c r="E111" s="108"/>
      <c r="F111" s="163"/>
      <c r="G111" s="697"/>
    </row>
    <row r="112" spans="1:7" x14ac:dyDescent="0.2">
      <c r="A112" s="695"/>
      <c r="B112" s="700"/>
      <c r="C112" s="119"/>
      <c r="D112" s="136"/>
      <c r="E112" s="108"/>
      <c r="F112" s="163"/>
      <c r="G112" s="697"/>
    </row>
    <row r="113" spans="1:7" x14ac:dyDescent="0.2">
      <c r="A113" s="695"/>
      <c r="B113" s="698"/>
      <c r="C113" s="119"/>
      <c r="D113" s="136"/>
      <c r="E113" s="108"/>
      <c r="F113" s="163"/>
      <c r="G113" s="697"/>
    </row>
    <row r="114" spans="1:7" x14ac:dyDescent="0.2">
      <c r="A114" s="695"/>
      <c r="B114" s="698"/>
      <c r="C114" s="119"/>
      <c r="D114" s="136"/>
      <c r="E114" s="108"/>
      <c r="F114" s="163"/>
      <c r="G114" s="697"/>
    </row>
    <row r="115" spans="1:7" x14ac:dyDescent="0.2">
      <c r="A115" s="695"/>
      <c r="B115" s="698"/>
      <c r="C115" s="119"/>
      <c r="D115" s="136"/>
      <c r="E115" s="108"/>
      <c r="F115" s="163"/>
      <c r="G115" s="697"/>
    </row>
    <row r="116" spans="1:7" x14ac:dyDescent="0.2">
      <c r="A116" s="695"/>
      <c r="B116" s="698"/>
      <c r="C116" s="119"/>
      <c r="D116" s="136"/>
      <c r="E116" s="108"/>
      <c r="F116" s="163"/>
      <c r="G116" s="697"/>
    </row>
    <row r="117" spans="1:7" x14ac:dyDescent="0.2">
      <c r="A117" s="695"/>
      <c r="B117" s="698"/>
      <c r="C117" s="119"/>
      <c r="D117" s="136"/>
      <c r="E117" s="108"/>
      <c r="F117" s="163"/>
      <c r="G117" s="697"/>
    </row>
    <row r="118" spans="1:7" x14ac:dyDescent="0.2">
      <c r="A118" s="695"/>
      <c r="B118" s="698"/>
      <c r="C118" s="119"/>
      <c r="D118" s="136"/>
      <c r="E118" s="108"/>
      <c r="F118" s="163"/>
      <c r="G118" s="697"/>
    </row>
    <row r="119" spans="1:7" x14ac:dyDescent="0.2">
      <c r="A119" s="695"/>
      <c r="B119" s="698"/>
      <c r="C119" s="119"/>
      <c r="D119" s="136"/>
      <c r="E119" s="108"/>
      <c r="F119" s="163"/>
      <c r="G119" s="697"/>
    </row>
    <row r="120" spans="1:7" x14ac:dyDescent="0.2">
      <c r="A120" s="695"/>
      <c r="B120" s="698"/>
      <c r="C120" s="119"/>
      <c r="D120" s="136"/>
      <c r="E120" s="108"/>
      <c r="F120" s="163"/>
      <c r="G120" s="697"/>
    </row>
    <row r="121" spans="1:7" x14ac:dyDescent="0.2">
      <c r="A121" s="695"/>
      <c r="B121" s="698"/>
      <c r="C121" s="119"/>
      <c r="D121" s="136"/>
      <c r="E121" s="108"/>
      <c r="F121" s="163"/>
      <c r="G121" s="697"/>
    </row>
    <row r="122" spans="1:7" x14ac:dyDescent="0.2">
      <c r="A122" s="695"/>
      <c r="B122" s="698"/>
      <c r="C122" s="119"/>
      <c r="D122" s="136"/>
      <c r="E122" s="108"/>
      <c r="F122" s="163"/>
      <c r="G122" s="697"/>
    </row>
    <row r="123" spans="1:7" x14ac:dyDescent="0.2">
      <c r="A123" s="695"/>
      <c r="B123" s="698"/>
      <c r="C123" s="119"/>
      <c r="D123" s="136"/>
      <c r="E123" s="108"/>
      <c r="F123" s="163"/>
      <c r="G123" s="697"/>
    </row>
    <row r="124" spans="1:7" x14ac:dyDescent="0.2">
      <c r="A124" s="695"/>
      <c r="B124" s="698"/>
      <c r="C124" s="119"/>
      <c r="D124" s="136"/>
      <c r="E124" s="108"/>
      <c r="F124" s="163"/>
      <c r="G124" s="697"/>
    </row>
    <row r="125" spans="1:7" x14ac:dyDescent="0.2">
      <c r="A125" s="695"/>
      <c r="B125" s="106"/>
      <c r="C125" s="119"/>
      <c r="D125" s="136"/>
      <c r="E125" s="131"/>
      <c r="F125" s="717"/>
      <c r="G125" s="697"/>
    </row>
    <row r="126" spans="1:7" x14ac:dyDescent="0.2">
      <c r="A126" s="695"/>
      <c r="B126" s="105"/>
      <c r="C126" s="119"/>
      <c r="D126" s="144"/>
      <c r="E126" s="131"/>
      <c r="F126" s="717"/>
      <c r="G126" s="697"/>
    </row>
    <row r="127" spans="1:7" x14ac:dyDescent="0.2">
      <c r="A127" s="695"/>
      <c r="B127" s="105"/>
      <c r="C127" s="119"/>
      <c r="D127" s="136"/>
      <c r="E127" s="131"/>
      <c r="F127" s="717"/>
      <c r="G127" s="697"/>
    </row>
    <row r="128" spans="1:7" x14ac:dyDescent="0.2">
      <c r="A128" s="695"/>
      <c r="B128" s="698"/>
      <c r="C128" s="119"/>
      <c r="D128" s="136"/>
      <c r="E128" s="131"/>
      <c r="F128" s="717"/>
      <c r="G128" s="697"/>
    </row>
    <row r="129" spans="1:7" x14ac:dyDescent="0.2">
      <c r="A129" s="695"/>
      <c r="B129" s="698"/>
      <c r="C129" s="119"/>
      <c r="D129" s="136"/>
      <c r="E129" s="131"/>
      <c r="F129" s="717"/>
      <c r="G129" s="697"/>
    </row>
    <row r="130" spans="1:7" x14ac:dyDescent="0.2">
      <c r="A130" s="695"/>
      <c r="B130" s="698"/>
      <c r="C130" s="119"/>
      <c r="D130" s="136"/>
      <c r="E130" s="131"/>
      <c r="F130" s="717"/>
      <c r="G130" s="697"/>
    </row>
    <row r="131" spans="1:7" x14ac:dyDescent="0.2">
      <c r="A131" s="695"/>
      <c r="B131" s="698"/>
      <c r="C131" s="119"/>
      <c r="D131" s="136"/>
      <c r="E131" s="131"/>
      <c r="F131" s="717"/>
      <c r="G131" s="697"/>
    </row>
    <row r="132" spans="1:7" x14ac:dyDescent="0.2">
      <c r="A132" s="695"/>
      <c r="B132" s="698"/>
      <c r="C132" s="119"/>
      <c r="D132" s="136"/>
      <c r="E132" s="131"/>
      <c r="F132" s="717"/>
      <c r="G132" s="697"/>
    </row>
    <row r="133" spans="1:7" x14ac:dyDescent="0.2">
      <c r="A133" s="695"/>
      <c r="B133" s="698"/>
      <c r="C133" s="119"/>
      <c r="D133" s="160"/>
      <c r="E133" s="108"/>
      <c r="F133" s="163"/>
      <c r="G133" s="697"/>
    </row>
    <row r="134" spans="1:7" x14ac:dyDescent="0.2">
      <c r="A134" s="695"/>
      <c r="B134" s="698"/>
      <c r="C134" s="119"/>
      <c r="D134" s="136"/>
      <c r="E134" s="108"/>
      <c r="F134" s="163"/>
      <c r="G134" s="697"/>
    </row>
    <row r="135" spans="1:7" x14ac:dyDescent="0.2">
      <c r="A135" s="695"/>
      <c r="B135" s="698"/>
      <c r="C135" s="119"/>
      <c r="D135" s="136"/>
      <c r="E135" s="108"/>
      <c r="F135" s="163"/>
      <c r="G135" s="697"/>
    </row>
    <row r="136" spans="1:7" x14ac:dyDescent="0.2">
      <c r="A136" s="695"/>
      <c r="B136" s="698"/>
      <c r="C136" s="119"/>
      <c r="D136" s="136"/>
      <c r="E136" s="131"/>
      <c r="F136" s="718"/>
      <c r="G136" s="697"/>
    </row>
    <row r="137" spans="1:7" x14ac:dyDescent="0.2">
      <c r="A137" s="695"/>
      <c r="B137" s="698"/>
      <c r="C137" s="119"/>
      <c r="D137" s="118"/>
      <c r="E137" s="108"/>
      <c r="F137" s="149"/>
      <c r="G137" s="697"/>
    </row>
    <row r="138" spans="1:7" x14ac:dyDescent="0.2">
      <c r="A138" s="695"/>
      <c r="B138" s="698"/>
      <c r="C138" s="119"/>
      <c r="D138" s="144"/>
      <c r="E138" s="108"/>
      <c r="F138" s="149"/>
      <c r="G138" s="697"/>
    </row>
    <row r="139" spans="1:7" ht="13.5" thickBot="1" x14ac:dyDescent="0.25">
      <c r="A139" s="702"/>
      <c r="B139" s="703"/>
      <c r="C139" s="704"/>
      <c r="D139" s="704"/>
      <c r="E139" s="703"/>
      <c r="F139" s="705" t="s">
        <v>15</v>
      </c>
      <c r="G139" s="706"/>
    </row>
    <row r="140" spans="1:7" ht="13.5" thickTop="1" x14ac:dyDescent="0.2">
      <c r="A140" s="1030" t="s">
        <v>183</v>
      </c>
      <c r="B140" s="1019"/>
      <c r="C140" s="1019"/>
      <c r="D140" s="1019"/>
      <c r="E140" s="1019"/>
      <c r="F140" s="1019"/>
      <c r="G140" s="1020"/>
    </row>
    <row r="141" spans="1:7" ht="13.5" thickBot="1" x14ac:dyDescent="0.25">
      <c r="A141" s="707"/>
      <c r="B141" s="708"/>
      <c r="C141" s="708"/>
      <c r="D141" s="709"/>
      <c r="E141" s="708"/>
      <c r="F141" s="198"/>
      <c r="G141" s="199"/>
    </row>
    <row r="142" spans="1:7" ht="13.5" thickTop="1" x14ac:dyDescent="0.2">
      <c r="A142" s="1023"/>
      <c r="B142" s="1024"/>
      <c r="C142" s="1024"/>
      <c r="D142" s="344" t="s">
        <v>11</v>
      </c>
      <c r="E142" s="1025" t="s">
        <v>12</v>
      </c>
      <c r="F142" s="1025"/>
      <c r="G142" s="1026"/>
    </row>
    <row r="143" spans="1:7" ht="27.75" customHeight="1" x14ac:dyDescent="0.2">
      <c r="A143" s="1010" t="s">
        <v>17</v>
      </c>
      <c r="B143" s="1011"/>
      <c r="C143" s="1011"/>
      <c r="D143" s="121"/>
      <c r="E143" s="1027"/>
      <c r="F143" s="1028"/>
      <c r="G143" s="1029"/>
    </row>
    <row r="144" spans="1:7" x14ac:dyDescent="0.2">
      <c r="A144" s="1010" t="s">
        <v>38</v>
      </c>
      <c r="B144" s="1011"/>
      <c r="C144" s="1011"/>
      <c r="D144" s="710" t="s">
        <v>147</v>
      </c>
      <c r="E144" s="1012" t="s">
        <v>142</v>
      </c>
      <c r="F144" s="1012"/>
      <c r="G144" s="1013"/>
    </row>
    <row r="145" spans="1:7" ht="13.5" thickBot="1" x14ac:dyDescent="0.25">
      <c r="A145" s="1014" t="s">
        <v>39</v>
      </c>
      <c r="B145" s="1015"/>
      <c r="C145" s="1015"/>
      <c r="D145" s="125" t="s">
        <v>148</v>
      </c>
      <c r="E145" s="1016" t="s">
        <v>0</v>
      </c>
      <c r="F145" s="1017"/>
      <c r="G145" s="1018"/>
    </row>
  </sheetData>
  <mergeCells count="42">
    <mergeCell ref="A143:C143"/>
    <mergeCell ref="E143:G143"/>
    <mergeCell ref="A144:C144"/>
    <mergeCell ref="E144:G144"/>
    <mergeCell ref="A145:C145"/>
    <mergeCell ref="E145:G145"/>
    <mergeCell ref="A99:G99"/>
    <mergeCell ref="E102:F102"/>
    <mergeCell ref="E104:F104"/>
    <mergeCell ref="A140:G140"/>
    <mergeCell ref="A142:C142"/>
    <mergeCell ref="E142:G142"/>
    <mergeCell ref="A98:G98"/>
    <mergeCell ref="E56:F56"/>
    <mergeCell ref="A91:G91"/>
    <mergeCell ref="A93:C93"/>
    <mergeCell ref="E93:G93"/>
    <mergeCell ref="A94:C94"/>
    <mergeCell ref="E94:G94"/>
    <mergeCell ref="A95:C95"/>
    <mergeCell ref="E95:G95"/>
    <mergeCell ref="A96:C96"/>
    <mergeCell ref="E96:G96"/>
    <mergeCell ref="A97:G97"/>
    <mergeCell ref="E54:F54"/>
    <mergeCell ref="A45:C45"/>
    <mergeCell ref="E45:G45"/>
    <mergeCell ref="A46:C46"/>
    <mergeCell ref="E46:G46"/>
    <mergeCell ref="A47:C47"/>
    <mergeCell ref="E47:G47"/>
    <mergeCell ref="A48:C48"/>
    <mergeCell ref="E48:G48"/>
    <mergeCell ref="A49:G49"/>
    <mergeCell ref="A50:G50"/>
    <mergeCell ref="A51:G51"/>
    <mergeCell ref="A43:G43"/>
    <mergeCell ref="A1:G1"/>
    <mergeCell ref="A2:G2"/>
    <mergeCell ref="A3:G3"/>
    <mergeCell ref="E6:F6"/>
    <mergeCell ref="E8:F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96"/>
  <sheetViews>
    <sheetView topLeftCell="A64" zoomScale="110" zoomScaleNormal="110" workbookViewId="0">
      <selection activeCell="L57" sqref="L57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85546875" style="250" customWidth="1"/>
    <col min="5" max="5" width="9.28515625" style="711" customWidth="1"/>
    <col min="6" max="6" width="11.5703125" style="712" customWidth="1"/>
    <col min="7" max="7" width="15.28515625" style="250" customWidth="1"/>
    <col min="8" max="9" width="10.28515625" style="250" bestFit="1" customWidth="1"/>
    <col min="10" max="10" width="9.28515625" style="250" bestFit="1" customWidth="1"/>
    <col min="11" max="11" width="11.28515625" style="250" customWidth="1"/>
    <col min="12" max="16384" width="9.140625" style="250"/>
  </cols>
  <sheetData>
    <row r="1" spans="1:9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9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3180</v>
      </c>
      <c r="I2" s="804" t="s">
        <v>3556</v>
      </c>
    </row>
    <row r="3" spans="1:9" x14ac:dyDescent="0.2">
      <c r="A3" s="1045" t="s">
        <v>49</v>
      </c>
      <c r="B3" s="1046"/>
      <c r="C3" s="1046"/>
      <c r="D3" s="1046"/>
      <c r="E3" s="1046"/>
      <c r="F3" s="1046"/>
      <c r="G3" s="1047"/>
    </row>
    <row r="4" spans="1:9" x14ac:dyDescent="0.2">
      <c r="A4" s="732"/>
      <c r="B4" s="733"/>
      <c r="C4" s="734"/>
      <c r="D4" s="735"/>
      <c r="E4" s="733"/>
      <c r="F4" s="736"/>
      <c r="G4" s="737" t="s">
        <v>20</v>
      </c>
    </row>
    <row r="5" spans="1:9" x14ac:dyDescent="0.2">
      <c r="A5" s="738" t="s">
        <v>1</v>
      </c>
      <c r="B5" s="739"/>
      <c r="C5" s="682" t="s">
        <v>7</v>
      </c>
      <c r="D5" s="739"/>
      <c r="E5" s="683" t="s">
        <v>3560</v>
      </c>
      <c r="F5" s="684"/>
      <c r="G5" s="685" t="s">
        <v>3559</v>
      </c>
    </row>
    <row r="6" spans="1:9" x14ac:dyDescent="0.2">
      <c r="A6" s="741" t="s">
        <v>8</v>
      </c>
      <c r="B6" s="648"/>
      <c r="C6" s="688"/>
      <c r="D6" s="731"/>
      <c r="E6" s="1048"/>
      <c r="F6" s="1049"/>
      <c r="G6" s="742"/>
    </row>
    <row r="7" spans="1:9" x14ac:dyDescent="0.2">
      <c r="A7" s="670" t="s">
        <v>37</v>
      </c>
      <c r="B7" s="669"/>
      <c r="C7" s="669"/>
      <c r="D7" s="669"/>
      <c r="E7" s="743" t="s">
        <v>46</v>
      </c>
      <c r="F7" s="744"/>
      <c r="G7" s="742" t="s">
        <v>50</v>
      </c>
    </row>
    <row r="8" spans="1:9" x14ac:dyDescent="0.2">
      <c r="A8" s="732"/>
      <c r="B8" s="733"/>
      <c r="C8" s="734"/>
      <c r="D8" s="734"/>
      <c r="E8" s="1050"/>
      <c r="F8" s="1051"/>
      <c r="G8" s="745"/>
    </row>
    <row r="9" spans="1:9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5" customHeight="1" thickTop="1" x14ac:dyDescent="0.2">
      <c r="A10" s="746">
        <v>1</v>
      </c>
      <c r="B10" s="747"/>
      <c r="C10" s="385" t="s">
        <v>177</v>
      </c>
      <c r="D10" s="376" t="s">
        <v>3193</v>
      </c>
      <c r="E10" s="402">
        <v>9</v>
      </c>
      <c r="F10" s="587">
        <v>76380</v>
      </c>
      <c r="G10" s="748">
        <f>F10*E10</f>
        <v>687420</v>
      </c>
      <c r="I10" s="720" t="s">
        <v>3523</v>
      </c>
    </row>
    <row r="11" spans="1:9" x14ac:dyDescent="0.2">
      <c r="A11" s="746">
        <v>2</v>
      </c>
      <c r="B11" s="747"/>
      <c r="C11" s="385" t="s">
        <v>185</v>
      </c>
      <c r="D11" s="376" t="s">
        <v>3194</v>
      </c>
      <c r="E11" s="402">
        <v>6</v>
      </c>
      <c r="F11" s="587">
        <v>56373</v>
      </c>
      <c r="G11" s="748">
        <f t="shared" ref="G11:G15" si="0">F11*E11</f>
        <v>338238</v>
      </c>
    </row>
    <row r="12" spans="1:9" x14ac:dyDescent="0.2">
      <c r="A12" s="746">
        <v>3</v>
      </c>
      <c r="B12" s="749"/>
      <c r="C12" s="385" t="s">
        <v>185</v>
      </c>
      <c r="D12" s="370" t="s">
        <v>3195</v>
      </c>
      <c r="E12" s="402">
        <v>9</v>
      </c>
      <c r="F12" s="587">
        <v>80548.12</v>
      </c>
      <c r="G12" s="748">
        <f t="shared" si="0"/>
        <v>724933.08</v>
      </c>
    </row>
    <row r="13" spans="1:9" x14ac:dyDescent="0.2">
      <c r="A13" s="746">
        <v>4</v>
      </c>
      <c r="B13" s="749"/>
      <c r="C13" s="385" t="s">
        <v>185</v>
      </c>
      <c r="D13" s="370" t="s">
        <v>3196</v>
      </c>
      <c r="E13" s="402">
        <v>3</v>
      </c>
      <c r="F13" s="587">
        <v>18201.88</v>
      </c>
      <c r="G13" s="748">
        <f t="shared" si="0"/>
        <v>54605.64</v>
      </c>
    </row>
    <row r="14" spans="1:9" x14ac:dyDescent="0.2">
      <c r="A14" s="746">
        <v>5</v>
      </c>
      <c r="B14" s="749"/>
      <c r="C14" s="385" t="s">
        <v>279</v>
      </c>
      <c r="D14" s="370" t="s">
        <v>3198</v>
      </c>
      <c r="E14" s="402">
        <v>3</v>
      </c>
      <c r="F14" s="406">
        <v>46550</v>
      </c>
      <c r="G14" s="748">
        <f t="shared" si="0"/>
        <v>139650</v>
      </c>
    </row>
    <row r="15" spans="1:9" x14ac:dyDescent="0.2">
      <c r="A15" s="746">
        <v>6</v>
      </c>
      <c r="B15" s="749"/>
      <c r="C15" s="385" t="s">
        <v>185</v>
      </c>
      <c r="D15" s="370" t="s">
        <v>3197</v>
      </c>
      <c r="E15" s="402">
        <v>1</v>
      </c>
      <c r="F15" s="406">
        <v>21947</v>
      </c>
      <c r="G15" s="748">
        <f t="shared" si="0"/>
        <v>21947</v>
      </c>
    </row>
    <row r="16" spans="1:9" x14ac:dyDescent="0.2">
      <c r="A16" s="746"/>
      <c r="B16" s="749"/>
      <c r="C16" s="385"/>
      <c r="D16" s="370"/>
      <c r="E16" s="402"/>
      <c r="F16" s="406"/>
      <c r="G16" s="748"/>
    </row>
    <row r="17" spans="1:7" x14ac:dyDescent="0.2">
      <c r="A17" s="746"/>
      <c r="B17" s="408"/>
      <c r="C17" s="385"/>
      <c r="D17" s="370"/>
      <c r="E17" s="407"/>
      <c r="F17" s="587"/>
      <c r="G17" s="748"/>
    </row>
    <row r="18" spans="1:7" x14ac:dyDescent="0.2">
      <c r="A18" s="746"/>
      <c r="B18" s="408"/>
      <c r="C18" s="385"/>
      <c r="D18" s="370"/>
      <c r="E18" s="407"/>
      <c r="F18" s="587"/>
      <c r="G18" s="748"/>
    </row>
    <row r="19" spans="1:7" x14ac:dyDescent="0.2">
      <c r="A19" s="746"/>
      <c r="B19" s="408"/>
      <c r="C19" s="385"/>
      <c r="D19" s="376"/>
      <c r="E19" s="407"/>
      <c r="F19" s="587"/>
      <c r="G19" s="748"/>
    </row>
    <row r="20" spans="1:7" x14ac:dyDescent="0.2">
      <c r="A20" s="746"/>
      <c r="B20" s="408"/>
      <c r="C20" s="385"/>
      <c r="D20" s="376"/>
      <c r="E20" s="407"/>
      <c r="F20" s="587"/>
      <c r="G20" s="748"/>
    </row>
    <row r="21" spans="1:7" x14ac:dyDescent="0.2">
      <c r="A21" s="746"/>
      <c r="B21" s="408"/>
      <c r="C21" s="385"/>
      <c r="D21" s="376"/>
      <c r="E21" s="407"/>
      <c r="F21" s="587"/>
      <c r="G21" s="748"/>
    </row>
    <row r="22" spans="1:7" x14ac:dyDescent="0.2">
      <c r="A22" s="746"/>
      <c r="B22" s="408"/>
      <c r="C22" s="385"/>
      <c r="D22" s="376"/>
      <c r="E22" s="407"/>
      <c r="F22" s="587"/>
      <c r="G22" s="748"/>
    </row>
    <row r="23" spans="1:7" x14ac:dyDescent="0.2">
      <c r="A23" s="746"/>
      <c r="B23" s="749"/>
      <c r="C23" s="385"/>
      <c r="D23" s="376"/>
      <c r="E23" s="407"/>
      <c r="F23" s="411"/>
      <c r="G23" s="748"/>
    </row>
    <row r="24" spans="1:7" x14ac:dyDescent="0.2">
      <c r="A24" s="746"/>
      <c r="B24" s="749"/>
      <c r="C24" s="385"/>
      <c r="D24" s="376"/>
      <c r="E24" s="407"/>
      <c r="F24" s="411"/>
      <c r="G24" s="748"/>
    </row>
    <row r="25" spans="1:7" x14ac:dyDescent="0.2">
      <c r="A25" s="746"/>
      <c r="B25" s="413"/>
      <c r="C25" s="385"/>
      <c r="D25" s="383"/>
      <c r="E25" s="750"/>
      <c r="F25" s="587"/>
      <c r="G25" s="748"/>
    </row>
    <row r="26" spans="1:7" x14ac:dyDescent="0.2">
      <c r="A26" s="746"/>
      <c r="B26" s="413"/>
      <c r="C26" s="385"/>
      <c r="D26" s="383"/>
      <c r="E26" s="750"/>
      <c r="F26" s="587"/>
      <c r="G26" s="748"/>
    </row>
    <row r="27" spans="1:7" x14ac:dyDescent="0.2">
      <c r="A27" s="746"/>
      <c r="B27" s="413"/>
      <c r="C27" s="385"/>
      <c r="D27" s="376"/>
      <c r="E27" s="423"/>
      <c r="F27" s="587"/>
      <c r="G27" s="748"/>
    </row>
    <row r="28" spans="1:7" x14ac:dyDescent="0.2">
      <c r="A28" s="746"/>
      <c r="B28" s="408"/>
      <c r="C28" s="385"/>
      <c r="D28" s="376"/>
      <c r="E28" s="423"/>
      <c r="F28" s="587"/>
      <c r="G28" s="748"/>
    </row>
    <row r="29" spans="1:7" x14ac:dyDescent="0.2">
      <c r="A29" s="746"/>
      <c r="B29" s="751"/>
      <c r="C29" s="385"/>
      <c r="D29" s="376"/>
      <c r="E29" s="407"/>
      <c r="F29" s="415"/>
      <c r="G29" s="748"/>
    </row>
    <row r="30" spans="1:7" x14ac:dyDescent="0.2">
      <c r="A30" s="746"/>
      <c r="B30" s="751"/>
      <c r="C30" s="385"/>
      <c r="D30" s="376"/>
      <c r="E30" s="407"/>
      <c r="F30" s="415"/>
      <c r="G30" s="748"/>
    </row>
    <row r="31" spans="1:7" x14ac:dyDescent="0.2">
      <c r="A31" s="746"/>
      <c r="B31" s="749"/>
      <c r="C31" s="385"/>
      <c r="D31" s="376"/>
      <c r="E31" s="407"/>
      <c r="F31" s="587"/>
      <c r="G31" s="748"/>
    </row>
    <row r="32" spans="1:7" x14ac:dyDescent="0.2">
      <c r="A32" s="746"/>
      <c r="B32" s="749"/>
      <c r="C32" s="385"/>
      <c r="D32" s="376"/>
      <c r="E32" s="407"/>
      <c r="F32" s="587"/>
      <c r="G32" s="748"/>
    </row>
    <row r="33" spans="1:7" x14ac:dyDescent="0.2">
      <c r="A33" s="746"/>
      <c r="B33" s="413"/>
      <c r="C33" s="385"/>
      <c r="D33" s="376"/>
      <c r="E33" s="423"/>
      <c r="F33" s="752"/>
      <c r="G33" s="748"/>
    </row>
    <row r="34" spans="1:7" x14ac:dyDescent="0.2">
      <c r="A34" s="746"/>
      <c r="B34" s="408"/>
      <c r="C34" s="385"/>
      <c r="D34" s="383"/>
      <c r="E34" s="423"/>
      <c r="F34" s="752"/>
      <c r="G34" s="748"/>
    </row>
    <row r="35" spans="1:7" x14ac:dyDescent="0.2">
      <c r="A35" s="746"/>
      <c r="B35" s="408"/>
      <c r="C35" s="385"/>
      <c r="D35" s="376"/>
      <c r="E35" s="423"/>
      <c r="F35" s="752"/>
      <c r="G35" s="748"/>
    </row>
    <row r="36" spans="1:7" x14ac:dyDescent="0.2">
      <c r="A36" s="746"/>
      <c r="B36" s="749"/>
      <c r="C36" s="385"/>
      <c r="D36" s="376"/>
      <c r="E36" s="423"/>
      <c r="F36" s="752"/>
      <c r="G36" s="748"/>
    </row>
    <row r="37" spans="1:7" x14ac:dyDescent="0.2">
      <c r="A37" s="746"/>
      <c r="B37" s="749"/>
      <c r="C37" s="385"/>
      <c r="D37" s="421"/>
      <c r="E37" s="423"/>
      <c r="F37" s="752"/>
      <c r="G37" s="748"/>
    </row>
    <row r="38" spans="1:7" x14ac:dyDescent="0.2">
      <c r="A38" s="746"/>
      <c r="B38" s="749"/>
      <c r="C38" s="385"/>
      <c r="D38" s="421"/>
      <c r="E38" s="423"/>
      <c r="F38" s="752"/>
      <c r="G38" s="748"/>
    </row>
    <row r="39" spans="1:7" x14ac:dyDescent="0.2">
      <c r="A39" s="746"/>
      <c r="B39" s="749"/>
      <c r="C39" s="385"/>
      <c r="D39" s="376"/>
      <c r="E39" s="407"/>
      <c r="F39" s="587"/>
      <c r="G39" s="748"/>
    </row>
    <row r="40" spans="1:7" x14ac:dyDescent="0.2">
      <c r="A40" s="746"/>
      <c r="B40" s="749"/>
      <c r="C40" s="385"/>
      <c r="D40" s="376"/>
      <c r="E40" s="423"/>
      <c r="F40" s="753"/>
      <c r="G40" s="748"/>
    </row>
    <row r="41" spans="1:7" x14ac:dyDescent="0.2">
      <c r="A41" s="746"/>
      <c r="B41" s="749"/>
      <c r="C41" s="385"/>
      <c r="D41" s="383"/>
      <c r="E41" s="407"/>
      <c r="F41" s="406"/>
      <c r="G41" s="748"/>
    </row>
    <row r="42" spans="1:7" ht="13.5" thickBot="1" x14ac:dyDescent="0.25">
      <c r="A42" s="754"/>
      <c r="B42" s="755"/>
      <c r="C42" s="756"/>
      <c r="D42" s="756"/>
      <c r="E42" s="755"/>
      <c r="F42" s="705" t="s">
        <v>15</v>
      </c>
      <c r="G42" s="706">
        <f>SUM(G10:G41)</f>
        <v>1966793.72</v>
      </c>
    </row>
    <row r="43" spans="1:7" ht="13.5" thickTop="1" x14ac:dyDescent="0.2">
      <c r="A43" s="985" t="s">
        <v>1858</v>
      </c>
      <c r="B43" s="980"/>
      <c r="C43" s="980"/>
      <c r="D43" s="980"/>
      <c r="E43" s="980"/>
      <c r="F43" s="980"/>
      <c r="G43" s="981"/>
    </row>
    <row r="44" spans="1:7" ht="13.5" thickBot="1" x14ac:dyDescent="0.25">
      <c r="A44" s="757"/>
      <c r="B44" s="758"/>
      <c r="C44" s="758"/>
      <c r="D44" s="759"/>
      <c r="E44" s="758"/>
      <c r="F44" s="614"/>
      <c r="G44" s="590"/>
    </row>
    <row r="45" spans="1:7" ht="13.5" thickTop="1" x14ac:dyDescent="0.2">
      <c r="A45" s="1038"/>
      <c r="B45" s="1039"/>
      <c r="C45" s="1039"/>
      <c r="D45" s="760" t="s">
        <v>11</v>
      </c>
      <c r="E45" s="1040" t="s">
        <v>12</v>
      </c>
      <c r="F45" s="1040"/>
      <c r="G45" s="1041"/>
    </row>
    <row r="46" spans="1:7" ht="27.75" customHeight="1" x14ac:dyDescent="0.2">
      <c r="A46" s="1031" t="s">
        <v>17</v>
      </c>
      <c r="B46" s="1032"/>
      <c r="C46" s="1032"/>
      <c r="D46" s="761"/>
      <c r="E46" s="1042"/>
      <c r="F46" s="1043"/>
      <c r="G46" s="1044"/>
    </row>
    <row r="47" spans="1:7" x14ac:dyDescent="0.2">
      <c r="A47" s="1031" t="s">
        <v>38</v>
      </c>
      <c r="B47" s="1032"/>
      <c r="C47" s="1032"/>
      <c r="D47" s="710" t="s">
        <v>147</v>
      </c>
      <c r="E47" s="1012" t="s">
        <v>142</v>
      </c>
      <c r="F47" s="1012"/>
      <c r="G47" s="1013"/>
    </row>
    <row r="48" spans="1:7" ht="13.5" thickBot="1" x14ac:dyDescent="0.25">
      <c r="A48" s="1033" t="s">
        <v>39</v>
      </c>
      <c r="B48" s="1034"/>
      <c r="C48" s="1034"/>
      <c r="D48" s="762" t="s">
        <v>148</v>
      </c>
      <c r="E48" s="1035" t="s">
        <v>0</v>
      </c>
      <c r="F48" s="1036"/>
      <c r="G48" s="1037"/>
    </row>
    <row r="49" spans="1:9" ht="16.5" x14ac:dyDescent="0.2">
      <c r="A49" s="997" t="s">
        <v>29</v>
      </c>
      <c r="B49" s="998"/>
      <c r="C49" s="998"/>
      <c r="D49" s="998"/>
      <c r="E49" s="998"/>
      <c r="F49" s="998"/>
      <c r="G49" s="999"/>
      <c r="H49" s="713">
        <v>2</v>
      </c>
    </row>
    <row r="50" spans="1:9" x14ac:dyDescent="0.2">
      <c r="A50" s="1000" t="s">
        <v>48</v>
      </c>
      <c r="B50" s="1001"/>
      <c r="C50" s="1001"/>
      <c r="D50" s="1001"/>
      <c r="E50" s="1001"/>
      <c r="F50" s="1001"/>
      <c r="G50" s="1002"/>
      <c r="H50" s="804" t="s">
        <v>3180</v>
      </c>
      <c r="I50" s="804" t="s">
        <v>3556</v>
      </c>
    </row>
    <row r="51" spans="1:9" x14ac:dyDescent="0.2">
      <c r="A51" s="1045" t="s">
        <v>49</v>
      </c>
      <c r="B51" s="1046"/>
      <c r="C51" s="1046"/>
      <c r="D51" s="1046"/>
      <c r="E51" s="1046"/>
      <c r="F51" s="1046"/>
      <c r="G51" s="1047"/>
    </row>
    <row r="52" spans="1:9" x14ac:dyDescent="0.2">
      <c r="A52" s="732"/>
      <c r="B52" s="733"/>
      <c r="C52" s="734"/>
      <c r="D52" s="735"/>
      <c r="E52" s="733"/>
      <c r="F52" s="736"/>
      <c r="G52" s="737" t="s">
        <v>20</v>
      </c>
    </row>
    <row r="53" spans="1:9" x14ac:dyDescent="0.2">
      <c r="A53" s="738" t="s">
        <v>1</v>
      </c>
      <c r="B53" s="739"/>
      <c r="C53" s="682" t="s">
        <v>7</v>
      </c>
      <c r="D53" s="739"/>
      <c r="E53" s="683" t="s">
        <v>3561</v>
      </c>
      <c r="F53" s="684"/>
      <c r="G53" s="685" t="s">
        <v>3559</v>
      </c>
    </row>
    <row r="54" spans="1:9" x14ac:dyDescent="0.2">
      <c r="A54" s="741" t="s">
        <v>8</v>
      </c>
      <c r="B54" s="648"/>
      <c r="C54" s="688"/>
      <c r="D54" s="731"/>
      <c r="E54" s="1048"/>
      <c r="F54" s="1049"/>
      <c r="G54" s="742"/>
    </row>
    <row r="55" spans="1:9" x14ac:dyDescent="0.2">
      <c r="A55" s="670" t="s">
        <v>37</v>
      </c>
      <c r="B55" s="669"/>
      <c r="C55" s="669"/>
      <c r="D55" s="669"/>
      <c r="E55" s="743" t="s">
        <v>46</v>
      </c>
      <c r="F55" s="744"/>
      <c r="G55" s="742" t="s">
        <v>50</v>
      </c>
    </row>
    <row r="56" spans="1:9" x14ac:dyDescent="0.2">
      <c r="A56" s="732"/>
      <c r="B56" s="733"/>
      <c r="C56" s="734"/>
      <c r="D56" s="734"/>
      <c r="E56" s="1050"/>
      <c r="F56" s="1051"/>
      <c r="G56" s="745"/>
    </row>
    <row r="57" spans="1:9" ht="26.25" customHeight="1" thickBot="1" x14ac:dyDescent="0.25">
      <c r="A57" s="694" t="s">
        <v>47</v>
      </c>
      <c r="B57" s="110" t="s">
        <v>23</v>
      </c>
      <c r="C57" s="110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9" ht="15" customHeight="1" thickTop="1" x14ac:dyDescent="0.2">
      <c r="A58" s="746">
        <v>1</v>
      </c>
      <c r="B58" s="747"/>
      <c r="C58" s="385" t="s">
        <v>2779</v>
      </c>
      <c r="D58" s="376" t="s">
        <v>3205</v>
      </c>
      <c r="E58" s="402">
        <v>1</v>
      </c>
      <c r="F58" s="587">
        <v>6500</v>
      </c>
      <c r="G58" s="748">
        <f>F58*E58</f>
        <v>6500</v>
      </c>
    </row>
    <row r="59" spans="1:9" x14ac:dyDescent="0.2">
      <c r="A59" s="746">
        <v>2</v>
      </c>
      <c r="B59" s="747"/>
      <c r="C59" s="385" t="s">
        <v>177</v>
      </c>
      <c r="D59" s="376" t="s">
        <v>3206</v>
      </c>
      <c r="E59" s="402">
        <v>3</v>
      </c>
      <c r="F59" s="587">
        <v>2500</v>
      </c>
      <c r="G59" s="748">
        <f t="shared" ref="G59:G63" si="1">F59*E59</f>
        <v>7500</v>
      </c>
    </row>
    <row r="60" spans="1:9" x14ac:dyDescent="0.2">
      <c r="A60" s="746">
        <v>3</v>
      </c>
      <c r="B60" s="749"/>
      <c r="C60" s="385" t="s">
        <v>185</v>
      </c>
      <c r="D60" s="370" t="s">
        <v>3207</v>
      </c>
      <c r="E60" s="402">
        <v>1</v>
      </c>
      <c r="F60" s="587">
        <v>2100</v>
      </c>
      <c r="G60" s="748">
        <f t="shared" si="1"/>
        <v>2100</v>
      </c>
    </row>
    <row r="61" spans="1:9" x14ac:dyDescent="0.2">
      <c r="A61" s="746">
        <v>4</v>
      </c>
      <c r="B61" s="749"/>
      <c r="C61" s="385" t="s">
        <v>185</v>
      </c>
      <c r="D61" s="370" t="s">
        <v>3208</v>
      </c>
      <c r="E61" s="402">
        <v>1</v>
      </c>
      <c r="F61" s="587">
        <v>5000</v>
      </c>
      <c r="G61" s="748">
        <f t="shared" si="1"/>
        <v>5000</v>
      </c>
    </row>
    <row r="62" spans="1:9" x14ac:dyDescent="0.2">
      <c r="A62" s="746">
        <v>5</v>
      </c>
      <c r="B62" s="749"/>
      <c r="C62" s="385" t="s">
        <v>185</v>
      </c>
      <c r="D62" s="370" t="s">
        <v>3209</v>
      </c>
      <c r="E62" s="402">
        <v>1</v>
      </c>
      <c r="F62" s="406">
        <v>5500</v>
      </c>
      <c r="G62" s="748">
        <f t="shared" si="1"/>
        <v>5500</v>
      </c>
    </row>
    <row r="63" spans="1:9" x14ac:dyDescent="0.2">
      <c r="A63" s="746">
        <v>6</v>
      </c>
      <c r="B63" s="749"/>
      <c r="C63" s="385" t="s">
        <v>185</v>
      </c>
      <c r="D63" s="370" t="s">
        <v>3210</v>
      </c>
      <c r="E63" s="402">
        <v>1</v>
      </c>
      <c r="F63" s="406">
        <v>1500</v>
      </c>
      <c r="G63" s="748">
        <f t="shared" si="1"/>
        <v>1500</v>
      </c>
    </row>
    <row r="64" spans="1:9" x14ac:dyDescent="0.2">
      <c r="A64" s="746"/>
      <c r="B64" s="749"/>
      <c r="C64" s="385"/>
      <c r="D64" s="370"/>
      <c r="E64" s="402"/>
      <c r="F64" s="406"/>
      <c r="G64" s="748"/>
    </row>
    <row r="65" spans="1:7" x14ac:dyDescent="0.2">
      <c r="A65" s="746"/>
      <c r="B65" s="408"/>
      <c r="C65" s="385"/>
      <c r="D65" s="370"/>
      <c r="E65" s="407"/>
      <c r="F65" s="587"/>
      <c r="G65" s="748"/>
    </row>
    <row r="66" spans="1:7" x14ac:dyDescent="0.2">
      <c r="A66" s="746"/>
      <c r="B66" s="408"/>
      <c r="C66" s="385"/>
      <c r="D66" s="370"/>
      <c r="E66" s="407"/>
      <c r="F66" s="587"/>
      <c r="G66" s="748"/>
    </row>
    <row r="67" spans="1:7" x14ac:dyDescent="0.2">
      <c r="A67" s="746"/>
      <c r="B67" s="408"/>
      <c r="C67" s="385"/>
      <c r="D67" s="376"/>
      <c r="E67" s="407"/>
      <c r="F67" s="587"/>
      <c r="G67" s="748"/>
    </row>
    <row r="68" spans="1:7" x14ac:dyDescent="0.2">
      <c r="A68" s="746"/>
      <c r="B68" s="408"/>
      <c r="C68" s="385"/>
      <c r="D68" s="376"/>
      <c r="E68" s="407"/>
      <c r="F68" s="587"/>
      <c r="G68" s="748"/>
    </row>
    <row r="69" spans="1:7" x14ac:dyDescent="0.2">
      <c r="A69" s="746"/>
      <c r="B69" s="408"/>
      <c r="C69" s="385"/>
      <c r="D69" s="376"/>
      <c r="E69" s="407"/>
      <c r="F69" s="587"/>
      <c r="G69" s="748"/>
    </row>
    <row r="70" spans="1:7" x14ac:dyDescent="0.2">
      <c r="A70" s="746"/>
      <c r="B70" s="408"/>
      <c r="C70" s="385"/>
      <c r="D70" s="376"/>
      <c r="E70" s="407"/>
      <c r="F70" s="587"/>
      <c r="G70" s="748"/>
    </row>
    <row r="71" spans="1:7" x14ac:dyDescent="0.2">
      <c r="A71" s="746"/>
      <c r="B71" s="749"/>
      <c r="C71" s="385"/>
      <c r="D71" s="376"/>
      <c r="E71" s="407"/>
      <c r="F71" s="411"/>
      <c r="G71" s="748"/>
    </row>
    <row r="72" spans="1:7" x14ac:dyDescent="0.2">
      <c r="A72" s="746"/>
      <c r="B72" s="749"/>
      <c r="C72" s="385"/>
      <c r="D72" s="376"/>
      <c r="E72" s="407"/>
      <c r="F72" s="411"/>
      <c r="G72" s="748"/>
    </row>
    <row r="73" spans="1:7" x14ac:dyDescent="0.2">
      <c r="A73" s="746"/>
      <c r="B73" s="413"/>
      <c r="C73" s="385"/>
      <c r="D73" s="383"/>
      <c r="E73" s="750"/>
      <c r="F73" s="587"/>
      <c r="G73" s="748"/>
    </row>
    <row r="74" spans="1:7" x14ac:dyDescent="0.2">
      <c r="A74" s="746"/>
      <c r="B74" s="413"/>
      <c r="C74" s="385"/>
      <c r="D74" s="383"/>
      <c r="E74" s="750"/>
      <c r="F74" s="587"/>
      <c r="G74" s="748"/>
    </row>
    <row r="75" spans="1:7" x14ac:dyDescent="0.2">
      <c r="A75" s="746"/>
      <c r="B75" s="413"/>
      <c r="C75" s="385"/>
      <c r="D75" s="376"/>
      <c r="E75" s="423"/>
      <c r="F75" s="587"/>
      <c r="G75" s="748"/>
    </row>
    <row r="76" spans="1:7" x14ac:dyDescent="0.2">
      <c r="A76" s="746"/>
      <c r="B76" s="408"/>
      <c r="C76" s="385"/>
      <c r="D76" s="376"/>
      <c r="E76" s="423"/>
      <c r="F76" s="587"/>
      <c r="G76" s="748"/>
    </row>
    <row r="77" spans="1:7" x14ac:dyDescent="0.2">
      <c r="A77" s="746"/>
      <c r="B77" s="751"/>
      <c r="C77" s="385"/>
      <c r="D77" s="376"/>
      <c r="E77" s="407"/>
      <c r="F77" s="415"/>
      <c r="G77" s="748"/>
    </row>
    <row r="78" spans="1:7" x14ac:dyDescent="0.2">
      <c r="A78" s="746"/>
      <c r="B78" s="751"/>
      <c r="C78" s="385"/>
      <c r="D78" s="376"/>
      <c r="E78" s="407"/>
      <c r="F78" s="415"/>
      <c r="G78" s="748"/>
    </row>
    <row r="79" spans="1:7" x14ac:dyDescent="0.2">
      <c r="A79" s="746"/>
      <c r="B79" s="749"/>
      <c r="C79" s="385"/>
      <c r="D79" s="376"/>
      <c r="E79" s="407"/>
      <c r="F79" s="587"/>
      <c r="G79" s="748"/>
    </row>
    <row r="80" spans="1:7" x14ac:dyDescent="0.2">
      <c r="A80" s="746"/>
      <c r="B80" s="749"/>
      <c r="C80" s="385"/>
      <c r="D80" s="376"/>
      <c r="E80" s="407"/>
      <c r="F80" s="587"/>
      <c r="G80" s="748"/>
    </row>
    <row r="81" spans="1:7" x14ac:dyDescent="0.2">
      <c r="A81" s="746"/>
      <c r="B81" s="413"/>
      <c r="C81" s="385"/>
      <c r="D81" s="376"/>
      <c r="E81" s="423"/>
      <c r="F81" s="752"/>
      <c r="G81" s="748"/>
    </row>
    <row r="82" spans="1:7" x14ac:dyDescent="0.2">
      <c r="A82" s="746"/>
      <c r="B82" s="408"/>
      <c r="C82" s="385"/>
      <c r="D82" s="383"/>
      <c r="E82" s="423"/>
      <c r="F82" s="752"/>
      <c r="G82" s="748"/>
    </row>
    <row r="83" spans="1:7" x14ac:dyDescent="0.2">
      <c r="A83" s="746"/>
      <c r="B83" s="408"/>
      <c r="C83" s="385"/>
      <c r="D83" s="376"/>
      <c r="E83" s="423"/>
      <c r="F83" s="752"/>
      <c r="G83" s="748"/>
    </row>
    <row r="84" spans="1:7" x14ac:dyDescent="0.2">
      <c r="A84" s="746"/>
      <c r="B84" s="749"/>
      <c r="C84" s="385"/>
      <c r="D84" s="376"/>
      <c r="E84" s="423"/>
      <c r="F84" s="752"/>
      <c r="G84" s="748"/>
    </row>
    <row r="85" spans="1:7" x14ac:dyDescent="0.2">
      <c r="A85" s="746"/>
      <c r="B85" s="749"/>
      <c r="C85" s="385"/>
      <c r="D85" s="421"/>
      <c r="E85" s="423"/>
      <c r="F85" s="752"/>
      <c r="G85" s="748"/>
    </row>
    <row r="86" spans="1:7" x14ac:dyDescent="0.2">
      <c r="A86" s="746"/>
      <c r="B86" s="749"/>
      <c r="C86" s="385"/>
      <c r="D86" s="421"/>
      <c r="E86" s="423"/>
      <c r="F86" s="752"/>
      <c r="G86" s="748"/>
    </row>
    <row r="87" spans="1:7" x14ac:dyDescent="0.2">
      <c r="A87" s="746"/>
      <c r="B87" s="749"/>
      <c r="C87" s="385"/>
      <c r="D87" s="376"/>
      <c r="E87" s="407"/>
      <c r="F87" s="587"/>
      <c r="G87" s="748"/>
    </row>
    <row r="88" spans="1:7" x14ac:dyDescent="0.2">
      <c r="A88" s="746"/>
      <c r="B88" s="749"/>
      <c r="C88" s="385"/>
      <c r="D88" s="376"/>
      <c r="E88" s="423"/>
      <c r="F88" s="753"/>
      <c r="G88" s="748"/>
    </row>
    <row r="89" spans="1:7" x14ac:dyDescent="0.2">
      <c r="A89" s="746"/>
      <c r="B89" s="749"/>
      <c r="C89" s="385"/>
      <c r="D89" s="383"/>
      <c r="E89" s="407"/>
      <c r="F89" s="406"/>
      <c r="G89" s="748"/>
    </row>
    <row r="90" spans="1:7" ht="13.5" thickBot="1" x14ac:dyDescent="0.25">
      <c r="A90" s="754"/>
      <c r="B90" s="755"/>
      <c r="C90" s="756"/>
      <c r="D90" s="756"/>
      <c r="E90" s="755"/>
      <c r="F90" s="705" t="s">
        <v>15</v>
      </c>
      <c r="G90" s="706">
        <f>SUM(G58:G89)</f>
        <v>28100</v>
      </c>
    </row>
    <row r="91" spans="1:7" ht="13.5" thickTop="1" x14ac:dyDescent="0.2">
      <c r="A91" s="985" t="s">
        <v>1858</v>
      </c>
      <c r="B91" s="980"/>
      <c r="C91" s="980"/>
      <c r="D91" s="980"/>
      <c r="E91" s="980"/>
      <c r="F91" s="980"/>
      <c r="G91" s="981"/>
    </row>
    <row r="92" spans="1:7" ht="13.5" thickBot="1" x14ac:dyDescent="0.25">
      <c r="A92" s="757"/>
      <c r="B92" s="758"/>
      <c r="C92" s="758"/>
      <c r="D92" s="759"/>
      <c r="E92" s="758"/>
      <c r="F92" s="614"/>
      <c r="G92" s="590"/>
    </row>
    <row r="93" spans="1:7" ht="13.5" thickTop="1" x14ac:dyDescent="0.2">
      <c r="A93" s="1038"/>
      <c r="B93" s="1039"/>
      <c r="C93" s="1039"/>
      <c r="D93" s="760" t="s">
        <v>11</v>
      </c>
      <c r="E93" s="1040" t="s">
        <v>12</v>
      </c>
      <c r="F93" s="1040"/>
      <c r="G93" s="1041"/>
    </row>
    <row r="94" spans="1:7" ht="27.75" customHeight="1" x14ac:dyDescent="0.2">
      <c r="A94" s="1031" t="s">
        <v>17</v>
      </c>
      <c r="B94" s="1032"/>
      <c r="C94" s="1032"/>
      <c r="D94" s="761"/>
      <c r="E94" s="1042"/>
      <c r="F94" s="1043"/>
      <c r="G94" s="1044"/>
    </row>
    <row r="95" spans="1:7" x14ac:dyDescent="0.2">
      <c r="A95" s="1031" t="s">
        <v>38</v>
      </c>
      <c r="B95" s="1032"/>
      <c r="C95" s="1032"/>
      <c r="D95" s="710" t="s">
        <v>147</v>
      </c>
      <c r="E95" s="1012" t="s">
        <v>142</v>
      </c>
      <c r="F95" s="1012"/>
      <c r="G95" s="1013"/>
    </row>
    <row r="96" spans="1:7" ht="13.5" thickBot="1" x14ac:dyDescent="0.25">
      <c r="A96" s="1033" t="s">
        <v>39</v>
      </c>
      <c r="B96" s="1034"/>
      <c r="C96" s="1034"/>
      <c r="D96" s="762" t="s">
        <v>148</v>
      </c>
      <c r="E96" s="1035" t="s">
        <v>0</v>
      </c>
      <c r="F96" s="1036"/>
      <c r="G96" s="1037"/>
    </row>
  </sheetData>
  <mergeCells count="28"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  <mergeCell ref="A49:G49"/>
    <mergeCell ref="A50:G50"/>
    <mergeCell ref="A51:G51"/>
    <mergeCell ref="E54:F54"/>
    <mergeCell ref="E56:F56"/>
    <mergeCell ref="A1:G1"/>
    <mergeCell ref="A2:G2"/>
    <mergeCell ref="A3:G3"/>
    <mergeCell ref="E6:F6"/>
    <mergeCell ref="E8:F8"/>
    <mergeCell ref="A47:C47"/>
    <mergeCell ref="E47:G47"/>
    <mergeCell ref="A48:C48"/>
    <mergeCell ref="E48:G48"/>
    <mergeCell ref="A43:G43"/>
    <mergeCell ref="A45:C45"/>
    <mergeCell ref="E45:G45"/>
    <mergeCell ref="A46:C46"/>
    <mergeCell ref="E46:G46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47"/>
  <sheetViews>
    <sheetView topLeftCell="A93" zoomScale="110" zoomScaleNormal="110" workbookViewId="0">
      <selection activeCell="D116" sqref="D116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" style="250" customWidth="1"/>
    <col min="5" max="5" width="9.28515625" style="711" customWidth="1"/>
    <col min="6" max="6" width="12.140625" style="712" customWidth="1"/>
    <col min="7" max="7" width="15.28515625" style="250" customWidth="1"/>
    <col min="8" max="8" width="10.28515625" style="250" bestFit="1" customWidth="1"/>
    <col min="9" max="10" width="9.140625" style="250"/>
    <col min="11" max="12" width="9.28515625" style="250" bestFit="1" customWidth="1"/>
    <col min="13" max="13" width="11.28515625" style="250" customWidth="1"/>
    <col min="14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3066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804" t="s">
        <v>3180</v>
      </c>
    </row>
    <row r="4" spans="1:8" x14ac:dyDescent="0.2">
      <c r="A4" s="674"/>
      <c r="B4" s="675"/>
      <c r="C4" s="676"/>
      <c r="D4" s="677"/>
      <c r="E4" s="675"/>
      <c r="F4" s="678"/>
      <c r="G4" s="679" t="s">
        <v>20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3190</v>
      </c>
      <c r="F5" s="684"/>
      <c r="G5" s="685" t="s">
        <v>3177</v>
      </c>
    </row>
    <row r="6" spans="1:8" x14ac:dyDescent="0.2">
      <c r="A6" s="690"/>
      <c r="B6" s="261"/>
      <c r="C6" s="682"/>
      <c r="D6" s="261"/>
      <c r="E6" s="743"/>
      <c r="F6" s="763"/>
      <c r="G6" s="742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746">
        <v>1</v>
      </c>
      <c r="B10" s="749"/>
      <c r="C10" s="135" t="s">
        <v>2771</v>
      </c>
      <c r="D10" s="259" t="s">
        <v>2881</v>
      </c>
      <c r="E10" s="402">
        <v>100</v>
      </c>
      <c r="F10" s="764">
        <v>520</v>
      </c>
      <c r="G10" s="697">
        <f>F10*E10</f>
        <v>52000</v>
      </c>
    </row>
    <row r="11" spans="1:8" x14ac:dyDescent="0.2">
      <c r="A11" s="746"/>
      <c r="B11" s="749"/>
      <c r="C11" s="135"/>
      <c r="D11" s="259"/>
      <c r="E11" s="402"/>
      <c r="F11" s="764"/>
      <c r="G11" s="697"/>
    </row>
    <row r="12" spans="1:8" x14ac:dyDescent="0.2">
      <c r="A12" s="746"/>
      <c r="B12" s="749"/>
      <c r="C12" s="719"/>
      <c r="D12" s="259"/>
      <c r="E12" s="541"/>
      <c r="F12" s="764"/>
      <c r="G12" s="697"/>
    </row>
    <row r="13" spans="1:8" x14ac:dyDescent="0.2">
      <c r="A13" s="746"/>
      <c r="B13" s="749"/>
      <c r="C13" s="135"/>
      <c r="D13" s="259"/>
      <c r="E13" s="407"/>
      <c r="F13" s="764"/>
      <c r="G13" s="697"/>
    </row>
    <row r="14" spans="1:8" x14ac:dyDescent="0.2">
      <c r="A14" s="746"/>
      <c r="B14" s="408"/>
      <c r="C14" s="135"/>
      <c r="D14" s="259"/>
      <c r="E14" s="407"/>
      <c r="F14" s="764"/>
      <c r="G14" s="697"/>
    </row>
    <row r="15" spans="1:8" x14ac:dyDescent="0.2">
      <c r="A15" s="695"/>
      <c r="B15" s="105"/>
      <c r="C15" s="765"/>
      <c r="D15" s="766"/>
      <c r="E15" s="331"/>
      <c r="F15" s="764"/>
      <c r="G15" s="697"/>
    </row>
    <row r="16" spans="1:8" x14ac:dyDescent="0.2">
      <c r="A16" s="695"/>
      <c r="B16" s="105"/>
      <c r="C16" s="765"/>
      <c r="D16" s="766"/>
      <c r="E16" s="329"/>
      <c r="F16" s="764"/>
      <c r="G16" s="697"/>
    </row>
    <row r="17" spans="1:7" x14ac:dyDescent="0.2">
      <c r="A17" s="695"/>
      <c r="B17" s="105"/>
      <c r="C17" s="765"/>
      <c r="D17" s="766"/>
      <c r="E17" s="331"/>
      <c r="F17" s="767"/>
      <c r="G17" s="697"/>
    </row>
    <row r="18" spans="1:7" x14ac:dyDescent="0.2">
      <c r="A18" s="695"/>
      <c r="B18" s="698"/>
      <c r="C18" s="765"/>
      <c r="D18" s="766"/>
      <c r="E18" s="331"/>
      <c r="F18" s="764"/>
      <c r="G18" s="697"/>
    </row>
    <row r="19" spans="1:7" x14ac:dyDescent="0.2">
      <c r="A19" s="695"/>
      <c r="B19" s="106"/>
      <c r="C19" s="765"/>
      <c r="D19" s="766"/>
      <c r="E19" s="331"/>
      <c r="F19" s="764"/>
      <c r="G19" s="697"/>
    </row>
    <row r="20" spans="1:7" x14ac:dyDescent="0.2">
      <c r="A20" s="695"/>
      <c r="B20" s="105"/>
      <c r="C20" s="765"/>
      <c r="D20" s="766"/>
      <c r="E20" s="331"/>
      <c r="F20" s="764"/>
      <c r="G20" s="697"/>
    </row>
    <row r="21" spans="1:7" x14ac:dyDescent="0.2">
      <c r="A21" s="695"/>
      <c r="B21" s="700"/>
      <c r="C21" s="765"/>
      <c r="D21" s="766"/>
      <c r="E21" s="331"/>
      <c r="F21" s="764"/>
      <c r="G21" s="697"/>
    </row>
    <row r="22" spans="1:7" x14ac:dyDescent="0.2">
      <c r="A22" s="695"/>
      <c r="B22" s="700"/>
      <c r="C22" s="765"/>
      <c r="D22" s="766"/>
      <c r="E22" s="331"/>
      <c r="F22" s="764"/>
      <c r="G22" s="697"/>
    </row>
    <row r="23" spans="1:7" x14ac:dyDescent="0.2">
      <c r="A23" s="695"/>
      <c r="B23" s="700"/>
      <c r="C23" s="765"/>
      <c r="D23" s="766"/>
      <c r="E23" s="331"/>
      <c r="F23" s="764"/>
      <c r="G23" s="697"/>
    </row>
    <row r="24" spans="1:7" x14ac:dyDescent="0.2">
      <c r="A24" s="695"/>
      <c r="B24" s="698"/>
      <c r="C24" s="765"/>
      <c r="D24" s="766"/>
      <c r="E24" s="331"/>
      <c r="F24" s="764"/>
      <c r="G24" s="697"/>
    </row>
    <row r="25" spans="1:7" x14ac:dyDescent="0.2">
      <c r="A25" s="695"/>
      <c r="B25" s="698"/>
      <c r="C25" s="765"/>
      <c r="D25" s="766"/>
      <c r="E25" s="331"/>
      <c r="F25" s="764"/>
      <c r="G25" s="697"/>
    </row>
    <row r="26" spans="1:7" x14ac:dyDescent="0.2">
      <c r="A26" s="695"/>
      <c r="B26" s="106"/>
      <c r="C26" s="765"/>
      <c r="D26" s="766"/>
      <c r="E26" s="331"/>
      <c r="F26" s="768"/>
      <c r="G26" s="697"/>
    </row>
    <row r="27" spans="1:7" x14ac:dyDescent="0.2">
      <c r="A27" s="695"/>
      <c r="B27" s="105"/>
      <c r="C27" s="765"/>
      <c r="D27" s="766"/>
      <c r="E27" s="331"/>
      <c r="F27" s="768"/>
      <c r="G27" s="697"/>
    </row>
    <row r="28" spans="1:7" x14ac:dyDescent="0.2">
      <c r="A28" s="695"/>
      <c r="B28" s="105"/>
      <c r="C28" s="769"/>
      <c r="D28" s="766"/>
      <c r="E28" s="331"/>
      <c r="F28" s="768"/>
      <c r="G28" s="697"/>
    </row>
    <row r="29" spans="1:7" x14ac:dyDescent="0.2">
      <c r="A29" s="695"/>
      <c r="B29" s="105"/>
      <c r="C29" s="769"/>
      <c r="D29" s="766" t="s">
        <v>152</v>
      </c>
      <c r="E29" s="331"/>
      <c r="F29" s="768"/>
      <c r="G29" s="697"/>
    </row>
    <row r="30" spans="1:7" x14ac:dyDescent="0.2">
      <c r="A30" s="695"/>
      <c r="B30" s="105"/>
      <c r="C30" s="769"/>
      <c r="D30" s="766"/>
      <c r="E30" s="331"/>
      <c r="F30" s="768"/>
      <c r="G30" s="697"/>
    </row>
    <row r="31" spans="1:7" x14ac:dyDescent="0.2">
      <c r="A31" s="695"/>
      <c r="B31" s="105"/>
      <c r="C31" s="769"/>
      <c r="D31" s="766"/>
      <c r="E31" s="331"/>
      <c r="F31" s="768"/>
      <c r="G31" s="697"/>
    </row>
    <row r="32" spans="1:7" x14ac:dyDescent="0.2">
      <c r="A32" s="695"/>
      <c r="B32" s="698"/>
      <c r="C32" s="769"/>
      <c r="D32" s="766"/>
      <c r="E32" s="331"/>
      <c r="F32" s="768"/>
      <c r="G32" s="697"/>
    </row>
    <row r="33" spans="1:7" x14ac:dyDescent="0.2">
      <c r="A33" s="695"/>
      <c r="B33" s="698"/>
      <c r="C33" s="119"/>
      <c r="D33" s="136"/>
      <c r="E33" s="131"/>
      <c r="F33" s="717"/>
      <c r="G33" s="697"/>
    </row>
    <row r="34" spans="1:7" x14ac:dyDescent="0.2">
      <c r="A34" s="695"/>
      <c r="B34" s="698"/>
      <c r="C34" s="119"/>
      <c r="D34" s="136"/>
      <c r="E34" s="131"/>
      <c r="F34" s="717"/>
      <c r="G34" s="697"/>
    </row>
    <row r="35" spans="1:7" x14ac:dyDescent="0.2">
      <c r="A35" s="695"/>
      <c r="B35" s="698"/>
      <c r="C35" s="119"/>
      <c r="D35" s="136"/>
      <c r="E35" s="131"/>
      <c r="F35" s="717"/>
      <c r="G35" s="697"/>
    </row>
    <row r="36" spans="1:7" x14ac:dyDescent="0.2">
      <c r="A36" s="695"/>
      <c r="B36" s="698"/>
      <c r="C36" s="119"/>
      <c r="D36" s="136"/>
      <c r="E36" s="131"/>
      <c r="F36" s="717"/>
      <c r="G36" s="697"/>
    </row>
    <row r="37" spans="1:7" x14ac:dyDescent="0.2">
      <c r="A37" s="695"/>
      <c r="B37" s="698"/>
      <c r="C37" s="119"/>
      <c r="D37" s="144"/>
      <c r="E37" s="131"/>
      <c r="F37" s="717"/>
      <c r="G37" s="697"/>
    </row>
    <row r="38" spans="1:7" x14ac:dyDescent="0.2">
      <c r="A38" s="695"/>
      <c r="B38" s="698"/>
      <c r="C38" s="119"/>
      <c r="D38" s="144"/>
      <c r="E38" s="108"/>
      <c r="F38" s="163"/>
      <c r="G38" s="697"/>
    </row>
    <row r="39" spans="1:7" x14ac:dyDescent="0.2">
      <c r="A39" s="695"/>
      <c r="B39" s="698"/>
      <c r="C39" s="119"/>
      <c r="D39" s="136"/>
      <c r="E39" s="131"/>
      <c r="F39" s="718"/>
      <c r="G39" s="697"/>
    </row>
    <row r="40" spans="1:7" x14ac:dyDescent="0.2">
      <c r="A40" s="695"/>
      <c r="B40" s="698"/>
      <c r="C40" s="119"/>
      <c r="D40" s="144"/>
      <c r="E40" s="108"/>
      <c r="F40" s="149"/>
      <c r="G40" s="697"/>
    </row>
    <row r="41" spans="1:7" x14ac:dyDescent="0.2">
      <c r="A41" s="695"/>
      <c r="B41" s="698"/>
      <c r="C41" s="119"/>
      <c r="D41" s="144"/>
      <c r="E41" s="108"/>
      <c r="F41" s="149"/>
      <c r="G41" s="697"/>
    </row>
    <row r="42" spans="1:7" x14ac:dyDescent="0.2">
      <c r="A42" s="695"/>
      <c r="B42" s="698"/>
      <c r="C42" s="119"/>
      <c r="D42" s="144"/>
      <c r="E42" s="108"/>
      <c r="F42" s="149"/>
      <c r="G42" s="697"/>
    </row>
    <row r="43" spans="1:7" ht="13.5" thickBot="1" x14ac:dyDescent="0.25">
      <c r="A43" s="702"/>
      <c r="B43" s="703"/>
      <c r="C43" s="704"/>
      <c r="D43" s="704"/>
      <c r="E43" s="703"/>
      <c r="F43" s="705" t="s">
        <v>15</v>
      </c>
      <c r="G43" s="706">
        <f>SUM(G10:G42)</f>
        <v>52000</v>
      </c>
    </row>
    <row r="44" spans="1:7" ht="13.5" thickTop="1" x14ac:dyDescent="0.2">
      <c r="A44" s="985" t="s">
        <v>882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8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8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8" x14ac:dyDescent="0.2">
      <c r="A51" s="1000" t="s">
        <v>48</v>
      </c>
      <c r="B51" s="1001"/>
      <c r="C51" s="1001"/>
      <c r="D51" s="1001"/>
      <c r="E51" s="1001"/>
      <c r="F51" s="1001"/>
      <c r="G51" s="1002"/>
      <c r="H51" s="804" t="s">
        <v>3066</v>
      </c>
    </row>
    <row r="52" spans="1:8" x14ac:dyDescent="0.2">
      <c r="A52" s="1003" t="s">
        <v>49</v>
      </c>
      <c r="B52" s="1004"/>
      <c r="C52" s="1004"/>
      <c r="D52" s="1004"/>
      <c r="E52" s="1004"/>
      <c r="F52" s="1004"/>
      <c r="G52" s="1005"/>
      <c r="H52" s="804" t="s">
        <v>3180</v>
      </c>
    </row>
    <row r="53" spans="1:8" x14ac:dyDescent="0.2">
      <c r="A53" s="674"/>
      <c r="B53" s="675"/>
      <c r="C53" s="676"/>
      <c r="D53" s="677"/>
      <c r="E53" s="675"/>
      <c r="F53" s="678"/>
      <c r="G53" s="679" t="s">
        <v>20</v>
      </c>
    </row>
    <row r="54" spans="1:8" x14ac:dyDescent="0.2">
      <c r="A54" s="680" t="s">
        <v>1</v>
      </c>
      <c r="B54" s="681"/>
      <c r="C54" s="682" t="s">
        <v>7</v>
      </c>
      <c r="D54" s="681"/>
      <c r="E54" s="683" t="s">
        <v>3189</v>
      </c>
      <c r="F54" s="684"/>
      <c r="G54" s="685" t="s">
        <v>3177</v>
      </c>
    </row>
    <row r="55" spans="1:8" x14ac:dyDescent="0.2">
      <c r="A55" s="690"/>
      <c r="B55" s="261"/>
      <c r="C55" s="682"/>
      <c r="D55" s="261"/>
      <c r="E55" s="743"/>
      <c r="F55" s="763"/>
      <c r="G55" s="742"/>
    </row>
    <row r="56" spans="1:8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50</v>
      </c>
    </row>
    <row r="57" spans="1:8" x14ac:dyDescent="0.2">
      <c r="A57" s="674"/>
      <c r="B57" s="675"/>
      <c r="C57" s="676"/>
      <c r="D57" s="676"/>
      <c r="E57" s="1008"/>
      <c r="F57" s="1009"/>
      <c r="G57" s="693"/>
    </row>
    <row r="58" spans="1:8" ht="26.25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8" ht="13.5" thickTop="1" x14ac:dyDescent="0.2">
      <c r="A59" s="746"/>
      <c r="B59" s="749"/>
      <c r="C59" s="135"/>
      <c r="D59" s="259" t="s">
        <v>3068</v>
      </c>
      <c r="E59" s="402"/>
      <c r="F59" s="764"/>
      <c r="G59" s="697"/>
    </row>
    <row r="60" spans="1:8" x14ac:dyDescent="0.2">
      <c r="A60" s="746"/>
      <c r="B60" s="749"/>
      <c r="C60" s="135"/>
      <c r="D60" s="259" t="s">
        <v>3111</v>
      </c>
      <c r="E60" s="402"/>
      <c r="F60" s="764"/>
      <c r="G60" s="697"/>
    </row>
    <row r="61" spans="1:8" x14ac:dyDescent="0.2">
      <c r="A61" s="746">
        <v>1</v>
      </c>
      <c r="B61" s="749"/>
      <c r="C61" s="719" t="s">
        <v>2779</v>
      </c>
      <c r="D61" s="259" t="s">
        <v>3112</v>
      </c>
      <c r="E61" s="541">
        <v>1</v>
      </c>
      <c r="F61" s="764">
        <v>19046</v>
      </c>
      <c r="G61" s="697">
        <f t="shared" ref="G61:G72" si="0">F61*E61</f>
        <v>19046</v>
      </c>
    </row>
    <row r="62" spans="1:8" x14ac:dyDescent="0.2">
      <c r="A62" s="746">
        <v>2</v>
      </c>
      <c r="B62" s="749"/>
      <c r="C62" s="135" t="s">
        <v>2779</v>
      </c>
      <c r="D62" s="259" t="s">
        <v>3113</v>
      </c>
      <c r="E62" s="407">
        <v>1</v>
      </c>
      <c r="F62" s="764">
        <v>30696</v>
      </c>
      <c r="G62" s="697">
        <f t="shared" si="0"/>
        <v>30696</v>
      </c>
    </row>
    <row r="63" spans="1:8" x14ac:dyDescent="0.2">
      <c r="A63" s="746">
        <v>3</v>
      </c>
      <c r="B63" s="408"/>
      <c r="C63" s="135" t="s">
        <v>2779</v>
      </c>
      <c r="D63" s="259" t="s">
        <v>3114</v>
      </c>
      <c r="E63" s="407">
        <v>1</v>
      </c>
      <c r="F63" s="764">
        <v>14252</v>
      </c>
      <c r="G63" s="697">
        <f t="shared" si="0"/>
        <v>14252</v>
      </c>
    </row>
    <row r="64" spans="1:8" x14ac:dyDescent="0.2">
      <c r="A64" s="746">
        <v>4</v>
      </c>
      <c r="B64" s="105"/>
      <c r="C64" s="765" t="s">
        <v>2779</v>
      </c>
      <c r="D64" s="766" t="s">
        <v>3115</v>
      </c>
      <c r="E64" s="331">
        <v>1</v>
      </c>
      <c r="F64" s="764">
        <v>18705</v>
      </c>
      <c r="G64" s="697">
        <f t="shared" si="0"/>
        <v>18705</v>
      </c>
    </row>
    <row r="65" spans="1:7" x14ac:dyDescent="0.2">
      <c r="A65" s="746">
        <v>5</v>
      </c>
      <c r="B65" s="105"/>
      <c r="C65" s="765" t="s">
        <v>2779</v>
      </c>
      <c r="D65" s="766" t="s">
        <v>3116</v>
      </c>
      <c r="E65" s="329">
        <v>1</v>
      </c>
      <c r="F65" s="764">
        <v>18755</v>
      </c>
      <c r="G65" s="697">
        <f t="shared" si="0"/>
        <v>18755</v>
      </c>
    </row>
    <row r="66" spans="1:7" x14ac:dyDescent="0.2">
      <c r="A66" s="746">
        <v>6</v>
      </c>
      <c r="B66" s="105"/>
      <c r="C66" s="765" t="s">
        <v>2779</v>
      </c>
      <c r="D66" s="766" t="s">
        <v>3117</v>
      </c>
      <c r="E66" s="331">
        <v>1</v>
      </c>
      <c r="F66" s="767">
        <v>26000</v>
      </c>
      <c r="G66" s="697">
        <f t="shared" si="0"/>
        <v>26000</v>
      </c>
    </row>
    <row r="67" spans="1:7" x14ac:dyDescent="0.2">
      <c r="A67" s="746">
        <v>7</v>
      </c>
      <c r="B67" s="698"/>
      <c r="C67" s="765" t="s">
        <v>2779</v>
      </c>
      <c r="D67" s="766" t="s">
        <v>3118</v>
      </c>
      <c r="E67" s="331">
        <v>1</v>
      </c>
      <c r="F67" s="764">
        <v>14309</v>
      </c>
      <c r="G67" s="697">
        <f t="shared" si="0"/>
        <v>14309</v>
      </c>
    </row>
    <row r="68" spans="1:7" x14ac:dyDescent="0.2">
      <c r="A68" s="746">
        <v>8</v>
      </c>
      <c r="B68" s="106"/>
      <c r="C68" s="765" t="s">
        <v>2779</v>
      </c>
      <c r="D68" s="766" t="s">
        <v>3119</v>
      </c>
      <c r="E68" s="331">
        <v>1</v>
      </c>
      <c r="F68" s="764">
        <v>14005</v>
      </c>
      <c r="G68" s="697">
        <f t="shared" si="0"/>
        <v>14005</v>
      </c>
    </row>
    <row r="69" spans="1:7" x14ac:dyDescent="0.2">
      <c r="A69" s="746">
        <v>9</v>
      </c>
      <c r="B69" s="105"/>
      <c r="C69" s="765" t="s">
        <v>2779</v>
      </c>
      <c r="D69" s="766" t="s">
        <v>3120</v>
      </c>
      <c r="E69" s="331">
        <v>1</v>
      </c>
      <c r="F69" s="764">
        <v>20790</v>
      </c>
      <c r="G69" s="697">
        <f t="shared" si="0"/>
        <v>20790</v>
      </c>
    </row>
    <row r="70" spans="1:7" x14ac:dyDescent="0.2">
      <c r="A70" s="746">
        <v>10</v>
      </c>
      <c r="B70" s="700"/>
      <c r="C70" s="765" t="s">
        <v>2779</v>
      </c>
      <c r="D70" s="766" t="s">
        <v>3121</v>
      </c>
      <c r="E70" s="331">
        <v>1</v>
      </c>
      <c r="F70" s="764">
        <v>63250</v>
      </c>
      <c r="G70" s="697">
        <f t="shared" si="0"/>
        <v>63250</v>
      </c>
    </row>
    <row r="71" spans="1:7" x14ac:dyDescent="0.2">
      <c r="A71" s="746">
        <v>11</v>
      </c>
      <c r="B71" s="700"/>
      <c r="C71" s="765" t="s">
        <v>2779</v>
      </c>
      <c r="D71" s="766" t="s">
        <v>3122</v>
      </c>
      <c r="E71" s="331">
        <v>1</v>
      </c>
      <c r="F71" s="764">
        <v>71300</v>
      </c>
      <c r="G71" s="697">
        <f t="shared" si="0"/>
        <v>71300</v>
      </c>
    </row>
    <row r="72" spans="1:7" x14ac:dyDescent="0.2">
      <c r="A72" s="746">
        <v>12</v>
      </c>
      <c r="B72" s="700"/>
      <c r="C72" s="765" t="s">
        <v>2779</v>
      </c>
      <c r="D72" s="766" t="s">
        <v>3123</v>
      </c>
      <c r="E72" s="331">
        <v>1</v>
      </c>
      <c r="F72" s="764">
        <v>86250</v>
      </c>
      <c r="G72" s="697">
        <f t="shared" si="0"/>
        <v>86250</v>
      </c>
    </row>
    <row r="73" spans="1:7" x14ac:dyDescent="0.2">
      <c r="A73" s="695"/>
      <c r="B73" s="698"/>
      <c r="C73" s="765"/>
      <c r="D73" s="766"/>
      <c r="E73" s="331"/>
      <c r="F73" s="764"/>
      <c r="G73" s="697"/>
    </row>
    <row r="74" spans="1:7" x14ac:dyDescent="0.2">
      <c r="A74" s="695"/>
      <c r="B74" s="698"/>
      <c r="C74" s="765"/>
      <c r="D74" s="766"/>
      <c r="E74" s="331"/>
      <c r="F74" s="764"/>
      <c r="G74" s="697"/>
    </row>
    <row r="75" spans="1:7" x14ac:dyDescent="0.2">
      <c r="A75" s="695"/>
      <c r="B75" s="106"/>
      <c r="C75" s="765"/>
      <c r="D75" s="766"/>
      <c r="E75" s="331"/>
      <c r="F75" s="768"/>
      <c r="G75" s="697"/>
    </row>
    <row r="76" spans="1:7" x14ac:dyDescent="0.2">
      <c r="A76" s="695"/>
      <c r="B76" s="105"/>
      <c r="C76" s="765"/>
      <c r="D76" s="766"/>
      <c r="E76" s="331"/>
      <c r="F76" s="768"/>
      <c r="G76" s="697"/>
    </row>
    <row r="77" spans="1:7" x14ac:dyDescent="0.2">
      <c r="A77" s="695"/>
      <c r="B77" s="105"/>
      <c r="C77" s="769"/>
      <c r="D77" s="766"/>
      <c r="E77" s="331"/>
      <c r="F77" s="768"/>
      <c r="G77" s="697"/>
    </row>
    <row r="78" spans="1:7" x14ac:dyDescent="0.2">
      <c r="A78" s="695"/>
      <c r="B78" s="105"/>
      <c r="C78" s="769"/>
      <c r="D78" s="766" t="s">
        <v>152</v>
      </c>
      <c r="E78" s="331"/>
      <c r="F78" s="768"/>
      <c r="G78" s="697"/>
    </row>
    <row r="79" spans="1:7" x14ac:dyDescent="0.2">
      <c r="A79" s="695"/>
      <c r="B79" s="105"/>
      <c r="C79" s="769"/>
      <c r="D79" s="766"/>
      <c r="E79" s="331"/>
      <c r="F79" s="768"/>
      <c r="G79" s="697"/>
    </row>
    <row r="80" spans="1:7" x14ac:dyDescent="0.2">
      <c r="A80" s="695"/>
      <c r="B80" s="105"/>
      <c r="C80" s="769"/>
      <c r="D80" s="766"/>
      <c r="E80" s="331"/>
      <c r="F80" s="768"/>
      <c r="G80" s="697"/>
    </row>
    <row r="81" spans="1:7" x14ac:dyDescent="0.2">
      <c r="A81" s="695"/>
      <c r="B81" s="698"/>
      <c r="C81" s="769"/>
      <c r="D81" s="766"/>
      <c r="E81" s="331"/>
      <c r="F81" s="768"/>
      <c r="G81" s="697"/>
    </row>
    <row r="82" spans="1:7" x14ac:dyDescent="0.2">
      <c r="A82" s="695"/>
      <c r="B82" s="698"/>
      <c r="C82" s="119"/>
      <c r="D82" s="136"/>
      <c r="E82" s="131"/>
      <c r="F82" s="717"/>
      <c r="G82" s="697"/>
    </row>
    <row r="83" spans="1:7" x14ac:dyDescent="0.2">
      <c r="A83" s="695"/>
      <c r="B83" s="698"/>
      <c r="C83" s="119"/>
      <c r="D83" s="136"/>
      <c r="E83" s="131"/>
      <c r="F83" s="717"/>
      <c r="G83" s="697"/>
    </row>
    <row r="84" spans="1:7" x14ac:dyDescent="0.2">
      <c r="A84" s="695"/>
      <c r="B84" s="698"/>
      <c r="C84" s="119"/>
      <c r="D84" s="136"/>
      <c r="E84" s="131"/>
      <c r="F84" s="717"/>
      <c r="G84" s="697"/>
    </row>
    <row r="85" spans="1:7" x14ac:dyDescent="0.2">
      <c r="A85" s="695"/>
      <c r="B85" s="698"/>
      <c r="C85" s="119"/>
      <c r="D85" s="136"/>
      <c r="E85" s="131"/>
      <c r="F85" s="717"/>
      <c r="G85" s="697"/>
    </row>
    <row r="86" spans="1:7" x14ac:dyDescent="0.2">
      <c r="A86" s="695"/>
      <c r="B86" s="698"/>
      <c r="C86" s="119"/>
      <c r="D86" s="144"/>
      <c r="E86" s="131"/>
      <c r="F86" s="717"/>
      <c r="G86" s="697"/>
    </row>
    <row r="87" spans="1:7" x14ac:dyDescent="0.2">
      <c r="A87" s="695"/>
      <c r="B87" s="698"/>
      <c r="C87" s="119"/>
      <c r="D87" s="144"/>
      <c r="E87" s="108"/>
      <c r="F87" s="163"/>
      <c r="G87" s="697"/>
    </row>
    <row r="88" spans="1:7" x14ac:dyDescent="0.2">
      <c r="A88" s="695"/>
      <c r="B88" s="698"/>
      <c r="C88" s="119"/>
      <c r="D88" s="136"/>
      <c r="E88" s="131"/>
      <c r="F88" s="718"/>
      <c r="G88" s="697"/>
    </row>
    <row r="89" spans="1:7" x14ac:dyDescent="0.2">
      <c r="A89" s="695"/>
      <c r="B89" s="698"/>
      <c r="C89" s="119"/>
      <c r="D89" s="144"/>
      <c r="E89" s="108"/>
      <c r="F89" s="149"/>
      <c r="G89" s="697"/>
    </row>
    <row r="90" spans="1:7" x14ac:dyDescent="0.2">
      <c r="A90" s="695"/>
      <c r="B90" s="698"/>
      <c r="C90" s="119"/>
      <c r="D90" s="144"/>
      <c r="E90" s="108"/>
      <c r="F90" s="149"/>
      <c r="G90" s="697"/>
    </row>
    <row r="91" spans="1:7" x14ac:dyDescent="0.2">
      <c r="A91" s="695"/>
      <c r="B91" s="698"/>
      <c r="C91" s="119"/>
      <c r="D91" s="144"/>
      <c r="E91" s="108"/>
      <c r="F91" s="149"/>
      <c r="G91" s="697"/>
    </row>
    <row r="92" spans="1:7" ht="13.5" thickBot="1" x14ac:dyDescent="0.25">
      <c r="A92" s="702"/>
      <c r="B92" s="703"/>
      <c r="C92" s="704"/>
      <c r="D92" s="704"/>
      <c r="E92" s="703"/>
      <c r="F92" s="705" t="s">
        <v>15</v>
      </c>
      <c r="G92" s="706">
        <f>SUM(G59:G91)</f>
        <v>397358</v>
      </c>
    </row>
    <row r="93" spans="1:7" ht="13.5" thickTop="1" x14ac:dyDescent="0.2">
      <c r="A93" s="985" t="s">
        <v>882</v>
      </c>
      <c r="B93" s="1019"/>
      <c r="C93" s="1019"/>
      <c r="D93" s="1019"/>
      <c r="E93" s="1019"/>
      <c r="F93" s="1019"/>
      <c r="G93" s="1020"/>
    </row>
    <row r="94" spans="1:7" ht="13.5" thickBot="1" x14ac:dyDescent="0.25">
      <c r="A94" s="707"/>
      <c r="B94" s="708"/>
      <c r="C94" s="708"/>
      <c r="D94" s="709"/>
      <c r="E94" s="708"/>
      <c r="F94" s="198"/>
      <c r="G94" s="199"/>
    </row>
    <row r="95" spans="1:7" ht="13.5" thickTop="1" x14ac:dyDescent="0.2">
      <c r="A95" s="1023"/>
      <c r="B95" s="1024"/>
      <c r="C95" s="1024"/>
      <c r="D95" s="344" t="s">
        <v>11</v>
      </c>
      <c r="E95" s="1025" t="s">
        <v>12</v>
      </c>
      <c r="F95" s="1025"/>
      <c r="G95" s="1026"/>
    </row>
    <row r="96" spans="1:7" ht="27.75" customHeight="1" x14ac:dyDescent="0.2">
      <c r="A96" s="1010" t="s">
        <v>17</v>
      </c>
      <c r="B96" s="1011"/>
      <c r="C96" s="1011"/>
      <c r="D96" s="121"/>
      <c r="E96" s="1027"/>
      <c r="F96" s="1028"/>
      <c r="G96" s="1029"/>
    </row>
    <row r="97" spans="1:8" x14ac:dyDescent="0.2">
      <c r="A97" s="1010" t="s">
        <v>38</v>
      </c>
      <c r="B97" s="1011"/>
      <c r="C97" s="1011"/>
      <c r="D97" s="710" t="s">
        <v>147</v>
      </c>
      <c r="E97" s="1012" t="s">
        <v>142</v>
      </c>
      <c r="F97" s="1012"/>
      <c r="G97" s="1013"/>
    </row>
    <row r="98" spans="1:8" ht="13.5" thickBot="1" x14ac:dyDescent="0.25">
      <c r="A98" s="1014" t="s">
        <v>39</v>
      </c>
      <c r="B98" s="1015"/>
      <c r="C98" s="1015"/>
      <c r="D98" s="125" t="s">
        <v>148</v>
      </c>
      <c r="E98" s="1016" t="s">
        <v>0</v>
      </c>
      <c r="F98" s="1017"/>
      <c r="G98" s="1018"/>
    </row>
    <row r="99" spans="1:8" ht="16.5" x14ac:dyDescent="0.2">
      <c r="A99" s="997" t="s">
        <v>29</v>
      </c>
      <c r="B99" s="998"/>
      <c r="C99" s="998"/>
      <c r="D99" s="998"/>
      <c r="E99" s="998"/>
      <c r="F99" s="998"/>
      <c r="G99" s="999"/>
      <c r="H99" s="713">
        <v>3</v>
      </c>
    </row>
    <row r="100" spans="1:8" x14ac:dyDescent="0.2">
      <c r="A100" s="1000" t="s">
        <v>48</v>
      </c>
      <c r="B100" s="1001"/>
      <c r="C100" s="1001"/>
      <c r="D100" s="1001"/>
      <c r="E100" s="1001"/>
      <c r="F100" s="1001"/>
      <c r="G100" s="1002"/>
      <c r="H100" s="804" t="s">
        <v>3180</v>
      </c>
    </row>
    <row r="101" spans="1:8" x14ac:dyDescent="0.2">
      <c r="A101" s="1003" t="s">
        <v>49</v>
      </c>
      <c r="B101" s="1004"/>
      <c r="C101" s="1004"/>
      <c r="D101" s="1004"/>
      <c r="E101" s="1004"/>
      <c r="F101" s="1004"/>
      <c r="G101" s="1005"/>
    </row>
    <row r="102" spans="1:8" x14ac:dyDescent="0.2">
      <c r="A102" s="674"/>
      <c r="B102" s="675"/>
      <c r="C102" s="676"/>
      <c r="D102" s="677"/>
      <c r="E102" s="675"/>
      <c r="F102" s="678"/>
      <c r="G102" s="679" t="s">
        <v>20</v>
      </c>
    </row>
    <row r="103" spans="1:8" x14ac:dyDescent="0.2">
      <c r="A103" s="680" t="s">
        <v>1</v>
      </c>
      <c r="B103" s="681"/>
      <c r="C103" s="682" t="s">
        <v>7</v>
      </c>
      <c r="D103" s="681"/>
      <c r="E103" s="683" t="s">
        <v>2923</v>
      </c>
      <c r="F103" s="684"/>
      <c r="G103" s="685" t="s">
        <v>3177</v>
      </c>
    </row>
    <row r="104" spans="1:8" x14ac:dyDescent="0.2">
      <c r="A104" s="690"/>
      <c r="B104" s="261"/>
      <c r="C104" s="682"/>
      <c r="D104" s="261"/>
      <c r="E104" s="743"/>
      <c r="F104" s="763"/>
      <c r="G104" s="742"/>
    </row>
    <row r="105" spans="1:8" x14ac:dyDescent="0.2">
      <c r="A105" s="690" t="s">
        <v>37</v>
      </c>
      <c r="B105" s="261"/>
      <c r="C105" s="261"/>
      <c r="D105" s="261"/>
      <c r="E105" s="691" t="s">
        <v>46</v>
      </c>
      <c r="F105" s="692"/>
      <c r="G105" s="689" t="s">
        <v>50</v>
      </c>
    </row>
    <row r="106" spans="1:8" x14ac:dyDescent="0.2">
      <c r="A106" s="674"/>
      <c r="B106" s="675"/>
      <c r="C106" s="676"/>
      <c r="D106" s="676"/>
      <c r="E106" s="1008"/>
      <c r="F106" s="1009"/>
      <c r="G106" s="693"/>
    </row>
    <row r="107" spans="1:8" ht="26.25" thickBot="1" x14ac:dyDescent="0.25">
      <c r="A107" s="694" t="s">
        <v>47</v>
      </c>
      <c r="B107" s="110" t="s">
        <v>23</v>
      </c>
      <c r="C107" s="110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8" ht="13.5" thickTop="1" x14ac:dyDescent="0.2">
      <c r="A108" s="746"/>
      <c r="B108" s="749"/>
      <c r="C108" s="135"/>
      <c r="D108" s="259" t="s">
        <v>3068</v>
      </c>
      <c r="E108" s="402"/>
      <c r="F108" s="764"/>
      <c r="G108" s="697"/>
    </row>
    <row r="109" spans="1:8" x14ac:dyDescent="0.2">
      <c r="A109" s="746"/>
      <c r="B109" s="793"/>
      <c r="C109" s="831"/>
      <c r="D109" s="832" t="s">
        <v>3192</v>
      </c>
      <c r="E109" s="839"/>
      <c r="F109" s="764"/>
      <c r="G109" s="697"/>
    </row>
    <row r="110" spans="1:8" x14ac:dyDescent="0.2">
      <c r="A110" s="746">
        <v>1</v>
      </c>
      <c r="B110" s="749"/>
      <c r="C110" s="135" t="s">
        <v>177</v>
      </c>
      <c r="D110" s="259" t="s">
        <v>3201</v>
      </c>
      <c r="E110" s="402">
        <v>2</v>
      </c>
      <c r="F110" s="764">
        <v>76380</v>
      </c>
      <c r="G110" s="697">
        <f t="shared" ref="G110:G115" si="1">F110*E110</f>
        <v>152760</v>
      </c>
    </row>
    <row r="111" spans="1:8" x14ac:dyDescent="0.2">
      <c r="A111" s="746">
        <v>2</v>
      </c>
      <c r="B111" s="749"/>
      <c r="C111" s="719" t="s">
        <v>185</v>
      </c>
      <c r="D111" s="259" t="s">
        <v>3202</v>
      </c>
      <c r="E111" s="541">
        <v>1</v>
      </c>
      <c r="F111" s="764">
        <v>56373</v>
      </c>
      <c r="G111" s="697">
        <f t="shared" si="1"/>
        <v>56373</v>
      </c>
    </row>
    <row r="112" spans="1:8" x14ac:dyDescent="0.2">
      <c r="A112" s="746">
        <v>3</v>
      </c>
      <c r="B112" s="749"/>
      <c r="C112" s="135" t="s">
        <v>185</v>
      </c>
      <c r="D112" s="259" t="s">
        <v>3203</v>
      </c>
      <c r="E112" s="407">
        <v>2</v>
      </c>
      <c r="F112" s="764">
        <v>80548.12</v>
      </c>
      <c r="G112" s="697">
        <f t="shared" si="1"/>
        <v>161096.24</v>
      </c>
    </row>
    <row r="113" spans="1:7" x14ac:dyDescent="0.2">
      <c r="A113" s="746">
        <v>4</v>
      </c>
      <c r="B113" s="408"/>
      <c r="C113" s="135" t="s">
        <v>185</v>
      </c>
      <c r="D113" s="259" t="s">
        <v>3204</v>
      </c>
      <c r="E113" s="407">
        <v>1</v>
      </c>
      <c r="F113" s="764">
        <v>18201.88</v>
      </c>
      <c r="G113" s="697">
        <f t="shared" si="1"/>
        <v>18201.88</v>
      </c>
    </row>
    <row r="114" spans="1:7" x14ac:dyDescent="0.2">
      <c r="A114" s="746">
        <v>5</v>
      </c>
      <c r="B114" s="105"/>
      <c r="C114" s="765" t="s">
        <v>279</v>
      </c>
      <c r="D114" s="766" t="s">
        <v>3199</v>
      </c>
      <c r="E114" s="331">
        <v>1</v>
      </c>
      <c r="F114" s="764">
        <v>46550</v>
      </c>
      <c r="G114" s="697">
        <f t="shared" si="1"/>
        <v>46550</v>
      </c>
    </row>
    <row r="115" spans="1:7" x14ac:dyDescent="0.2">
      <c r="A115" s="746">
        <v>6</v>
      </c>
      <c r="B115" s="105"/>
      <c r="C115" s="765" t="s">
        <v>375</v>
      </c>
      <c r="D115" s="766" t="s">
        <v>3200</v>
      </c>
      <c r="E115" s="329">
        <v>1</v>
      </c>
      <c r="F115" s="764">
        <v>21947</v>
      </c>
      <c r="G115" s="697">
        <f t="shared" si="1"/>
        <v>21947</v>
      </c>
    </row>
    <row r="116" spans="1:7" x14ac:dyDescent="0.2">
      <c r="A116" s="746"/>
      <c r="B116" s="105"/>
      <c r="C116" s="765"/>
      <c r="D116" s="766"/>
      <c r="E116" s="331"/>
      <c r="F116" s="767"/>
      <c r="G116" s="697"/>
    </row>
    <row r="117" spans="1:7" x14ac:dyDescent="0.2">
      <c r="A117" s="746"/>
      <c r="B117" s="698"/>
      <c r="C117" s="765"/>
      <c r="D117" s="766"/>
      <c r="E117" s="331"/>
      <c r="F117" s="764"/>
      <c r="G117" s="697"/>
    </row>
    <row r="118" spans="1:7" x14ac:dyDescent="0.2">
      <c r="A118" s="746"/>
      <c r="B118" s="106"/>
      <c r="C118" s="765"/>
      <c r="D118" s="766"/>
      <c r="E118" s="331"/>
      <c r="F118" s="764"/>
      <c r="G118" s="697"/>
    </row>
    <row r="119" spans="1:7" x14ac:dyDescent="0.2">
      <c r="A119" s="746"/>
      <c r="B119" s="700"/>
      <c r="C119" s="765"/>
      <c r="D119" s="766"/>
      <c r="E119" s="331"/>
      <c r="F119" s="764"/>
      <c r="G119" s="697"/>
    </row>
    <row r="120" spans="1:7" x14ac:dyDescent="0.2">
      <c r="A120" s="746"/>
      <c r="B120" s="700"/>
      <c r="C120" s="765"/>
      <c r="D120" s="766"/>
      <c r="E120" s="331"/>
      <c r="F120" s="764"/>
      <c r="G120" s="697"/>
    </row>
    <row r="121" spans="1:7" x14ac:dyDescent="0.2">
      <c r="A121" s="746"/>
      <c r="B121" s="700"/>
      <c r="C121" s="765"/>
      <c r="D121" s="766"/>
      <c r="E121" s="331"/>
      <c r="F121" s="764"/>
      <c r="G121" s="697"/>
    </row>
    <row r="122" spans="1:7" x14ac:dyDescent="0.2">
      <c r="A122" s="695"/>
      <c r="B122" s="698"/>
      <c r="C122" s="765"/>
      <c r="D122" s="766"/>
      <c r="E122" s="331"/>
      <c r="F122" s="764"/>
      <c r="G122" s="697"/>
    </row>
    <row r="123" spans="1:7" x14ac:dyDescent="0.2">
      <c r="A123" s="695"/>
      <c r="B123" s="698"/>
      <c r="C123" s="765"/>
      <c r="D123" s="766"/>
      <c r="E123" s="331"/>
      <c r="F123" s="764"/>
      <c r="G123" s="697"/>
    </row>
    <row r="124" spans="1:7" x14ac:dyDescent="0.2">
      <c r="A124" s="695"/>
      <c r="B124" s="106"/>
      <c r="C124" s="765"/>
      <c r="D124" s="766"/>
      <c r="E124" s="331"/>
      <c r="F124" s="768"/>
      <c r="G124" s="697"/>
    </row>
    <row r="125" spans="1:7" x14ac:dyDescent="0.2">
      <c r="A125" s="695"/>
      <c r="B125" s="105"/>
      <c r="C125" s="765"/>
      <c r="D125" s="766"/>
      <c r="E125" s="331"/>
      <c r="F125" s="768"/>
      <c r="G125" s="697"/>
    </row>
    <row r="126" spans="1:7" x14ac:dyDescent="0.2">
      <c r="A126" s="695"/>
      <c r="B126" s="105"/>
      <c r="C126" s="769"/>
      <c r="D126" s="766"/>
      <c r="E126" s="331"/>
      <c r="F126" s="768"/>
      <c r="G126" s="697"/>
    </row>
    <row r="127" spans="1:7" x14ac:dyDescent="0.2">
      <c r="A127" s="695"/>
      <c r="B127" s="105"/>
      <c r="C127" s="769"/>
      <c r="D127" s="766" t="s">
        <v>152</v>
      </c>
      <c r="E127" s="331"/>
      <c r="F127" s="768"/>
      <c r="G127" s="697"/>
    </row>
    <row r="128" spans="1:7" x14ac:dyDescent="0.2">
      <c r="A128" s="695"/>
      <c r="B128" s="105"/>
      <c r="C128" s="769"/>
      <c r="D128" s="766"/>
      <c r="E128" s="331"/>
      <c r="F128" s="768"/>
      <c r="G128" s="697"/>
    </row>
    <row r="129" spans="1:7" x14ac:dyDescent="0.2">
      <c r="A129" s="695"/>
      <c r="B129" s="105"/>
      <c r="C129" s="769"/>
      <c r="D129" s="766"/>
      <c r="E129" s="331"/>
      <c r="F129" s="768"/>
      <c r="G129" s="697"/>
    </row>
    <row r="130" spans="1:7" x14ac:dyDescent="0.2">
      <c r="A130" s="695"/>
      <c r="B130" s="698"/>
      <c r="C130" s="769"/>
      <c r="D130" s="766"/>
      <c r="E130" s="331"/>
      <c r="F130" s="768"/>
      <c r="G130" s="697"/>
    </row>
    <row r="131" spans="1:7" x14ac:dyDescent="0.2">
      <c r="A131" s="695"/>
      <c r="B131" s="698"/>
      <c r="C131" s="119"/>
      <c r="D131" s="136"/>
      <c r="E131" s="131"/>
      <c r="F131" s="717"/>
      <c r="G131" s="697"/>
    </row>
    <row r="132" spans="1:7" x14ac:dyDescent="0.2">
      <c r="A132" s="695"/>
      <c r="B132" s="698"/>
      <c r="C132" s="119"/>
      <c r="D132" s="136"/>
      <c r="E132" s="131"/>
      <c r="F132" s="717"/>
      <c r="G132" s="697"/>
    </row>
    <row r="133" spans="1:7" x14ac:dyDescent="0.2">
      <c r="A133" s="695"/>
      <c r="B133" s="698"/>
      <c r="C133" s="119"/>
      <c r="D133" s="136"/>
      <c r="E133" s="131"/>
      <c r="F133" s="717"/>
      <c r="G133" s="697"/>
    </row>
    <row r="134" spans="1:7" x14ac:dyDescent="0.2">
      <c r="A134" s="695"/>
      <c r="B134" s="698"/>
      <c r="C134" s="119"/>
      <c r="D134" s="136"/>
      <c r="E134" s="131"/>
      <c r="F134" s="717"/>
      <c r="G134" s="697"/>
    </row>
    <row r="135" spans="1:7" x14ac:dyDescent="0.2">
      <c r="A135" s="695"/>
      <c r="B135" s="698"/>
      <c r="C135" s="119"/>
      <c r="D135" s="144"/>
      <c r="E135" s="131"/>
      <c r="F135" s="717"/>
      <c r="G135" s="697"/>
    </row>
    <row r="136" spans="1:7" x14ac:dyDescent="0.2">
      <c r="A136" s="695"/>
      <c r="B136" s="698"/>
      <c r="C136" s="119"/>
      <c r="D136" s="144"/>
      <c r="E136" s="108"/>
      <c r="F136" s="163"/>
      <c r="G136" s="697"/>
    </row>
    <row r="137" spans="1:7" x14ac:dyDescent="0.2">
      <c r="A137" s="695"/>
      <c r="B137" s="698"/>
      <c r="C137" s="119"/>
      <c r="D137" s="136"/>
      <c r="E137" s="131"/>
      <c r="F137" s="718"/>
      <c r="G137" s="697"/>
    </row>
    <row r="138" spans="1:7" x14ac:dyDescent="0.2">
      <c r="A138" s="695"/>
      <c r="B138" s="698"/>
      <c r="C138" s="119"/>
      <c r="D138" s="144"/>
      <c r="E138" s="108"/>
      <c r="F138" s="149"/>
      <c r="G138" s="697"/>
    </row>
    <row r="139" spans="1:7" x14ac:dyDescent="0.2">
      <c r="A139" s="695"/>
      <c r="B139" s="698"/>
      <c r="C139" s="119"/>
      <c r="D139" s="144"/>
      <c r="E139" s="108"/>
      <c r="F139" s="149"/>
      <c r="G139" s="697"/>
    </row>
    <row r="140" spans="1:7" x14ac:dyDescent="0.2">
      <c r="A140" s="695"/>
      <c r="B140" s="698"/>
      <c r="C140" s="119"/>
      <c r="D140" s="144"/>
      <c r="E140" s="108"/>
      <c r="F140" s="149"/>
      <c r="G140" s="697"/>
    </row>
    <row r="141" spans="1:7" ht="13.5" thickBot="1" x14ac:dyDescent="0.25">
      <c r="A141" s="702"/>
      <c r="B141" s="703"/>
      <c r="C141" s="704"/>
      <c r="D141" s="704"/>
      <c r="E141" s="703"/>
      <c r="F141" s="705" t="s">
        <v>15</v>
      </c>
      <c r="G141" s="706">
        <f>SUM(G108:G140)</f>
        <v>456928.12</v>
      </c>
    </row>
    <row r="142" spans="1:7" ht="13.5" thickTop="1" x14ac:dyDescent="0.2">
      <c r="A142" s="985" t="s">
        <v>882</v>
      </c>
      <c r="B142" s="1019"/>
      <c r="C142" s="1019"/>
      <c r="D142" s="1019"/>
      <c r="E142" s="1019"/>
      <c r="F142" s="1019"/>
      <c r="G142" s="1020"/>
    </row>
    <row r="143" spans="1:7" ht="13.5" thickBot="1" x14ac:dyDescent="0.25">
      <c r="A143" s="707"/>
      <c r="B143" s="708"/>
      <c r="C143" s="708"/>
      <c r="D143" s="709"/>
      <c r="E143" s="708"/>
      <c r="F143" s="198"/>
      <c r="G143" s="199"/>
    </row>
    <row r="144" spans="1:7" ht="13.5" thickTop="1" x14ac:dyDescent="0.2">
      <c r="A144" s="1023"/>
      <c r="B144" s="1024"/>
      <c r="C144" s="1024"/>
      <c r="D144" s="344" t="s">
        <v>11</v>
      </c>
      <c r="E144" s="1025" t="s">
        <v>12</v>
      </c>
      <c r="F144" s="1025"/>
      <c r="G144" s="1026"/>
    </row>
    <row r="145" spans="1:7" ht="27.75" customHeight="1" x14ac:dyDescent="0.2">
      <c r="A145" s="1010" t="s">
        <v>17</v>
      </c>
      <c r="B145" s="1011"/>
      <c r="C145" s="1011"/>
      <c r="D145" s="121"/>
      <c r="E145" s="1027"/>
      <c r="F145" s="1028"/>
      <c r="G145" s="1029"/>
    </row>
    <row r="146" spans="1:7" x14ac:dyDescent="0.2">
      <c r="A146" s="1010" t="s">
        <v>38</v>
      </c>
      <c r="B146" s="1011"/>
      <c r="C146" s="1011"/>
      <c r="D146" s="710" t="s">
        <v>147</v>
      </c>
      <c r="E146" s="1012" t="s">
        <v>142</v>
      </c>
      <c r="F146" s="1012"/>
      <c r="G146" s="1013"/>
    </row>
    <row r="147" spans="1:7" ht="13.5" thickBot="1" x14ac:dyDescent="0.25">
      <c r="A147" s="1014" t="s">
        <v>39</v>
      </c>
      <c r="B147" s="1015"/>
      <c r="C147" s="1015"/>
      <c r="D147" s="125" t="s">
        <v>148</v>
      </c>
      <c r="E147" s="1016" t="s">
        <v>0</v>
      </c>
      <c r="F147" s="1017"/>
      <c r="G147" s="1018"/>
    </row>
  </sheetData>
  <mergeCells count="39">
    <mergeCell ref="A147:C147"/>
    <mergeCell ref="E147:G147"/>
    <mergeCell ref="A144:C144"/>
    <mergeCell ref="E144:G144"/>
    <mergeCell ref="A145:C145"/>
    <mergeCell ref="E145:G145"/>
    <mergeCell ref="A146:C146"/>
    <mergeCell ref="E146:G146"/>
    <mergeCell ref="A99:G99"/>
    <mergeCell ref="A100:G100"/>
    <mergeCell ref="A101:G101"/>
    <mergeCell ref="E106:F106"/>
    <mergeCell ref="A142:G142"/>
    <mergeCell ref="A1:G1"/>
    <mergeCell ref="A2:G2"/>
    <mergeCell ref="A3:G3"/>
    <mergeCell ref="A48:C48"/>
    <mergeCell ref="E48:G48"/>
    <mergeCell ref="A49:C49"/>
    <mergeCell ref="E49:G49"/>
    <mergeCell ref="E8:F8"/>
    <mergeCell ref="A44:G44"/>
    <mergeCell ref="A46:C46"/>
    <mergeCell ref="E46:G46"/>
    <mergeCell ref="A47:C47"/>
    <mergeCell ref="E47:G47"/>
    <mergeCell ref="A50:G50"/>
    <mergeCell ref="A51:G51"/>
    <mergeCell ref="A52:G52"/>
    <mergeCell ref="E57:F57"/>
    <mergeCell ref="A93:G93"/>
    <mergeCell ref="A98:C98"/>
    <mergeCell ref="E98:G98"/>
    <mergeCell ref="A95:C95"/>
    <mergeCell ref="E95:G95"/>
    <mergeCell ref="A96:C96"/>
    <mergeCell ref="E96:G96"/>
    <mergeCell ref="A97:C97"/>
    <mergeCell ref="E97:G97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96"/>
  <sheetViews>
    <sheetView topLeftCell="A43" zoomScale="110" zoomScaleNormal="110" workbookViewId="0">
      <selection activeCell="D69" sqref="D69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" style="250" customWidth="1"/>
    <col min="5" max="5" width="9.28515625" style="711" customWidth="1"/>
    <col min="6" max="6" width="12.140625" style="712" customWidth="1"/>
    <col min="7" max="7" width="15.28515625" style="250" customWidth="1"/>
    <col min="8" max="8" width="11.28515625" style="713" bestFit="1" customWidth="1"/>
    <col min="9" max="9" width="19.140625" style="250" customWidth="1"/>
    <col min="10" max="10" width="12.85546875" style="250" bestFit="1" customWidth="1"/>
    <col min="11" max="11" width="11.5703125" style="250" customWidth="1"/>
    <col min="12" max="12" width="11.7109375" style="250" customWidth="1"/>
    <col min="13" max="13" width="10.7109375" style="250" customWidth="1"/>
    <col min="14" max="14" width="9.28515625" style="250" bestFit="1" customWidth="1"/>
    <col min="15" max="15" width="10.42578125" style="250" bestFit="1" customWidth="1"/>
    <col min="16" max="16" width="9.28515625" style="250" bestFit="1" customWidth="1"/>
    <col min="17" max="17" width="10.28515625" style="250" bestFit="1" customWidth="1"/>
    <col min="18" max="19" width="9.140625" style="250"/>
    <col min="20" max="21" width="9.28515625" style="250" bestFit="1" customWidth="1"/>
    <col min="22" max="22" width="11.28515625" style="250" customWidth="1"/>
    <col min="23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3066</v>
      </c>
    </row>
    <row r="3" spans="1:8" x14ac:dyDescent="0.2">
      <c r="A3" s="1045" t="s">
        <v>49</v>
      </c>
      <c r="B3" s="1046"/>
      <c r="C3" s="1046"/>
      <c r="D3" s="1046"/>
      <c r="E3" s="1046"/>
      <c r="F3" s="1046"/>
      <c r="G3" s="1047"/>
      <c r="H3" s="804" t="s">
        <v>3180</v>
      </c>
    </row>
    <row r="4" spans="1:8" x14ac:dyDescent="0.2">
      <c r="A4" s="732"/>
      <c r="B4" s="733"/>
      <c r="C4" s="734"/>
      <c r="D4" s="735"/>
      <c r="E4" s="733"/>
      <c r="F4" s="736"/>
      <c r="G4" s="737" t="s">
        <v>20</v>
      </c>
    </row>
    <row r="5" spans="1:8" x14ac:dyDescent="0.2">
      <c r="A5" s="738" t="s">
        <v>1</v>
      </c>
      <c r="B5" s="739"/>
      <c r="C5" s="682" t="s">
        <v>7</v>
      </c>
      <c r="D5" s="739"/>
      <c r="E5" s="683" t="s">
        <v>3178</v>
      </c>
      <c r="F5" s="684"/>
      <c r="G5" s="685" t="s">
        <v>3177</v>
      </c>
    </row>
    <row r="6" spans="1:8" x14ac:dyDescent="0.2">
      <c r="A6" s="741" t="s">
        <v>8</v>
      </c>
      <c r="B6" s="648"/>
      <c r="C6" s="688"/>
      <c r="D6" s="731"/>
      <c r="E6" s="1048"/>
      <c r="F6" s="1049"/>
      <c r="G6" s="742"/>
    </row>
    <row r="7" spans="1:8" x14ac:dyDescent="0.2">
      <c r="A7" s="670" t="s">
        <v>37</v>
      </c>
      <c r="B7" s="669"/>
      <c r="C7" s="669"/>
      <c r="D7" s="669"/>
      <c r="E7" s="743" t="s">
        <v>46</v>
      </c>
      <c r="F7" s="744"/>
      <c r="G7" s="742" t="s">
        <v>50</v>
      </c>
    </row>
    <row r="8" spans="1:8" ht="26.25" customHeight="1" x14ac:dyDescent="0.2">
      <c r="A8" s="732"/>
      <c r="B8" s="733"/>
      <c r="C8" s="734"/>
      <c r="D8" s="734"/>
      <c r="E8" s="1050"/>
      <c r="F8" s="1051"/>
      <c r="G8" s="745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838"/>
      <c r="B10" s="834"/>
      <c r="C10" s="834"/>
      <c r="D10" s="837" t="s">
        <v>3179</v>
      </c>
      <c r="E10" s="835"/>
      <c r="F10" s="836"/>
      <c r="G10" s="564"/>
    </row>
    <row r="11" spans="1:8" x14ac:dyDescent="0.2">
      <c r="A11" s="746">
        <v>1</v>
      </c>
      <c r="B11" s="749"/>
      <c r="C11" s="135" t="s">
        <v>2779</v>
      </c>
      <c r="D11" s="259" t="s">
        <v>3102</v>
      </c>
      <c r="E11" s="402">
        <v>2</v>
      </c>
      <c r="F11" s="587">
        <v>38078</v>
      </c>
      <c r="G11" s="748">
        <f>F11*E11</f>
        <v>76156</v>
      </c>
    </row>
    <row r="12" spans="1:8" x14ac:dyDescent="0.2">
      <c r="A12" s="746">
        <v>2</v>
      </c>
      <c r="B12" s="749"/>
      <c r="C12" s="135" t="s">
        <v>2779</v>
      </c>
      <c r="D12" s="259" t="s">
        <v>3090</v>
      </c>
      <c r="E12" s="402">
        <v>2</v>
      </c>
      <c r="F12" s="587">
        <v>29542</v>
      </c>
      <c r="G12" s="748">
        <f t="shared" ref="G12:G25" si="0">F12*E12</f>
        <v>59084</v>
      </c>
    </row>
    <row r="13" spans="1:8" x14ac:dyDescent="0.2">
      <c r="A13" s="746">
        <v>3</v>
      </c>
      <c r="B13" s="749"/>
      <c r="C13" s="719" t="s">
        <v>2779</v>
      </c>
      <c r="D13" s="259" t="s">
        <v>3091</v>
      </c>
      <c r="E13" s="541">
        <v>2</v>
      </c>
      <c r="F13" s="406">
        <v>33483</v>
      </c>
      <c r="G13" s="748">
        <f t="shared" si="0"/>
        <v>66966</v>
      </c>
    </row>
    <row r="14" spans="1:8" x14ac:dyDescent="0.2">
      <c r="A14" s="746">
        <v>4</v>
      </c>
      <c r="B14" s="749"/>
      <c r="C14" s="135" t="s">
        <v>2779</v>
      </c>
      <c r="D14" s="259" t="s">
        <v>3092</v>
      </c>
      <c r="E14" s="407">
        <v>3</v>
      </c>
      <c r="F14" s="587">
        <v>33483</v>
      </c>
      <c r="G14" s="748">
        <f t="shared" si="0"/>
        <v>100449</v>
      </c>
    </row>
    <row r="15" spans="1:8" x14ac:dyDescent="0.2">
      <c r="A15" s="746">
        <v>5</v>
      </c>
      <c r="B15" s="408"/>
      <c r="C15" s="135" t="s">
        <v>2779</v>
      </c>
      <c r="D15" s="259" t="s">
        <v>3093</v>
      </c>
      <c r="E15" s="407">
        <v>2</v>
      </c>
      <c r="F15" s="587">
        <v>34321</v>
      </c>
      <c r="G15" s="748">
        <f t="shared" si="0"/>
        <v>68642</v>
      </c>
    </row>
    <row r="16" spans="1:8" x14ac:dyDescent="0.2">
      <c r="A16" s="746">
        <v>6</v>
      </c>
      <c r="B16" s="408"/>
      <c r="C16" s="135" t="s">
        <v>2779</v>
      </c>
      <c r="D16" s="259" t="s">
        <v>3094</v>
      </c>
      <c r="E16" s="407">
        <v>3</v>
      </c>
      <c r="F16" s="587">
        <v>78909</v>
      </c>
      <c r="G16" s="748">
        <f t="shared" si="0"/>
        <v>236727</v>
      </c>
    </row>
    <row r="17" spans="1:12" x14ac:dyDescent="0.2">
      <c r="A17" s="746">
        <v>7</v>
      </c>
      <c r="B17" s="408"/>
      <c r="C17" s="135" t="s">
        <v>2779</v>
      </c>
      <c r="D17" s="259" t="s">
        <v>3095</v>
      </c>
      <c r="E17" s="407">
        <v>2</v>
      </c>
      <c r="F17" s="411">
        <v>25734</v>
      </c>
      <c r="G17" s="748">
        <f t="shared" si="0"/>
        <v>51468</v>
      </c>
    </row>
    <row r="18" spans="1:12" x14ac:dyDescent="0.2">
      <c r="A18" s="746">
        <v>8</v>
      </c>
      <c r="B18" s="408"/>
      <c r="C18" s="135" t="s">
        <v>2779</v>
      </c>
      <c r="D18" s="252" t="s">
        <v>3096</v>
      </c>
      <c r="E18" s="407">
        <v>2</v>
      </c>
      <c r="F18" s="411">
        <v>24619</v>
      </c>
      <c r="G18" s="748">
        <f t="shared" si="0"/>
        <v>49238</v>
      </c>
    </row>
    <row r="19" spans="1:12" x14ac:dyDescent="0.2">
      <c r="A19" s="746">
        <v>9</v>
      </c>
      <c r="B19" s="749"/>
      <c r="C19" s="135" t="s">
        <v>2779</v>
      </c>
      <c r="D19" s="252" t="s">
        <v>3097</v>
      </c>
      <c r="E19" s="423">
        <v>2</v>
      </c>
      <c r="F19" s="587">
        <v>46069</v>
      </c>
      <c r="G19" s="748">
        <f t="shared" si="0"/>
        <v>92138</v>
      </c>
    </row>
    <row r="20" spans="1:12" x14ac:dyDescent="0.2">
      <c r="A20" s="746">
        <v>10</v>
      </c>
      <c r="B20" s="413"/>
      <c r="C20" s="135" t="s">
        <v>2779</v>
      </c>
      <c r="D20" s="259" t="s">
        <v>3098</v>
      </c>
      <c r="E20" s="423">
        <v>1</v>
      </c>
      <c r="F20" s="587">
        <v>22853</v>
      </c>
      <c r="G20" s="748">
        <f t="shared" si="0"/>
        <v>22853</v>
      </c>
    </row>
    <row r="21" spans="1:12" x14ac:dyDescent="0.2">
      <c r="A21" s="746">
        <v>11</v>
      </c>
      <c r="B21" s="408"/>
      <c r="C21" s="135" t="s">
        <v>2779</v>
      </c>
      <c r="D21" s="259" t="s">
        <v>3099</v>
      </c>
      <c r="E21" s="407">
        <v>1</v>
      </c>
      <c r="F21" s="415">
        <v>63250</v>
      </c>
      <c r="G21" s="748">
        <f t="shared" si="0"/>
        <v>63250</v>
      </c>
    </row>
    <row r="22" spans="1:12" x14ac:dyDescent="0.2">
      <c r="A22" s="746">
        <v>12</v>
      </c>
      <c r="B22" s="751"/>
      <c r="C22" s="135" t="s">
        <v>2779</v>
      </c>
      <c r="D22" s="259" t="s">
        <v>3100</v>
      </c>
      <c r="E22" s="407">
        <v>1</v>
      </c>
      <c r="F22" s="587">
        <v>71300</v>
      </c>
      <c r="G22" s="748">
        <f t="shared" si="0"/>
        <v>71300</v>
      </c>
    </row>
    <row r="23" spans="1:12" x14ac:dyDescent="0.2">
      <c r="A23" s="746">
        <v>13</v>
      </c>
      <c r="B23" s="751"/>
      <c r="C23" s="135" t="s">
        <v>2779</v>
      </c>
      <c r="D23" s="259" t="s">
        <v>3101</v>
      </c>
      <c r="E23" s="407">
        <v>1</v>
      </c>
      <c r="F23" s="587">
        <v>86250</v>
      </c>
      <c r="G23" s="748">
        <f t="shared" si="0"/>
        <v>86250</v>
      </c>
    </row>
    <row r="24" spans="1:12" x14ac:dyDescent="0.2">
      <c r="A24" s="746">
        <v>14</v>
      </c>
      <c r="B24" s="749"/>
      <c r="C24" s="135" t="s">
        <v>185</v>
      </c>
      <c r="D24" s="259" t="s">
        <v>3061</v>
      </c>
      <c r="E24" s="260">
        <v>2</v>
      </c>
      <c r="F24" s="587">
        <v>44940</v>
      </c>
      <c r="G24" s="748">
        <f t="shared" si="0"/>
        <v>89880</v>
      </c>
      <c r="L24" s="770"/>
    </row>
    <row r="25" spans="1:12" x14ac:dyDescent="0.2">
      <c r="A25" s="746">
        <v>15</v>
      </c>
      <c r="B25" s="749"/>
      <c r="C25" s="135" t="s">
        <v>185</v>
      </c>
      <c r="D25" s="259" t="s">
        <v>3062</v>
      </c>
      <c r="E25" s="407">
        <v>2</v>
      </c>
      <c r="F25" s="587">
        <v>93337</v>
      </c>
      <c r="G25" s="748">
        <f t="shared" si="0"/>
        <v>186674</v>
      </c>
      <c r="L25" s="770"/>
    </row>
    <row r="26" spans="1:12" x14ac:dyDescent="0.2">
      <c r="A26" s="746"/>
      <c r="B26" s="413"/>
      <c r="C26" s="135"/>
      <c r="D26" s="259"/>
      <c r="E26" s="771"/>
      <c r="F26" s="752"/>
      <c r="G26" s="748"/>
      <c r="L26" s="770"/>
    </row>
    <row r="27" spans="1:12" x14ac:dyDescent="0.2">
      <c r="A27" s="746"/>
      <c r="B27" s="408"/>
      <c r="C27" s="385"/>
      <c r="D27" s="383"/>
      <c r="E27" s="772"/>
      <c r="F27" s="752"/>
      <c r="G27" s="748"/>
      <c r="L27" s="770"/>
    </row>
    <row r="28" spans="1:12" x14ac:dyDescent="0.2">
      <c r="A28" s="746"/>
      <c r="B28" s="408"/>
      <c r="C28" s="385"/>
      <c r="D28" s="376"/>
      <c r="E28" s="423"/>
      <c r="F28" s="752"/>
      <c r="G28" s="748"/>
    </row>
    <row r="29" spans="1:12" x14ac:dyDescent="0.2">
      <c r="A29" s="746"/>
      <c r="B29" s="408"/>
      <c r="C29" s="385"/>
      <c r="D29" s="376" t="s">
        <v>8</v>
      </c>
      <c r="E29" s="423"/>
      <c r="F29" s="752"/>
      <c r="G29" s="748"/>
    </row>
    <row r="30" spans="1:12" x14ac:dyDescent="0.2">
      <c r="A30" s="746"/>
      <c r="B30" s="408"/>
      <c r="C30" s="385"/>
      <c r="D30" s="376" t="s">
        <v>8</v>
      </c>
      <c r="E30" s="423"/>
      <c r="F30" s="752"/>
      <c r="G30" s="748"/>
    </row>
    <row r="31" spans="1:12" x14ac:dyDescent="0.2">
      <c r="A31" s="746"/>
      <c r="B31" s="749"/>
      <c r="C31" s="385"/>
      <c r="D31" s="376"/>
      <c r="E31" s="423"/>
      <c r="F31" s="752"/>
      <c r="G31" s="748"/>
    </row>
    <row r="32" spans="1:12" x14ac:dyDescent="0.2">
      <c r="A32" s="746"/>
      <c r="B32" s="749"/>
      <c r="C32" s="385"/>
      <c r="D32" s="376"/>
      <c r="E32" s="423"/>
      <c r="F32" s="752"/>
      <c r="G32" s="748"/>
    </row>
    <row r="33" spans="1:7" x14ac:dyDescent="0.2">
      <c r="A33" s="746"/>
      <c r="B33" s="749"/>
      <c r="C33" s="385"/>
      <c r="D33" s="376"/>
      <c r="E33" s="423"/>
      <c r="F33" s="752"/>
      <c r="G33" s="748"/>
    </row>
    <row r="34" spans="1:7" x14ac:dyDescent="0.2">
      <c r="A34" s="746"/>
      <c r="B34" s="749"/>
      <c r="C34" s="385"/>
      <c r="D34" s="376"/>
      <c r="E34" s="423"/>
      <c r="F34" s="752"/>
      <c r="G34" s="748"/>
    </row>
    <row r="35" spans="1:7" x14ac:dyDescent="0.2">
      <c r="A35" s="746"/>
      <c r="B35" s="749"/>
      <c r="C35" s="385"/>
      <c r="D35" s="376"/>
      <c r="E35" s="423"/>
      <c r="F35" s="752"/>
      <c r="G35" s="748"/>
    </row>
    <row r="36" spans="1:7" x14ac:dyDescent="0.2">
      <c r="A36" s="746"/>
      <c r="B36" s="749"/>
      <c r="C36" s="385"/>
      <c r="D36" s="383"/>
      <c r="E36" s="423"/>
      <c r="F36" s="752"/>
      <c r="G36" s="748"/>
    </row>
    <row r="37" spans="1:7" x14ac:dyDescent="0.2">
      <c r="A37" s="746"/>
      <c r="B37" s="749"/>
      <c r="C37" s="385"/>
      <c r="D37" s="383"/>
      <c r="E37" s="407"/>
      <c r="F37" s="587"/>
      <c r="G37" s="748"/>
    </row>
    <row r="38" spans="1:7" x14ac:dyDescent="0.2">
      <c r="A38" s="746"/>
      <c r="B38" s="749"/>
      <c r="C38" s="385"/>
      <c r="D38" s="376"/>
      <c r="E38" s="407"/>
      <c r="F38" s="587"/>
      <c r="G38" s="748"/>
    </row>
    <row r="39" spans="1:7" x14ac:dyDescent="0.2">
      <c r="A39" s="746"/>
      <c r="B39" s="749"/>
      <c r="C39" s="385"/>
      <c r="D39" s="376"/>
      <c r="E39" s="423"/>
      <c r="F39" s="753"/>
      <c r="G39" s="748"/>
    </row>
    <row r="40" spans="1:7" x14ac:dyDescent="0.2">
      <c r="A40" s="746"/>
      <c r="B40" s="749"/>
      <c r="C40" s="385"/>
      <c r="D40" s="425"/>
      <c r="E40" s="407"/>
      <c r="F40" s="406"/>
      <c r="G40" s="748"/>
    </row>
    <row r="41" spans="1:7" x14ac:dyDescent="0.2">
      <c r="A41" s="746"/>
      <c r="B41" s="749"/>
      <c r="C41" s="385"/>
      <c r="D41" s="383"/>
      <c r="E41" s="407"/>
      <c r="F41" s="406"/>
      <c r="G41" s="748"/>
    </row>
    <row r="42" spans="1:7" ht="13.5" thickBot="1" x14ac:dyDescent="0.25">
      <c r="A42" s="754"/>
      <c r="B42" s="755"/>
      <c r="C42" s="756"/>
      <c r="D42" s="756"/>
      <c r="E42" s="755"/>
      <c r="F42" s="705" t="s">
        <v>15</v>
      </c>
      <c r="G42" s="706">
        <f>SUM(G10:G41)</f>
        <v>1321075</v>
      </c>
    </row>
    <row r="43" spans="1:7" ht="13.5" thickTop="1" x14ac:dyDescent="0.2">
      <c r="A43" s="985" t="s">
        <v>244</v>
      </c>
      <c r="B43" s="980"/>
      <c r="C43" s="980"/>
      <c r="D43" s="980"/>
      <c r="E43" s="980"/>
      <c r="F43" s="980"/>
      <c r="G43" s="981"/>
    </row>
    <row r="44" spans="1:7" ht="13.5" thickBot="1" x14ac:dyDescent="0.25">
      <c r="A44" s="757"/>
      <c r="B44" s="758"/>
      <c r="C44" s="758"/>
      <c r="D44" s="759"/>
      <c r="E44" s="758"/>
      <c r="F44" s="614"/>
      <c r="G44" s="590"/>
    </row>
    <row r="45" spans="1:7" ht="13.5" thickTop="1" x14ac:dyDescent="0.2">
      <c r="A45" s="1038"/>
      <c r="B45" s="1039"/>
      <c r="C45" s="1039"/>
      <c r="D45" s="760" t="s">
        <v>11</v>
      </c>
      <c r="E45" s="1040" t="s">
        <v>12</v>
      </c>
      <c r="F45" s="1040"/>
      <c r="G45" s="1041"/>
    </row>
    <row r="46" spans="1:7" ht="27.75" customHeight="1" x14ac:dyDescent="0.2">
      <c r="A46" s="1031" t="s">
        <v>17</v>
      </c>
      <c r="B46" s="1032"/>
      <c r="C46" s="1032"/>
      <c r="D46" s="761"/>
      <c r="E46" s="1042"/>
      <c r="F46" s="1043"/>
      <c r="G46" s="1044"/>
    </row>
    <row r="47" spans="1:7" x14ac:dyDescent="0.2">
      <c r="A47" s="1031" t="s">
        <v>38</v>
      </c>
      <c r="B47" s="1032"/>
      <c r="C47" s="1032"/>
      <c r="D47" s="710" t="s">
        <v>147</v>
      </c>
      <c r="E47" s="1012" t="s">
        <v>142</v>
      </c>
      <c r="F47" s="1012"/>
      <c r="G47" s="1013"/>
    </row>
    <row r="48" spans="1:7" ht="13.5" thickBot="1" x14ac:dyDescent="0.25">
      <c r="A48" s="1033" t="s">
        <v>39</v>
      </c>
      <c r="B48" s="1034"/>
      <c r="C48" s="1034"/>
      <c r="D48" s="762" t="s">
        <v>148</v>
      </c>
      <c r="E48" s="1035" t="s">
        <v>0</v>
      </c>
      <c r="F48" s="1036"/>
      <c r="G48" s="1037"/>
    </row>
    <row r="49" spans="1:9" ht="16.5" x14ac:dyDescent="0.2">
      <c r="A49" s="997" t="s">
        <v>29</v>
      </c>
      <c r="B49" s="998"/>
      <c r="C49" s="998"/>
      <c r="D49" s="998"/>
      <c r="E49" s="998"/>
      <c r="F49" s="998"/>
      <c r="G49" s="999"/>
      <c r="H49" s="713">
        <v>2</v>
      </c>
    </row>
    <row r="50" spans="1:9" x14ac:dyDescent="0.2">
      <c r="A50" s="1000" t="s">
        <v>48</v>
      </c>
      <c r="B50" s="1001"/>
      <c r="C50" s="1001"/>
      <c r="D50" s="1001"/>
      <c r="E50" s="1001"/>
      <c r="F50" s="1001"/>
      <c r="G50" s="1002"/>
      <c r="H50" s="804" t="s">
        <v>3556</v>
      </c>
      <c r="I50" s="804" t="s">
        <v>3556</v>
      </c>
    </row>
    <row r="51" spans="1:9" x14ac:dyDescent="0.2">
      <c r="A51" s="1045" t="s">
        <v>49</v>
      </c>
      <c r="B51" s="1046"/>
      <c r="C51" s="1046"/>
      <c r="D51" s="1046"/>
      <c r="E51" s="1046"/>
      <c r="F51" s="1046"/>
      <c r="G51" s="1047"/>
      <c r="H51" s="804"/>
    </row>
    <row r="52" spans="1:9" x14ac:dyDescent="0.2">
      <c r="A52" s="732"/>
      <c r="B52" s="733"/>
      <c r="C52" s="734"/>
      <c r="D52" s="735"/>
      <c r="E52" s="733"/>
      <c r="F52" s="736"/>
      <c r="G52" s="737" t="s">
        <v>20</v>
      </c>
    </row>
    <row r="53" spans="1:9" x14ac:dyDescent="0.2">
      <c r="A53" s="738" t="s">
        <v>1</v>
      </c>
      <c r="B53" s="739"/>
      <c r="C53" s="682" t="s">
        <v>7</v>
      </c>
      <c r="D53" s="739"/>
      <c r="E53" s="683" t="s">
        <v>3568</v>
      </c>
      <c r="F53" s="684"/>
      <c r="G53" s="685" t="s">
        <v>3559</v>
      </c>
    </row>
    <row r="54" spans="1:9" x14ac:dyDescent="0.2">
      <c r="A54" s="741" t="s">
        <v>8</v>
      </c>
      <c r="B54" s="648"/>
      <c r="C54" s="688"/>
      <c r="D54" s="731"/>
      <c r="E54" s="1048"/>
      <c r="F54" s="1049"/>
      <c r="G54" s="742"/>
    </row>
    <row r="55" spans="1:9" x14ac:dyDescent="0.2">
      <c r="A55" s="670" t="s">
        <v>37</v>
      </c>
      <c r="B55" s="669"/>
      <c r="C55" s="669"/>
      <c r="D55" s="669"/>
      <c r="E55" s="743" t="s">
        <v>46</v>
      </c>
      <c r="F55" s="744"/>
      <c r="G55" s="742" t="s">
        <v>50</v>
      </c>
    </row>
    <row r="56" spans="1:9" ht="26.25" customHeight="1" x14ac:dyDescent="0.2">
      <c r="A56" s="732"/>
      <c r="B56" s="733"/>
      <c r="C56" s="734"/>
      <c r="D56" s="734"/>
      <c r="E56" s="1050"/>
      <c r="F56" s="1051"/>
      <c r="G56" s="745"/>
    </row>
    <row r="57" spans="1:9" ht="26.25" thickBot="1" x14ac:dyDescent="0.25">
      <c r="A57" s="694" t="s">
        <v>47</v>
      </c>
      <c r="B57" s="110" t="s">
        <v>23</v>
      </c>
      <c r="C57" s="110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9" ht="13.5" thickTop="1" x14ac:dyDescent="0.2">
      <c r="A58" s="861">
        <v>1</v>
      </c>
      <c r="B58" s="862"/>
      <c r="C58" s="862" t="s">
        <v>177</v>
      </c>
      <c r="D58" s="376" t="s">
        <v>3563</v>
      </c>
      <c r="E58" s="158">
        <v>2</v>
      </c>
      <c r="F58" s="163">
        <v>76380</v>
      </c>
      <c r="G58" s="748">
        <f>F58*E58</f>
        <v>152760</v>
      </c>
      <c r="I58" s="720" t="s">
        <v>3553</v>
      </c>
    </row>
    <row r="59" spans="1:9" x14ac:dyDescent="0.2">
      <c r="A59" s="746">
        <v>2</v>
      </c>
      <c r="B59" s="749"/>
      <c r="C59" s="135" t="s">
        <v>185</v>
      </c>
      <c r="D59" s="370" t="s">
        <v>3562</v>
      </c>
      <c r="E59" s="205">
        <v>1</v>
      </c>
      <c r="F59" s="163">
        <v>56373</v>
      </c>
      <c r="G59" s="748">
        <f t="shared" ref="G59:G63" si="1">F59*E59</f>
        <v>56373</v>
      </c>
      <c r="I59" s="863">
        <v>46478</v>
      </c>
    </row>
    <row r="60" spans="1:9" x14ac:dyDescent="0.2">
      <c r="A60" s="746">
        <v>3</v>
      </c>
      <c r="B60" s="749"/>
      <c r="C60" s="135" t="s">
        <v>185</v>
      </c>
      <c r="D60" s="864" t="s">
        <v>3564</v>
      </c>
      <c r="E60" s="204">
        <v>2</v>
      </c>
      <c r="F60" s="149">
        <v>80548.12</v>
      </c>
      <c r="G60" s="748">
        <f t="shared" si="1"/>
        <v>161096.24</v>
      </c>
    </row>
    <row r="61" spans="1:9" x14ac:dyDescent="0.2">
      <c r="A61" s="746">
        <v>4</v>
      </c>
      <c r="B61" s="749"/>
      <c r="C61" s="719" t="s">
        <v>185</v>
      </c>
      <c r="D61" s="792" t="s">
        <v>3565</v>
      </c>
      <c r="E61" s="108">
        <v>1</v>
      </c>
      <c r="F61" s="163">
        <v>18201.88</v>
      </c>
      <c r="G61" s="748">
        <f t="shared" si="1"/>
        <v>18201.88</v>
      </c>
    </row>
    <row r="62" spans="1:9" x14ac:dyDescent="0.2">
      <c r="A62" s="746">
        <v>5</v>
      </c>
      <c r="B62" s="749"/>
      <c r="C62" s="135" t="s">
        <v>279</v>
      </c>
      <c r="D62" s="376" t="s">
        <v>3566</v>
      </c>
      <c r="E62" s="108">
        <v>1</v>
      </c>
      <c r="F62" s="163">
        <v>46550</v>
      </c>
      <c r="G62" s="748">
        <f t="shared" si="1"/>
        <v>46550</v>
      </c>
    </row>
    <row r="63" spans="1:9" x14ac:dyDescent="0.2">
      <c r="A63" s="746">
        <v>6</v>
      </c>
      <c r="B63" s="408"/>
      <c r="C63" s="135" t="s">
        <v>279</v>
      </c>
      <c r="D63" s="376" t="s">
        <v>3567</v>
      </c>
      <c r="E63" s="108">
        <v>1</v>
      </c>
      <c r="F63" s="163">
        <v>21947</v>
      </c>
      <c r="G63" s="748">
        <f t="shared" si="1"/>
        <v>21947</v>
      </c>
    </row>
    <row r="64" spans="1:9" x14ac:dyDescent="0.2">
      <c r="A64" s="746"/>
      <c r="B64" s="408"/>
      <c r="C64" s="135"/>
      <c r="D64" s="259"/>
      <c r="E64" s="407"/>
      <c r="F64" s="587"/>
      <c r="G64" s="748"/>
    </row>
    <row r="65" spans="1:12" x14ac:dyDescent="0.2">
      <c r="A65" s="746"/>
      <c r="B65" s="408"/>
      <c r="C65" s="135"/>
      <c r="D65" s="259"/>
      <c r="E65" s="407"/>
      <c r="F65" s="411"/>
      <c r="G65" s="748"/>
    </row>
    <row r="66" spans="1:12" x14ac:dyDescent="0.2">
      <c r="A66" s="746"/>
      <c r="B66" s="408"/>
      <c r="C66" s="135"/>
      <c r="D66" s="252"/>
      <c r="E66" s="407"/>
      <c r="F66" s="411"/>
      <c r="G66" s="748"/>
    </row>
    <row r="67" spans="1:12" x14ac:dyDescent="0.2">
      <c r="A67" s="746"/>
      <c r="B67" s="749"/>
      <c r="C67" s="135"/>
      <c r="D67" s="252"/>
      <c r="E67" s="423"/>
      <c r="F67" s="587"/>
      <c r="G67" s="748"/>
    </row>
    <row r="68" spans="1:12" x14ac:dyDescent="0.2">
      <c r="A68" s="746"/>
      <c r="B68" s="413"/>
      <c r="C68" s="135"/>
      <c r="D68" s="259"/>
      <c r="E68" s="423"/>
      <c r="F68" s="587"/>
      <c r="G68" s="748"/>
    </row>
    <row r="69" spans="1:12" x14ac:dyDescent="0.2">
      <c r="A69" s="746"/>
      <c r="B69" s="408"/>
      <c r="C69" s="135"/>
      <c r="D69" s="259"/>
      <c r="E69" s="407"/>
      <c r="F69" s="415"/>
      <c r="G69" s="748"/>
    </row>
    <row r="70" spans="1:12" x14ac:dyDescent="0.2">
      <c r="A70" s="746"/>
      <c r="B70" s="751"/>
      <c r="C70" s="135"/>
      <c r="D70" s="259"/>
      <c r="E70" s="407"/>
      <c r="F70" s="587"/>
      <c r="G70" s="748"/>
    </row>
    <row r="71" spans="1:12" x14ac:dyDescent="0.2">
      <c r="A71" s="746"/>
      <c r="B71" s="751"/>
      <c r="C71" s="135"/>
      <c r="D71" s="259"/>
      <c r="E71" s="407"/>
      <c r="F71" s="587"/>
      <c r="G71" s="748"/>
    </row>
    <row r="72" spans="1:12" x14ac:dyDescent="0.2">
      <c r="A72" s="746"/>
      <c r="B72" s="749"/>
      <c r="C72" s="135"/>
      <c r="D72" s="259"/>
      <c r="E72" s="260"/>
      <c r="F72" s="587"/>
      <c r="G72" s="748"/>
      <c r="L72" s="770"/>
    </row>
    <row r="73" spans="1:12" x14ac:dyDescent="0.2">
      <c r="A73" s="746"/>
      <c r="B73" s="749"/>
      <c r="C73" s="135"/>
      <c r="D73" s="259"/>
      <c r="E73" s="407"/>
      <c r="F73" s="587"/>
      <c r="G73" s="748"/>
      <c r="L73" s="770"/>
    </row>
    <row r="74" spans="1:12" x14ac:dyDescent="0.2">
      <c r="A74" s="746"/>
      <c r="B74" s="413"/>
      <c r="C74" s="135"/>
      <c r="D74" s="259"/>
      <c r="E74" s="771"/>
      <c r="F74" s="752"/>
      <c r="G74" s="748"/>
      <c r="L74" s="770"/>
    </row>
    <row r="75" spans="1:12" x14ac:dyDescent="0.2">
      <c r="A75" s="746"/>
      <c r="B75" s="408"/>
      <c r="C75" s="385"/>
      <c r="D75" s="383"/>
      <c r="E75" s="772"/>
      <c r="F75" s="752"/>
      <c r="G75" s="748"/>
      <c r="L75" s="770"/>
    </row>
    <row r="76" spans="1:12" x14ac:dyDescent="0.2">
      <c r="A76" s="746"/>
      <c r="B76" s="408"/>
      <c r="C76" s="385"/>
      <c r="D76" s="376"/>
      <c r="E76" s="423"/>
      <c r="F76" s="752"/>
      <c r="G76" s="748"/>
    </row>
    <row r="77" spans="1:12" x14ac:dyDescent="0.2">
      <c r="A77" s="746"/>
      <c r="B77" s="408"/>
      <c r="C77" s="385"/>
      <c r="D77" s="376"/>
      <c r="E77" s="423"/>
      <c r="F77" s="752"/>
      <c r="G77" s="748"/>
    </row>
    <row r="78" spans="1:12" x14ac:dyDescent="0.2">
      <c r="A78" s="746"/>
      <c r="B78" s="408"/>
      <c r="C78" s="385"/>
      <c r="D78" s="376"/>
      <c r="E78" s="423"/>
      <c r="F78" s="752"/>
      <c r="G78" s="748"/>
    </row>
    <row r="79" spans="1:12" x14ac:dyDescent="0.2">
      <c r="A79" s="746"/>
      <c r="B79" s="749"/>
      <c r="C79" s="385"/>
      <c r="D79" s="376"/>
      <c r="E79" s="423"/>
      <c r="F79" s="752"/>
      <c r="G79" s="748"/>
    </row>
    <row r="80" spans="1:12" x14ac:dyDescent="0.2">
      <c r="A80" s="746"/>
      <c r="B80" s="749"/>
      <c r="C80" s="385"/>
      <c r="D80" s="376"/>
      <c r="E80" s="423"/>
      <c r="F80" s="752"/>
      <c r="G80" s="748"/>
    </row>
    <row r="81" spans="1:7" x14ac:dyDescent="0.2">
      <c r="A81" s="746"/>
      <c r="B81" s="749"/>
      <c r="C81" s="385"/>
      <c r="D81" s="376"/>
      <c r="E81" s="423"/>
      <c r="F81" s="752"/>
      <c r="G81" s="748"/>
    </row>
    <row r="82" spans="1:7" x14ac:dyDescent="0.2">
      <c r="A82" s="746"/>
      <c r="B82" s="749"/>
      <c r="C82" s="385"/>
      <c r="D82" s="376"/>
      <c r="E82" s="423"/>
      <c r="F82" s="752"/>
      <c r="G82" s="748"/>
    </row>
    <row r="83" spans="1:7" x14ac:dyDescent="0.2">
      <c r="A83" s="746"/>
      <c r="B83" s="749"/>
      <c r="C83" s="385"/>
      <c r="D83" s="376"/>
      <c r="E83" s="423"/>
      <c r="F83" s="752"/>
      <c r="G83" s="748"/>
    </row>
    <row r="84" spans="1:7" x14ac:dyDescent="0.2">
      <c r="A84" s="746"/>
      <c r="B84" s="749"/>
      <c r="C84" s="385"/>
      <c r="D84" s="383"/>
      <c r="E84" s="423"/>
      <c r="F84" s="752"/>
      <c r="G84" s="748"/>
    </row>
    <row r="85" spans="1:7" x14ac:dyDescent="0.2">
      <c r="A85" s="746"/>
      <c r="B85" s="749"/>
      <c r="C85" s="385"/>
      <c r="D85" s="383"/>
      <c r="E85" s="407"/>
      <c r="F85" s="587"/>
      <c r="G85" s="748"/>
    </row>
    <row r="86" spans="1:7" x14ac:dyDescent="0.2">
      <c r="A86" s="746"/>
      <c r="B86" s="749"/>
      <c r="C86" s="385"/>
      <c r="D86" s="376"/>
      <c r="E86" s="407"/>
      <c r="F86" s="587"/>
      <c r="G86" s="748"/>
    </row>
    <row r="87" spans="1:7" x14ac:dyDescent="0.2">
      <c r="A87" s="746"/>
      <c r="B87" s="749"/>
      <c r="C87" s="385"/>
      <c r="D87" s="376"/>
      <c r="E87" s="423"/>
      <c r="F87" s="753"/>
      <c r="G87" s="748"/>
    </row>
    <row r="88" spans="1:7" x14ac:dyDescent="0.2">
      <c r="A88" s="746"/>
      <c r="B88" s="749"/>
      <c r="C88" s="385"/>
      <c r="D88" s="425"/>
      <c r="E88" s="407"/>
      <c r="F88" s="406"/>
      <c r="G88" s="748"/>
    </row>
    <row r="89" spans="1:7" x14ac:dyDescent="0.2">
      <c r="A89" s="746"/>
      <c r="B89" s="749"/>
      <c r="C89" s="385"/>
      <c r="D89" s="383"/>
      <c r="E89" s="407"/>
      <c r="F89" s="406"/>
      <c r="G89" s="748"/>
    </row>
    <row r="90" spans="1:7" ht="13.5" thickBot="1" x14ac:dyDescent="0.25">
      <c r="A90" s="754"/>
      <c r="B90" s="755"/>
      <c r="C90" s="756"/>
      <c r="D90" s="756"/>
      <c r="E90" s="755"/>
      <c r="F90" s="705" t="s">
        <v>15</v>
      </c>
      <c r="G90" s="706">
        <f>SUM(G58:G89)</f>
        <v>456928.12</v>
      </c>
    </row>
    <row r="91" spans="1:7" ht="13.5" thickTop="1" x14ac:dyDescent="0.2">
      <c r="A91" s="985" t="s">
        <v>244</v>
      </c>
      <c r="B91" s="980"/>
      <c r="C91" s="980"/>
      <c r="D91" s="980"/>
      <c r="E91" s="980"/>
      <c r="F91" s="980"/>
      <c r="G91" s="981"/>
    </row>
    <row r="92" spans="1:7" ht="13.5" thickBot="1" x14ac:dyDescent="0.25">
      <c r="A92" s="757"/>
      <c r="B92" s="758"/>
      <c r="C92" s="758"/>
      <c r="D92" s="759"/>
      <c r="E92" s="758"/>
      <c r="F92" s="614"/>
      <c r="G92" s="590"/>
    </row>
    <row r="93" spans="1:7" ht="13.5" thickTop="1" x14ac:dyDescent="0.2">
      <c r="A93" s="1038"/>
      <c r="B93" s="1039"/>
      <c r="C93" s="1039"/>
      <c r="D93" s="760" t="s">
        <v>11</v>
      </c>
      <c r="E93" s="1040" t="s">
        <v>12</v>
      </c>
      <c r="F93" s="1040"/>
      <c r="G93" s="1041"/>
    </row>
    <row r="94" spans="1:7" ht="27.75" customHeight="1" x14ac:dyDescent="0.2">
      <c r="A94" s="1031" t="s">
        <v>17</v>
      </c>
      <c r="B94" s="1032"/>
      <c r="C94" s="1032"/>
      <c r="D94" s="761"/>
      <c r="E94" s="1042"/>
      <c r="F94" s="1043"/>
      <c r="G94" s="1044"/>
    </row>
    <row r="95" spans="1:7" x14ac:dyDescent="0.2">
      <c r="A95" s="1031" t="s">
        <v>38</v>
      </c>
      <c r="B95" s="1032"/>
      <c r="C95" s="1032"/>
      <c r="D95" s="710" t="s">
        <v>147</v>
      </c>
      <c r="E95" s="1012" t="s">
        <v>142</v>
      </c>
      <c r="F95" s="1012"/>
      <c r="G95" s="1013"/>
    </row>
    <row r="96" spans="1:7" ht="13.5" thickBot="1" x14ac:dyDescent="0.25">
      <c r="A96" s="1033" t="s">
        <v>39</v>
      </c>
      <c r="B96" s="1034"/>
      <c r="C96" s="1034"/>
      <c r="D96" s="762" t="s">
        <v>148</v>
      </c>
      <c r="E96" s="1035" t="s">
        <v>0</v>
      </c>
      <c r="F96" s="1036"/>
      <c r="G96" s="1037"/>
    </row>
  </sheetData>
  <mergeCells count="28"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E6:F6"/>
    <mergeCell ref="E8:F8"/>
    <mergeCell ref="A1:G1"/>
    <mergeCell ref="A2:G2"/>
    <mergeCell ref="A3:G3"/>
    <mergeCell ref="A49:G49"/>
    <mergeCell ref="A50:G50"/>
    <mergeCell ref="A51:G51"/>
    <mergeCell ref="E54:F54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</mergeCells>
  <phoneticPr fontId="48" type="noConversion"/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9"/>
  <sheetViews>
    <sheetView zoomScale="110" zoomScaleNormal="110" workbookViewId="0">
      <selection activeCell="K23" sqref="K23"/>
    </sheetView>
  </sheetViews>
  <sheetFormatPr defaultRowHeight="12.75" x14ac:dyDescent="0.2"/>
  <cols>
    <col min="1" max="1" width="6.42578125" style="250" customWidth="1"/>
    <col min="2" max="2" width="6.5703125" style="711" customWidth="1"/>
    <col min="3" max="3" width="10.42578125" style="673" customWidth="1"/>
    <col min="4" max="4" width="36" style="250" customWidth="1"/>
    <col min="5" max="5" width="9.28515625" style="711" customWidth="1"/>
    <col min="6" max="6" width="12.140625" style="712" customWidth="1"/>
    <col min="7" max="7" width="14.85546875" style="250" customWidth="1"/>
    <col min="8" max="8" width="10.28515625" style="250" bestFit="1" customWidth="1"/>
    <col min="9" max="9" width="11.28515625" style="250" customWidth="1"/>
    <col min="10" max="12" width="9.140625" style="250"/>
    <col min="13" max="13" width="9.42578125" style="250" bestFit="1" customWidth="1"/>
    <col min="14" max="16384" width="9.140625" style="250"/>
  </cols>
  <sheetData>
    <row r="1" spans="1:14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14" x14ac:dyDescent="0.2">
      <c r="A2" s="1000" t="s">
        <v>48</v>
      </c>
      <c r="B2" s="1001"/>
      <c r="C2" s="1001"/>
      <c r="D2" s="1001"/>
      <c r="E2" s="1001"/>
      <c r="F2" s="1001"/>
      <c r="G2" s="1002"/>
      <c r="H2" s="819">
        <v>46141</v>
      </c>
      <c r="I2" s="819">
        <v>46142</v>
      </c>
    </row>
    <row r="3" spans="1:14" x14ac:dyDescent="0.2">
      <c r="A3" s="1003" t="s">
        <v>49</v>
      </c>
      <c r="B3" s="1004"/>
      <c r="C3" s="1004"/>
      <c r="D3" s="1004"/>
      <c r="E3" s="1004"/>
      <c r="F3" s="1004"/>
      <c r="G3" s="1005"/>
    </row>
    <row r="4" spans="1:14" x14ac:dyDescent="0.2">
      <c r="A4" s="674"/>
      <c r="B4" s="675"/>
      <c r="C4" s="676"/>
      <c r="D4" s="677"/>
      <c r="E4" s="675"/>
      <c r="F4" s="678"/>
      <c r="G4" s="737" t="s">
        <v>20</v>
      </c>
    </row>
    <row r="5" spans="1:14" x14ac:dyDescent="0.2">
      <c r="A5" s="680" t="s">
        <v>1</v>
      </c>
      <c r="B5" s="681"/>
      <c r="C5" s="682" t="s">
        <v>7</v>
      </c>
      <c r="D5" s="681"/>
      <c r="E5" s="683" t="s">
        <v>3574</v>
      </c>
      <c r="F5" s="740"/>
      <c r="G5" s="685" t="s">
        <v>3573</v>
      </c>
    </row>
    <row r="6" spans="1:14" x14ac:dyDescent="0.2">
      <c r="A6" s="686" t="s">
        <v>8</v>
      </c>
      <c r="B6" s="687"/>
      <c r="C6" s="688"/>
      <c r="D6" s="673"/>
      <c r="E6" s="1006"/>
      <c r="F6" s="1007"/>
      <c r="G6" s="689"/>
    </row>
    <row r="7" spans="1:14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50</v>
      </c>
    </row>
    <row r="8" spans="1:14" x14ac:dyDescent="0.2">
      <c r="A8" s="674"/>
      <c r="B8" s="675"/>
      <c r="C8" s="676"/>
      <c r="D8" s="676"/>
      <c r="E8" s="1008"/>
      <c r="F8" s="1009"/>
      <c r="G8" s="693"/>
    </row>
    <row r="9" spans="1:14" ht="26.25" customHeight="1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4" ht="13.5" thickTop="1" x14ac:dyDescent="0.2">
      <c r="A10" s="695"/>
      <c r="B10" s="698"/>
      <c r="C10" s="135"/>
      <c r="D10" s="850" t="s">
        <v>3569</v>
      </c>
      <c r="E10" s="402"/>
      <c r="F10" s="163"/>
      <c r="G10" s="697"/>
    </row>
    <row r="11" spans="1:14" x14ac:dyDescent="0.2">
      <c r="A11" s="695">
        <v>1</v>
      </c>
      <c r="B11" s="698"/>
      <c r="C11" s="135" t="s">
        <v>153</v>
      </c>
      <c r="D11" s="259" t="s">
        <v>3046</v>
      </c>
      <c r="E11" s="402">
        <v>2</v>
      </c>
      <c r="F11" s="163">
        <v>2475</v>
      </c>
      <c r="G11" s="697">
        <f>F11*E11</f>
        <v>4950</v>
      </c>
      <c r="H11" s="402">
        <v>5</v>
      </c>
    </row>
    <row r="12" spans="1:14" x14ac:dyDescent="0.2">
      <c r="A12" s="695"/>
      <c r="B12" s="776"/>
      <c r="C12" s="719"/>
      <c r="D12" s="832" t="s">
        <v>3044</v>
      </c>
      <c r="E12" s="541"/>
      <c r="F12" s="780"/>
      <c r="G12" s="697"/>
    </row>
    <row r="13" spans="1:14" x14ac:dyDescent="0.2">
      <c r="A13" s="695"/>
      <c r="B13" s="776"/>
      <c r="C13" s="719"/>
      <c r="D13" s="832" t="s">
        <v>3047</v>
      </c>
      <c r="E13" s="541"/>
      <c r="F13" s="780"/>
      <c r="G13" s="697"/>
    </row>
    <row r="14" spans="1:14" x14ac:dyDescent="0.2">
      <c r="A14" s="695">
        <v>2</v>
      </c>
      <c r="B14" s="698"/>
      <c r="C14" s="135" t="s">
        <v>185</v>
      </c>
      <c r="D14" s="259" t="s">
        <v>3145</v>
      </c>
      <c r="E14" s="407">
        <v>6</v>
      </c>
      <c r="F14" s="163">
        <v>17200</v>
      </c>
      <c r="G14" s="697">
        <f t="shared" ref="G14:G17" si="0">F14*E14</f>
        <v>103200</v>
      </c>
      <c r="J14" s="719" t="s">
        <v>153</v>
      </c>
      <c r="K14" s="259" t="s">
        <v>3570</v>
      </c>
      <c r="L14" s="541">
        <v>5</v>
      </c>
      <c r="M14" s="149">
        <v>3360</v>
      </c>
      <c r="N14" s="250">
        <v>0</v>
      </c>
    </row>
    <row r="15" spans="1:14" x14ac:dyDescent="0.2">
      <c r="A15" s="695">
        <v>3</v>
      </c>
      <c r="B15" s="105"/>
      <c r="C15" s="135" t="s">
        <v>375</v>
      </c>
      <c r="D15" s="259" t="s">
        <v>3571</v>
      </c>
      <c r="E15" s="407">
        <v>1</v>
      </c>
      <c r="F15" s="163">
        <v>2450</v>
      </c>
      <c r="G15" s="697">
        <f t="shared" si="0"/>
        <v>2450</v>
      </c>
      <c r="H15" s="407">
        <v>5</v>
      </c>
      <c r="J15" s="719"/>
      <c r="K15" s="832" t="s">
        <v>3044</v>
      </c>
      <c r="L15" s="541"/>
      <c r="M15" s="816"/>
    </row>
    <row r="16" spans="1:14" x14ac:dyDescent="0.2">
      <c r="A16" s="695"/>
      <c r="B16" s="786"/>
      <c r="C16" s="831"/>
      <c r="D16" s="832" t="s">
        <v>3572</v>
      </c>
      <c r="E16" s="796"/>
      <c r="F16" s="780"/>
      <c r="G16" s="697"/>
      <c r="J16" s="719"/>
      <c r="K16" s="832" t="s">
        <v>3047</v>
      </c>
      <c r="L16" s="541"/>
      <c r="M16" s="816"/>
    </row>
    <row r="17" spans="1:8" x14ac:dyDescent="0.2">
      <c r="A17" s="695">
        <v>4</v>
      </c>
      <c r="B17" s="105"/>
      <c r="C17" s="135" t="s">
        <v>187</v>
      </c>
      <c r="D17" s="259" t="s">
        <v>3165</v>
      </c>
      <c r="E17" s="108">
        <v>119</v>
      </c>
      <c r="F17" s="163">
        <v>78.7</v>
      </c>
      <c r="G17" s="697">
        <f t="shared" si="0"/>
        <v>9365.3000000000011</v>
      </c>
      <c r="H17" s="108">
        <v>150</v>
      </c>
    </row>
    <row r="18" spans="1:8" x14ac:dyDescent="0.2">
      <c r="A18" s="695"/>
      <c r="B18" s="105"/>
      <c r="C18" s="135"/>
      <c r="D18" s="259"/>
      <c r="E18" s="255"/>
      <c r="F18" s="150"/>
      <c r="G18" s="697"/>
    </row>
    <row r="19" spans="1:8" x14ac:dyDescent="0.2">
      <c r="A19" s="695"/>
      <c r="B19" s="106"/>
      <c r="C19" s="135"/>
      <c r="D19" s="259"/>
      <c r="E19" s="722"/>
      <c r="F19" s="163"/>
      <c r="G19" s="697"/>
    </row>
    <row r="20" spans="1:8" x14ac:dyDescent="0.2">
      <c r="A20" s="695"/>
      <c r="B20" s="105"/>
      <c r="C20" s="135"/>
      <c r="D20" s="259"/>
      <c r="E20" s="338"/>
      <c r="F20" s="152"/>
      <c r="G20" s="697"/>
    </row>
    <row r="21" spans="1:8" x14ac:dyDescent="0.2">
      <c r="A21" s="695"/>
      <c r="B21" s="700"/>
      <c r="C21" s="135"/>
      <c r="D21" s="259"/>
      <c r="E21" s="255"/>
      <c r="F21" s="163"/>
      <c r="G21" s="697"/>
    </row>
    <row r="22" spans="1:8" x14ac:dyDescent="0.2">
      <c r="A22" s="695"/>
      <c r="B22" s="700"/>
      <c r="C22" s="135"/>
      <c r="D22" s="259"/>
      <c r="E22" s="255"/>
      <c r="F22" s="163"/>
      <c r="G22" s="697"/>
    </row>
    <row r="23" spans="1:8" x14ac:dyDescent="0.2">
      <c r="A23" s="695"/>
      <c r="B23" s="698"/>
      <c r="C23" s="135"/>
      <c r="D23" s="259"/>
      <c r="E23" s="339"/>
      <c r="F23" s="163"/>
      <c r="G23" s="697"/>
    </row>
    <row r="24" spans="1:8" x14ac:dyDescent="0.2">
      <c r="A24" s="695"/>
      <c r="B24" s="698"/>
      <c r="C24" s="135"/>
      <c r="D24" s="259"/>
      <c r="E24" s="338"/>
      <c r="F24" s="163"/>
      <c r="G24" s="697"/>
    </row>
    <row r="25" spans="1:8" x14ac:dyDescent="0.2">
      <c r="A25" s="695"/>
      <c r="B25" s="776"/>
      <c r="C25" s="831"/>
      <c r="D25" s="832"/>
      <c r="E25" s="865"/>
      <c r="F25" s="780"/>
      <c r="G25" s="697"/>
    </row>
    <row r="26" spans="1:8" x14ac:dyDescent="0.2">
      <c r="A26" s="695"/>
      <c r="B26" s="776"/>
      <c r="C26" s="831"/>
      <c r="D26" s="832"/>
      <c r="E26" s="865"/>
      <c r="F26" s="780"/>
      <c r="G26" s="697"/>
    </row>
    <row r="27" spans="1:8" x14ac:dyDescent="0.2">
      <c r="A27" s="695"/>
      <c r="B27" s="776"/>
      <c r="C27" s="831"/>
      <c r="D27" s="832"/>
      <c r="E27" s="865"/>
      <c r="F27" s="780"/>
      <c r="G27" s="697"/>
    </row>
    <row r="28" spans="1:8" x14ac:dyDescent="0.2">
      <c r="A28" s="695"/>
      <c r="B28" s="106"/>
      <c r="C28" s="135"/>
      <c r="D28" s="259"/>
      <c r="E28" s="723"/>
      <c r="F28" s="717"/>
      <c r="G28" s="697"/>
    </row>
    <row r="29" spans="1:8" x14ac:dyDescent="0.2">
      <c r="A29" s="695"/>
      <c r="B29" s="105"/>
      <c r="C29" s="119"/>
      <c r="D29" s="144"/>
      <c r="E29" s="716"/>
      <c r="F29" s="717"/>
      <c r="G29" s="697"/>
    </row>
    <row r="30" spans="1:8" x14ac:dyDescent="0.2">
      <c r="A30" s="695"/>
      <c r="B30" s="105"/>
      <c r="C30" s="119"/>
      <c r="D30" s="136"/>
      <c r="E30" s="131"/>
      <c r="F30" s="717"/>
      <c r="G30" s="697"/>
    </row>
    <row r="31" spans="1:8" x14ac:dyDescent="0.2">
      <c r="A31" s="695"/>
      <c r="B31" s="105"/>
      <c r="C31" s="119"/>
      <c r="D31" s="136"/>
      <c r="E31" s="131"/>
      <c r="F31" s="717"/>
      <c r="G31" s="697"/>
    </row>
    <row r="32" spans="1:8" x14ac:dyDescent="0.2">
      <c r="A32" s="695"/>
      <c r="B32" s="105"/>
      <c r="C32" s="119"/>
      <c r="D32" s="136" t="s">
        <v>8</v>
      </c>
      <c r="E32" s="131"/>
      <c r="F32" s="717"/>
      <c r="G32" s="697"/>
    </row>
    <row r="33" spans="1:7" x14ac:dyDescent="0.2">
      <c r="A33" s="695"/>
      <c r="B33" s="105"/>
      <c r="C33" s="119"/>
      <c r="D33" s="136" t="s">
        <v>8</v>
      </c>
      <c r="E33" s="131"/>
      <c r="F33" s="717"/>
      <c r="G33" s="697"/>
    </row>
    <row r="34" spans="1:7" x14ac:dyDescent="0.2">
      <c r="A34" s="695"/>
      <c r="B34" s="698"/>
      <c r="C34" s="119"/>
      <c r="D34" s="136"/>
      <c r="E34" s="131"/>
      <c r="F34" s="717"/>
      <c r="G34" s="697"/>
    </row>
    <row r="35" spans="1:7" x14ac:dyDescent="0.2">
      <c r="A35" s="695"/>
      <c r="B35" s="698"/>
      <c r="C35" s="119"/>
      <c r="D35" s="136"/>
      <c r="E35" s="131"/>
      <c r="F35" s="717"/>
      <c r="G35" s="697"/>
    </row>
    <row r="36" spans="1:7" x14ac:dyDescent="0.2">
      <c r="A36" s="695"/>
      <c r="B36" s="698"/>
      <c r="C36" s="119"/>
      <c r="D36" s="136"/>
      <c r="E36" s="131"/>
      <c r="F36" s="717"/>
      <c r="G36" s="697"/>
    </row>
    <row r="37" spans="1:7" x14ac:dyDescent="0.2">
      <c r="A37" s="695"/>
      <c r="B37" s="698"/>
      <c r="C37" s="119"/>
      <c r="D37" s="136"/>
      <c r="E37" s="131"/>
      <c r="F37" s="717"/>
      <c r="G37" s="697"/>
    </row>
    <row r="38" spans="1:7" x14ac:dyDescent="0.2">
      <c r="A38" s="695"/>
      <c r="B38" s="698"/>
      <c r="C38" s="119"/>
      <c r="D38" s="136"/>
      <c r="E38" s="131"/>
      <c r="F38" s="717"/>
      <c r="G38" s="697"/>
    </row>
    <row r="39" spans="1:7" x14ac:dyDescent="0.2">
      <c r="A39" s="695"/>
      <c r="B39" s="698"/>
      <c r="C39" s="119"/>
      <c r="D39" s="136"/>
      <c r="E39" s="108"/>
      <c r="F39" s="163"/>
      <c r="G39" s="697"/>
    </row>
    <row r="40" spans="1:7" x14ac:dyDescent="0.2">
      <c r="A40" s="695"/>
      <c r="B40" s="698"/>
      <c r="C40" s="119"/>
      <c r="D40" s="136"/>
      <c r="E40" s="108"/>
      <c r="F40" s="163"/>
      <c r="G40" s="697"/>
    </row>
    <row r="41" spans="1:7" x14ac:dyDescent="0.2">
      <c r="A41" s="695"/>
      <c r="B41" s="698"/>
      <c r="C41" s="119"/>
      <c r="D41" s="118"/>
      <c r="E41" s="108"/>
      <c r="F41" s="149"/>
      <c r="G41" s="697"/>
    </row>
    <row r="42" spans="1:7" x14ac:dyDescent="0.2">
      <c r="A42" s="695"/>
      <c r="B42" s="698"/>
      <c r="C42" s="119"/>
      <c r="D42" s="144"/>
      <c r="E42" s="108"/>
      <c r="F42" s="149"/>
      <c r="G42" s="697"/>
    </row>
    <row r="43" spans="1:7" ht="13.5" thickBot="1" x14ac:dyDescent="0.25">
      <c r="A43" s="702"/>
      <c r="B43" s="703"/>
      <c r="C43" s="704"/>
      <c r="D43" s="704"/>
      <c r="E43" s="703"/>
      <c r="F43" s="705" t="s">
        <v>15</v>
      </c>
      <c r="G43" s="706">
        <f>SUM(G10:G42)</f>
        <v>119965.3</v>
      </c>
    </row>
    <row r="44" spans="1:7" ht="13.5" thickTop="1" x14ac:dyDescent="0.2">
      <c r="A44" s="1030" t="s">
        <v>184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7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</sheetData>
  <mergeCells count="14"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1:G1"/>
    <mergeCell ref="A2:G2"/>
    <mergeCell ref="A3:G3"/>
    <mergeCell ref="E6:F6"/>
    <mergeCell ref="E8:F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98"/>
  <sheetViews>
    <sheetView topLeftCell="A46" zoomScale="110" zoomScaleNormal="110" workbookViewId="0">
      <selection activeCell="G61" sqref="G61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85546875" style="250" customWidth="1"/>
    <col min="5" max="5" width="8.85546875" style="711" customWidth="1"/>
    <col min="6" max="6" width="11.85546875" style="712" customWidth="1"/>
    <col min="7" max="7" width="15.28515625" style="250" customWidth="1"/>
    <col min="8" max="8" width="10.28515625" style="250" bestFit="1" customWidth="1"/>
    <col min="9" max="9" width="11.28515625" style="250" customWidth="1"/>
    <col min="10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3066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804" t="s">
        <v>3180</v>
      </c>
    </row>
    <row r="4" spans="1:8" x14ac:dyDescent="0.2">
      <c r="A4" s="674"/>
      <c r="B4" s="675"/>
      <c r="C4" s="676"/>
      <c r="D4" s="677"/>
      <c r="E4" s="675"/>
      <c r="F4" s="678"/>
      <c r="G4" s="679" t="s">
        <v>20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3181</v>
      </c>
      <c r="F5" s="684"/>
      <c r="G5" s="685" t="s">
        <v>3177</v>
      </c>
      <c r="H5" s="720"/>
    </row>
    <row r="6" spans="1:8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190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746">
        <v>1</v>
      </c>
      <c r="B10" s="749"/>
      <c r="C10" s="135" t="s">
        <v>2779</v>
      </c>
      <c r="D10" s="259" t="s">
        <v>3128</v>
      </c>
      <c r="E10" s="402">
        <v>3</v>
      </c>
      <c r="F10" s="163">
        <v>38078</v>
      </c>
      <c r="G10" s="773">
        <f>F10*E10</f>
        <v>114234</v>
      </c>
    </row>
    <row r="11" spans="1:8" x14ac:dyDescent="0.2">
      <c r="A11" s="746">
        <v>2</v>
      </c>
      <c r="B11" s="749"/>
      <c r="C11" s="135" t="s">
        <v>2779</v>
      </c>
      <c r="D11" s="259" t="s">
        <v>3129</v>
      </c>
      <c r="E11" s="402">
        <v>5</v>
      </c>
      <c r="F11" s="163">
        <v>29542</v>
      </c>
      <c r="G11" s="773">
        <f t="shared" ref="G11:G27" si="0">F11*E11</f>
        <v>147710</v>
      </c>
    </row>
    <row r="12" spans="1:8" x14ac:dyDescent="0.2">
      <c r="A12" s="746">
        <v>3</v>
      </c>
      <c r="B12" s="749"/>
      <c r="C12" s="719" t="s">
        <v>2779</v>
      </c>
      <c r="D12" s="259" t="s">
        <v>3130</v>
      </c>
      <c r="E12" s="541">
        <v>5</v>
      </c>
      <c r="F12" s="163">
        <v>33483</v>
      </c>
      <c r="G12" s="773">
        <f t="shared" si="0"/>
        <v>167415</v>
      </c>
    </row>
    <row r="13" spans="1:8" x14ac:dyDescent="0.2">
      <c r="A13" s="746">
        <v>4</v>
      </c>
      <c r="B13" s="749"/>
      <c r="C13" s="135" t="s">
        <v>2779</v>
      </c>
      <c r="D13" s="259" t="s">
        <v>3131</v>
      </c>
      <c r="E13" s="407">
        <v>5</v>
      </c>
      <c r="F13" s="163">
        <v>33483</v>
      </c>
      <c r="G13" s="773">
        <f t="shared" si="0"/>
        <v>167415</v>
      </c>
    </row>
    <row r="14" spans="1:8" x14ac:dyDescent="0.2">
      <c r="A14" s="746">
        <v>5</v>
      </c>
      <c r="B14" s="408"/>
      <c r="C14" s="135" t="s">
        <v>2779</v>
      </c>
      <c r="D14" s="259" t="s">
        <v>3132</v>
      </c>
      <c r="E14" s="407">
        <v>5</v>
      </c>
      <c r="F14" s="163">
        <v>34321</v>
      </c>
      <c r="G14" s="773">
        <f t="shared" si="0"/>
        <v>171605</v>
      </c>
    </row>
    <row r="15" spans="1:8" x14ac:dyDescent="0.2">
      <c r="A15" s="746">
        <v>6</v>
      </c>
      <c r="B15" s="105"/>
      <c r="C15" s="119" t="s">
        <v>2779</v>
      </c>
      <c r="D15" s="383" t="s">
        <v>3133</v>
      </c>
      <c r="E15" s="108">
        <v>6</v>
      </c>
      <c r="F15" s="150">
        <v>78909</v>
      </c>
      <c r="G15" s="773">
        <f t="shared" si="0"/>
        <v>473454</v>
      </c>
    </row>
    <row r="16" spans="1:8" x14ac:dyDescent="0.2">
      <c r="A16" s="746">
        <v>7</v>
      </c>
      <c r="B16" s="105"/>
      <c r="C16" s="119" t="s">
        <v>2779</v>
      </c>
      <c r="D16" s="383" t="s">
        <v>3134</v>
      </c>
      <c r="E16" s="108">
        <v>5</v>
      </c>
      <c r="F16" s="150">
        <v>25734</v>
      </c>
      <c r="G16" s="773">
        <f t="shared" si="0"/>
        <v>128670</v>
      </c>
    </row>
    <row r="17" spans="1:8" x14ac:dyDescent="0.2">
      <c r="A17" s="746">
        <v>8</v>
      </c>
      <c r="B17" s="698"/>
      <c r="C17" s="119" t="s">
        <v>2779</v>
      </c>
      <c r="D17" s="383" t="s">
        <v>3135</v>
      </c>
      <c r="E17" s="131">
        <v>5</v>
      </c>
      <c r="F17" s="163">
        <v>24619</v>
      </c>
      <c r="G17" s="773">
        <f t="shared" si="0"/>
        <v>123095</v>
      </c>
    </row>
    <row r="18" spans="1:8" x14ac:dyDescent="0.2">
      <c r="A18" s="746">
        <v>9</v>
      </c>
      <c r="B18" s="106"/>
      <c r="C18" s="119" t="s">
        <v>2779</v>
      </c>
      <c r="D18" s="383" t="s">
        <v>3136</v>
      </c>
      <c r="E18" s="131">
        <v>5</v>
      </c>
      <c r="F18" s="163">
        <v>46069</v>
      </c>
      <c r="G18" s="773">
        <f t="shared" si="0"/>
        <v>230345</v>
      </c>
    </row>
    <row r="19" spans="1:8" x14ac:dyDescent="0.2">
      <c r="A19" s="746">
        <v>10</v>
      </c>
      <c r="B19" s="105"/>
      <c r="C19" s="119" t="s">
        <v>2779</v>
      </c>
      <c r="D19" s="383" t="s">
        <v>3137</v>
      </c>
      <c r="E19" s="260">
        <v>3</v>
      </c>
      <c r="F19" s="152">
        <v>22853</v>
      </c>
      <c r="G19" s="773">
        <f t="shared" si="0"/>
        <v>68559</v>
      </c>
    </row>
    <row r="20" spans="1:8" x14ac:dyDescent="0.2">
      <c r="A20" s="746">
        <v>11</v>
      </c>
      <c r="B20" s="700"/>
      <c r="C20" s="119" t="s">
        <v>2779</v>
      </c>
      <c r="D20" s="383" t="s">
        <v>3138</v>
      </c>
      <c r="E20" s="108">
        <v>3</v>
      </c>
      <c r="F20" s="163">
        <v>63250</v>
      </c>
      <c r="G20" s="773">
        <f t="shared" si="0"/>
        <v>189750</v>
      </c>
    </row>
    <row r="21" spans="1:8" x14ac:dyDescent="0.2">
      <c r="A21" s="746">
        <v>12</v>
      </c>
      <c r="B21" s="700"/>
      <c r="C21" s="119" t="s">
        <v>2779</v>
      </c>
      <c r="D21" s="383" t="s">
        <v>3139</v>
      </c>
      <c r="E21" s="205">
        <v>3</v>
      </c>
      <c r="F21" s="163">
        <v>71300</v>
      </c>
      <c r="G21" s="773">
        <f t="shared" si="0"/>
        <v>213900</v>
      </c>
    </row>
    <row r="22" spans="1:8" x14ac:dyDescent="0.2">
      <c r="A22" s="746">
        <v>13</v>
      </c>
      <c r="B22" s="698"/>
      <c r="C22" s="119" t="s">
        <v>2779</v>
      </c>
      <c r="D22" s="376" t="s">
        <v>3140</v>
      </c>
      <c r="E22" s="108">
        <v>2</v>
      </c>
      <c r="F22" s="163">
        <v>86250</v>
      </c>
      <c r="G22" s="773">
        <f t="shared" si="0"/>
        <v>172500</v>
      </c>
      <c r="H22" s="108">
        <v>3</v>
      </c>
    </row>
    <row r="23" spans="1:8" x14ac:dyDescent="0.2">
      <c r="A23" s="746">
        <v>14</v>
      </c>
      <c r="B23" s="106"/>
      <c r="C23" s="119" t="s">
        <v>185</v>
      </c>
      <c r="D23" s="376" t="s">
        <v>3141</v>
      </c>
      <c r="E23" s="131">
        <v>2</v>
      </c>
      <c r="F23" s="717">
        <v>44940</v>
      </c>
      <c r="G23" s="773">
        <f t="shared" si="0"/>
        <v>89880</v>
      </c>
    </row>
    <row r="24" spans="1:8" x14ac:dyDescent="0.2">
      <c r="A24" s="746">
        <v>15</v>
      </c>
      <c r="B24" s="105"/>
      <c r="C24" s="119" t="s">
        <v>185</v>
      </c>
      <c r="D24" s="383" t="s">
        <v>3142</v>
      </c>
      <c r="E24" s="131">
        <v>6</v>
      </c>
      <c r="F24" s="717">
        <v>93337</v>
      </c>
      <c r="G24" s="773">
        <f t="shared" si="0"/>
        <v>560022</v>
      </c>
    </row>
    <row r="25" spans="1:8" x14ac:dyDescent="0.2">
      <c r="A25" s="746">
        <v>16</v>
      </c>
      <c r="B25" s="105"/>
      <c r="C25" s="119" t="s">
        <v>3127</v>
      </c>
      <c r="D25" s="136" t="s">
        <v>3124</v>
      </c>
      <c r="E25" s="131">
        <v>10</v>
      </c>
      <c r="F25" s="717">
        <v>198500</v>
      </c>
      <c r="G25" s="773">
        <f t="shared" si="0"/>
        <v>1985000</v>
      </c>
    </row>
    <row r="26" spans="1:8" x14ac:dyDescent="0.2">
      <c r="A26" s="746">
        <v>17</v>
      </c>
      <c r="B26" s="698"/>
      <c r="C26" s="119" t="s">
        <v>185</v>
      </c>
      <c r="D26" s="144" t="s">
        <v>3125</v>
      </c>
      <c r="E26" s="131">
        <v>3</v>
      </c>
      <c r="F26" s="717">
        <v>34500</v>
      </c>
      <c r="G26" s="773">
        <f t="shared" si="0"/>
        <v>103500</v>
      </c>
    </row>
    <row r="27" spans="1:8" x14ac:dyDescent="0.2">
      <c r="A27" s="746">
        <v>18</v>
      </c>
      <c r="B27" s="698"/>
      <c r="C27" s="119" t="s">
        <v>185</v>
      </c>
      <c r="D27" s="144" t="s">
        <v>3126</v>
      </c>
      <c r="E27" s="131">
        <v>3</v>
      </c>
      <c r="F27" s="717">
        <v>34500</v>
      </c>
      <c r="G27" s="773">
        <f t="shared" si="0"/>
        <v>103500</v>
      </c>
    </row>
    <row r="28" spans="1:8" x14ac:dyDescent="0.2">
      <c r="A28" s="695"/>
      <c r="B28" s="698"/>
      <c r="C28" s="119"/>
      <c r="D28" s="136"/>
      <c r="E28" s="131"/>
      <c r="F28" s="717"/>
      <c r="G28" s="773"/>
    </row>
    <row r="29" spans="1:8" x14ac:dyDescent="0.2">
      <c r="A29" s="695"/>
      <c r="B29" s="698"/>
      <c r="C29" s="119"/>
      <c r="D29" s="136"/>
      <c r="E29" s="131"/>
      <c r="F29" s="717" t="s">
        <v>152</v>
      </c>
      <c r="G29" s="773"/>
    </row>
    <row r="30" spans="1:8" x14ac:dyDescent="0.2">
      <c r="A30" s="695"/>
      <c r="B30" s="698"/>
      <c r="C30" s="119"/>
      <c r="D30" s="136"/>
      <c r="E30" s="131"/>
      <c r="F30" s="717"/>
      <c r="G30" s="773"/>
    </row>
    <row r="31" spans="1:8" x14ac:dyDescent="0.2">
      <c r="A31" s="695"/>
      <c r="B31" s="698"/>
      <c r="C31" s="119"/>
      <c r="D31" s="136"/>
      <c r="E31" s="131"/>
      <c r="F31" s="717"/>
      <c r="G31" s="773"/>
    </row>
    <row r="32" spans="1:8" x14ac:dyDescent="0.2">
      <c r="A32" s="695"/>
      <c r="B32" s="698"/>
      <c r="C32" s="119"/>
      <c r="D32" s="136"/>
      <c r="E32" s="131"/>
      <c r="F32" s="717"/>
      <c r="G32" s="773"/>
    </row>
    <row r="33" spans="1:7" x14ac:dyDescent="0.2">
      <c r="A33" s="695"/>
      <c r="B33" s="698"/>
      <c r="C33" s="119"/>
      <c r="D33" s="136"/>
      <c r="E33" s="131"/>
      <c r="F33" s="717"/>
      <c r="G33" s="773"/>
    </row>
    <row r="34" spans="1:7" x14ac:dyDescent="0.2">
      <c r="A34" s="695"/>
      <c r="B34" s="698"/>
      <c r="C34" s="119"/>
      <c r="D34" s="144"/>
      <c r="E34" s="131"/>
      <c r="F34" s="717"/>
      <c r="G34" s="773"/>
    </row>
    <row r="35" spans="1:7" x14ac:dyDescent="0.2">
      <c r="A35" s="695"/>
      <c r="B35" s="698"/>
      <c r="C35" s="119"/>
      <c r="D35" s="144"/>
      <c r="E35" s="108"/>
      <c r="F35" s="163"/>
      <c r="G35" s="773"/>
    </row>
    <row r="36" spans="1:7" x14ac:dyDescent="0.2">
      <c r="A36" s="695"/>
      <c r="B36" s="698"/>
      <c r="C36" s="119"/>
      <c r="D36" s="136"/>
      <c r="E36" s="108"/>
      <c r="F36" s="163"/>
      <c r="G36" s="773"/>
    </row>
    <row r="37" spans="1:7" x14ac:dyDescent="0.2">
      <c r="A37" s="695"/>
      <c r="B37" s="698"/>
      <c r="C37" s="119"/>
      <c r="D37" s="136"/>
      <c r="E37" s="108"/>
      <c r="F37" s="163"/>
      <c r="G37" s="773"/>
    </row>
    <row r="38" spans="1:7" x14ac:dyDescent="0.2">
      <c r="A38" s="695"/>
      <c r="B38" s="698"/>
      <c r="C38" s="119"/>
      <c r="D38" s="136"/>
      <c r="E38" s="108"/>
      <c r="F38" s="163"/>
      <c r="G38" s="773"/>
    </row>
    <row r="39" spans="1:7" x14ac:dyDescent="0.2">
      <c r="A39" s="695"/>
      <c r="B39" s="698"/>
      <c r="C39" s="119"/>
      <c r="D39" s="136"/>
      <c r="E39" s="131"/>
      <c r="F39" s="718"/>
      <c r="G39" s="773"/>
    </row>
    <row r="40" spans="1:7" x14ac:dyDescent="0.2">
      <c r="A40" s="695"/>
      <c r="B40" s="698"/>
      <c r="C40" s="119"/>
      <c r="D40" s="144"/>
      <c r="E40" s="108"/>
      <c r="F40" s="149"/>
      <c r="G40" s="773"/>
    </row>
    <row r="41" spans="1:7" x14ac:dyDescent="0.2">
      <c r="A41" s="695"/>
      <c r="B41" s="698"/>
      <c r="C41" s="119"/>
      <c r="D41" s="129"/>
      <c r="E41" s="108"/>
      <c r="F41" s="163"/>
      <c r="G41" s="773"/>
    </row>
    <row r="42" spans="1:7" x14ac:dyDescent="0.2">
      <c r="A42" s="695"/>
      <c r="B42" s="698"/>
      <c r="C42" s="119"/>
      <c r="D42" s="129"/>
      <c r="E42" s="108"/>
      <c r="F42" s="149"/>
      <c r="G42" s="773"/>
    </row>
    <row r="43" spans="1:7" ht="13.5" thickBot="1" x14ac:dyDescent="0.25">
      <c r="A43" s="726"/>
      <c r="B43" s="703"/>
      <c r="C43" s="704"/>
      <c r="D43" s="704"/>
      <c r="E43" s="703"/>
      <c r="F43" s="705" t="s">
        <v>15</v>
      </c>
      <c r="G43" s="706">
        <f>SUM(G10:G42)</f>
        <v>5210554</v>
      </c>
    </row>
    <row r="44" spans="1:7" ht="13.5" thickTop="1" x14ac:dyDescent="0.2">
      <c r="A44" s="985" t="s">
        <v>302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9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  <row r="50" spans="1:9" ht="16.5" x14ac:dyDescent="0.2">
      <c r="A50" s="997" t="s">
        <v>29</v>
      </c>
      <c r="B50" s="998"/>
      <c r="C50" s="998"/>
      <c r="D50" s="998"/>
      <c r="E50" s="998"/>
      <c r="F50" s="998"/>
      <c r="G50" s="999"/>
      <c r="H50" s="713">
        <v>2</v>
      </c>
    </row>
    <row r="51" spans="1:9" x14ac:dyDescent="0.2">
      <c r="A51" s="1000" t="s">
        <v>48</v>
      </c>
      <c r="B51" s="1001"/>
      <c r="C51" s="1001"/>
      <c r="D51" s="1001"/>
      <c r="E51" s="1001"/>
      <c r="F51" s="1001"/>
      <c r="G51" s="1002"/>
      <c r="H51" s="804" t="s">
        <v>3380</v>
      </c>
      <c r="I51" s="804" t="s">
        <v>3536</v>
      </c>
    </row>
    <row r="52" spans="1:9" x14ac:dyDescent="0.2">
      <c r="A52" s="1003" t="s">
        <v>49</v>
      </c>
      <c r="B52" s="1004"/>
      <c r="C52" s="1004"/>
      <c r="D52" s="1004"/>
      <c r="E52" s="1004"/>
      <c r="F52" s="1004"/>
      <c r="G52" s="1005"/>
    </row>
    <row r="53" spans="1:9" x14ac:dyDescent="0.2">
      <c r="A53" s="674"/>
      <c r="B53" s="675"/>
      <c r="C53" s="676"/>
      <c r="D53" s="677"/>
      <c r="E53" s="675"/>
      <c r="F53" s="678"/>
      <c r="G53" s="679" t="s">
        <v>20</v>
      </c>
    </row>
    <row r="54" spans="1:9" x14ac:dyDescent="0.2">
      <c r="A54" s="680" t="s">
        <v>1</v>
      </c>
      <c r="B54" s="681"/>
      <c r="C54" s="682" t="s">
        <v>7</v>
      </c>
      <c r="D54" s="681"/>
      <c r="E54" s="683" t="s">
        <v>3552</v>
      </c>
      <c r="F54" s="684"/>
      <c r="G54" s="685" t="s">
        <v>3551</v>
      </c>
      <c r="H54" s="720"/>
    </row>
    <row r="55" spans="1:9" x14ac:dyDescent="0.2">
      <c r="A55" s="686" t="s">
        <v>8</v>
      </c>
      <c r="B55" s="687"/>
      <c r="C55" s="688"/>
      <c r="D55" s="673"/>
      <c r="E55" s="1006"/>
      <c r="F55" s="1007"/>
      <c r="G55" s="689"/>
    </row>
    <row r="56" spans="1:9" x14ac:dyDescent="0.2">
      <c r="A56" s="690" t="s">
        <v>37</v>
      </c>
      <c r="B56" s="261"/>
      <c r="C56" s="261"/>
      <c r="D56" s="261"/>
      <c r="E56" s="691" t="s">
        <v>46</v>
      </c>
      <c r="F56" s="692"/>
      <c r="G56" s="689" t="s">
        <v>190</v>
      </c>
    </row>
    <row r="57" spans="1:9" x14ac:dyDescent="0.2">
      <c r="A57" s="674"/>
      <c r="B57" s="675"/>
      <c r="C57" s="676"/>
      <c r="D57" s="676"/>
      <c r="E57" s="1008"/>
      <c r="F57" s="1009"/>
      <c r="G57" s="693"/>
    </row>
    <row r="58" spans="1:9" ht="26.25" thickBot="1" x14ac:dyDescent="0.25">
      <c r="A58" s="694" t="s">
        <v>47</v>
      </c>
      <c r="B58" s="110" t="s">
        <v>23</v>
      </c>
      <c r="C58" s="110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746"/>
      <c r="B59" s="749"/>
      <c r="C59" s="135"/>
      <c r="D59" s="259" t="s">
        <v>3522</v>
      </c>
      <c r="E59" s="402"/>
      <c r="F59" s="163"/>
      <c r="G59" s="773"/>
    </row>
    <row r="60" spans="1:9" x14ac:dyDescent="0.2">
      <c r="A60" s="746">
        <v>1</v>
      </c>
      <c r="B60" s="749"/>
      <c r="C60" s="135" t="s">
        <v>185</v>
      </c>
      <c r="D60" s="259" t="s">
        <v>3193</v>
      </c>
      <c r="E60" s="402">
        <v>6</v>
      </c>
      <c r="F60" s="163">
        <v>76380</v>
      </c>
      <c r="G60" s="773">
        <f t="shared" ref="G60:G65" si="1">F60*E60</f>
        <v>458280</v>
      </c>
      <c r="I60" s="720" t="s">
        <v>3523</v>
      </c>
    </row>
    <row r="61" spans="1:9" x14ac:dyDescent="0.2">
      <c r="A61" s="746">
        <v>2</v>
      </c>
      <c r="B61" s="749"/>
      <c r="C61" s="719" t="s">
        <v>185</v>
      </c>
      <c r="D61" s="259" t="s">
        <v>3518</v>
      </c>
      <c r="E61" s="541">
        <v>12</v>
      </c>
      <c r="F61" s="163">
        <v>56373</v>
      </c>
      <c r="G61" s="773">
        <f t="shared" si="1"/>
        <v>676476</v>
      </c>
    </row>
    <row r="62" spans="1:9" x14ac:dyDescent="0.2">
      <c r="A62" s="746">
        <v>3</v>
      </c>
      <c r="B62" s="749"/>
      <c r="C62" s="135" t="s">
        <v>185</v>
      </c>
      <c r="D62" s="259" t="s">
        <v>3519</v>
      </c>
      <c r="E62" s="407">
        <v>12</v>
      </c>
      <c r="F62" s="163">
        <v>80548.12</v>
      </c>
      <c r="G62" s="773">
        <f t="shared" si="1"/>
        <v>966577.44</v>
      </c>
    </row>
    <row r="63" spans="1:9" x14ac:dyDescent="0.2">
      <c r="A63" s="746">
        <v>4</v>
      </c>
      <c r="B63" s="408"/>
      <c r="C63" s="135" t="s">
        <v>185</v>
      </c>
      <c r="D63" s="259" t="s">
        <v>3196</v>
      </c>
      <c r="E63" s="407">
        <v>3</v>
      </c>
      <c r="F63" s="163">
        <v>18201.88</v>
      </c>
      <c r="G63" s="773">
        <f t="shared" si="1"/>
        <v>54605.64</v>
      </c>
    </row>
    <row r="64" spans="1:9" x14ac:dyDescent="0.2">
      <c r="A64" s="746">
        <v>5</v>
      </c>
      <c r="B64" s="105"/>
      <c r="C64" s="385" t="s">
        <v>185</v>
      </c>
      <c r="D64" s="383" t="s">
        <v>3520</v>
      </c>
      <c r="E64" s="108">
        <v>4</v>
      </c>
      <c r="F64" s="150">
        <v>46550</v>
      </c>
      <c r="G64" s="773">
        <f t="shared" si="1"/>
        <v>186200</v>
      </c>
    </row>
    <row r="65" spans="1:8" x14ac:dyDescent="0.2">
      <c r="A65" s="746">
        <v>6</v>
      </c>
      <c r="B65" s="105"/>
      <c r="C65" s="385" t="s">
        <v>185</v>
      </c>
      <c r="D65" s="383" t="s">
        <v>3521</v>
      </c>
      <c r="E65" s="108">
        <v>3</v>
      </c>
      <c r="F65" s="150">
        <v>21947</v>
      </c>
      <c r="G65" s="773">
        <f t="shared" si="1"/>
        <v>65841</v>
      </c>
    </row>
    <row r="66" spans="1:8" x14ac:dyDescent="0.2">
      <c r="A66" s="746"/>
      <c r="B66" s="698"/>
      <c r="C66" s="119"/>
      <c r="D66" s="383"/>
      <c r="E66" s="131"/>
      <c r="F66" s="163"/>
      <c r="G66" s="773"/>
    </row>
    <row r="67" spans="1:8" x14ac:dyDescent="0.2">
      <c r="A67" s="746"/>
      <c r="B67" s="106"/>
      <c r="C67" s="119"/>
      <c r="D67" s="383"/>
      <c r="E67" s="131"/>
      <c r="F67" s="163"/>
      <c r="G67" s="773"/>
    </row>
    <row r="68" spans="1:8" x14ac:dyDescent="0.2">
      <c r="A68" s="746"/>
      <c r="B68" s="105"/>
      <c r="C68" s="119"/>
      <c r="D68" s="383"/>
      <c r="E68" s="260"/>
      <c r="F68" s="152"/>
      <c r="G68" s="773"/>
    </row>
    <row r="69" spans="1:8" x14ac:dyDescent="0.2">
      <c r="A69" s="746"/>
      <c r="B69" s="700"/>
      <c r="C69" s="119"/>
      <c r="D69" s="383"/>
      <c r="E69" s="108"/>
      <c r="F69" s="163"/>
      <c r="G69" s="773"/>
    </row>
    <row r="70" spans="1:8" x14ac:dyDescent="0.2">
      <c r="A70" s="746"/>
      <c r="B70" s="700"/>
      <c r="C70" s="119"/>
      <c r="D70" s="383"/>
      <c r="E70" s="205"/>
      <c r="F70" s="163"/>
      <c r="G70" s="773"/>
    </row>
    <row r="71" spans="1:8" x14ac:dyDescent="0.2">
      <c r="A71" s="746"/>
      <c r="B71" s="698"/>
      <c r="C71" s="119"/>
      <c r="D71" s="376"/>
      <c r="E71" s="108"/>
      <c r="F71" s="163"/>
      <c r="G71" s="773"/>
      <c r="H71" s="840"/>
    </row>
    <row r="72" spans="1:8" x14ac:dyDescent="0.2">
      <c r="A72" s="746"/>
      <c r="B72" s="106"/>
      <c r="C72" s="119"/>
      <c r="D72" s="376"/>
      <c r="E72" s="131"/>
      <c r="F72" s="717"/>
      <c r="G72" s="773"/>
      <c r="H72" s="686"/>
    </row>
    <row r="73" spans="1:8" x14ac:dyDescent="0.2">
      <c r="A73" s="746"/>
      <c r="B73" s="105"/>
      <c r="C73" s="119"/>
      <c r="D73" s="383"/>
      <c r="E73" s="131"/>
      <c r="F73" s="717"/>
      <c r="G73" s="773"/>
    </row>
    <row r="74" spans="1:8" x14ac:dyDescent="0.2">
      <c r="A74" s="746"/>
      <c r="B74" s="105"/>
      <c r="C74" s="119"/>
      <c r="D74" s="136"/>
      <c r="E74" s="131"/>
      <c r="F74" s="717"/>
      <c r="G74" s="773"/>
    </row>
    <row r="75" spans="1:8" x14ac:dyDescent="0.2">
      <c r="A75" s="746"/>
      <c r="B75" s="698"/>
      <c r="C75" s="119"/>
      <c r="D75" s="144"/>
      <c r="E75" s="131"/>
      <c r="F75" s="717"/>
      <c r="G75" s="773"/>
    </row>
    <row r="76" spans="1:8" x14ac:dyDescent="0.2">
      <c r="A76" s="746"/>
      <c r="B76" s="698"/>
      <c r="C76" s="119"/>
      <c r="D76" s="144"/>
      <c r="E76" s="131"/>
      <c r="F76" s="717"/>
      <c r="G76" s="773"/>
    </row>
    <row r="77" spans="1:8" x14ac:dyDescent="0.2">
      <c r="A77" s="695"/>
      <c r="B77" s="698"/>
      <c r="C77" s="119"/>
      <c r="D77" s="136"/>
      <c r="E77" s="131"/>
      <c r="F77" s="717"/>
      <c r="G77" s="773"/>
    </row>
    <row r="78" spans="1:8" x14ac:dyDescent="0.2">
      <c r="A78" s="695"/>
      <c r="B78" s="698"/>
      <c r="C78" s="119"/>
      <c r="D78" s="136"/>
      <c r="E78" s="131"/>
      <c r="F78" s="717" t="s">
        <v>152</v>
      </c>
      <c r="G78" s="773"/>
    </row>
    <row r="79" spans="1:8" x14ac:dyDescent="0.2">
      <c r="A79" s="695"/>
      <c r="B79" s="698"/>
      <c r="C79" s="119"/>
      <c r="D79" s="136"/>
      <c r="E79" s="131"/>
      <c r="F79" s="717"/>
      <c r="G79" s="773"/>
    </row>
    <row r="80" spans="1:8" x14ac:dyDescent="0.2">
      <c r="A80" s="695"/>
      <c r="B80" s="698"/>
      <c r="C80" s="119"/>
      <c r="D80" s="136"/>
      <c r="E80" s="131"/>
      <c r="F80" s="717"/>
      <c r="G80" s="773"/>
    </row>
    <row r="81" spans="1:7" x14ac:dyDescent="0.2">
      <c r="A81" s="695"/>
      <c r="B81" s="698"/>
      <c r="C81" s="119"/>
      <c r="D81" s="136"/>
      <c r="E81" s="131"/>
      <c r="F81" s="717"/>
      <c r="G81" s="773"/>
    </row>
    <row r="82" spans="1:7" x14ac:dyDescent="0.2">
      <c r="A82" s="695"/>
      <c r="B82" s="698"/>
      <c r="C82" s="119"/>
      <c r="D82" s="136"/>
      <c r="E82" s="131"/>
      <c r="F82" s="717"/>
      <c r="G82" s="773"/>
    </row>
    <row r="83" spans="1:7" x14ac:dyDescent="0.2">
      <c r="A83" s="695"/>
      <c r="B83" s="698"/>
      <c r="C83" s="119"/>
      <c r="D83" s="144"/>
      <c r="E83" s="131"/>
      <c r="F83" s="717"/>
      <c r="G83" s="773"/>
    </row>
    <row r="84" spans="1:7" x14ac:dyDescent="0.2">
      <c r="A84" s="695"/>
      <c r="B84" s="698"/>
      <c r="C84" s="119"/>
      <c r="D84" s="144"/>
      <c r="E84" s="108"/>
      <c r="F84" s="163"/>
      <c r="G84" s="773"/>
    </row>
    <row r="85" spans="1:7" x14ac:dyDescent="0.2">
      <c r="A85" s="695"/>
      <c r="B85" s="698"/>
      <c r="C85" s="119"/>
      <c r="D85" s="136"/>
      <c r="E85" s="108"/>
      <c r="F85" s="163"/>
      <c r="G85" s="773"/>
    </row>
    <row r="86" spans="1:7" x14ac:dyDescent="0.2">
      <c r="A86" s="695"/>
      <c r="B86" s="698"/>
      <c r="C86" s="119"/>
      <c r="D86" s="136"/>
      <c r="E86" s="108"/>
      <c r="F86" s="163"/>
      <c r="G86" s="773"/>
    </row>
    <row r="87" spans="1:7" x14ac:dyDescent="0.2">
      <c r="A87" s="695"/>
      <c r="B87" s="698"/>
      <c r="C87" s="119"/>
      <c r="D87" s="136"/>
      <c r="E87" s="108"/>
      <c r="F87" s="163"/>
      <c r="G87" s="773"/>
    </row>
    <row r="88" spans="1:7" x14ac:dyDescent="0.2">
      <c r="A88" s="695"/>
      <c r="B88" s="698"/>
      <c r="C88" s="119"/>
      <c r="D88" s="136"/>
      <c r="E88" s="131"/>
      <c r="F88" s="718"/>
      <c r="G88" s="773"/>
    </row>
    <row r="89" spans="1:7" x14ac:dyDescent="0.2">
      <c r="A89" s="695"/>
      <c r="B89" s="698"/>
      <c r="C89" s="119"/>
      <c r="D89" s="144"/>
      <c r="E89" s="108"/>
      <c r="F89" s="149"/>
      <c r="G89" s="773"/>
    </row>
    <row r="90" spans="1:7" x14ac:dyDescent="0.2">
      <c r="A90" s="695"/>
      <c r="B90" s="698"/>
      <c r="C90" s="119"/>
      <c r="D90" s="129"/>
      <c r="E90" s="108"/>
      <c r="F90" s="163"/>
      <c r="G90" s="773"/>
    </row>
    <row r="91" spans="1:7" x14ac:dyDescent="0.2">
      <c r="A91" s="695"/>
      <c r="B91" s="698"/>
      <c r="C91" s="119"/>
      <c r="D91" s="129"/>
      <c r="E91" s="108"/>
      <c r="F91" s="149"/>
      <c r="G91" s="773"/>
    </row>
    <row r="92" spans="1:7" ht="13.5" thickBot="1" x14ac:dyDescent="0.25">
      <c r="A92" s="726"/>
      <c r="B92" s="703"/>
      <c r="C92" s="704"/>
      <c r="D92" s="704"/>
      <c r="E92" s="703"/>
      <c r="F92" s="705" t="s">
        <v>15</v>
      </c>
      <c r="G92" s="706">
        <f>SUM(G59:G91)</f>
        <v>2407980.08</v>
      </c>
    </row>
    <row r="93" spans="1:7" ht="13.5" thickTop="1" x14ac:dyDescent="0.2">
      <c r="A93" s="985" t="s">
        <v>302</v>
      </c>
      <c r="B93" s="1019"/>
      <c r="C93" s="1019"/>
      <c r="D93" s="1019"/>
      <c r="E93" s="1019"/>
      <c r="F93" s="1019"/>
      <c r="G93" s="1020"/>
    </row>
    <row r="94" spans="1:7" ht="13.5" thickBot="1" x14ac:dyDescent="0.25">
      <c r="A94" s="707"/>
      <c r="B94" s="708"/>
      <c r="C94" s="708"/>
      <c r="D94" s="709"/>
      <c r="E94" s="708"/>
      <c r="F94" s="198"/>
      <c r="G94" s="199"/>
    </row>
    <row r="95" spans="1:7" ht="13.5" thickTop="1" x14ac:dyDescent="0.2">
      <c r="A95" s="1023"/>
      <c r="B95" s="1024"/>
      <c r="C95" s="1024"/>
      <c r="D95" s="344" t="s">
        <v>11</v>
      </c>
      <c r="E95" s="1025" t="s">
        <v>12</v>
      </c>
      <c r="F95" s="1025"/>
      <c r="G95" s="1026"/>
    </row>
    <row r="96" spans="1:7" ht="27.75" customHeight="1" x14ac:dyDescent="0.2">
      <c r="A96" s="1010" t="s">
        <v>17</v>
      </c>
      <c r="B96" s="1011"/>
      <c r="C96" s="1011"/>
      <c r="D96" s="121"/>
      <c r="E96" s="1027"/>
      <c r="F96" s="1028"/>
      <c r="G96" s="1029"/>
    </row>
    <row r="97" spans="1:7" x14ac:dyDescent="0.2">
      <c r="A97" s="1010" t="s">
        <v>38</v>
      </c>
      <c r="B97" s="1011"/>
      <c r="C97" s="1011"/>
      <c r="D97" s="710" t="s">
        <v>147</v>
      </c>
      <c r="E97" s="1012" t="s">
        <v>142</v>
      </c>
      <c r="F97" s="1012"/>
      <c r="G97" s="1013"/>
    </row>
    <row r="98" spans="1:7" ht="13.5" thickBot="1" x14ac:dyDescent="0.25">
      <c r="A98" s="1014" t="s">
        <v>39</v>
      </c>
      <c r="B98" s="1015"/>
      <c r="C98" s="1015"/>
      <c r="D98" s="125" t="s">
        <v>148</v>
      </c>
      <c r="E98" s="1016" t="s">
        <v>0</v>
      </c>
      <c r="F98" s="1017"/>
      <c r="G98" s="1018"/>
    </row>
  </sheetData>
  <mergeCells count="28"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</mergeCells>
  <phoneticPr fontId="48" type="noConversion"/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CDED-AC34-459B-A00F-8CC9E3AEB9E0}">
  <dimension ref="A1:H49"/>
  <sheetViews>
    <sheetView zoomScale="110" zoomScaleNormal="110" workbookViewId="0">
      <selection activeCell="E33" sqref="E33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85546875" style="250" customWidth="1"/>
    <col min="5" max="5" width="9.28515625" style="711" customWidth="1"/>
    <col min="6" max="6" width="11.7109375" style="712" customWidth="1"/>
    <col min="7" max="7" width="15.140625" style="250" customWidth="1"/>
    <col min="8" max="8" width="10.28515625" style="250" bestFit="1" customWidth="1"/>
    <col min="9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804" t="s">
        <v>3180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804" t="s">
        <v>3180</v>
      </c>
    </row>
    <row r="4" spans="1:8" x14ac:dyDescent="0.2">
      <c r="A4" s="674"/>
      <c r="B4" s="675"/>
      <c r="C4" s="676"/>
      <c r="D4" s="677"/>
      <c r="E4" s="675"/>
      <c r="F4" s="678"/>
      <c r="G4" s="679" t="s">
        <v>8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3234</v>
      </c>
      <c r="F5" s="684"/>
      <c r="G5" s="685" t="s">
        <v>3177</v>
      </c>
    </row>
    <row r="6" spans="1:8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190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746">
        <v>1</v>
      </c>
      <c r="B10" s="749"/>
      <c r="C10" s="135" t="s">
        <v>2779</v>
      </c>
      <c r="D10" s="259" t="s">
        <v>3211</v>
      </c>
      <c r="E10" s="402">
        <v>2</v>
      </c>
      <c r="F10" s="163">
        <v>19046</v>
      </c>
      <c r="G10" s="773">
        <f>F10*E10</f>
        <v>38092</v>
      </c>
    </row>
    <row r="11" spans="1:8" x14ac:dyDescent="0.2">
      <c r="A11" s="746">
        <v>2</v>
      </c>
      <c r="B11" s="749"/>
      <c r="C11" s="135" t="s">
        <v>2779</v>
      </c>
      <c r="D11" s="259" t="s">
        <v>3212</v>
      </c>
      <c r="E11" s="541">
        <v>2</v>
      </c>
      <c r="F11" s="163">
        <v>30696</v>
      </c>
      <c r="G11" s="773">
        <f t="shared" ref="G11:G24" si="0">F11*E11</f>
        <v>61392</v>
      </c>
    </row>
    <row r="12" spans="1:8" x14ac:dyDescent="0.2">
      <c r="A12" s="746">
        <v>3</v>
      </c>
      <c r="B12" s="749"/>
      <c r="C12" s="719" t="s">
        <v>2779</v>
      </c>
      <c r="D12" s="259" t="s">
        <v>3213</v>
      </c>
      <c r="E12" s="407">
        <v>2</v>
      </c>
      <c r="F12" s="163">
        <v>14252</v>
      </c>
      <c r="G12" s="773">
        <f t="shared" si="0"/>
        <v>28504</v>
      </c>
    </row>
    <row r="13" spans="1:8" x14ac:dyDescent="0.2">
      <c r="A13" s="746">
        <v>4</v>
      </c>
      <c r="B13" s="408"/>
      <c r="C13" s="135" t="s">
        <v>2779</v>
      </c>
      <c r="D13" s="259" t="s">
        <v>3214</v>
      </c>
      <c r="E13" s="407">
        <v>2</v>
      </c>
      <c r="F13" s="163">
        <v>18705</v>
      </c>
      <c r="G13" s="773">
        <f t="shared" si="0"/>
        <v>37410</v>
      </c>
    </row>
    <row r="14" spans="1:8" x14ac:dyDescent="0.2">
      <c r="A14" s="746">
        <v>5</v>
      </c>
      <c r="B14" s="105"/>
      <c r="C14" s="135" t="s">
        <v>2779</v>
      </c>
      <c r="D14" s="144" t="s">
        <v>3215</v>
      </c>
      <c r="E14" s="108">
        <v>2</v>
      </c>
      <c r="F14" s="150">
        <v>63250</v>
      </c>
      <c r="G14" s="773">
        <f t="shared" si="0"/>
        <v>126500</v>
      </c>
    </row>
    <row r="15" spans="1:8" x14ac:dyDescent="0.2">
      <c r="A15" s="746">
        <v>6</v>
      </c>
      <c r="B15" s="105"/>
      <c r="C15" s="119" t="s">
        <v>2779</v>
      </c>
      <c r="D15" s="144" t="s">
        <v>3216</v>
      </c>
      <c r="E15" s="108">
        <v>2</v>
      </c>
      <c r="F15" s="150">
        <v>71300</v>
      </c>
      <c r="G15" s="773">
        <f t="shared" si="0"/>
        <v>142600</v>
      </c>
    </row>
    <row r="16" spans="1:8" x14ac:dyDescent="0.2">
      <c r="A16" s="746">
        <v>7</v>
      </c>
      <c r="B16" s="698"/>
      <c r="C16" s="119" t="s">
        <v>2779</v>
      </c>
      <c r="D16" s="144" t="s">
        <v>3217</v>
      </c>
      <c r="E16" s="131">
        <v>2</v>
      </c>
      <c r="F16" s="163">
        <v>18755</v>
      </c>
      <c r="G16" s="773">
        <f t="shared" si="0"/>
        <v>37510</v>
      </c>
    </row>
    <row r="17" spans="1:7" x14ac:dyDescent="0.2">
      <c r="A17" s="746">
        <v>8</v>
      </c>
      <c r="B17" s="106"/>
      <c r="C17" s="119" t="s">
        <v>2779</v>
      </c>
      <c r="D17" s="144" t="s">
        <v>3218</v>
      </c>
      <c r="E17" s="131">
        <v>2</v>
      </c>
      <c r="F17" s="163">
        <v>86250</v>
      </c>
      <c r="G17" s="773">
        <f t="shared" si="0"/>
        <v>172500</v>
      </c>
    </row>
    <row r="18" spans="1:7" x14ac:dyDescent="0.2">
      <c r="A18" s="746">
        <v>9</v>
      </c>
      <c r="B18" s="105"/>
      <c r="C18" s="119" t="s">
        <v>2779</v>
      </c>
      <c r="D18" s="144" t="s">
        <v>3219</v>
      </c>
      <c r="E18" s="260">
        <v>2</v>
      </c>
      <c r="F18" s="152">
        <v>26000</v>
      </c>
      <c r="G18" s="773">
        <f t="shared" si="0"/>
        <v>52000</v>
      </c>
    </row>
    <row r="19" spans="1:7" x14ac:dyDescent="0.2">
      <c r="A19" s="746">
        <v>10</v>
      </c>
      <c r="B19" s="700"/>
      <c r="C19" s="119" t="s">
        <v>2779</v>
      </c>
      <c r="D19" s="144" t="s">
        <v>3220</v>
      </c>
      <c r="E19" s="108">
        <v>2</v>
      </c>
      <c r="F19" s="163">
        <v>14309</v>
      </c>
      <c r="G19" s="773">
        <f t="shared" si="0"/>
        <v>28618</v>
      </c>
    </row>
    <row r="20" spans="1:7" x14ac:dyDescent="0.2">
      <c r="A20" s="746">
        <v>11</v>
      </c>
      <c r="B20" s="700"/>
      <c r="C20" s="119" t="s">
        <v>2779</v>
      </c>
      <c r="D20" s="144" t="s">
        <v>3221</v>
      </c>
      <c r="E20" s="205">
        <v>2</v>
      </c>
      <c r="F20" s="163">
        <v>14005</v>
      </c>
      <c r="G20" s="773">
        <f t="shared" si="0"/>
        <v>28010</v>
      </c>
    </row>
    <row r="21" spans="1:7" x14ac:dyDescent="0.2">
      <c r="A21" s="746">
        <v>12</v>
      </c>
      <c r="B21" s="698"/>
      <c r="C21" s="119" t="s">
        <v>2779</v>
      </c>
      <c r="D21" s="136" t="s">
        <v>3222</v>
      </c>
      <c r="E21" s="108">
        <v>2</v>
      </c>
      <c r="F21" s="163">
        <v>20790</v>
      </c>
      <c r="G21" s="773">
        <f t="shared" si="0"/>
        <v>41580</v>
      </c>
    </row>
    <row r="22" spans="1:7" x14ac:dyDescent="0.2">
      <c r="A22" s="746">
        <v>13</v>
      </c>
      <c r="B22" s="106"/>
      <c r="C22" s="119" t="s">
        <v>149</v>
      </c>
      <c r="D22" s="136" t="s">
        <v>3223</v>
      </c>
      <c r="E22" s="131">
        <v>1</v>
      </c>
      <c r="F22" s="717">
        <v>198500</v>
      </c>
      <c r="G22" s="773">
        <f t="shared" si="0"/>
        <v>198500</v>
      </c>
    </row>
    <row r="23" spans="1:7" x14ac:dyDescent="0.2">
      <c r="A23" s="746">
        <v>14</v>
      </c>
      <c r="B23" s="105"/>
      <c r="C23" s="119" t="s">
        <v>185</v>
      </c>
      <c r="D23" s="144" t="s">
        <v>3224</v>
      </c>
      <c r="E23" s="131">
        <v>1</v>
      </c>
      <c r="F23" s="717">
        <v>34500</v>
      </c>
      <c r="G23" s="773">
        <f t="shared" si="0"/>
        <v>34500</v>
      </c>
    </row>
    <row r="24" spans="1:7" x14ac:dyDescent="0.2">
      <c r="A24" s="746">
        <v>15</v>
      </c>
      <c r="B24" s="105"/>
      <c r="C24" s="119" t="s">
        <v>185</v>
      </c>
      <c r="D24" s="136" t="s">
        <v>3225</v>
      </c>
      <c r="E24" s="131">
        <v>1</v>
      </c>
      <c r="F24" s="717">
        <v>34500</v>
      </c>
      <c r="G24" s="773">
        <f t="shared" si="0"/>
        <v>34500</v>
      </c>
    </row>
    <row r="25" spans="1:7" x14ac:dyDescent="0.2">
      <c r="A25" s="695"/>
      <c r="B25" s="698"/>
      <c r="C25" s="119"/>
      <c r="D25" s="144"/>
      <c r="E25" s="131"/>
      <c r="F25" s="717"/>
      <c r="G25" s="773"/>
    </row>
    <row r="26" spans="1:7" x14ac:dyDescent="0.2">
      <c r="A26" s="695"/>
      <c r="B26" s="698"/>
      <c r="C26" s="119"/>
      <c r="D26" s="144"/>
      <c r="E26" s="131"/>
      <c r="F26" s="717"/>
      <c r="G26" s="773"/>
    </row>
    <row r="27" spans="1:7" x14ac:dyDescent="0.2">
      <c r="A27" s="695"/>
      <c r="B27" s="698"/>
      <c r="C27" s="119"/>
      <c r="D27" s="136"/>
      <c r="E27" s="131"/>
      <c r="F27" s="717"/>
      <c r="G27" s="773"/>
    </row>
    <row r="28" spans="1:7" x14ac:dyDescent="0.2">
      <c r="A28" s="695"/>
      <c r="B28" s="698"/>
      <c r="C28" s="119"/>
      <c r="D28" s="136"/>
      <c r="E28" s="131"/>
      <c r="F28" s="717" t="s">
        <v>152</v>
      </c>
      <c r="G28" s="773"/>
    </row>
    <row r="29" spans="1:7" x14ac:dyDescent="0.2">
      <c r="A29" s="695"/>
      <c r="B29" s="698"/>
      <c r="C29" s="119"/>
      <c r="D29" s="136"/>
      <c r="E29" s="131"/>
      <c r="F29" s="717"/>
      <c r="G29" s="773"/>
    </row>
    <row r="30" spans="1:7" x14ac:dyDescent="0.2">
      <c r="A30" s="695"/>
      <c r="B30" s="776"/>
      <c r="C30" s="777"/>
      <c r="D30" s="820"/>
      <c r="E30" s="808"/>
      <c r="F30" s="814"/>
      <c r="G30" s="773"/>
    </row>
    <row r="31" spans="1:7" x14ac:dyDescent="0.2">
      <c r="A31" s="695"/>
      <c r="B31" s="698"/>
      <c r="C31" s="119"/>
      <c r="D31" s="136"/>
      <c r="E31" s="131"/>
      <c r="F31" s="717"/>
      <c r="G31" s="773"/>
    </row>
    <row r="32" spans="1:7" x14ac:dyDescent="0.2">
      <c r="A32" s="695"/>
      <c r="B32" s="698"/>
      <c r="C32" s="119"/>
      <c r="D32" s="136"/>
      <c r="E32" s="131"/>
      <c r="F32" s="717"/>
      <c r="G32" s="773"/>
    </row>
    <row r="33" spans="1:7" x14ac:dyDescent="0.2">
      <c r="A33" s="695"/>
      <c r="B33" s="698"/>
      <c r="C33" s="119"/>
      <c r="D33" s="136"/>
      <c r="E33" s="131"/>
      <c r="F33" s="717"/>
      <c r="G33" s="773"/>
    </row>
    <row r="34" spans="1:7" x14ac:dyDescent="0.2">
      <c r="A34" s="695"/>
      <c r="B34" s="698"/>
      <c r="C34" s="119"/>
      <c r="D34" s="144"/>
      <c r="E34" s="131"/>
      <c r="F34" s="717"/>
      <c r="G34" s="773"/>
    </row>
    <row r="35" spans="1:7" x14ac:dyDescent="0.2">
      <c r="A35" s="695"/>
      <c r="B35" s="698"/>
      <c r="C35" s="119"/>
      <c r="D35" s="144"/>
      <c r="E35" s="108"/>
      <c r="F35" s="163"/>
      <c r="G35" s="773"/>
    </row>
    <row r="36" spans="1:7" x14ac:dyDescent="0.2">
      <c r="A36" s="695"/>
      <c r="B36" s="698"/>
      <c r="C36" s="119"/>
      <c r="D36" s="136"/>
      <c r="E36" s="108"/>
      <c r="F36" s="163"/>
      <c r="G36" s="773"/>
    </row>
    <row r="37" spans="1:7" x14ac:dyDescent="0.2">
      <c r="A37" s="695"/>
      <c r="B37" s="698"/>
      <c r="C37" s="119"/>
      <c r="D37" s="136"/>
      <c r="E37" s="108"/>
      <c r="F37" s="163"/>
      <c r="G37" s="773"/>
    </row>
    <row r="38" spans="1:7" x14ac:dyDescent="0.2">
      <c r="A38" s="695"/>
      <c r="B38" s="698"/>
      <c r="C38" s="119"/>
      <c r="D38" s="136"/>
      <c r="E38" s="108"/>
      <c r="F38" s="163"/>
      <c r="G38" s="773"/>
    </row>
    <row r="39" spans="1:7" x14ac:dyDescent="0.2">
      <c r="A39" s="695"/>
      <c r="B39" s="698"/>
      <c r="C39" s="119"/>
      <c r="D39" s="136"/>
      <c r="E39" s="131"/>
      <c r="F39" s="718"/>
      <c r="G39" s="773"/>
    </row>
    <row r="40" spans="1:7" x14ac:dyDescent="0.2">
      <c r="A40" s="695"/>
      <c r="B40" s="698"/>
      <c r="C40" s="119"/>
      <c r="D40" s="144"/>
      <c r="E40" s="108"/>
      <c r="F40" s="149"/>
      <c r="G40" s="773"/>
    </row>
    <row r="41" spans="1:7" x14ac:dyDescent="0.2">
      <c r="A41" s="695"/>
      <c r="B41" s="698"/>
      <c r="C41" s="119"/>
      <c r="D41" s="129"/>
      <c r="E41" s="108"/>
      <c r="F41" s="163"/>
      <c r="G41" s="773"/>
    </row>
    <row r="42" spans="1:7" x14ac:dyDescent="0.2">
      <c r="A42" s="695"/>
      <c r="B42" s="698"/>
      <c r="C42" s="119"/>
      <c r="D42" s="129"/>
      <c r="E42" s="108"/>
      <c r="F42" s="149"/>
      <c r="G42" s="773"/>
    </row>
    <row r="43" spans="1:7" ht="13.5" thickBot="1" x14ac:dyDescent="0.25">
      <c r="A43" s="726"/>
      <c r="B43" s="703"/>
      <c r="C43" s="704"/>
      <c r="D43" s="704"/>
      <c r="E43" s="703"/>
      <c r="F43" s="705" t="s">
        <v>15</v>
      </c>
      <c r="G43" s="706">
        <f>SUM(G10:G42)</f>
        <v>1062216</v>
      </c>
    </row>
    <row r="44" spans="1:7" ht="13.5" thickTop="1" x14ac:dyDescent="0.2">
      <c r="A44" s="985" t="s">
        <v>3226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7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</sheetData>
  <mergeCells count="14">
    <mergeCell ref="A44:G44"/>
    <mergeCell ref="A1:G1"/>
    <mergeCell ref="A2:G2"/>
    <mergeCell ref="A3:G3"/>
    <mergeCell ref="E6:F6"/>
    <mergeCell ref="E8:F8"/>
    <mergeCell ref="A49:C49"/>
    <mergeCell ref="E49:G49"/>
    <mergeCell ref="A46:C46"/>
    <mergeCell ref="E46:G46"/>
    <mergeCell ref="A47:C47"/>
    <mergeCell ref="E47:G47"/>
    <mergeCell ref="A48:C48"/>
    <mergeCell ref="E48:G4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F65C-7CC7-441A-BE2A-BB313B9C8DAC}">
  <dimension ref="A1:H49"/>
  <sheetViews>
    <sheetView topLeftCell="A22" zoomScale="110" zoomScaleNormal="110" workbookViewId="0">
      <selection activeCell="L28" sqref="L28"/>
    </sheetView>
  </sheetViews>
  <sheetFormatPr defaultRowHeight="12.75" x14ac:dyDescent="0.2"/>
  <cols>
    <col min="1" max="1" width="6.42578125" style="250" customWidth="1"/>
    <col min="2" max="2" width="6" style="711" customWidth="1"/>
    <col min="3" max="3" width="10.42578125" style="673" customWidth="1"/>
    <col min="4" max="4" width="36.85546875" style="250" customWidth="1"/>
    <col min="5" max="5" width="9.28515625" style="711" customWidth="1"/>
    <col min="6" max="6" width="11.85546875" style="712" customWidth="1"/>
    <col min="7" max="7" width="14.85546875" style="250" customWidth="1"/>
    <col min="8" max="8" width="10.28515625" style="250" bestFit="1" customWidth="1"/>
    <col min="9" max="16384" width="9.140625" style="250"/>
  </cols>
  <sheetData>
    <row r="1" spans="1:8" ht="16.5" x14ac:dyDescent="0.2">
      <c r="A1" s="997" t="s">
        <v>29</v>
      </c>
      <c r="B1" s="998"/>
      <c r="C1" s="998"/>
      <c r="D1" s="998"/>
      <c r="E1" s="998"/>
      <c r="F1" s="998"/>
      <c r="G1" s="999"/>
      <c r="H1" s="713">
        <v>1</v>
      </c>
    </row>
    <row r="2" spans="1:8" x14ac:dyDescent="0.2">
      <c r="A2" s="1000" t="s">
        <v>48</v>
      </c>
      <c r="B2" s="1001"/>
      <c r="C2" s="1001"/>
      <c r="D2" s="1001"/>
      <c r="E2" s="1001"/>
      <c r="F2" s="1001"/>
      <c r="G2" s="1002"/>
      <c r="H2" s="784">
        <v>46125</v>
      </c>
    </row>
    <row r="3" spans="1:8" x14ac:dyDescent="0.2">
      <c r="A3" s="1003" t="s">
        <v>49</v>
      </c>
      <c r="B3" s="1004"/>
      <c r="C3" s="1004"/>
      <c r="D3" s="1004"/>
      <c r="E3" s="1004"/>
      <c r="F3" s="1004"/>
      <c r="G3" s="1005"/>
      <c r="H3" s="784">
        <v>46126</v>
      </c>
    </row>
    <row r="4" spans="1:8" x14ac:dyDescent="0.2">
      <c r="A4" s="674"/>
      <c r="B4" s="675"/>
      <c r="C4" s="676"/>
      <c r="D4" s="677"/>
      <c r="E4" s="675"/>
      <c r="F4" s="678"/>
      <c r="G4" s="679" t="s">
        <v>20</v>
      </c>
    </row>
    <row r="5" spans="1:8" x14ac:dyDescent="0.2">
      <c r="A5" s="680" t="s">
        <v>1</v>
      </c>
      <c r="B5" s="681"/>
      <c r="C5" s="682" t="s">
        <v>7</v>
      </c>
      <c r="D5" s="681"/>
      <c r="E5" s="683" t="s">
        <v>3085</v>
      </c>
      <c r="F5" s="740"/>
      <c r="G5" s="685" t="s">
        <v>3076</v>
      </c>
    </row>
    <row r="6" spans="1:8" x14ac:dyDescent="0.2">
      <c r="A6" s="686" t="s">
        <v>8</v>
      </c>
      <c r="B6" s="687"/>
      <c r="C6" s="688"/>
      <c r="D6" s="673"/>
      <c r="E6" s="1006"/>
      <c r="F6" s="1007"/>
      <c r="G6" s="689"/>
    </row>
    <row r="7" spans="1:8" x14ac:dyDescent="0.2">
      <c r="A7" s="690" t="s">
        <v>37</v>
      </c>
      <c r="B7" s="261"/>
      <c r="C7" s="261"/>
      <c r="D7" s="261"/>
      <c r="E7" s="691" t="s">
        <v>46</v>
      </c>
      <c r="F7" s="692"/>
      <c r="G7" s="689" t="s">
        <v>190</v>
      </c>
    </row>
    <row r="8" spans="1:8" x14ac:dyDescent="0.2">
      <c r="A8" s="674"/>
      <c r="B8" s="675"/>
      <c r="C8" s="676"/>
      <c r="D8" s="676"/>
      <c r="E8" s="1008"/>
      <c r="F8" s="1009"/>
      <c r="G8" s="693"/>
    </row>
    <row r="9" spans="1:8" ht="26.25" thickBot="1" x14ac:dyDescent="0.25">
      <c r="A9" s="694" t="s">
        <v>47</v>
      </c>
      <c r="B9" s="110" t="s">
        <v>23</v>
      </c>
      <c r="C9" s="110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8" ht="13.5" thickTop="1" x14ac:dyDescent="0.2">
      <c r="A10" s="746"/>
      <c r="B10" s="749"/>
      <c r="C10" s="135"/>
      <c r="D10" s="828" t="s">
        <v>3021</v>
      </c>
      <c r="E10" s="402"/>
      <c r="F10" s="163"/>
      <c r="G10" s="773"/>
    </row>
    <row r="11" spans="1:8" x14ac:dyDescent="0.2">
      <c r="A11" s="746">
        <v>1</v>
      </c>
      <c r="B11" s="749"/>
      <c r="C11" s="135" t="s">
        <v>187</v>
      </c>
      <c r="D11" s="259" t="s">
        <v>3022</v>
      </c>
      <c r="E11" s="402">
        <v>300</v>
      </c>
      <c r="F11" s="163">
        <v>35</v>
      </c>
      <c r="G11" s="773">
        <f>F11*E11</f>
        <v>10500</v>
      </c>
    </row>
    <row r="12" spans="1:8" x14ac:dyDescent="0.2">
      <c r="A12" s="746">
        <v>2</v>
      </c>
      <c r="B12" s="749"/>
      <c r="C12" s="135" t="s">
        <v>187</v>
      </c>
      <c r="D12" s="259" t="s">
        <v>3023</v>
      </c>
      <c r="E12" s="541">
        <v>100</v>
      </c>
      <c r="F12" s="163">
        <v>16.8</v>
      </c>
      <c r="G12" s="773">
        <f t="shared" ref="G12:G22" si="0">F12*E12</f>
        <v>1680</v>
      </c>
    </row>
    <row r="13" spans="1:8" x14ac:dyDescent="0.2">
      <c r="A13" s="746">
        <v>3</v>
      </c>
      <c r="B13" s="749"/>
      <c r="C13" s="135" t="s">
        <v>187</v>
      </c>
      <c r="D13" s="259" t="s">
        <v>3024</v>
      </c>
      <c r="E13" s="407">
        <v>300</v>
      </c>
      <c r="F13" s="163">
        <v>53</v>
      </c>
      <c r="G13" s="773">
        <f t="shared" si="0"/>
        <v>15900</v>
      </c>
    </row>
    <row r="14" spans="1:8" x14ac:dyDescent="0.2">
      <c r="A14" s="746">
        <v>4</v>
      </c>
      <c r="B14" s="408"/>
      <c r="C14" s="135" t="s">
        <v>177</v>
      </c>
      <c r="D14" s="259" t="s">
        <v>3026</v>
      </c>
      <c r="E14" s="407">
        <v>1</v>
      </c>
      <c r="F14" s="163">
        <v>1000</v>
      </c>
      <c r="G14" s="773">
        <f t="shared" si="0"/>
        <v>1000</v>
      </c>
    </row>
    <row r="15" spans="1:8" x14ac:dyDescent="0.2">
      <c r="A15" s="695"/>
      <c r="B15" s="105"/>
      <c r="C15" s="119"/>
      <c r="D15" s="144" t="s">
        <v>3027</v>
      </c>
      <c r="E15" s="108"/>
      <c r="F15" s="150"/>
      <c r="G15" s="773"/>
    </row>
    <row r="16" spans="1:8" x14ac:dyDescent="0.2">
      <c r="A16" s="695">
        <v>5</v>
      </c>
      <c r="B16" s="105"/>
      <c r="C16" s="385" t="s">
        <v>187</v>
      </c>
      <c r="D16" s="144" t="s">
        <v>3028</v>
      </c>
      <c r="E16" s="108">
        <v>200</v>
      </c>
      <c r="F16" s="150">
        <v>58.7</v>
      </c>
      <c r="G16" s="773">
        <f t="shared" si="0"/>
        <v>11740</v>
      </c>
    </row>
    <row r="17" spans="1:7" x14ac:dyDescent="0.2">
      <c r="A17" s="695">
        <v>6</v>
      </c>
      <c r="B17" s="698"/>
      <c r="C17" s="385" t="s">
        <v>187</v>
      </c>
      <c r="D17" s="144" t="s">
        <v>3029</v>
      </c>
      <c r="E17" s="131">
        <v>100</v>
      </c>
      <c r="F17" s="163">
        <v>44</v>
      </c>
      <c r="G17" s="773">
        <f t="shared" si="0"/>
        <v>4400</v>
      </c>
    </row>
    <row r="18" spans="1:7" x14ac:dyDescent="0.2">
      <c r="A18" s="695">
        <v>7</v>
      </c>
      <c r="B18" s="106"/>
      <c r="C18" s="385" t="s">
        <v>177</v>
      </c>
      <c r="D18" s="383" t="s">
        <v>3031</v>
      </c>
      <c r="E18" s="131">
        <v>2</v>
      </c>
      <c r="F18" s="163">
        <v>5200</v>
      </c>
      <c r="G18" s="773">
        <f t="shared" si="0"/>
        <v>10400</v>
      </c>
    </row>
    <row r="19" spans="1:7" x14ac:dyDescent="0.2">
      <c r="A19" s="695"/>
      <c r="B19" s="105"/>
      <c r="C19" s="119"/>
      <c r="D19" s="144" t="s">
        <v>3032</v>
      </c>
      <c r="E19" s="260"/>
      <c r="F19" s="152"/>
      <c r="G19" s="773"/>
    </row>
    <row r="20" spans="1:7" x14ac:dyDescent="0.2">
      <c r="A20" s="695">
        <v>8</v>
      </c>
      <c r="B20" s="700"/>
      <c r="C20" s="385" t="s">
        <v>375</v>
      </c>
      <c r="D20" s="383" t="s">
        <v>3033</v>
      </c>
      <c r="E20" s="108">
        <v>5</v>
      </c>
      <c r="F20" s="163">
        <v>2425</v>
      </c>
      <c r="G20" s="773">
        <f t="shared" si="0"/>
        <v>12125</v>
      </c>
    </row>
    <row r="21" spans="1:7" x14ac:dyDescent="0.2">
      <c r="A21" s="695"/>
      <c r="B21" s="700"/>
      <c r="C21" s="119"/>
      <c r="D21" s="144" t="s">
        <v>3034</v>
      </c>
      <c r="E21" s="205"/>
      <c r="F21" s="163"/>
      <c r="G21" s="773"/>
    </row>
    <row r="22" spans="1:7" x14ac:dyDescent="0.2">
      <c r="A22" s="695">
        <v>9</v>
      </c>
      <c r="B22" s="698"/>
      <c r="C22" s="385" t="s">
        <v>187</v>
      </c>
      <c r="D22" s="376" t="s">
        <v>3030</v>
      </c>
      <c r="E22" s="108">
        <v>300</v>
      </c>
      <c r="F22" s="163">
        <v>78.7</v>
      </c>
      <c r="G22" s="773">
        <f t="shared" si="0"/>
        <v>23610</v>
      </c>
    </row>
    <row r="23" spans="1:7" x14ac:dyDescent="0.2">
      <c r="A23" s="695"/>
      <c r="B23" s="106"/>
      <c r="C23" s="119"/>
      <c r="D23" s="136"/>
      <c r="E23" s="131"/>
      <c r="F23" s="717"/>
      <c r="G23" s="773"/>
    </row>
    <row r="24" spans="1:7" x14ac:dyDescent="0.2">
      <c r="A24" s="695"/>
      <c r="B24" s="105"/>
      <c r="C24" s="119"/>
      <c r="D24" s="144"/>
      <c r="E24" s="131"/>
      <c r="F24" s="717"/>
      <c r="G24" s="773"/>
    </row>
    <row r="25" spans="1:7" x14ac:dyDescent="0.2">
      <c r="A25" s="695"/>
      <c r="B25" s="105"/>
      <c r="C25" s="119"/>
      <c r="D25" s="136"/>
      <c r="E25" s="131"/>
      <c r="F25" s="717"/>
      <c r="G25" s="773"/>
    </row>
    <row r="26" spans="1:7" x14ac:dyDescent="0.2">
      <c r="A26" s="695"/>
      <c r="B26" s="698"/>
      <c r="C26" s="119"/>
      <c r="D26" s="144"/>
      <c r="E26" s="131"/>
      <c r="F26" s="717"/>
      <c r="G26" s="773"/>
    </row>
    <row r="27" spans="1:7" x14ac:dyDescent="0.2">
      <c r="A27" s="695"/>
      <c r="B27" s="698"/>
      <c r="C27" s="119"/>
      <c r="D27" s="144"/>
      <c r="E27" s="131"/>
      <c r="F27" s="717"/>
      <c r="G27" s="773"/>
    </row>
    <row r="28" spans="1:7" x14ac:dyDescent="0.2">
      <c r="A28" s="695"/>
      <c r="B28" s="698"/>
      <c r="C28" s="119"/>
      <c r="D28" s="136"/>
      <c r="E28" s="131"/>
      <c r="F28" s="717"/>
      <c r="G28" s="773"/>
    </row>
    <row r="29" spans="1:7" x14ac:dyDescent="0.2">
      <c r="A29" s="695"/>
      <c r="B29" s="698"/>
      <c r="C29" s="119"/>
      <c r="D29" s="136"/>
      <c r="E29" s="131"/>
      <c r="F29" s="717" t="s">
        <v>152</v>
      </c>
      <c r="G29" s="773"/>
    </row>
    <row r="30" spans="1:7" x14ac:dyDescent="0.2">
      <c r="A30" s="695"/>
      <c r="B30" s="698"/>
      <c r="C30" s="119"/>
      <c r="D30" s="136"/>
      <c r="E30" s="131"/>
      <c r="F30" s="717"/>
      <c r="G30" s="773"/>
    </row>
    <row r="31" spans="1:7" x14ac:dyDescent="0.2">
      <c r="A31" s="695"/>
      <c r="B31" s="698"/>
      <c r="C31" s="119"/>
      <c r="D31" s="136"/>
      <c r="E31" s="131"/>
      <c r="F31" s="717"/>
      <c r="G31" s="773"/>
    </row>
    <row r="32" spans="1:7" x14ac:dyDescent="0.2">
      <c r="A32" s="695"/>
      <c r="B32" s="698"/>
      <c r="C32" s="119"/>
      <c r="D32" s="136"/>
      <c r="E32" s="131"/>
      <c r="F32" s="717"/>
      <c r="G32" s="773"/>
    </row>
    <row r="33" spans="1:7" x14ac:dyDescent="0.2">
      <c r="A33" s="695"/>
      <c r="B33" s="698"/>
      <c r="C33" s="119"/>
      <c r="D33" s="136"/>
      <c r="E33" s="131"/>
      <c r="F33" s="717"/>
      <c r="G33" s="773"/>
    </row>
    <row r="34" spans="1:7" x14ac:dyDescent="0.2">
      <c r="A34" s="695"/>
      <c r="B34" s="698"/>
      <c r="C34" s="119"/>
      <c r="D34" s="144"/>
      <c r="E34" s="131"/>
      <c r="F34" s="717"/>
      <c r="G34" s="773"/>
    </row>
    <row r="35" spans="1:7" x14ac:dyDescent="0.2">
      <c r="A35" s="695"/>
      <c r="B35" s="698"/>
      <c r="C35" s="119"/>
      <c r="D35" s="144"/>
      <c r="E35" s="108"/>
      <c r="F35" s="163"/>
      <c r="G35" s="773"/>
    </row>
    <row r="36" spans="1:7" x14ac:dyDescent="0.2">
      <c r="A36" s="695"/>
      <c r="B36" s="698"/>
      <c r="C36" s="119"/>
      <c r="D36" s="136"/>
      <c r="E36" s="108"/>
      <c r="F36" s="163"/>
      <c r="G36" s="773"/>
    </row>
    <row r="37" spans="1:7" x14ac:dyDescent="0.2">
      <c r="A37" s="695"/>
      <c r="B37" s="698"/>
      <c r="C37" s="119"/>
      <c r="D37" s="136"/>
      <c r="E37" s="108"/>
      <c r="F37" s="163"/>
      <c r="G37" s="773"/>
    </row>
    <row r="38" spans="1:7" x14ac:dyDescent="0.2">
      <c r="A38" s="695"/>
      <c r="B38" s="698"/>
      <c r="C38" s="119"/>
      <c r="D38" s="136"/>
      <c r="E38" s="108"/>
      <c r="F38" s="163"/>
      <c r="G38" s="773"/>
    </row>
    <row r="39" spans="1:7" x14ac:dyDescent="0.2">
      <c r="A39" s="695"/>
      <c r="B39" s="698"/>
      <c r="C39" s="119"/>
      <c r="D39" s="136"/>
      <c r="E39" s="131"/>
      <c r="F39" s="718"/>
      <c r="G39" s="773"/>
    </row>
    <row r="40" spans="1:7" x14ac:dyDescent="0.2">
      <c r="A40" s="695"/>
      <c r="B40" s="698"/>
      <c r="C40" s="119"/>
      <c r="D40" s="144"/>
      <c r="E40" s="108"/>
      <c r="F40" s="149"/>
      <c r="G40" s="773"/>
    </row>
    <row r="41" spans="1:7" x14ac:dyDescent="0.2">
      <c r="A41" s="695"/>
      <c r="B41" s="698"/>
      <c r="C41" s="119"/>
      <c r="D41" s="129"/>
      <c r="E41" s="108"/>
      <c r="F41" s="163"/>
      <c r="G41" s="773"/>
    </row>
    <row r="42" spans="1:7" x14ac:dyDescent="0.2">
      <c r="A42" s="695"/>
      <c r="B42" s="698"/>
      <c r="C42" s="119"/>
      <c r="D42" s="129"/>
      <c r="E42" s="108"/>
      <c r="F42" s="149"/>
      <c r="G42" s="773"/>
    </row>
    <row r="43" spans="1:7" ht="13.5" thickBot="1" x14ac:dyDescent="0.25">
      <c r="A43" s="726"/>
      <c r="B43" s="703"/>
      <c r="C43" s="704"/>
      <c r="D43" s="704"/>
      <c r="E43" s="703"/>
      <c r="F43" s="705" t="s">
        <v>15</v>
      </c>
      <c r="G43" s="706">
        <f>SUM(G10:G42)</f>
        <v>91355</v>
      </c>
    </row>
    <row r="44" spans="1:7" ht="13.5" thickTop="1" x14ac:dyDescent="0.2">
      <c r="A44" s="985" t="s">
        <v>3035</v>
      </c>
      <c r="B44" s="1019"/>
      <c r="C44" s="1019"/>
      <c r="D44" s="1019"/>
      <c r="E44" s="1019"/>
      <c r="F44" s="1019"/>
      <c r="G44" s="1020"/>
    </row>
    <row r="45" spans="1:7" ht="13.5" thickBot="1" x14ac:dyDescent="0.25">
      <c r="A45" s="707"/>
      <c r="B45" s="708"/>
      <c r="C45" s="708"/>
      <c r="D45" s="709"/>
      <c r="E45" s="708"/>
      <c r="F45" s="198"/>
      <c r="G45" s="199"/>
    </row>
    <row r="46" spans="1:7" ht="13.5" thickTop="1" x14ac:dyDescent="0.2">
      <c r="A46" s="1023"/>
      <c r="B46" s="1024"/>
      <c r="C46" s="1024"/>
      <c r="D46" s="344" t="s">
        <v>11</v>
      </c>
      <c r="E46" s="1025" t="s">
        <v>12</v>
      </c>
      <c r="F46" s="1025"/>
      <c r="G46" s="1026"/>
    </row>
    <row r="47" spans="1:7" ht="27.75" customHeight="1" x14ac:dyDescent="0.2">
      <c r="A47" s="1010" t="s">
        <v>17</v>
      </c>
      <c r="B47" s="1011"/>
      <c r="C47" s="1011"/>
      <c r="D47" s="121"/>
      <c r="E47" s="1027"/>
      <c r="F47" s="1028"/>
      <c r="G47" s="1029"/>
    </row>
    <row r="48" spans="1:7" x14ac:dyDescent="0.2">
      <c r="A48" s="1010" t="s">
        <v>38</v>
      </c>
      <c r="B48" s="1011"/>
      <c r="C48" s="1011"/>
      <c r="D48" s="710" t="s">
        <v>147</v>
      </c>
      <c r="E48" s="1012" t="s">
        <v>142</v>
      </c>
      <c r="F48" s="1012"/>
      <c r="G48" s="1013"/>
    </row>
    <row r="49" spans="1:7" ht="13.5" thickBot="1" x14ac:dyDescent="0.25">
      <c r="A49" s="1014" t="s">
        <v>39</v>
      </c>
      <c r="B49" s="1015"/>
      <c r="C49" s="1015"/>
      <c r="D49" s="125" t="s">
        <v>148</v>
      </c>
      <c r="E49" s="1016" t="s">
        <v>0</v>
      </c>
      <c r="F49" s="1017"/>
      <c r="G49" s="1018"/>
    </row>
  </sheetData>
  <mergeCells count="14">
    <mergeCell ref="A44:G44"/>
    <mergeCell ref="A1:G1"/>
    <mergeCell ref="A2:G2"/>
    <mergeCell ref="A3:G3"/>
    <mergeCell ref="E6:F6"/>
    <mergeCell ref="E8:F8"/>
    <mergeCell ref="A49:C49"/>
    <mergeCell ref="E49:G49"/>
    <mergeCell ref="A46:C46"/>
    <mergeCell ref="E46:G46"/>
    <mergeCell ref="A47:C47"/>
    <mergeCell ref="E47:G47"/>
    <mergeCell ref="A48:C48"/>
    <mergeCell ref="E48:G4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8A3CC4"/>
  </sheetPr>
  <dimension ref="A1:M150"/>
  <sheetViews>
    <sheetView topLeftCell="A113" zoomScale="110" zoomScaleNormal="110" workbookViewId="0">
      <selection activeCell="R139" sqref="R13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9</v>
      </c>
      <c r="D5" s="13"/>
      <c r="E5" s="362" t="s">
        <v>1442</v>
      </c>
      <c r="F5" s="98"/>
      <c r="G5" s="363" t="s">
        <v>1391</v>
      </c>
    </row>
    <row r="6" spans="1:9" x14ac:dyDescent="0.2">
      <c r="A6" s="17" t="s">
        <v>8</v>
      </c>
      <c r="B6" s="100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397" t="s">
        <v>1565</v>
      </c>
    </row>
    <row r="8" spans="1:9" x14ac:dyDescent="0.2">
      <c r="A8" s="6"/>
      <c r="B8" s="99"/>
      <c r="C8" s="8"/>
      <c r="D8" s="8"/>
      <c r="E8" s="920"/>
      <c r="F8" s="921"/>
      <c r="G8" s="25"/>
    </row>
    <row r="9" spans="1:9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364" t="s">
        <v>8</v>
      </c>
      <c r="B10" s="101"/>
      <c r="C10" s="41"/>
      <c r="D10" s="452" t="s">
        <v>1436</v>
      </c>
      <c r="E10" s="158"/>
      <c r="F10" s="128"/>
      <c r="G10" s="372" t="s">
        <v>8</v>
      </c>
      <c r="H10" s="1052"/>
      <c r="I10" s="1053"/>
    </row>
    <row r="11" spans="1:9" x14ac:dyDescent="0.2">
      <c r="A11" s="29">
        <v>1</v>
      </c>
      <c r="B11" s="101"/>
      <c r="C11" s="371" t="s">
        <v>149</v>
      </c>
      <c r="D11" s="370" t="s">
        <v>1437</v>
      </c>
      <c r="E11" s="158">
        <v>80</v>
      </c>
      <c r="F11" s="128">
        <v>200</v>
      </c>
      <c r="G11" s="35">
        <f>F11*E11</f>
        <v>16000</v>
      </c>
      <c r="I11" s="430" t="s">
        <v>152</v>
      </c>
    </row>
    <row r="12" spans="1:9" x14ac:dyDescent="0.2">
      <c r="A12" s="29">
        <v>2</v>
      </c>
      <c r="B12" s="101"/>
      <c r="C12" s="371" t="s">
        <v>149</v>
      </c>
      <c r="D12" s="370" t="s">
        <v>1438</v>
      </c>
      <c r="E12" s="158">
        <v>80</v>
      </c>
      <c r="F12" s="149">
        <v>450</v>
      </c>
      <c r="G12" s="35">
        <f t="shared" ref="G12:G16" si="0">F12*E12</f>
        <v>36000</v>
      </c>
    </row>
    <row r="13" spans="1:9" x14ac:dyDescent="0.2">
      <c r="A13" s="29"/>
      <c r="B13" s="101"/>
      <c r="C13" s="41"/>
      <c r="D13" s="370" t="s">
        <v>301</v>
      </c>
      <c r="E13" s="108"/>
      <c r="F13" s="128"/>
      <c r="G13" s="372" t="s">
        <v>8</v>
      </c>
    </row>
    <row r="14" spans="1:9" x14ac:dyDescent="0.2">
      <c r="A14" s="29"/>
      <c r="B14" s="105"/>
      <c r="C14" s="41"/>
      <c r="D14" s="449" t="s">
        <v>1439</v>
      </c>
      <c r="E14" s="102"/>
      <c r="F14" s="128"/>
      <c r="G14" s="372" t="s">
        <v>8</v>
      </c>
    </row>
    <row r="15" spans="1:9" x14ac:dyDescent="0.2">
      <c r="A15" s="29">
        <v>3</v>
      </c>
      <c r="B15" s="151"/>
      <c r="C15" s="385" t="s">
        <v>149</v>
      </c>
      <c r="D15" s="370" t="s">
        <v>1437</v>
      </c>
      <c r="E15" s="108">
        <v>80</v>
      </c>
      <c r="F15" s="150">
        <v>200</v>
      </c>
      <c r="G15" s="35">
        <f t="shared" si="0"/>
        <v>16000</v>
      </c>
      <c r="I15" s="164">
        <f>G11+G15</f>
        <v>32000</v>
      </c>
    </row>
    <row r="16" spans="1:9" x14ac:dyDescent="0.2">
      <c r="A16" s="29">
        <v>4</v>
      </c>
      <c r="B16" s="151"/>
      <c r="C16" s="385" t="s">
        <v>149</v>
      </c>
      <c r="D16" s="370" t="s">
        <v>1438</v>
      </c>
      <c r="E16" s="108">
        <v>80</v>
      </c>
      <c r="F16" s="150">
        <v>450</v>
      </c>
      <c r="G16" s="35">
        <f t="shared" si="0"/>
        <v>36000</v>
      </c>
      <c r="I16" s="164">
        <f>G12+G16</f>
        <v>72000</v>
      </c>
    </row>
    <row r="17" spans="1:12" x14ac:dyDescent="0.2">
      <c r="A17" s="29"/>
      <c r="B17" s="101"/>
      <c r="C17" s="371" t="s">
        <v>8</v>
      </c>
      <c r="D17" s="370" t="s">
        <v>301</v>
      </c>
      <c r="E17" s="155"/>
      <c r="F17" s="128"/>
      <c r="G17" s="372" t="s">
        <v>8</v>
      </c>
    </row>
    <row r="18" spans="1:12" x14ac:dyDescent="0.2">
      <c r="A18" s="29"/>
      <c r="B18" s="106"/>
      <c r="C18" s="41"/>
      <c r="D18" s="376"/>
      <c r="E18" s="104"/>
      <c r="F18" s="128"/>
      <c r="G18" s="35"/>
    </row>
    <row r="19" spans="1:12" x14ac:dyDescent="0.2">
      <c r="A19" s="29"/>
      <c r="B19" s="105"/>
      <c r="C19" s="41"/>
      <c r="D19" s="136"/>
      <c r="E19" s="407"/>
      <c r="F19" s="152"/>
      <c r="G19" s="35"/>
    </row>
    <row r="20" spans="1:12" x14ac:dyDescent="0.2">
      <c r="A20" s="29"/>
      <c r="B20" s="105"/>
      <c r="C20" s="41"/>
      <c r="D20" s="136"/>
      <c r="E20" s="407"/>
      <c r="F20" s="152"/>
      <c r="G20" s="35"/>
    </row>
    <row r="21" spans="1:12" x14ac:dyDescent="0.2">
      <c r="A21" s="29"/>
      <c r="B21" s="107"/>
      <c r="C21" s="41"/>
      <c r="D21" s="136"/>
      <c r="E21" s="153"/>
      <c r="F21" s="128"/>
      <c r="G21" s="35"/>
    </row>
    <row r="22" spans="1:12" x14ac:dyDescent="0.2">
      <c r="A22" s="29"/>
      <c r="B22" s="107"/>
      <c r="C22" s="41"/>
      <c r="D22" s="67"/>
      <c r="E22" s="153"/>
      <c r="F22" s="128"/>
      <c r="G22" s="35"/>
      <c r="I22" s="430" t="s">
        <v>150</v>
      </c>
    </row>
    <row r="23" spans="1:12" x14ac:dyDescent="0.2">
      <c r="A23" s="29"/>
      <c r="B23" s="101"/>
      <c r="C23" s="41"/>
      <c r="D23" s="67"/>
      <c r="E23" s="108"/>
      <c r="F23" s="128"/>
      <c r="G23" s="35"/>
    </row>
    <row r="24" spans="1:12" x14ac:dyDescent="0.2">
      <c r="A24" s="29"/>
      <c r="B24" s="101"/>
      <c r="C24" s="41"/>
      <c r="D24" s="67"/>
      <c r="E24" s="153"/>
      <c r="F24" s="128"/>
      <c r="G24" s="35"/>
    </row>
    <row r="25" spans="1:12" x14ac:dyDescent="0.2">
      <c r="A25" s="29"/>
      <c r="B25" s="106"/>
      <c r="C25" s="41"/>
      <c r="D25" s="67"/>
      <c r="E25" s="104"/>
      <c r="F25" s="154"/>
      <c r="G25" s="35"/>
    </row>
    <row r="26" spans="1:12" x14ac:dyDescent="0.2">
      <c r="A26" s="29"/>
      <c r="B26" s="105"/>
      <c r="C26" s="41"/>
      <c r="D26" s="130"/>
      <c r="E26" s="104"/>
      <c r="F26" s="154"/>
      <c r="G26" s="35"/>
    </row>
    <row r="27" spans="1:12" x14ac:dyDescent="0.2">
      <c r="A27" s="29"/>
      <c r="B27" s="105"/>
      <c r="C27" s="41"/>
      <c r="D27" s="67"/>
      <c r="E27" s="104"/>
      <c r="F27" s="154"/>
      <c r="G27" s="35"/>
      <c r="L27" s="2">
        <f>160*200</f>
        <v>32000</v>
      </c>
    </row>
    <row r="28" spans="1:12" x14ac:dyDescent="0.2">
      <c r="A28" s="29"/>
      <c r="B28" s="101"/>
      <c r="C28" s="41"/>
      <c r="D28" s="67"/>
      <c r="E28" s="104"/>
      <c r="F28" s="154"/>
      <c r="G28" s="35"/>
    </row>
    <row r="29" spans="1:12" x14ac:dyDescent="0.2">
      <c r="A29" s="29"/>
      <c r="B29" s="101"/>
      <c r="C29" s="41"/>
      <c r="D29" s="136"/>
      <c r="E29" s="104"/>
      <c r="F29" s="154"/>
      <c r="G29" s="35"/>
      <c r="L29" s="2">
        <f>160*450</f>
        <v>72000</v>
      </c>
    </row>
    <row r="30" spans="1:12" x14ac:dyDescent="0.2">
      <c r="A30" s="29"/>
      <c r="B30" s="101"/>
      <c r="C30" s="41"/>
      <c r="D30" s="136"/>
      <c r="E30" s="104"/>
      <c r="F30" s="154"/>
      <c r="G30" s="35"/>
    </row>
    <row r="31" spans="1:12" x14ac:dyDescent="0.2">
      <c r="A31" s="29"/>
      <c r="B31" s="101"/>
      <c r="C31" s="41"/>
      <c r="D31" s="62"/>
      <c r="E31" s="104"/>
      <c r="F31" s="154"/>
      <c r="G31" s="35"/>
    </row>
    <row r="32" spans="1:12" x14ac:dyDescent="0.2">
      <c r="A32" s="29"/>
      <c r="B32" s="101"/>
      <c r="C32" s="41"/>
      <c r="D32" s="67"/>
      <c r="E32" s="104"/>
      <c r="F32" s="154"/>
      <c r="G32" s="35"/>
      <c r="L32" s="2">
        <f>160*400</f>
        <v>64000</v>
      </c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60"/>
      <c r="E35" s="108"/>
      <c r="F35" s="128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SUM(G11:G43)</f>
        <v>104000</v>
      </c>
    </row>
    <row r="45" spans="1:7" ht="13.5" thickTop="1" x14ac:dyDescent="0.2">
      <c r="A45" s="875" t="s">
        <v>1440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7" x14ac:dyDescent="0.2">
      <c r="A49" s="910" t="s">
        <v>38</v>
      </c>
      <c r="B49" s="911"/>
      <c r="C49" s="911"/>
      <c r="D49" s="58" t="s">
        <v>913</v>
      </c>
      <c r="E49" s="868" t="s">
        <v>142</v>
      </c>
      <c r="F49" s="868"/>
      <c r="G49" s="869"/>
    </row>
    <row r="50" spans="1:7" ht="13.5" thickBot="1" x14ac:dyDescent="0.25">
      <c r="A50" s="901" t="s">
        <v>39</v>
      </c>
      <c r="B50" s="902"/>
      <c r="C50" s="902"/>
      <c r="D50" s="375" t="s">
        <v>2724</v>
      </c>
      <c r="E50" s="903" t="s">
        <v>0</v>
      </c>
      <c r="F50" s="904"/>
      <c r="G50" s="905"/>
    </row>
    <row r="51" spans="1:7" ht="16.5" x14ac:dyDescent="0.25">
      <c r="A51" s="885" t="s">
        <v>29</v>
      </c>
      <c r="B51" s="886"/>
      <c r="C51" s="886"/>
      <c r="D51" s="886"/>
      <c r="E51" s="886"/>
      <c r="F51" s="886"/>
      <c r="G51" s="887"/>
    </row>
    <row r="52" spans="1:7" x14ac:dyDescent="0.2">
      <c r="A52" s="888" t="s">
        <v>48</v>
      </c>
      <c r="B52" s="889"/>
      <c r="C52" s="889"/>
      <c r="D52" s="889"/>
      <c r="E52" s="889"/>
      <c r="F52" s="889"/>
      <c r="G52" s="890"/>
    </row>
    <row r="53" spans="1:7" x14ac:dyDescent="0.2">
      <c r="A53" s="915" t="s">
        <v>49</v>
      </c>
      <c r="B53" s="916"/>
      <c r="C53" s="916"/>
      <c r="D53" s="916"/>
      <c r="E53" s="916"/>
      <c r="F53" s="916"/>
      <c r="G53" s="917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9</v>
      </c>
      <c r="D55" s="13"/>
      <c r="E55" s="362" t="s">
        <v>2270</v>
      </c>
      <c r="F55" s="98"/>
      <c r="G55" s="363" t="s">
        <v>2162</v>
      </c>
    </row>
    <row r="56" spans="1:7" x14ac:dyDescent="0.2">
      <c r="A56" s="17" t="s">
        <v>8</v>
      </c>
      <c r="B56" s="100"/>
      <c r="C56" s="19"/>
      <c r="D56" s="4"/>
      <c r="E56" s="918"/>
      <c r="F56" s="919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397" t="s">
        <v>1565</v>
      </c>
    </row>
    <row r="58" spans="1:7" x14ac:dyDescent="0.2">
      <c r="A58" s="6"/>
      <c r="B58" s="99"/>
      <c r="C58" s="8"/>
      <c r="D58" s="8"/>
      <c r="E58" s="920"/>
      <c r="F58" s="921"/>
      <c r="G58" s="25"/>
    </row>
    <row r="59" spans="1:7" ht="26.25" thickBot="1" x14ac:dyDescent="0.25">
      <c r="A59" s="207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364">
        <v>1</v>
      </c>
      <c r="B60" s="101"/>
      <c r="C60" s="371" t="s">
        <v>149</v>
      </c>
      <c r="D60" s="630" t="s">
        <v>2271</v>
      </c>
      <c r="E60" s="402">
        <v>30</v>
      </c>
      <c r="F60" s="403">
        <v>202</v>
      </c>
      <c r="G60" s="372">
        <f>F60*E60</f>
        <v>6060</v>
      </c>
    </row>
    <row r="61" spans="1:7" x14ac:dyDescent="0.2">
      <c r="A61" s="29"/>
      <c r="B61" s="101"/>
      <c r="C61" s="371"/>
      <c r="D61" s="370"/>
      <c r="E61" s="158"/>
      <c r="F61" s="128"/>
      <c r="G61" s="35"/>
    </row>
    <row r="62" spans="1:7" x14ac:dyDescent="0.2">
      <c r="A62" s="29"/>
      <c r="B62" s="101"/>
      <c r="C62" s="371"/>
      <c r="D62" s="370"/>
      <c r="E62" s="158"/>
      <c r="F62" s="149"/>
      <c r="G62" s="35"/>
    </row>
    <row r="63" spans="1:7" x14ac:dyDescent="0.2">
      <c r="A63" s="29"/>
      <c r="B63" s="101"/>
      <c r="C63" s="41"/>
      <c r="D63" s="370"/>
      <c r="E63" s="108"/>
      <c r="F63" s="128"/>
      <c r="G63" s="372"/>
    </row>
    <row r="64" spans="1:7" x14ac:dyDescent="0.2">
      <c r="A64" s="29"/>
      <c r="B64" s="105"/>
      <c r="C64" s="41"/>
      <c r="D64" s="449"/>
      <c r="E64" s="102"/>
      <c r="F64" s="128"/>
      <c r="G64" s="372"/>
    </row>
    <row r="65" spans="1:7" x14ac:dyDescent="0.2">
      <c r="A65" s="29"/>
      <c r="B65" s="151"/>
      <c r="C65" s="385"/>
      <c r="D65" s="370"/>
      <c r="E65" s="108"/>
      <c r="F65" s="150"/>
      <c r="G65" s="35"/>
    </row>
    <row r="66" spans="1:7" x14ac:dyDescent="0.2">
      <c r="A66" s="29"/>
      <c r="B66" s="151"/>
      <c r="C66" s="385"/>
      <c r="D66" s="370"/>
      <c r="E66" s="108"/>
      <c r="F66" s="150"/>
      <c r="G66" s="35"/>
    </row>
    <row r="67" spans="1:7" x14ac:dyDescent="0.2">
      <c r="A67" s="29"/>
      <c r="B67" s="101"/>
      <c r="C67" s="371"/>
      <c r="D67" s="370"/>
      <c r="E67" s="155"/>
      <c r="F67" s="128"/>
      <c r="G67" s="372"/>
    </row>
    <row r="68" spans="1:7" x14ac:dyDescent="0.2">
      <c r="A68" s="29"/>
      <c r="B68" s="106"/>
      <c r="C68" s="41"/>
      <c r="D68" s="376"/>
      <c r="E68" s="104"/>
      <c r="F68" s="128"/>
      <c r="G68" s="35"/>
    </row>
    <row r="69" spans="1:7" x14ac:dyDescent="0.2">
      <c r="A69" s="29"/>
      <c r="B69" s="105"/>
      <c r="C69" s="41"/>
      <c r="D69" s="136"/>
      <c r="E69" s="407"/>
      <c r="F69" s="152"/>
      <c r="G69" s="35"/>
    </row>
    <row r="70" spans="1:7" x14ac:dyDescent="0.2">
      <c r="A70" s="29"/>
      <c r="B70" s="105"/>
      <c r="C70" s="41"/>
      <c r="D70" s="136"/>
      <c r="E70" s="407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3" x14ac:dyDescent="0.2">
      <c r="A81" s="29"/>
      <c r="B81" s="101"/>
      <c r="C81" s="41"/>
      <c r="D81" s="62"/>
      <c r="E81" s="104"/>
      <c r="F81" s="154"/>
      <c r="G81" s="35"/>
    </row>
    <row r="82" spans="1:13" x14ac:dyDescent="0.2">
      <c r="A82" s="29"/>
      <c r="B82" s="101"/>
      <c r="C82" s="41"/>
      <c r="D82" s="67"/>
      <c r="E82" s="104"/>
      <c r="F82" s="154"/>
      <c r="G82" s="35"/>
      <c r="M82" s="430" t="s">
        <v>8</v>
      </c>
    </row>
    <row r="83" spans="1:13" x14ac:dyDescent="0.2">
      <c r="A83" s="29"/>
      <c r="B83" s="101"/>
      <c r="C83" s="41"/>
      <c r="D83" s="159"/>
      <c r="E83" s="104"/>
      <c r="F83" s="154"/>
      <c r="G83" s="35"/>
    </row>
    <row r="84" spans="1:13" x14ac:dyDescent="0.2">
      <c r="A84" s="29"/>
      <c r="B84" s="101"/>
      <c r="C84" s="41"/>
      <c r="D84" s="160"/>
      <c r="E84" s="108"/>
      <c r="F84" s="128"/>
      <c r="G84" s="35"/>
    </row>
    <row r="85" spans="1:13" x14ac:dyDescent="0.2">
      <c r="A85" s="29"/>
      <c r="B85" s="101"/>
      <c r="C85" s="41"/>
      <c r="D85" s="160"/>
      <c r="E85" s="108"/>
      <c r="F85" s="128"/>
      <c r="G85" s="35"/>
    </row>
    <row r="86" spans="1:13" x14ac:dyDescent="0.2">
      <c r="A86" s="29"/>
      <c r="B86" s="101"/>
      <c r="C86" s="41"/>
      <c r="D86" s="160"/>
      <c r="E86" s="108"/>
      <c r="F86" s="128"/>
      <c r="G86" s="35"/>
    </row>
    <row r="87" spans="1:13" x14ac:dyDescent="0.2">
      <c r="A87" s="29"/>
      <c r="B87" s="101"/>
      <c r="C87" s="41"/>
      <c r="D87" s="160"/>
      <c r="E87" s="108"/>
      <c r="F87" s="128"/>
      <c r="G87" s="35"/>
    </row>
    <row r="88" spans="1:13" x14ac:dyDescent="0.2">
      <c r="A88" s="29"/>
      <c r="B88" s="101"/>
      <c r="C88" s="41"/>
      <c r="D88" s="160"/>
      <c r="E88" s="108"/>
      <c r="F88" s="128"/>
      <c r="G88" s="35"/>
    </row>
    <row r="89" spans="1:13" x14ac:dyDescent="0.2">
      <c r="A89" s="29"/>
      <c r="B89" s="101"/>
      <c r="C89" s="41"/>
      <c r="D89" s="136"/>
      <c r="E89" s="153"/>
      <c r="F89" s="128"/>
      <c r="G89" s="35"/>
    </row>
    <row r="90" spans="1:13" x14ac:dyDescent="0.2">
      <c r="A90" s="29"/>
      <c r="B90" s="101"/>
      <c r="C90" s="41"/>
      <c r="D90" s="136"/>
      <c r="E90" s="102"/>
      <c r="F90" s="128"/>
      <c r="G90" s="35"/>
    </row>
    <row r="91" spans="1:13" x14ac:dyDescent="0.2">
      <c r="A91" s="29"/>
      <c r="B91" s="101"/>
      <c r="C91" s="31"/>
      <c r="D91" s="67"/>
      <c r="E91" s="131"/>
      <c r="F91" s="117"/>
      <c r="G91" s="35"/>
    </row>
    <row r="92" spans="1:13" x14ac:dyDescent="0.2">
      <c r="A92" s="29"/>
      <c r="B92" s="101"/>
      <c r="C92" s="41"/>
      <c r="D92" s="118"/>
      <c r="E92" s="108"/>
      <c r="F92" s="149"/>
      <c r="G92" s="35"/>
    </row>
    <row r="93" spans="1:13" x14ac:dyDescent="0.2">
      <c r="A93" s="29"/>
      <c r="B93" s="101"/>
      <c r="C93" s="41"/>
      <c r="D93" s="144"/>
      <c r="E93" s="108"/>
      <c r="F93" s="149"/>
      <c r="G93" s="35"/>
    </row>
    <row r="94" spans="1:13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6060</v>
      </c>
    </row>
    <row r="95" spans="1:13" ht="13.5" thickTop="1" x14ac:dyDescent="0.2">
      <c r="A95" s="875" t="s">
        <v>2181</v>
      </c>
      <c r="B95" s="899"/>
      <c r="C95" s="899"/>
      <c r="D95" s="899"/>
      <c r="E95" s="899"/>
      <c r="F95" s="899"/>
      <c r="G95" s="900"/>
    </row>
    <row r="96" spans="1:13" ht="13.5" thickBot="1" x14ac:dyDescent="0.25">
      <c r="A96" s="52"/>
      <c r="B96" s="103"/>
      <c r="C96" s="374" t="s">
        <v>2182</v>
      </c>
      <c r="D96" s="54"/>
      <c r="E96" s="103"/>
      <c r="F96" s="55"/>
      <c r="G96" s="56"/>
    </row>
    <row r="97" spans="1:7" ht="13.5" thickTop="1" x14ac:dyDescent="0.2">
      <c r="A97" s="906"/>
      <c r="B97" s="907"/>
      <c r="C97" s="907"/>
      <c r="D97" s="57" t="s">
        <v>11</v>
      </c>
      <c r="E97" s="908" t="s">
        <v>12</v>
      </c>
      <c r="F97" s="908"/>
      <c r="G97" s="909"/>
    </row>
    <row r="98" spans="1:7" x14ac:dyDescent="0.2">
      <c r="A98" s="910" t="s">
        <v>17</v>
      </c>
      <c r="B98" s="911"/>
      <c r="C98" s="911"/>
      <c r="D98" s="39"/>
      <c r="E98" s="912"/>
      <c r="F98" s="913"/>
      <c r="G98" s="914"/>
    </row>
    <row r="99" spans="1:7" x14ac:dyDescent="0.2">
      <c r="A99" s="910" t="s">
        <v>38</v>
      </c>
      <c r="B99" s="911"/>
      <c r="C99" s="911"/>
      <c r="D99" s="58" t="s">
        <v>2183</v>
      </c>
      <c r="E99" s="868" t="s">
        <v>142</v>
      </c>
      <c r="F99" s="868"/>
      <c r="G99" s="869"/>
    </row>
    <row r="100" spans="1:7" ht="13.5" thickBot="1" x14ac:dyDescent="0.25">
      <c r="A100" s="901" t="s">
        <v>39</v>
      </c>
      <c r="B100" s="902"/>
      <c r="C100" s="902"/>
      <c r="D100" s="375" t="s">
        <v>2724</v>
      </c>
      <c r="E100" s="903" t="s">
        <v>0</v>
      </c>
      <c r="F100" s="904"/>
      <c r="G100" s="905"/>
    </row>
    <row r="101" spans="1:7" ht="16.5" x14ac:dyDescent="0.25">
      <c r="A101" s="885" t="s">
        <v>29</v>
      </c>
      <c r="B101" s="886"/>
      <c r="C101" s="886"/>
      <c r="D101" s="886"/>
      <c r="E101" s="886"/>
      <c r="F101" s="886"/>
      <c r="G101" s="887"/>
    </row>
    <row r="102" spans="1:7" x14ac:dyDescent="0.2">
      <c r="A102" s="888" t="s">
        <v>48</v>
      </c>
      <c r="B102" s="889"/>
      <c r="C102" s="889"/>
      <c r="D102" s="889"/>
      <c r="E102" s="889"/>
      <c r="F102" s="889"/>
      <c r="G102" s="890"/>
    </row>
    <row r="103" spans="1:7" x14ac:dyDescent="0.2">
      <c r="A103" s="915" t="s">
        <v>49</v>
      </c>
      <c r="B103" s="916"/>
      <c r="C103" s="916"/>
      <c r="D103" s="916"/>
      <c r="E103" s="916"/>
      <c r="F103" s="916"/>
      <c r="G103" s="917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9</v>
      </c>
      <c r="D105" s="13"/>
      <c r="E105" s="362" t="s">
        <v>2742</v>
      </c>
      <c r="F105" s="98"/>
      <c r="G105" s="363" t="s">
        <v>2711</v>
      </c>
    </row>
    <row r="106" spans="1:7" x14ac:dyDescent="0.2">
      <c r="A106" s="17" t="s">
        <v>8</v>
      </c>
      <c r="B106" s="100"/>
      <c r="C106" s="19"/>
      <c r="D106" s="4"/>
      <c r="E106" s="918"/>
      <c r="F106" s="919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397" t="s">
        <v>1565</v>
      </c>
    </row>
    <row r="108" spans="1:7" x14ac:dyDescent="0.2">
      <c r="A108" s="6"/>
      <c r="B108" s="99"/>
      <c r="C108" s="8"/>
      <c r="D108" s="8"/>
      <c r="E108" s="920"/>
      <c r="F108" s="921"/>
      <c r="G108" s="25"/>
    </row>
    <row r="109" spans="1:7" ht="26.25" thickBot="1" x14ac:dyDescent="0.25">
      <c r="A109" s="207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364">
        <v>1</v>
      </c>
      <c r="B110" s="101"/>
      <c r="C110" s="371" t="s">
        <v>1938</v>
      </c>
      <c r="D110" s="630" t="s">
        <v>2712</v>
      </c>
      <c r="E110" s="402">
        <v>1</v>
      </c>
      <c r="F110" s="403">
        <v>1005</v>
      </c>
      <c r="G110" s="372">
        <f>F110*E110</f>
        <v>1005</v>
      </c>
    </row>
    <row r="111" spans="1:7" x14ac:dyDescent="0.2">
      <c r="A111" s="29">
        <v>2</v>
      </c>
      <c r="B111" s="101"/>
      <c r="C111" s="371" t="s">
        <v>149</v>
      </c>
      <c r="D111" s="370" t="s">
        <v>2713</v>
      </c>
      <c r="E111" s="158">
        <v>1</v>
      </c>
      <c r="F111" s="128">
        <v>1545</v>
      </c>
      <c r="G111" s="372">
        <f t="shared" ref="G111:G114" si="1">F111*E111</f>
        <v>1545</v>
      </c>
    </row>
    <row r="112" spans="1:7" x14ac:dyDescent="0.2">
      <c r="A112" s="29">
        <v>3</v>
      </c>
      <c r="B112" s="101"/>
      <c r="C112" s="371" t="s">
        <v>149</v>
      </c>
      <c r="D112" s="370" t="s">
        <v>2714</v>
      </c>
      <c r="E112" s="158">
        <v>1</v>
      </c>
      <c r="F112" s="149">
        <v>805</v>
      </c>
      <c r="G112" s="372">
        <f t="shared" si="1"/>
        <v>805</v>
      </c>
    </row>
    <row r="113" spans="1:7" x14ac:dyDescent="0.2">
      <c r="A113" s="29">
        <v>4</v>
      </c>
      <c r="B113" s="101"/>
      <c r="C113" s="371" t="s">
        <v>1938</v>
      </c>
      <c r="D113" s="370" t="s">
        <v>2715</v>
      </c>
      <c r="E113" s="108">
        <v>1</v>
      </c>
      <c r="F113" s="128">
        <v>1915</v>
      </c>
      <c r="G113" s="372">
        <f t="shared" si="1"/>
        <v>1915</v>
      </c>
    </row>
    <row r="114" spans="1:7" x14ac:dyDescent="0.2">
      <c r="A114" s="29">
        <v>5</v>
      </c>
      <c r="B114" s="105"/>
      <c r="C114" s="371" t="s">
        <v>149</v>
      </c>
      <c r="D114" s="460" t="s">
        <v>2716</v>
      </c>
      <c r="E114" s="102">
        <v>1</v>
      </c>
      <c r="F114" s="128">
        <v>905</v>
      </c>
      <c r="G114" s="372">
        <f t="shared" si="1"/>
        <v>905</v>
      </c>
    </row>
    <row r="115" spans="1:7" x14ac:dyDescent="0.2">
      <c r="A115" s="29"/>
      <c r="B115" s="151"/>
      <c r="C115" s="385"/>
      <c r="D115" s="370"/>
      <c r="E115" s="108"/>
      <c r="F115" s="150"/>
      <c r="G115" s="35"/>
    </row>
    <row r="116" spans="1:7" x14ac:dyDescent="0.2">
      <c r="A116" s="29"/>
      <c r="B116" s="151"/>
      <c r="C116" s="385"/>
      <c r="D116" s="370"/>
      <c r="E116" s="108"/>
      <c r="F116" s="150"/>
      <c r="G116" s="35"/>
    </row>
    <row r="117" spans="1:7" x14ac:dyDescent="0.2">
      <c r="A117" s="29"/>
      <c r="B117" s="101"/>
      <c r="C117" s="371"/>
      <c r="D117" s="370"/>
      <c r="E117" s="155"/>
      <c r="F117" s="128"/>
      <c r="G117" s="372"/>
    </row>
    <row r="118" spans="1:7" x14ac:dyDescent="0.2">
      <c r="A118" s="29"/>
      <c r="B118" s="106"/>
      <c r="C118" s="41"/>
      <c r="D118" s="376"/>
      <c r="E118" s="104"/>
      <c r="F118" s="128"/>
      <c r="G118" s="35"/>
    </row>
    <row r="119" spans="1:7" x14ac:dyDescent="0.2">
      <c r="A119" s="29"/>
      <c r="B119" s="105"/>
      <c r="C119" s="41"/>
      <c r="D119" s="136"/>
      <c r="E119" s="407"/>
      <c r="F119" s="152"/>
      <c r="G119" s="35"/>
    </row>
    <row r="120" spans="1:7" x14ac:dyDescent="0.2">
      <c r="A120" s="29"/>
      <c r="B120" s="105"/>
      <c r="C120" s="41"/>
      <c r="D120" s="136"/>
      <c r="E120" s="407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60"/>
      <c r="E134" s="108"/>
      <c r="F134" s="128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6175</v>
      </c>
    </row>
    <row r="145" spans="1:7" ht="13.5" thickTop="1" x14ac:dyDescent="0.2">
      <c r="A145" s="875" t="s">
        <v>2717</v>
      </c>
      <c r="B145" s="899"/>
      <c r="C145" s="899"/>
      <c r="D145" s="899"/>
      <c r="E145" s="899"/>
      <c r="F145" s="899"/>
      <c r="G145" s="900"/>
    </row>
    <row r="146" spans="1:7" ht="13.5" thickBot="1" x14ac:dyDescent="0.25">
      <c r="A146" s="52"/>
      <c r="B146" s="103"/>
      <c r="C146" s="374" t="s">
        <v>8</v>
      </c>
      <c r="D146" s="54"/>
      <c r="E146" s="103"/>
      <c r="F146" s="55"/>
      <c r="G146" s="56"/>
    </row>
    <row r="147" spans="1:7" ht="13.5" thickTop="1" x14ac:dyDescent="0.2">
      <c r="A147" s="906"/>
      <c r="B147" s="907"/>
      <c r="C147" s="907"/>
      <c r="D147" s="57" t="s">
        <v>11</v>
      </c>
      <c r="E147" s="908" t="s">
        <v>12</v>
      </c>
      <c r="F147" s="908"/>
      <c r="G147" s="909"/>
    </row>
    <row r="148" spans="1:7" x14ac:dyDescent="0.2">
      <c r="A148" s="910" t="s">
        <v>17</v>
      </c>
      <c r="B148" s="911"/>
      <c r="C148" s="911"/>
      <c r="D148" s="39"/>
      <c r="E148" s="912"/>
      <c r="F148" s="913"/>
      <c r="G148" s="914"/>
    </row>
    <row r="149" spans="1:7" x14ac:dyDescent="0.2">
      <c r="A149" s="910" t="s">
        <v>38</v>
      </c>
      <c r="B149" s="911"/>
      <c r="C149" s="911"/>
      <c r="D149" s="58" t="s">
        <v>2183</v>
      </c>
      <c r="E149" s="868" t="s">
        <v>142</v>
      </c>
      <c r="F149" s="868"/>
      <c r="G149" s="869"/>
    </row>
    <row r="150" spans="1:7" ht="13.5" thickBot="1" x14ac:dyDescent="0.25">
      <c r="A150" s="901" t="s">
        <v>39</v>
      </c>
      <c r="B150" s="902"/>
      <c r="C150" s="902"/>
      <c r="D150" s="375" t="s">
        <v>2724</v>
      </c>
      <c r="E150" s="903" t="s">
        <v>0</v>
      </c>
      <c r="F150" s="904"/>
      <c r="G150" s="905"/>
    </row>
  </sheetData>
  <mergeCells count="43">
    <mergeCell ref="H10:I10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8A3CC4"/>
  </sheetPr>
  <dimension ref="A1:P898"/>
  <sheetViews>
    <sheetView topLeftCell="A863" zoomScale="110" zoomScaleNormal="110" workbookViewId="0">
      <selection activeCell="J879" sqref="J879"/>
    </sheetView>
  </sheetViews>
  <sheetFormatPr defaultRowHeight="12.75" x14ac:dyDescent="0.2"/>
  <cols>
    <col min="1" max="1" width="6.42578125" style="2" customWidth="1"/>
    <col min="2" max="2" width="6.7109375" style="3" customWidth="1"/>
    <col min="3" max="3" width="9.5703125" style="4" customWidth="1"/>
    <col min="4" max="4" width="36" style="2" customWidth="1"/>
    <col min="5" max="5" width="9.28515625" style="3" customWidth="1"/>
    <col min="6" max="6" width="12.140625" style="5" customWidth="1"/>
    <col min="7" max="7" width="15.28515625" style="2" customWidth="1"/>
    <col min="8" max="8" width="11.28515625" style="1" bestFit="1" customWidth="1"/>
    <col min="9" max="9" width="19.140625" style="2" customWidth="1"/>
    <col min="10" max="10" width="19.5703125" style="2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8</v>
      </c>
    </row>
    <row r="5" spans="1:7" x14ac:dyDescent="0.2">
      <c r="A5" s="12" t="s">
        <v>1</v>
      </c>
      <c r="B5" s="13"/>
      <c r="C5" s="14" t="s">
        <v>16</v>
      </c>
      <c r="D5" s="13"/>
      <c r="E5" s="15" t="s">
        <v>1010</v>
      </c>
      <c r="F5" s="60"/>
      <c r="G5" s="16" t="s">
        <v>1004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thickBot="1" x14ac:dyDescent="0.25">
      <c r="A9" s="26" t="s">
        <v>47</v>
      </c>
      <c r="B9" s="161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1" t="s">
        <v>149</v>
      </c>
      <c r="D10" s="162" t="s">
        <v>1009</v>
      </c>
      <c r="E10" s="102">
        <v>25</v>
      </c>
      <c r="F10" s="163">
        <v>200</v>
      </c>
      <c r="G10" s="35">
        <f>F10*E10</f>
        <v>5000</v>
      </c>
    </row>
    <row r="11" spans="1:7" x14ac:dyDescent="0.2">
      <c r="A11" s="29" t="s">
        <v>8</v>
      </c>
      <c r="B11" s="101"/>
      <c r="C11" s="31"/>
      <c r="D11" s="162"/>
      <c r="E11" s="102"/>
      <c r="F11" s="163" t="s">
        <v>8</v>
      </c>
      <c r="G11" s="35" t="s">
        <v>8</v>
      </c>
    </row>
    <row r="12" spans="1:7" x14ac:dyDescent="0.2">
      <c r="A12" s="29"/>
      <c r="B12" s="101"/>
      <c r="C12" s="31"/>
      <c r="D12" s="162"/>
      <c r="E12" s="102"/>
      <c r="F12" s="163"/>
      <c r="G12" s="35"/>
    </row>
    <row r="13" spans="1:7" x14ac:dyDescent="0.2">
      <c r="A13" s="29"/>
      <c r="B13" s="101"/>
      <c r="C13" s="31"/>
      <c r="D13" s="162"/>
      <c r="E13" s="102"/>
      <c r="F13" s="163"/>
      <c r="G13" s="35"/>
    </row>
    <row r="14" spans="1:7" x14ac:dyDescent="0.2">
      <c r="A14" s="29"/>
      <c r="B14" s="101"/>
      <c r="C14" s="31"/>
      <c r="D14" s="165"/>
      <c r="E14" s="102"/>
      <c r="F14" s="163"/>
      <c r="G14" s="35"/>
    </row>
    <row r="15" spans="1:7" x14ac:dyDescent="0.2">
      <c r="A15" s="29"/>
      <c r="B15" s="101"/>
      <c r="C15" s="31"/>
      <c r="D15" s="136"/>
      <c r="E15" s="102"/>
      <c r="F15" s="163"/>
      <c r="G15" s="35"/>
    </row>
    <row r="16" spans="1:7" x14ac:dyDescent="0.2">
      <c r="A16" s="29"/>
      <c r="B16" s="101"/>
      <c r="C16" s="31"/>
      <c r="D16" s="67"/>
      <c r="E16" s="102"/>
      <c r="F16" s="163"/>
      <c r="G16" s="35"/>
    </row>
    <row r="17" spans="1:9" x14ac:dyDescent="0.2">
      <c r="A17" s="29"/>
      <c r="B17" s="101"/>
      <c r="C17" s="31"/>
      <c r="D17" s="165"/>
      <c r="E17" s="102"/>
      <c r="F17" s="163"/>
      <c r="G17" s="35"/>
    </row>
    <row r="18" spans="1:9" x14ac:dyDescent="0.2">
      <c r="A18" s="29"/>
      <c r="B18" s="101"/>
      <c r="C18" s="31"/>
      <c r="D18" s="165"/>
      <c r="E18" s="102"/>
      <c r="F18" s="163"/>
      <c r="G18" s="35"/>
    </row>
    <row r="19" spans="1:9" x14ac:dyDescent="0.2">
      <c r="A19" s="29"/>
      <c r="B19" s="101"/>
      <c r="C19" s="31"/>
      <c r="D19" s="165"/>
      <c r="E19" s="102"/>
      <c r="F19" s="163"/>
      <c r="G19" s="35"/>
      <c r="I19" s="430" t="s">
        <v>8</v>
      </c>
    </row>
    <row r="20" spans="1:9" x14ac:dyDescent="0.2">
      <c r="A20" s="29"/>
      <c r="B20" s="101"/>
      <c r="C20" s="31"/>
      <c r="D20" s="67"/>
      <c r="E20" s="102"/>
      <c r="F20" s="163"/>
      <c r="G20" s="35"/>
    </row>
    <row r="21" spans="1:9" x14ac:dyDescent="0.2">
      <c r="A21" s="29"/>
      <c r="B21" s="101"/>
      <c r="C21" s="31"/>
      <c r="D21" s="67"/>
      <c r="E21" s="102"/>
      <c r="F21" s="163"/>
      <c r="G21" s="35"/>
    </row>
    <row r="22" spans="1:9" x14ac:dyDescent="0.2">
      <c r="A22" s="29"/>
      <c r="B22" s="101"/>
      <c r="C22" s="31"/>
      <c r="D22" s="165"/>
      <c r="E22" s="166"/>
      <c r="F22" s="163"/>
      <c r="G22" s="167"/>
    </row>
    <row r="23" spans="1:9" x14ac:dyDescent="0.2">
      <c r="A23" s="29"/>
      <c r="B23" s="101"/>
      <c r="C23" s="31"/>
      <c r="D23" s="165"/>
      <c r="E23" s="102"/>
      <c r="F23" s="163"/>
      <c r="G23" s="167"/>
    </row>
    <row r="24" spans="1:9" x14ac:dyDescent="0.2">
      <c r="A24" s="29"/>
      <c r="B24" s="101"/>
      <c r="C24" s="31"/>
      <c r="D24" s="67"/>
      <c r="E24" s="102"/>
      <c r="F24" s="163"/>
      <c r="G24" s="167"/>
    </row>
    <row r="25" spans="1:9" x14ac:dyDescent="0.2">
      <c r="A25" s="29"/>
      <c r="B25" s="101"/>
      <c r="C25" s="31"/>
      <c r="D25" s="67"/>
      <c r="E25" s="102"/>
      <c r="F25" s="163"/>
      <c r="G25" s="167"/>
    </row>
    <row r="26" spans="1:9" x14ac:dyDescent="0.2">
      <c r="A26" s="29"/>
      <c r="B26" s="101"/>
      <c r="C26" s="31"/>
      <c r="D26" s="67"/>
      <c r="E26" s="102"/>
      <c r="F26" s="163"/>
      <c r="G26" s="167"/>
    </row>
    <row r="27" spans="1:9" x14ac:dyDescent="0.2">
      <c r="A27" s="29"/>
      <c r="B27" s="101"/>
      <c r="C27" s="41"/>
      <c r="D27" s="168"/>
      <c r="E27" s="77"/>
      <c r="F27" s="169"/>
      <c r="G27" s="167"/>
    </row>
    <row r="28" spans="1:9" x14ac:dyDescent="0.2">
      <c r="A28" s="29"/>
      <c r="B28" s="101"/>
      <c r="C28" s="41"/>
      <c r="D28" s="168"/>
      <c r="E28" s="77"/>
      <c r="F28" s="169"/>
      <c r="G28" s="167"/>
    </row>
    <row r="29" spans="1:9" x14ac:dyDescent="0.2">
      <c r="A29" s="29"/>
      <c r="B29" s="101"/>
      <c r="C29" s="41"/>
      <c r="D29" s="67"/>
      <c r="E29" s="77"/>
      <c r="F29" s="169"/>
      <c r="G29" s="35"/>
    </row>
    <row r="30" spans="1:9" x14ac:dyDescent="0.2">
      <c r="A30" s="29"/>
      <c r="B30" s="101"/>
      <c r="C30" s="41"/>
      <c r="D30" s="67"/>
      <c r="E30" s="77"/>
      <c r="F30" s="169" t="s">
        <v>152</v>
      </c>
      <c r="G30" s="35"/>
    </row>
    <row r="31" spans="1:9" x14ac:dyDescent="0.2">
      <c r="A31" s="29"/>
      <c r="B31" s="101"/>
      <c r="C31" s="31"/>
      <c r="D31" s="67"/>
      <c r="E31" s="102"/>
      <c r="F31" s="163"/>
      <c r="G31" s="35"/>
    </row>
    <row r="32" spans="1:9" x14ac:dyDescent="0.2">
      <c r="A32" s="29"/>
      <c r="B32" s="101"/>
      <c r="C32" s="31"/>
      <c r="D32" s="67"/>
      <c r="E32" s="102"/>
      <c r="F32" s="163"/>
      <c r="G32" s="35"/>
    </row>
    <row r="33" spans="1:7" x14ac:dyDescent="0.2">
      <c r="A33" s="29"/>
      <c r="B33" s="101"/>
      <c r="C33" s="31"/>
      <c r="D33" s="67"/>
      <c r="E33" s="102"/>
      <c r="F33" s="163"/>
      <c r="G33" s="35"/>
    </row>
    <row r="34" spans="1:7" x14ac:dyDescent="0.2">
      <c r="A34" s="29"/>
      <c r="B34" s="101"/>
      <c r="C34" s="31"/>
      <c r="D34" s="170" t="s">
        <v>150</v>
      </c>
      <c r="E34" s="102"/>
      <c r="F34" s="163"/>
      <c r="G34" s="35"/>
    </row>
    <row r="35" spans="1:7" x14ac:dyDescent="0.2">
      <c r="A35" s="29"/>
      <c r="B35" s="101"/>
      <c r="C35" s="31"/>
      <c r="D35" s="32"/>
      <c r="E35" s="104"/>
      <c r="F35" s="171"/>
      <c r="G35" s="35"/>
    </row>
    <row r="36" spans="1:7" x14ac:dyDescent="0.2">
      <c r="A36" s="29"/>
      <c r="B36" s="101"/>
      <c r="C36" s="31"/>
      <c r="D36" s="32"/>
      <c r="E36" s="104"/>
      <c r="F36" s="171"/>
      <c r="G36" s="35"/>
    </row>
    <row r="37" spans="1:7" x14ac:dyDescent="0.2">
      <c r="A37" s="29"/>
      <c r="B37" s="101"/>
      <c r="C37" s="31"/>
      <c r="D37" s="32"/>
      <c r="E37" s="104"/>
      <c r="F37" s="171"/>
      <c r="G37" s="35"/>
    </row>
    <row r="38" spans="1:7" x14ac:dyDescent="0.2">
      <c r="A38" s="29"/>
      <c r="B38" s="101"/>
      <c r="C38" s="31"/>
      <c r="D38" s="32"/>
      <c r="E38" s="104"/>
      <c r="F38" s="171"/>
      <c r="G38" s="35"/>
    </row>
    <row r="39" spans="1:7" x14ac:dyDescent="0.2">
      <c r="A39" s="29"/>
      <c r="B39" s="101"/>
      <c r="C39" s="31"/>
      <c r="D39" s="32"/>
      <c r="E39" s="104"/>
      <c r="F39" s="171"/>
      <c r="G39" s="35"/>
    </row>
    <row r="40" spans="1:7" x14ac:dyDescent="0.2">
      <c r="A40" s="29"/>
      <c r="B40" s="101"/>
      <c r="C40" s="31"/>
      <c r="D40" s="32"/>
      <c r="E40" s="104"/>
      <c r="F40" s="172"/>
      <c r="G40" s="35"/>
    </row>
    <row r="41" spans="1:7" x14ac:dyDescent="0.2">
      <c r="A41" s="29"/>
      <c r="B41" s="101"/>
      <c r="C41" s="31" t="s">
        <v>8</v>
      </c>
      <c r="D41" s="32"/>
      <c r="E41" s="104"/>
      <c r="F41" s="172"/>
      <c r="G41" s="35"/>
    </row>
    <row r="42" spans="1:7" x14ac:dyDescent="0.2">
      <c r="A42" s="29"/>
      <c r="B42" s="101"/>
      <c r="C42" s="31"/>
      <c r="D42" s="32"/>
      <c r="E42" s="104"/>
      <c r="F42" s="173"/>
      <c r="G42" s="167" t="s">
        <v>8</v>
      </c>
    </row>
    <row r="43" spans="1:7" ht="13.5" thickBot="1" x14ac:dyDescent="0.25">
      <c r="A43" s="45"/>
      <c r="B43" s="174"/>
      <c r="C43" s="47"/>
      <c r="D43" s="175"/>
      <c r="E43" s="174"/>
      <c r="F43" s="49" t="s">
        <v>15</v>
      </c>
      <c r="G43" s="50">
        <f>SUM(G10:G42)</f>
        <v>5000</v>
      </c>
    </row>
    <row r="44" spans="1:7" ht="13.5" thickTop="1" x14ac:dyDescent="0.2">
      <c r="A44" s="17" t="s">
        <v>1007</v>
      </c>
      <c r="B44" s="176"/>
      <c r="E44" s="176"/>
      <c r="G44" s="20"/>
    </row>
    <row r="45" spans="1:7" ht="13.5" thickBot="1" x14ac:dyDescent="0.25">
      <c r="A45" s="1058" t="s">
        <v>1008</v>
      </c>
      <c r="B45" s="1054"/>
      <c r="C45" s="1054"/>
      <c r="D45" s="1054"/>
      <c r="E45" s="1054"/>
      <c r="F45" s="1054"/>
      <c r="G45" s="1055"/>
    </row>
    <row r="46" spans="1:7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7" x14ac:dyDescent="0.2">
      <c r="A47" s="910" t="s">
        <v>17</v>
      </c>
      <c r="B47" s="911"/>
      <c r="C47" s="911"/>
      <c r="D47" s="57"/>
      <c r="E47" s="912"/>
      <c r="F47" s="913"/>
      <c r="G47" s="914"/>
    </row>
    <row r="48" spans="1:7" x14ac:dyDescent="0.2">
      <c r="A48" s="910" t="s">
        <v>38</v>
      </c>
      <c r="B48" s="911"/>
      <c r="C48" s="911"/>
      <c r="D48" s="58" t="s">
        <v>1015</v>
      </c>
      <c r="E48" s="969" t="s">
        <v>142</v>
      </c>
      <c r="F48" s="868"/>
      <c r="G48" s="869"/>
    </row>
    <row r="49" spans="1:9" ht="13.5" thickBot="1" x14ac:dyDescent="0.25">
      <c r="A49" s="901" t="s">
        <v>39</v>
      </c>
      <c r="B49" s="902"/>
      <c r="C49" s="902"/>
      <c r="D49" s="59" t="s">
        <v>245</v>
      </c>
      <c r="E49" s="904" t="s">
        <v>0</v>
      </c>
      <c r="F49" s="904"/>
      <c r="G49" s="905"/>
    </row>
    <row r="50" spans="1:9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9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9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9" x14ac:dyDescent="0.2">
      <c r="A53" s="6"/>
      <c r="B53" s="99"/>
      <c r="C53" s="8"/>
      <c r="D53" s="9"/>
      <c r="E53" s="99"/>
      <c r="F53" s="10"/>
      <c r="G53" s="11" t="s">
        <v>8</v>
      </c>
    </row>
    <row r="54" spans="1:9" x14ac:dyDescent="0.2">
      <c r="A54" s="12" t="s">
        <v>1</v>
      </c>
      <c r="B54" s="13"/>
      <c r="C54" s="14" t="s">
        <v>16</v>
      </c>
      <c r="D54" s="13"/>
      <c r="E54" s="15" t="s">
        <v>1011</v>
      </c>
      <c r="F54" s="60"/>
      <c r="G54" s="16" t="s">
        <v>1004</v>
      </c>
    </row>
    <row r="55" spans="1:9" x14ac:dyDescent="0.2">
      <c r="A55" s="17" t="s">
        <v>8</v>
      </c>
      <c r="B55" s="100"/>
      <c r="C55" s="19"/>
      <c r="D55" s="4"/>
      <c r="E55" s="918"/>
      <c r="F55" s="919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920"/>
      <c r="F57" s="921"/>
      <c r="G57" s="25"/>
    </row>
    <row r="58" spans="1:9" ht="26.25" thickBot="1" x14ac:dyDescent="0.25">
      <c r="A58" s="26" t="s">
        <v>47</v>
      </c>
      <c r="B58" s="161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1" t="s">
        <v>242</v>
      </c>
      <c r="D59" s="382" t="s">
        <v>1054</v>
      </c>
      <c r="E59" s="102">
        <v>75</v>
      </c>
      <c r="F59" s="163">
        <v>200</v>
      </c>
      <c r="G59" s="35">
        <f>F59*E59</f>
        <v>15000</v>
      </c>
    </row>
    <row r="60" spans="1:9" x14ac:dyDescent="0.2">
      <c r="A60" s="29">
        <v>2</v>
      </c>
      <c r="B60" s="101"/>
      <c r="C60" s="31" t="s">
        <v>242</v>
      </c>
      <c r="D60" s="162" t="s">
        <v>325</v>
      </c>
      <c r="E60" s="102">
        <v>75</v>
      </c>
      <c r="F60" s="163">
        <v>350</v>
      </c>
      <c r="G60" s="35">
        <f t="shared" ref="G60" si="0">F60*E60</f>
        <v>26250</v>
      </c>
    </row>
    <row r="61" spans="1:9" x14ac:dyDescent="0.2">
      <c r="A61" s="29"/>
      <c r="B61" s="101"/>
      <c r="C61" s="31"/>
      <c r="D61" s="162"/>
      <c r="E61" s="102"/>
      <c r="F61" s="163"/>
      <c r="G61" s="35"/>
    </row>
    <row r="62" spans="1:9" x14ac:dyDescent="0.2">
      <c r="A62" s="29"/>
      <c r="B62" s="101"/>
      <c r="C62" s="31"/>
      <c r="D62" s="162"/>
      <c r="E62" s="102"/>
      <c r="F62" s="163"/>
      <c r="G62" s="35"/>
    </row>
    <row r="63" spans="1:9" x14ac:dyDescent="0.2">
      <c r="A63" s="29"/>
      <c r="B63" s="101"/>
      <c r="C63" s="31"/>
      <c r="D63" s="165"/>
      <c r="E63" s="102"/>
      <c r="F63" s="163"/>
      <c r="G63" s="35"/>
      <c r="I63" s="430" t="s">
        <v>8</v>
      </c>
    </row>
    <row r="64" spans="1:9" x14ac:dyDescent="0.2">
      <c r="A64" s="29"/>
      <c r="B64" s="101"/>
      <c r="C64" s="31"/>
      <c r="D64" s="136"/>
      <c r="E64" s="102"/>
      <c r="F64" s="163"/>
      <c r="G64" s="35"/>
    </row>
    <row r="65" spans="1:7" x14ac:dyDescent="0.2">
      <c r="A65" s="29"/>
      <c r="B65" s="101"/>
      <c r="C65" s="31"/>
      <c r="D65" s="67"/>
      <c r="E65" s="102"/>
      <c r="F65" s="163"/>
      <c r="G65" s="35"/>
    </row>
    <row r="66" spans="1:7" x14ac:dyDescent="0.2">
      <c r="A66" s="29"/>
      <c r="B66" s="101"/>
      <c r="C66" s="31"/>
      <c r="D66" s="165"/>
      <c r="E66" s="102"/>
      <c r="F66" s="163"/>
      <c r="G66" s="35"/>
    </row>
    <row r="67" spans="1:7" x14ac:dyDescent="0.2">
      <c r="A67" s="29"/>
      <c r="B67" s="101"/>
      <c r="C67" s="31"/>
      <c r="D67" s="165"/>
      <c r="E67" s="102"/>
      <c r="F67" s="163"/>
      <c r="G67" s="35"/>
    </row>
    <row r="68" spans="1:7" x14ac:dyDescent="0.2">
      <c r="A68" s="29"/>
      <c r="B68" s="101"/>
      <c r="C68" s="31"/>
      <c r="D68" s="165"/>
      <c r="E68" s="102"/>
      <c r="F68" s="163"/>
      <c r="G68" s="35"/>
    </row>
    <row r="69" spans="1:7" x14ac:dyDescent="0.2">
      <c r="A69" s="29"/>
      <c r="B69" s="101"/>
      <c r="C69" s="31"/>
      <c r="D69" s="67"/>
      <c r="E69" s="102"/>
      <c r="F69" s="163"/>
      <c r="G69" s="35"/>
    </row>
    <row r="70" spans="1:7" x14ac:dyDescent="0.2">
      <c r="A70" s="29"/>
      <c r="B70" s="101"/>
      <c r="C70" s="31"/>
      <c r="D70" s="67"/>
      <c r="E70" s="102"/>
      <c r="F70" s="163"/>
      <c r="G70" s="35"/>
    </row>
    <row r="71" spans="1:7" x14ac:dyDescent="0.2">
      <c r="A71" s="29"/>
      <c r="B71" s="101"/>
      <c r="C71" s="31"/>
      <c r="D71" s="165"/>
      <c r="E71" s="166"/>
      <c r="F71" s="163"/>
      <c r="G71" s="167"/>
    </row>
    <row r="72" spans="1:7" x14ac:dyDescent="0.2">
      <c r="A72" s="29"/>
      <c r="B72" s="101"/>
      <c r="C72" s="31"/>
      <c r="D72" s="165"/>
      <c r="E72" s="102"/>
      <c r="F72" s="163"/>
      <c r="G72" s="167"/>
    </row>
    <row r="73" spans="1:7" x14ac:dyDescent="0.2">
      <c r="A73" s="29"/>
      <c r="B73" s="101"/>
      <c r="C73" s="31"/>
      <c r="D73" s="67"/>
      <c r="E73" s="102"/>
      <c r="F73" s="587" t="s">
        <v>150</v>
      </c>
      <c r="G73" s="167"/>
    </row>
    <row r="74" spans="1:7" x14ac:dyDescent="0.2">
      <c r="A74" s="29"/>
      <c r="B74" s="101"/>
      <c r="C74" s="31"/>
      <c r="D74" s="67"/>
      <c r="E74" s="102"/>
      <c r="F74" s="163"/>
      <c r="G74" s="167"/>
    </row>
    <row r="75" spans="1:7" x14ac:dyDescent="0.2">
      <c r="A75" s="29"/>
      <c r="B75" s="101"/>
      <c r="C75" s="31"/>
      <c r="D75" s="67"/>
      <c r="E75" s="102"/>
      <c r="F75" s="163"/>
      <c r="G75" s="167"/>
    </row>
    <row r="76" spans="1:7" x14ac:dyDescent="0.2">
      <c r="A76" s="29"/>
      <c r="B76" s="101"/>
      <c r="C76" s="41"/>
      <c r="D76" s="168"/>
      <c r="E76" s="77"/>
      <c r="F76" s="169"/>
      <c r="G76" s="167"/>
    </row>
    <row r="77" spans="1:7" x14ac:dyDescent="0.2">
      <c r="A77" s="29"/>
      <c r="B77" s="101"/>
      <c r="C77" s="41"/>
      <c r="D77" s="168"/>
      <c r="E77" s="77"/>
      <c r="F77" s="169"/>
      <c r="G77" s="167"/>
    </row>
    <row r="78" spans="1:7" x14ac:dyDescent="0.2">
      <c r="A78" s="29"/>
      <c r="B78" s="101"/>
      <c r="C78" s="41"/>
      <c r="D78" s="67"/>
      <c r="E78" s="77"/>
      <c r="F78" s="169"/>
      <c r="G78" s="35"/>
    </row>
    <row r="79" spans="1:7" x14ac:dyDescent="0.2">
      <c r="A79" s="29"/>
      <c r="B79" s="101"/>
      <c r="C79" s="41"/>
      <c r="D79" s="67"/>
      <c r="E79" s="77"/>
      <c r="F79" s="169" t="s">
        <v>152</v>
      </c>
      <c r="G79" s="35"/>
    </row>
    <row r="80" spans="1:7" x14ac:dyDescent="0.2">
      <c r="A80" s="29"/>
      <c r="B80" s="101"/>
      <c r="C80" s="31"/>
      <c r="D80" s="67"/>
      <c r="E80" s="102"/>
      <c r="F80" s="163"/>
      <c r="G80" s="35"/>
    </row>
    <row r="81" spans="1:7" x14ac:dyDescent="0.2">
      <c r="A81" s="29"/>
      <c r="B81" s="101"/>
      <c r="C81" s="31"/>
      <c r="D81" s="67"/>
      <c r="E81" s="102"/>
      <c r="F81" s="163"/>
      <c r="G81" s="35"/>
    </row>
    <row r="82" spans="1:7" x14ac:dyDescent="0.2">
      <c r="A82" s="29"/>
      <c r="B82" s="101"/>
      <c r="C82" s="31"/>
      <c r="D82" s="67"/>
      <c r="E82" s="102"/>
      <c r="F82" s="163"/>
      <c r="G82" s="35"/>
    </row>
    <row r="83" spans="1:7" x14ac:dyDescent="0.2">
      <c r="A83" s="29"/>
      <c r="B83" s="101"/>
      <c r="C83" s="31"/>
      <c r="D83" s="67"/>
      <c r="E83" s="102"/>
      <c r="F83" s="163"/>
      <c r="G83" s="35"/>
    </row>
    <row r="84" spans="1:7" x14ac:dyDescent="0.2">
      <c r="A84" s="29"/>
      <c r="B84" s="101"/>
      <c r="C84" s="31"/>
      <c r="D84" s="170" t="s">
        <v>150</v>
      </c>
      <c r="E84" s="102"/>
      <c r="F84" s="163"/>
      <c r="G84" s="35"/>
    </row>
    <row r="85" spans="1:7" x14ac:dyDescent="0.2">
      <c r="A85" s="29"/>
      <c r="B85" s="101"/>
      <c r="C85" s="31"/>
      <c r="D85" s="32"/>
      <c r="E85" s="104"/>
      <c r="F85" s="171"/>
      <c r="G85" s="35"/>
    </row>
    <row r="86" spans="1:7" x14ac:dyDescent="0.2">
      <c r="A86" s="29"/>
      <c r="B86" s="101"/>
      <c r="C86" s="31"/>
      <c r="D86" s="32"/>
      <c r="E86" s="104"/>
      <c r="F86" s="171"/>
      <c r="G86" s="35"/>
    </row>
    <row r="87" spans="1:7" x14ac:dyDescent="0.2">
      <c r="A87" s="29"/>
      <c r="B87" s="101"/>
      <c r="C87" s="31"/>
      <c r="D87" s="32"/>
      <c r="E87" s="104"/>
      <c r="F87" s="171"/>
      <c r="G87" s="35"/>
    </row>
    <row r="88" spans="1:7" x14ac:dyDescent="0.2">
      <c r="A88" s="29"/>
      <c r="B88" s="101"/>
      <c r="C88" s="31"/>
      <c r="D88" s="32"/>
      <c r="E88" s="104"/>
      <c r="F88" s="171"/>
      <c r="G88" s="35"/>
    </row>
    <row r="89" spans="1:7" x14ac:dyDescent="0.2">
      <c r="A89" s="29"/>
      <c r="B89" s="101"/>
      <c r="C89" s="31"/>
      <c r="D89" s="32"/>
      <c r="E89" s="104"/>
      <c r="F89" s="172"/>
      <c r="G89" s="35"/>
    </row>
    <row r="90" spans="1:7" x14ac:dyDescent="0.2">
      <c r="A90" s="29"/>
      <c r="B90" s="101"/>
      <c r="C90" s="31" t="s">
        <v>8</v>
      </c>
      <c r="D90" s="32"/>
      <c r="E90" s="104"/>
      <c r="F90" s="172"/>
      <c r="G90" s="35"/>
    </row>
    <row r="91" spans="1:7" x14ac:dyDescent="0.2">
      <c r="A91" s="29"/>
      <c r="B91" s="101"/>
      <c r="C91" s="31"/>
      <c r="D91" s="32"/>
      <c r="E91" s="104"/>
      <c r="F91" s="173"/>
      <c r="G91" s="167" t="s">
        <v>8</v>
      </c>
    </row>
    <row r="92" spans="1:7" ht="13.5" thickBot="1" x14ac:dyDescent="0.25">
      <c r="A92" s="45"/>
      <c r="B92" s="174"/>
      <c r="C92" s="47"/>
      <c r="D92" s="175"/>
      <c r="E92" s="174"/>
      <c r="F92" s="49" t="s">
        <v>15</v>
      </c>
      <c r="G92" s="50">
        <f>SUM(G59:G91)</f>
        <v>41250</v>
      </c>
    </row>
    <row r="93" spans="1:7" ht="13.5" thickTop="1" x14ac:dyDescent="0.2">
      <c r="A93" s="17" t="s">
        <v>1005</v>
      </c>
      <c r="B93" s="176"/>
      <c r="E93" s="176"/>
      <c r="G93" s="20"/>
    </row>
    <row r="94" spans="1:7" ht="13.5" thickBot="1" x14ac:dyDescent="0.25">
      <c r="A94" s="1058" t="s">
        <v>1006</v>
      </c>
      <c r="B94" s="1054"/>
      <c r="C94" s="1054"/>
      <c r="D94" s="1054"/>
      <c r="E94" s="1054"/>
      <c r="F94" s="1054"/>
      <c r="G94" s="1055"/>
    </row>
    <row r="95" spans="1:7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7" x14ac:dyDescent="0.2">
      <c r="A96" s="910" t="s">
        <v>17</v>
      </c>
      <c r="B96" s="911"/>
      <c r="C96" s="911"/>
      <c r="D96" s="57"/>
      <c r="E96" s="912"/>
      <c r="F96" s="913"/>
      <c r="G96" s="914"/>
    </row>
    <row r="97" spans="1:7" x14ac:dyDescent="0.2">
      <c r="A97" s="910" t="s">
        <v>38</v>
      </c>
      <c r="B97" s="911"/>
      <c r="C97" s="911"/>
      <c r="D97" s="58" t="s">
        <v>1015</v>
      </c>
      <c r="E97" s="969" t="s">
        <v>142</v>
      </c>
      <c r="F97" s="868"/>
      <c r="G97" s="869"/>
    </row>
    <row r="98" spans="1:7" ht="13.5" thickBot="1" x14ac:dyDescent="0.25">
      <c r="A98" s="901" t="s">
        <v>39</v>
      </c>
      <c r="B98" s="902"/>
      <c r="C98" s="902"/>
      <c r="D98" s="59" t="s">
        <v>245</v>
      </c>
      <c r="E98" s="904" t="s">
        <v>0</v>
      </c>
      <c r="F98" s="904"/>
      <c r="G98" s="905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7" x14ac:dyDescent="0.2">
      <c r="A102" s="6"/>
      <c r="B102" s="99"/>
      <c r="C102" s="8"/>
      <c r="D102" s="9"/>
      <c r="E102" s="99"/>
      <c r="F102" s="10"/>
      <c r="G102" s="11" t="s">
        <v>8</v>
      </c>
    </row>
    <row r="103" spans="1:7" x14ac:dyDescent="0.2">
      <c r="A103" s="12" t="s">
        <v>1</v>
      </c>
      <c r="B103" s="13"/>
      <c r="C103" s="14" t="s">
        <v>16</v>
      </c>
      <c r="D103" s="13"/>
      <c r="E103" s="15" t="s">
        <v>1014</v>
      </c>
      <c r="F103" s="60"/>
      <c r="G103" s="16" t="s">
        <v>1004</v>
      </c>
    </row>
    <row r="104" spans="1:7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920"/>
      <c r="F106" s="921"/>
      <c r="G106" s="25"/>
    </row>
    <row r="107" spans="1:7" ht="26.25" thickBot="1" x14ac:dyDescent="0.25">
      <c r="A107" s="26" t="s">
        <v>47</v>
      </c>
      <c r="B107" s="161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1" t="s">
        <v>149</v>
      </c>
      <c r="D108" s="162" t="s">
        <v>1016</v>
      </c>
      <c r="E108" s="102">
        <v>50</v>
      </c>
      <c r="F108" s="163">
        <v>200</v>
      </c>
      <c r="G108" s="35">
        <f>F108*E108</f>
        <v>10000</v>
      </c>
    </row>
    <row r="109" spans="1:7" x14ac:dyDescent="0.2">
      <c r="A109" s="29"/>
      <c r="B109" s="101"/>
      <c r="C109" s="31"/>
      <c r="D109" s="162"/>
      <c r="E109" s="102"/>
      <c r="F109" s="163"/>
      <c r="G109" s="35"/>
    </row>
    <row r="110" spans="1:7" x14ac:dyDescent="0.2">
      <c r="A110" s="29"/>
      <c r="B110" s="101"/>
      <c r="C110" s="31"/>
      <c r="D110" s="162"/>
      <c r="E110" s="102"/>
      <c r="F110" s="163"/>
      <c r="G110" s="35"/>
    </row>
    <row r="111" spans="1:7" x14ac:dyDescent="0.2">
      <c r="A111" s="29"/>
      <c r="B111" s="101"/>
      <c r="C111" s="31"/>
      <c r="D111" s="162"/>
      <c r="E111" s="102"/>
      <c r="F111" s="163"/>
      <c r="G111" s="35"/>
    </row>
    <row r="112" spans="1:7" x14ac:dyDescent="0.2">
      <c r="A112" s="29"/>
      <c r="B112" s="101"/>
      <c r="C112" s="31"/>
      <c r="D112" s="165"/>
      <c r="E112" s="102"/>
      <c r="F112" s="163"/>
      <c r="G112" s="35"/>
    </row>
    <row r="113" spans="1:7" x14ac:dyDescent="0.2">
      <c r="A113" s="29"/>
      <c r="B113" s="101"/>
      <c r="C113" s="31"/>
      <c r="D113" s="136"/>
      <c r="E113" s="102"/>
      <c r="F113" s="163"/>
      <c r="G113" s="35"/>
    </row>
    <row r="114" spans="1:7" x14ac:dyDescent="0.2">
      <c r="A114" s="29"/>
      <c r="B114" s="101"/>
      <c r="C114" s="31"/>
      <c r="D114" s="67"/>
      <c r="E114" s="102"/>
      <c r="F114" s="163"/>
      <c r="G114" s="35"/>
    </row>
    <row r="115" spans="1:7" x14ac:dyDescent="0.2">
      <c r="A115" s="29"/>
      <c r="B115" s="101"/>
      <c r="C115" s="31"/>
      <c r="D115" s="165"/>
      <c r="E115" s="102"/>
      <c r="F115" s="163"/>
      <c r="G115" s="35"/>
    </row>
    <row r="116" spans="1:7" x14ac:dyDescent="0.2">
      <c r="A116" s="29"/>
      <c r="B116" s="101"/>
      <c r="C116" s="31"/>
      <c r="D116" s="165"/>
      <c r="E116" s="102"/>
      <c r="F116" s="163"/>
      <c r="G116" s="35"/>
    </row>
    <row r="117" spans="1:7" x14ac:dyDescent="0.2">
      <c r="A117" s="29"/>
      <c r="B117" s="101"/>
      <c r="C117" s="31"/>
      <c r="D117" s="165"/>
      <c r="E117" s="102"/>
      <c r="F117" s="163"/>
      <c r="G117" s="35"/>
    </row>
    <row r="118" spans="1:7" x14ac:dyDescent="0.2">
      <c r="A118" s="29"/>
      <c r="B118" s="101"/>
      <c r="C118" s="31"/>
      <c r="D118" s="67"/>
      <c r="E118" s="102"/>
      <c r="F118" s="163"/>
      <c r="G118" s="35"/>
    </row>
    <row r="119" spans="1:7" x14ac:dyDescent="0.2">
      <c r="A119" s="29"/>
      <c r="B119" s="101"/>
      <c r="C119" s="31"/>
      <c r="D119" s="67"/>
      <c r="E119" s="102"/>
      <c r="F119" s="163"/>
      <c r="G119" s="35"/>
    </row>
    <row r="120" spans="1:7" x14ac:dyDescent="0.2">
      <c r="A120" s="29"/>
      <c r="B120" s="101"/>
      <c r="C120" s="31"/>
      <c r="D120" s="165"/>
      <c r="E120" s="166"/>
      <c r="F120" s="163"/>
      <c r="G120" s="167"/>
    </row>
    <row r="121" spans="1:7" x14ac:dyDescent="0.2">
      <c r="A121" s="29"/>
      <c r="B121" s="101"/>
      <c r="C121" s="31"/>
      <c r="D121" s="165"/>
      <c r="E121" s="102"/>
      <c r="F121" s="163"/>
      <c r="G121" s="167"/>
    </row>
    <row r="122" spans="1:7" x14ac:dyDescent="0.2">
      <c r="A122" s="29"/>
      <c r="B122" s="101"/>
      <c r="C122" s="31"/>
      <c r="D122" s="67"/>
      <c r="E122" s="102"/>
      <c r="F122" s="163"/>
      <c r="G122" s="167"/>
    </row>
    <row r="123" spans="1:7" x14ac:dyDescent="0.2">
      <c r="A123" s="29"/>
      <c r="B123" s="101"/>
      <c r="C123" s="31"/>
      <c r="D123" s="67"/>
      <c r="E123" s="102"/>
      <c r="F123" s="163"/>
      <c r="G123" s="167"/>
    </row>
    <row r="124" spans="1:7" x14ac:dyDescent="0.2">
      <c r="A124" s="29"/>
      <c r="B124" s="101"/>
      <c r="C124" s="31"/>
      <c r="D124" s="67"/>
      <c r="E124" s="102"/>
      <c r="F124" s="163"/>
      <c r="G124" s="167"/>
    </row>
    <row r="125" spans="1:7" x14ac:dyDescent="0.2">
      <c r="A125" s="29"/>
      <c r="B125" s="101"/>
      <c r="C125" s="41"/>
      <c r="D125" s="168"/>
      <c r="E125" s="77"/>
      <c r="F125" s="169"/>
      <c r="G125" s="167"/>
    </row>
    <row r="126" spans="1:7" x14ac:dyDescent="0.2">
      <c r="A126" s="29"/>
      <c r="B126" s="101"/>
      <c r="C126" s="41"/>
      <c r="D126" s="168"/>
      <c r="E126" s="77"/>
      <c r="F126" s="169"/>
      <c r="G126" s="167"/>
    </row>
    <row r="127" spans="1:7" x14ac:dyDescent="0.2">
      <c r="A127" s="29"/>
      <c r="B127" s="101"/>
      <c r="C127" s="41"/>
      <c r="D127" s="67"/>
      <c r="E127" s="77"/>
      <c r="F127" s="169"/>
      <c r="G127" s="35"/>
    </row>
    <row r="128" spans="1:7" x14ac:dyDescent="0.2">
      <c r="A128" s="29"/>
      <c r="B128" s="101"/>
      <c r="C128" s="41"/>
      <c r="D128" s="67"/>
      <c r="E128" s="77"/>
      <c r="F128" s="169" t="s">
        <v>152</v>
      </c>
      <c r="G128" s="35"/>
    </row>
    <row r="129" spans="1:7" x14ac:dyDescent="0.2">
      <c r="A129" s="29"/>
      <c r="B129" s="101"/>
      <c r="C129" s="41"/>
      <c r="D129" s="67"/>
      <c r="E129" s="77"/>
      <c r="F129" s="169"/>
      <c r="G129" s="35"/>
    </row>
    <row r="130" spans="1:7" x14ac:dyDescent="0.2">
      <c r="A130" s="29"/>
      <c r="B130" s="101"/>
      <c r="C130" s="41"/>
      <c r="D130" s="67"/>
      <c r="E130" s="77"/>
      <c r="F130" s="169"/>
      <c r="G130" s="35"/>
    </row>
    <row r="131" spans="1:7" x14ac:dyDescent="0.2">
      <c r="A131" s="29"/>
      <c r="B131" s="101"/>
      <c r="C131" s="31"/>
      <c r="D131" s="67"/>
      <c r="E131" s="102"/>
      <c r="F131" s="163"/>
      <c r="G131" s="35"/>
    </row>
    <row r="132" spans="1:7" x14ac:dyDescent="0.2">
      <c r="A132" s="29"/>
      <c r="B132" s="101"/>
      <c r="C132" s="31"/>
      <c r="D132" s="67"/>
      <c r="E132" s="102"/>
      <c r="F132" s="163"/>
      <c r="G132" s="35"/>
    </row>
    <row r="133" spans="1:7" x14ac:dyDescent="0.2">
      <c r="A133" s="29"/>
      <c r="B133" s="101"/>
      <c r="C133" s="31"/>
      <c r="D133" s="67"/>
      <c r="E133" s="102"/>
      <c r="F133" s="163"/>
      <c r="G133" s="35"/>
    </row>
    <row r="134" spans="1:7" x14ac:dyDescent="0.2">
      <c r="A134" s="29"/>
      <c r="B134" s="101"/>
      <c r="C134" s="31"/>
      <c r="D134" s="170" t="s">
        <v>150</v>
      </c>
      <c r="E134" s="102"/>
      <c r="F134" s="163"/>
      <c r="G134" s="35"/>
    </row>
    <row r="135" spans="1:7" x14ac:dyDescent="0.2">
      <c r="A135" s="29"/>
      <c r="B135" s="101"/>
      <c r="C135" s="31"/>
      <c r="D135" s="32"/>
      <c r="E135" s="104"/>
      <c r="F135" s="171"/>
      <c r="G135" s="35"/>
    </row>
    <row r="136" spans="1:7" x14ac:dyDescent="0.2">
      <c r="A136" s="29"/>
      <c r="B136" s="101"/>
      <c r="C136" s="31"/>
      <c r="D136" s="32"/>
      <c r="E136" s="104"/>
      <c r="F136" s="171"/>
      <c r="G136" s="35"/>
    </row>
    <row r="137" spans="1:7" x14ac:dyDescent="0.2">
      <c r="A137" s="29"/>
      <c r="B137" s="101"/>
      <c r="C137" s="31"/>
      <c r="D137" s="32"/>
      <c r="E137" s="104"/>
      <c r="F137" s="171"/>
      <c r="G137" s="35"/>
    </row>
    <row r="138" spans="1:7" x14ac:dyDescent="0.2">
      <c r="A138" s="29"/>
      <c r="B138" s="101"/>
      <c r="C138" s="31"/>
      <c r="D138" s="32"/>
      <c r="E138" s="104"/>
      <c r="F138" s="171"/>
      <c r="G138" s="35"/>
    </row>
    <row r="139" spans="1:7" x14ac:dyDescent="0.2">
      <c r="A139" s="29"/>
      <c r="B139" s="101"/>
      <c r="C139" s="31"/>
      <c r="D139" s="32"/>
      <c r="E139" s="104"/>
      <c r="F139" s="172"/>
      <c r="G139" s="35"/>
    </row>
    <row r="140" spans="1:7" x14ac:dyDescent="0.2">
      <c r="A140" s="29"/>
      <c r="B140" s="101"/>
      <c r="C140" s="31" t="s">
        <v>8</v>
      </c>
      <c r="D140" s="32"/>
      <c r="E140" s="104"/>
      <c r="F140" s="172"/>
      <c r="G140" s="35"/>
    </row>
    <row r="141" spans="1:7" x14ac:dyDescent="0.2">
      <c r="A141" s="29"/>
      <c r="B141" s="101"/>
      <c r="C141" s="31"/>
      <c r="D141" s="32"/>
      <c r="E141" s="104"/>
      <c r="F141" s="173"/>
      <c r="G141" s="167" t="s">
        <v>8</v>
      </c>
    </row>
    <row r="142" spans="1:7" ht="13.5" thickBot="1" x14ac:dyDescent="0.25">
      <c r="A142" s="45"/>
      <c r="B142" s="174"/>
      <c r="C142" s="47"/>
      <c r="D142" s="175"/>
      <c r="E142" s="174"/>
      <c r="F142" s="49" t="s">
        <v>15</v>
      </c>
      <c r="G142" s="50">
        <f>SUM(G108:G141)</f>
        <v>10000</v>
      </c>
    </row>
    <row r="143" spans="1:7" ht="13.5" thickTop="1" x14ac:dyDescent="0.2">
      <c r="A143" s="361" t="s">
        <v>1025</v>
      </c>
      <c r="B143" s="176"/>
      <c r="E143" s="176"/>
      <c r="G143" s="20"/>
    </row>
    <row r="144" spans="1:7" ht="13.5" thickBot="1" x14ac:dyDescent="0.25">
      <c r="A144" s="1058" t="s">
        <v>8</v>
      </c>
      <c r="B144" s="1054"/>
      <c r="C144" s="1054"/>
      <c r="D144" s="1054"/>
      <c r="E144" s="1054"/>
      <c r="F144" s="1054"/>
      <c r="G144" s="1055"/>
    </row>
    <row r="145" spans="1:7" ht="13.5" thickTop="1" x14ac:dyDescent="0.2">
      <c r="A145" s="906"/>
      <c r="B145" s="907"/>
      <c r="C145" s="907"/>
      <c r="D145" s="57" t="s">
        <v>11</v>
      </c>
      <c r="E145" s="908" t="s">
        <v>12</v>
      </c>
      <c r="F145" s="908"/>
      <c r="G145" s="909"/>
    </row>
    <row r="146" spans="1:7" x14ac:dyDescent="0.2">
      <c r="A146" s="910" t="s">
        <v>17</v>
      </c>
      <c r="B146" s="911"/>
      <c r="C146" s="911"/>
      <c r="D146" s="57"/>
      <c r="E146" s="912"/>
      <c r="F146" s="913"/>
      <c r="G146" s="914"/>
    </row>
    <row r="147" spans="1:7" x14ac:dyDescent="0.2">
      <c r="A147" s="910" t="s">
        <v>38</v>
      </c>
      <c r="B147" s="911"/>
      <c r="C147" s="911"/>
      <c r="D147" s="58" t="s">
        <v>1015</v>
      </c>
      <c r="E147" s="969" t="s">
        <v>142</v>
      </c>
      <c r="F147" s="868"/>
      <c r="G147" s="869"/>
    </row>
    <row r="148" spans="1:7" ht="13.5" thickBot="1" x14ac:dyDescent="0.25">
      <c r="A148" s="901" t="s">
        <v>39</v>
      </c>
      <c r="B148" s="902"/>
      <c r="C148" s="902"/>
      <c r="D148" s="59" t="s">
        <v>245</v>
      </c>
      <c r="E148" s="904" t="s">
        <v>0</v>
      </c>
      <c r="F148" s="904"/>
      <c r="G148" s="905"/>
    </row>
    <row r="149" spans="1:7" ht="16.5" x14ac:dyDescent="0.25">
      <c r="A149" s="885" t="s">
        <v>29</v>
      </c>
      <c r="B149" s="886"/>
      <c r="C149" s="886"/>
      <c r="D149" s="886"/>
      <c r="E149" s="886"/>
      <c r="F149" s="886"/>
      <c r="G149" s="887"/>
    </row>
    <row r="150" spans="1:7" x14ac:dyDescent="0.2">
      <c r="A150" s="888" t="s">
        <v>48</v>
      </c>
      <c r="B150" s="889"/>
      <c r="C150" s="889"/>
      <c r="D150" s="889"/>
      <c r="E150" s="889"/>
      <c r="F150" s="889"/>
      <c r="G150" s="890"/>
    </row>
    <row r="151" spans="1:7" x14ac:dyDescent="0.2">
      <c r="A151" s="915" t="s">
        <v>49</v>
      </c>
      <c r="B151" s="916"/>
      <c r="C151" s="916"/>
      <c r="D151" s="916"/>
      <c r="E151" s="916"/>
      <c r="F151" s="916"/>
      <c r="G151" s="917"/>
    </row>
    <row r="152" spans="1:7" x14ac:dyDescent="0.2">
      <c r="A152" s="6"/>
      <c r="B152" s="99"/>
      <c r="C152" s="8"/>
      <c r="D152" s="9"/>
      <c r="E152" s="99"/>
      <c r="F152" s="10"/>
      <c r="G152" s="11" t="s">
        <v>8</v>
      </c>
    </row>
    <row r="153" spans="1:7" x14ac:dyDescent="0.2">
      <c r="A153" s="12" t="s">
        <v>1</v>
      </c>
      <c r="B153" s="13"/>
      <c r="C153" s="14" t="s">
        <v>16</v>
      </c>
      <c r="D153" s="13"/>
      <c r="E153" s="15" t="s">
        <v>1017</v>
      </c>
      <c r="F153" s="60"/>
      <c r="G153" s="16" t="s">
        <v>1018</v>
      </c>
    </row>
    <row r="154" spans="1:7" x14ac:dyDescent="0.2">
      <c r="A154" s="17" t="s">
        <v>8</v>
      </c>
      <c r="B154" s="100"/>
      <c r="C154" s="19"/>
      <c r="D154" s="4"/>
      <c r="E154" s="918"/>
      <c r="F154" s="919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920"/>
      <c r="F156" s="921"/>
      <c r="G156" s="25"/>
    </row>
    <row r="157" spans="1:7" ht="26.25" thickBot="1" x14ac:dyDescent="0.25">
      <c r="A157" s="26" t="s">
        <v>47</v>
      </c>
      <c r="B157" s="161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1" t="s">
        <v>242</v>
      </c>
      <c r="D158" s="162" t="s">
        <v>1019</v>
      </c>
      <c r="E158" s="102">
        <v>35</v>
      </c>
      <c r="F158" s="163">
        <v>200</v>
      </c>
      <c r="G158" s="35">
        <f>F158*E158</f>
        <v>7000</v>
      </c>
    </row>
    <row r="159" spans="1:7" x14ac:dyDescent="0.2">
      <c r="A159" s="29">
        <v>2</v>
      </c>
      <c r="B159" s="101"/>
      <c r="C159" s="31" t="s">
        <v>242</v>
      </c>
      <c r="D159" s="162" t="s">
        <v>348</v>
      </c>
      <c r="E159" s="102">
        <v>35</v>
      </c>
      <c r="F159" s="163">
        <v>350</v>
      </c>
      <c r="G159" s="35">
        <f t="shared" ref="G159:G161" si="1">F159*E159</f>
        <v>12250</v>
      </c>
    </row>
    <row r="160" spans="1:7" x14ac:dyDescent="0.2">
      <c r="A160" s="29"/>
      <c r="B160" s="101"/>
      <c r="C160" s="31"/>
      <c r="D160" s="162" t="s">
        <v>301</v>
      </c>
      <c r="E160" s="102"/>
      <c r="F160" s="163"/>
      <c r="G160" s="35" t="s">
        <v>8</v>
      </c>
    </row>
    <row r="161" spans="1:7" x14ac:dyDescent="0.2">
      <c r="A161" s="29">
        <v>3</v>
      </c>
      <c r="B161" s="101"/>
      <c r="C161" s="31" t="s">
        <v>242</v>
      </c>
      <c r="D161" s="162" t="s">
        <v>1020</v>
      </c>
      <c r="E161" s="102">
        <v>35</v>
      </c>
      <c r="F161" s="163">
        <v>200</v>
      </c>
      <c r="G161" s="35">
        <f t="shared" si="1"/>
        <v>7000</v>
      </c>
    </row>
    <row r="162" spans="1:7" x14ac:dyDescent="0.2">
      <c r="A162" s="29"/>
      <c r="B162" s="101"/>
      <c r="C162" s="31"/>
      <c r="D162" s="165"/>
      <c r="E162" s="102"/>
      <c r="F162" s="163"/>
      <c r="G162" s="35"/>
    </row>
    <row r="163" spans="1:7" x14ac:dyDescent="0.2">
      <c r="A163" s="29"/>
      <c r="B163" s="101"/>
      <c r="C163" s="31"/>
      <c r="D163" s="136"/>
      <c r="E163" s="102"/>
      <c r="F163" s="163"/>
      <c r="G163" s="35"/>
    </row>
    <row r="164" spans="1:7" x14ac:dyDescent="0.2">
      <c r="A164" s="29"/>
      <c r="B164" s="101"/>
      <c r="C164" s="31"/>
      <c r="D164" s="67"/>
      <c r="E164" s="102"/>
      <c r="F164" s="163"/>
      <c r="G164" s="35"/>
    </row>
    <row r="165" spans="1:7" x14ac:dyDescent="0.2">
      <c r="A165" s="29"/>
      <c r="B165" s="101"/>
      <c r="C165" s="31"/>
      <c r="D165" s="165"/>
      <c r="E165" s="102"/>
      <c r="F165" s="163"/>
      <c r="G165" s="35"/>
    </row>
    <row r="166" spans="1:7" x14ac:dyDescent="0.2">
      <c r="A166" s="29"/>
      <c r="B166" s="101"/>
      <c r="C166" s="31"/>
      <c r="D166" s="165"/>
      <c r="E166" s="102"/>
      <c r="F166" s="163"/>
      <c r="G166" s="35"/>
    </row>
    <row r="167" spans="1:7" x14ac:dyDescent="0.2">
      <c r="A167" s="29"/>
      <c r="B167" s="101"/>
      <c r="C167" s="31"/>
      <c r="D167" s="165"/>
      <c r="E167" s="102"/>
      <c r="F167" s="163"/>
      <c r="G167" s="35"/>
    </row>
    <row r="168" spans="1:7" x14ac:dyDescent="0.2">
      <c r="A168" s="29"/>
      <c r="B168" s="101"/>
      <c r="C168" s="31"/>
      <c r="D168" s="67"/>
      <c r="E168" s="102"/>
      <c r="F168" s="163"/>
      <c r="G168" s="35"/>
    </row>
    <row r="169" spans="1:7" x14ac:dyDescent="0.2">
      <c r="A169" s="29"/>
      <c r="B169" s="101"/>
      <c r="C169" s="31"/>
      <c r="D169" s="67"/>
      <c r="E169" s="102"/>
      <c r="F169" s="163"/>
      <c r="G169" s="35"/>
    </row>
    <row r="170" spans="1:7" x14ac:dyDescent="0.2">
      <c r="A170" s="29"/>
      <c r="B170" s="101"/>
      <c r="C170" s="31"/>
      <c r="D170" s="165"/>
      <c r="E170" s="166"/>
      <c r="F170" s="163"/>
      <c r="G170" s="167"/>
    </row>
    <row r="171" spans="1:7" x14ac:dyDescent="0.2">
      <c r="A171" s="29"/>
      <c r="B171" s="101"/>
      <c r="C171" s="31"/>
      <c r="D171" s="165"/>
      <c r="E171" s="102"/>
      <c r="F171" s="163"/>
      <c r="G171" s="167"/>
    </row>
    <row r="172" spans="1:7" x14ac:dyDescent="0.2">
      <c r="A172" s="29"/>
      <c r="B172" s="101"/>
      <c r="C172" s="31"/>
      <c r="D172" s="67"/>
      <c r="E172" s="102"/>
      <c r="F172" s="163"/>
      <c r="G172" s="167"/>
    </row>
    <row r="173" spans="1:7" x14ac:dyDescent="0.2">
      <c r="A173" s="29"/>
      <c r="B173" s="101"/>
      <c r="C173" s="31"/>
      <c r="D173" s="67"/>
      <c r="E173" s="102"/>
      <c r="F173" s="163"/>
      <c r="G173" s="167"/>
    </row>
    <row r="174" spans="1:7" x14ac:dyDescent="0.2">
      <c r="A174" s="29"/>
      <c r="B174" s="101"/>
      <c r="C174" s="31"/>
      <c r="D174" s="67"/>
      <c r="E174" s="102"/>
      <c r="F174" s="163"/>
      <c r="G174" s="167"/>
    </row>
    <row r="175" spans="1:7" x14ac:dyDescent="0.2">
      <c r="A175" s="29"/>
      <c r="B175" s="101"/>
      <c r="C175" s="41"/>
      <c r="D175" s="168"/>
      <c r="E175" s="77"/>
      <c r="F175" s="169"/>
      <c r="G175" s="167"/>
    </row>
    <row r="176" spans="1:7" x14ac:dyDescent="0.2">
      <c r="A176" s="29"/>
      <c r="B176" s="101"/>
      <c r="C176" s="41"/>
      <c r="D176" s="360"/>
      <c r="E176" s="77"/>
      <c r="F176" s="169"/>
      <c r="G176" s="167"/>
    </row>
    <row r="177" spans="1:7" x14ac:dyDescent="0.2">
      <c r="A177" s="29"/>
      <c r="B177" s="101"/>
      <c r="C177" s="41"/>
      <c r="D177" s="360"/>
      <c r="E177" s="77"/>
      <c r="F177" s="169"/>
      <c r="G177" s="167"/>
    </row>
    <row r="178" spans="1:7" x14ac:dyDescent="0.2">
      <c r="A178" s="29"/>
      <c r="B178" s="101"/>
      <c r="C178" s="41"/>
      <c r="D178" s="67"/>
      <c r="E178" s="77"/>
      <c r="F178" s="169"/>
      <c r="G178" s="35"/>
    </row>
    <row r="179" spans="1:7" x14ac:dyDescent="0.2">
      <c r="A179" s="29"/>
      <c r="B179" s="101"/>
      <c r="C179" s="41"/>
      <c r="D179" s="67"/>
      <c r="E179" s="77"/>
      <c r="F179" s="169" t="s">
        <v>152</v>
      </c>
      <c r="G179" s="35"/>
    </row>
    <row r="180" spans="1:7" x14ac:dyDescent="0.2">
      <c r="A180" s="29"/>
      <c r="B180" s="101"/>
      <c r="C180" s="41"/>
      <c r="D180" s="67"/>
      <c r="E180" s="77"/>
      <c r="F180" s="169"/>
      <c r="G180" s="35"/>
    </row>
    <row r="181" spans="1:7" x14ac:dyDescent="0.2">
      <c r="A181" s="29"/>
      <c r="B181" s="101"/>
      <c r="C181" s="41"/>
      <c r="D181" s="67"/>
      <c r="E181" s="77"/>
      <c r="F181" s="169"/>
      <c r="G181" s="35"/>
    </row>
    <row r="182" spans="1:7" x14ac:dyDescent="0.2">
      <c r="A182" s="29"/>
      <c r="B182" s="101"/>
      <c r="C182" s="31"/>
      <c r="D182" s="67"/>
      <c r="E182" s="102"/>
      <c r="F182" s="163"/>
      <c r="G182" s="35"/>
    </row>
    <row r="183" spans="1:7" x14ac:dyDescent="0.2">
      <c r="A183" s="29"/>
      <c r="B183" s="101"/>
      <c r="C183" s="31"/>
      <c r="D183" s="67"/>
      <c r="E183" s="102"/>
      <c r="F183" s="163"/>
      <c r="G183" s="35"/>
    </row>
    <row r="184" spans="1:7" x14ac:dyDescent="0.2">
      <c r="A184" s="29"/>
      <c r="B184" s="101"/>
      <c r="C184" s="31"/>
      <c r="D184" s="170" t="s">
        <v>150</v>
      </c>
      <c r="E184" s="102"/>
      <c r="F184" s="163"/>
      <c r="G184" s="35"/>
    </row>
    <row r="185" spans="1:7" x14ac:dyDescent="0.2">
      <c r="A185" s="29"/>
      <c r="B185" s="101"/>
      <c r="C185" s="31"/>
      <c r="D185" s="32"/>
      <c r="E185" s="104"/>
      <c r="F185" s="171"/>
      <c r="G185" s="35"/>
    </row>
    <row r="186" spans="1:7" x14ac:dyDescent="0.2">
      <c r="A186" s="29"/>
      <c r="B186" s="101"/>
      <c r="C186" s="31"/>
      <c r="D186" s="32"/>
      <c r="E186" s="104"/>
      <c r="F186" s="171"/>
      <c r="G186" s="35"/>
    </row>
    <row r="187" spans="1:7" x14ac:dyDescent="0.2">
      <c r="A187" s="29"/>
      <c r="B187" s="101"/>
      <c r="C187" s="31"/>
      <c r="D187" s="32"/>
      <c r="E187" s="104"/>
      <c r="F187" s="171"/>
      <c r="G187" s="35"/>
    </row>
    <row r="188" spans="1:7" x14ac:dyDescent="0.2">
      <c r="A188" s="29"/>
      <c r="B188" s="101"/>
      <c r="C188" s="31"/>
      <c r="D188" s="32"/>
      <c r="E188" s="104"/>
      <c r="F188" s="172"/>
      <c r="G188" s="35"/>
    </row>
    <row r="189" spans="1:7" x14ac:dyDescent="0.2">
      <c r="A189" s="29"/>
      <c r="B189" s="101"/>
      <c r="C189" s="31" t="s">
        <v>8</v>
      </c>
      <c r="D189" s="32"/>
      <c r="E189" s="104"/>
      <c r="F189" s="172"/>
      <c r="G189" s="35"/>
    </row>
    <row r="190" spans="1:7" x14ac:dyDescent="0.2">
      <c r="A190" s="29"/>
      <c r="B190" s="101"/>
      <c r="C190" s="31"/>
      <c r="D190" s="32"/>
      <c r="E190" s="104"/>
      <c r="F190" s="173"/>
      <c r="G190" s="167" t="s">
        <v>8</v>
      </c>
    </row>
    <row r="191" spans="1:7" ht="13.5" thickBot="1" x14ac:dyDescent="0.25">
      <c r="A191" s="45"/>
      <c r="B191" s="174"/>
      <c r="C191" s="47"/>
      <c r="D191" s="175"/>
      <c r="E191" s="174"/>
      <c r="F191" s="49" t="s">
        <v>15</v>
      </c>
      <c r="G191" s="50">
        <f>SUM(G158:G190)</f>
        <v>26250</v>
      </c>
    </row>
    <row r="192" spans="1:7" ht="13.5" thickTop="1" x14ac:dyDescent="0.2">
      <c r="A192" s="17" t="s">
        <v>1021</v>
      </c>
      <c r="B192" s="176"/>
      <c r="E192" s="176"/>
      <c r="G192" s="20"/>
    </row>
    <row r="193" spans="1:7" x14ac:dyDescent="0.2">
      <c r="A193" s="1057" t="s">
        <v>1022</v>
      </c>
      <c r="B193" s="899"/>
      <c r="C193" s="899"/>
      <c r="D193" s="899"/>
      <c r="E193" s="899"/>
      <c r="F193" s="899"/>
      <c r="G193" s="900"/>
    </row>
    <row r="194" spans="1:7" ht="13.5" thickBot="1" x14ac:dyDescent="0.25">
      <c r="A194" s="1058" t="s">
        <v>1023</v>
      </c>
      <c r="B194" s="1054"/>
      <c r="C194" s="1054"/>
      <c r="D194" s="1054"/>
      <c r="E194" s="1054"/>
      <c r="F194" s="1054"/>
      <c r="G194" s="1055"/>
    </row>
    <row r="195" spans="1:7" ht="13.5" thickTop="1" x14ac:dyDescent="0.2">
      <c r="A195" s="906"/>
      <c r="B195" s="907"/>
      <c r="C195" s="907"/>
      <c r="D195" s="57" t="s">
        <v>11</v>
      </c>
      <c r="E195" s="908" t="s">
        <v>12</v>
      </c>
      <c r="F195" s="908"/>
      <c r="G195" s="909"/>
    </row>
    <row r="196" spans="1:7" x14ac:dyDescent="0.2">
      <c r="A196" s="910" t="s">
        <v>17</v>
      </c>
      <c r="B196" s="911"/>
      <c r="C196" s="911"/>
      <c r="D196" s="57"/>
      <c r="E196" s="912"/>
      <c r="F196" s="913"/>
      <c r="G196" s="914"/>
    </row>
    <row r="197" spans="1:7" x14ac:dyDescent="0.2">
      <c r="A197" s="910" t="s">
        <v>38</v>
      </c>
      <c r="B197" s="911"/>
      <c r="C197" s="911"/>
      <c r="D197" s="58" t="s">
        <v>1015</v>
      </c>
      <c r="E197" s="969" t="s">
        <v>142</v>
      </c>
      <c r="F197" s="868"/>
      <c r="G197" s="869"/>
    </row>
    <row r="198" spans="1:7" ht="13.5" thickBot="1" x14ac:dyDescent="0.25">
      <c r="A198" s="901" t="s">
        <v>39</v>
      </c>
      <c r="B198" s="902"/>
      <c r="C198" s="902"/>
      <c r="D198" s="59" t="s">
        <v>245</v>
      </c>
      <c r="E198" s="904" t="s">
        <v>0</v>
      </c>
      <c r="F198" s="904"/>
      <c r="G198" s="905"/>
    </row>
    <row r="199" spans="1:7" ht="16.5" x14ac:dyDescent="0.25">
      <c r="A199" s="885" t="s">
        <v>29</v>
      </c>
      <c r="B199" s="886"/>
      <c r="C199" s="886"/>
      <c r="D199" s="886"/>
      <c r="E199" s="886"/>
      <c r="F199" s="886"/>
      <c r="G199" s="887"/>
    </row>
    <row r="200" spans="1:7" x14ac:dyDescent="0.2">
      <c r="A200" s="888" t="s">
        <v>48</v>
      </c>
      <c r="B200" s="889"/>
      <c r="C200" s="889"/>
      <c r="D200" s="889"/>
      <c r="E200" s="889"/>
      <c r="F200" s="889"/>
      <c r="G200" s="890"/>
    </row>
    <row r="201" spans="1:7" x14ac:dyDescent="0.2">
      <c r="A201" s="915" t="s">
        <v>49</v>
      </c>
      <c r="B201" s="916"/>
      <c r="C201" s="916"/>
      <c r="D201" s="916"/>
      <c r="E201" s="916"/>
      <c r="F201" s="916"/>
      <c r="G201" s="917"/>
    </row>
    <row r="202" spans="1:7" x14ac:dyDescent="0.2">
      <c r="A202" s="6"/>
      <c r="B202" s="99"/>
      <c r="C202" s="8"/>
      <c r="D202" s="9"/>
      <c r="E202" s="99"/>
      <c r="F202" s="10"/>
      <c r="G202" s="11" t="s">
        <v>8</v>
      </c>
    </row>
    <row r="203" spans="1:7" x14ac:dyDescent="0.2">
      <c r="A203" s="12" t="s">
        <v>1</v>
      </c>
      <c r="B203" s="13"/>
      <c r="C203" s="14" t="s">
        <v>16</v>
      </c>
      <c r="D203" s="13"/>
      <c r="E203" s="362" t="s">
        <v>1069</v>
      </c>
      <c r="F203" s="60"/>
      <c r="G203" s="363" t="s">
        <v>1051</v>
      </c>
    </row>
    <row r="204" spans="1:7" x14ac:dyDescent="0.2">
      <c r="A204" s="17" t="s">
        <v>8</v>
      </c>
      <c r="B204" s="100"/>
      <c r="C204" s="19"/>
      <c r="D204" s="4"/>
      <c r="E204" s="918"/>
      <c r="F204" s="919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920"/>
      <c r="F206" s="921"/>
      <c r="G206" s="25"/>
    </row>
    <row r="207" spans="1:7" ht="26.25" thickBot="1" x14ac:dyDescent="0.25">
      <c r="A207" s="26" t="s">
        <v>47</v>
      </c>
      <c r="B207" s="161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422" t="s">
        <v>149</v>
      </c>
      <c r="D208" s="382" t="s">
        <v>922</v>
      </c>
      <c r="E208" s="102">
        <v>70</v>
      </c>
      <c r="F208" s="163">
        <v>200</v>
      </c>
      <c r="G208" s="35">
        <f>F208*E208</f>
        <v>14000</v>
      </c>
    </row>
    <row r="209" spans="1:7" x14ac:dyDescent="0.2">
      <c r="A209" s="29"/>
      <c r="B209" s="101"/>
      <c r="C209" s="31"/>
      <c r="D209" s="382" t="s">
        <v>1067</v>
      </c>
      <c r="E209" s="102"/>
      <c r="F209" s="163"/>
      <c r="G209" s="35"/>
    </row>
    <row r="210" spans="1:7" x14ac:dyDescent="0.2">
      <c r="A210" s="29"/>
      <c r="B210" s="101"/>
      <c r="C210" s="31"/>
      <c r="D210" s="162"/>
      <c r="E210" s="102"/>
      <c r="F210" s="163"/>
      <c r="G210" s="35"/>
    </row>
    <row r="211" spans="1:7" x14ac:dyDescent="0.2">
      <c r="A211" s="29"/>
      <c r="B211" s="101"/>
      <c r="C211" s="31"/>
      <c r="D211" s="162"/>
      <c r="E211" s="102"/>
      <c r="F211" s="163"/>
      <c r="G211" s="35"/>
    </row>
    <row r="212" spans="1:7" x14ac:dyDescent="0.2">
      <c r="A212" s="29"/>
      <c r="B212" s="101"/>
      <c r="C212" s="31"/>
      <c r="D212" s="165"/>
      <c r="E212" s="102"/>
      <c r="F212" s="163"/>
      <c r="G212" s="35"/>
    </row>
    <row r="213" spans="1:7" x14ac:dyDescent="0.2">
      <c r="A213" s="29"/>
      <c r="B213" s="101"/>
      <c r="C213" s="31"/>
      <c r="D213" s="136"/>
      <c r="E213" s="102"/>
      <c r="F213" s="163"/>
      <c r="G213" s="35"/>
    </row>
    <row r="214" spans="1:7" x14ac:dyDescent="0.2">
      <c r="A214" s="29"/>
      <c r="B214" s="101"/>
      <c r="C214" s="31"/>
      <c r="D214" s="67"/>
      <c r="E214" s="102"/>
      <c r="F214" s="163"/>
      <c r="G214" s="35"/>
    </row>
    <row r="215" spans="1:7" x14ac:dyDescent="0.2">
      <c r="A215" s="29"/>
      <c r="B215" s="101"/>
      <c r="C215" s="31"/>
      <c r="D215" s="165"/>
      <c r="E215" s="102"/>
      <c r="F215" s="163"/>
      <c r="G215" s="35"/>
    </row>
    <row r="216" spans="1:7" x14ac:dyDescent="0.2">
      <c r="A216" s="29"/>
      <c r="B216" s="101"/>
      <c r="C216" s="31"/>
      <c r="D216" s="165"/>
      <c r="E216" s="102"/>
      <c r="F216" s="163"/>
      <c r="G216" s="35"/>
    </row>
    <row r="217" spans="1:7" x14ac:dyDescent="0.2">
      <c r="A217" s="29"/>
      <c r="B217" s="101"/>
      <c r="C217" s="31"/>
      <c r="D217" s="165"/>
      <c r="E217" s="102"/>
      <c r="F217" s="163"/>
      <c r="G217" s="35"/>
    </row>
    <row r="218" spans="1:7" x14ac:dyDescent="0.2">
      <c r="A218" s="29"/>
      <c r="B218" s="101"/>
      <c r="C218" s="31"/>
      <c r="D218" s="67"/>
      <c r="E218" s="102"/>
      <c r="F218" s="163"/>
      <c r="G218" s="35"/>
    </row>
    <row r="219" spans="1:7" x14ac:dyDescent="0.2">
      <c r="A219" s="29"/>
      <c r="B219" s="101"/>
      <c r="C219" s="31"/>
      <c r="D219" s="67"/>
      <c r="E219" s="102"/>
      <c r="F219" s="163"/>
      <c r="G219" s="35"/>
    </row>
    <row r="220" spans="1:7" x14ac:dyDescent="0.2">
      <c r="A220" s="29"/>
      <c r="B220" s="101"/>
      <c r="C220" s="31"/>
      <c r="D220" s="165"/>
      <c r="E220" s="166"/>
      <c r="F220" s="163"/>
      <c r="G220" s="167"/>
    </row>
    <row r="221" spans="1:7" x14ac:dyDescent="0.2">
      <c r="A221" s="29"/>
      <c r="B221" s="101"/>
      <c r="C221" s="31"/>
      <c r="D221" s="165"/>
      <c r="E221" s="102"/>
      <c r="F221" s="163"/>
      <c r="G221" s="167"/>
    </row>
    <row r="222" spans="1:7" x14ac:dyDescent="0.2">
      <c r="A222" s="29"/>
      <c r="B222" s="101"/>
      <c r="C222" s="31"/>
      <c r="D222" s="67"/>
      <c r="E222" s="102"/>
      <c r="F222" s="163"/>
      <c r="G222" s="167"/>
    </row>
    <row r="223" spans="1:7" x14ac:dyDescent="0.2">
      <c r="A223" s="29"/>
      <c r="B223" s="101"/>
      <c r="C223" s="31"/>
      <c r="D223" s="67"/>
      <c r="E223" s="102"/>
      <c r="F223" s="163"/>
      <c r="G223" s="167"/>
    </row>
    <row r="224" spans="1:7" x14ac:dyDescent="0.2">
      <c r="A224" s="29"/>
      <c r="B224" s="101"/>
      <c r="C224" s="31"/>
      <c r="D224" s="67"/>
      <c r="E224" s="102"/>
      <c r="F224" s="163"/>
      <c r="G224" s="167"/>
    </row>
    <row r="225" spans="1:7" x14ac:dyDescent="0.2">
      <c r="A225" s="29"/>
      <c r="B225" s="101"/>
      <c r="C225" s="41"/>
      <c r="D225" s="168"/>
      <c r="E225" s="77"/>
      <c r="F225" s="169"/>
      <c r="G225" s="167"/>
    </row>
    <row r="226" spans="1:7" x14ac:dyDescent="0.2">
      <c r="A226" s="29"/>
      <c r="B226" s="101"/>
      <c r="C226" s="41"/>
      <c r="D226" s="360"/>
      <c r="E226" s="77"/>
      <c r="F226" s="169"/>
      <c r="G226" s="167"/>
    </row>
    <row r="227" spans="1:7" x14ac:dyDescent="0.2">
      <c r="A227" s="29"/>
      <c r="B227" s="101"/>
      <c r="C227" s="41"/>
      <c r="D227" s="360"/>
      <c r="E227" s="77"/>
      <c r="F227" s="169"/>
      <c r="G227" s="167"/>
    </row>
    <row r="228" spans="1:7" x14ac:dyDescent="0.2">
      <c r="A228" s="29"/>
      <c r="B228" s="101"/>
      <c r="C228" s="41"/>
      <c r="D228" s="67"/>
      <c r="E228" s="77"/>
      <c r="F228" s="169"/>
      <c r="G228" s="35"/>
    </row>
    <row r="229" spans="1:7" x14ac:dyDescent="0.2">
      <c r="A229" s="29"/>
      <c r="B229" s="101"/>
      <c r="C229" s="41"/>
      <c r="D229" s="67"/>
      <c r="E229" s="77"/>
      <c r="F229" s="169" t="s">
        <v>152</v>
      </c>
      <c r="G229" s="35"/>
    </row>
    <row r="230" spans="1:7" x14ac:dyDescent="0.2">
      <c r="A230" s="29"/>
      <c r="B230" s="101"/>
      <c r="C230" s="41"/>
      <c r="D230" s="67"/>
      <c r="E230" s="77"/>
      <c r="F230" s="169"/>
      <c r="G230" s="35"/>
    </row>
    <row r="231" spans="1:7" x14ac:dyDescent="0.2">
      <c r="A231" s="29"/>
      <c r="B231" s="101"/>
      <c r="C231" s="41"/>
      <c r="D231" s="67"/>
      <c r="E231" s="77"/>
      <c r="F231" s="169"/>
      <c r="G231" s="35"/>
    </row>
    <row r="232" spans="1:7" x14ac:dyDescent="0.2">
      <c r="A232" s="29"/>
      <c r="B232" s="101"/>
      <c r="C232" s="31"/>
      <c r="D232" s="67"/>
      <c r="E232" s="102"/>
      <c r="F232" s="163"/>
      <c r="G232" s="35"/>
    </row>
    <row r="233" spans="1:7" x14ac:dyDescent="0.2">
      <c r="A233" s="29"/>
      <c r="B233" s="101"/>
      <c r="C233" s="31"/>
      <c r="D233" s="67"/>
      <c r="E233" s="102"/>
      <c r="F233" s="163"/>
      <c r="G233" s="35"/>
    </row>
    <row r="234" spans="1:7" x14ac:dyDescent="0.2">
      <c r="A234" s="29"/>
      <c r="B234" s="101"/>
      <c r="C234" s="31"/>
      <c r="D234" s="170" t="s">
        <v>150</v>
      </c>
      <c r="E234" s="102"/>
      <c r="F234" s="163"/>
      <c r="G234" s="35"/>
    </row>
    <row r="235" spans="1:7" x14ac:dyDescent="0.2">
      <c r="A235" s="29"/>
      <c r="B235" s="101"/>
      <c r="C235" s="31"/>
      <c r="D235" s="170"/>
      <c r="E235" s="102"/>
      <c r="F235" s="171"/>
      <c r="G235" s="35"/>
    </row>
    <row r="236" spans="1:7" x14ac:dyDescent="0.2">
      <c r="A236" s="29"/>
      <c r="B236" s="101"/>
      <c r="C236" s="31"/>
      <c r="D236" s="32"/>
      <c r="E236" s="104"/>
      <c r="F236" s="171"/>
      <c r="G236" s="35"/>
    </row>
    <row r="237" spans="1:7" x14ac:dyDescent="0.2">
      <c r="A237" s="29"/>
      <c r="B237" s="101"/>
      <c r="C237" s="31"/>
      <c r="D237" s="32"/>
      <c r="E237" s="104"/>
      <c r="F237" s="171"/>
      <c r="G237" s="35"/>
    </row>
    <row r="238" spans="1:7" x14ac:dyDescent="0.2">
      <c r="A238" s="29"/>
      <c r="B238" s="101"/>
      <c r="C238" s="31"/>
      <c r="D238" s="32"/>
      <c r="E238" s="104"/>
      <c r="F238" s="171"/>
      <c r="G238" s="35"/>
    </row>
    <row r="239" spans="1:7" x14ac:dyDescent="0.2">
      <c r="A239" s="29"/>
      <c r="B239" s="101"/>
      <c r="C239" s="31"/>
      <c r="D239" s="32"/>
      <c r="E239" s="104"/>
      <c r="F239" s="172"/>
      <c r="G239" s="35"/>
    </row>
    <row r="240" spans="1:7" x14ac:dyDescent="0.2">
      <c r="A240" s="29"/>
      <c r="B240" s="101"/>
      <c r="C240" s="31" t="s">
        <v>8</v>
      </c>
      <c r="D240" s="32"/>
      <c r="E240" s="104"/>
      <c r="F240" s="172"/>
      <c r="G240" s="35"/>
    </row>
    <row r="241" spans="1:7" x14ac:dyDescent="0.2">
      <c r="A241" s="29"/>
      <c r="B241" s="101"/>
      <c r="C241" s="31"/>
      <c r="D241" s="32"/>
      <c r="E241" s="104"/>
      <c r="F241" s="173"/>
      <c r="G241" s="167" t="s">
        <v>8</v>
      </c>
    </row>
    <row r="242" spans="1:7" ht="13.5" thickBot="1" x14ac:dyDescent="0.25">
      <c r="A242" s="45"/>
      <c r="B242" s="174"/>
      <c r="C242" s="47"/>
      <c r="D242" s="175"/>
      <c r="E242" s="174"/>
      <c r="F242" s="49" t="s">
        <v>15</v>
      </c>
      <c r="G242" s="50">
        <f>SUM(G208:G241)</f>
        <v>14000</v>
      </c>
    </row>
    <row r="243" spans="1:7" ht="13.5" thickTop="1" x14ac:dyDescent="0.2">
      <c r="A243" s="361" t="s">
        <v>1068</v>
      </c>
      <c r="B243" s="176"/>
      <c r="E243" s="176"/>
      <c r="G243" s="20"/>
    </row>
    <row r="244" spans="1:7" ht="13.5" thickBot="1" x14ac:dyDescent="0.25">
      <c r="A244" s="1056" t="s">
        <v>8</v>
      </c>
      <c r="B244" s="1054"/>
      <c r="C244" s="1054"/>
      <c r="D244" s="1054"/>
      <c r="E244" s="1054"/>
      <c r="F244" s="1054"/>
      <c r="G244" s="1055"/>
    </row>
    <row r="245" spans="1:7" ht="13.5" thickTop="1" x14ac:dyDescent="0.2">
      <c r="A245" s="906"/>
      <c r="B245" s="907"/>
      <c r="C245" s="907"/>
      <c r="D245" s="57" t="s">
        <v>11</v>
      </c>
      <c r="E245" s="908" t="s">
        <v>12</v>
      </c>
      <c r="F245" s="908"/>
      <c r="G245" s="909"/>
    </row>
    <row r="246" spans="1:7" x14ac:dyDescent="0.2">
      <c r="A246" s="910" t="s">
        <v>17</v>
      </c>
      <c r="B246" s="911"/>
      <c r="C246" s="911"/>
      <c r="D246" s="57"/>
      <c r="E246" s="912"/>
      <c r="F246" s="913"/>
      <c r="G246" s="914"/>
    </row>
    <row r="247" spans="1:7" x14ac:dyDescent="0.2">
      <c r="A247" s="910" t="s">
        <v>38</v>
      </c>
      <c r="B247" s="911"/>
      <c r="C247" s="911"/>
      <c r="D247" s="58" t="s">
        <v>1015</v>
      </c>
      <c r="E247" s="969" t="s">
        <v>142</v>
      </c>
      <c r="F247" s="868"/>
      <c r="G247" s="869"/>
    </row>
    <row r="248" spans="1:7" ht="13.5" thickBot="1" x14ac:dyDescent="0.25">
      <c r="A248" s="901" t="s">
        <v>39</v>
      </c>
      <c r="B248" s="902"/>
      <c r="C248" s="902"/>
      <c r="D248" s="59" t="s">
        <v>245</v>
      </c>
      <c r="E248" s="904" t="s">
        <v>0</v>
      </c>
      <c r="F248" s="904"/>
      <c r="G248" s="905"/>
    </row>
    <row r="249" spans="1:7" ht="16.5" x14ac:dyDescent="0.25">
      <c r="A249" s="885" t="s">
        <v>29</v>
      </c>
      <c r="B249" s="886"/>
      <c r="C249" s="886"/>
      <c r="D249" s="886"/>
      <c r="E249" s="886"/>
      <c r="F249" s="886"/>
      <c r="G249" s="887"/>
    </row>
    <row r="250" spans="1:7" x14ac:dyDescent="0.2">
      <c r="A250" s="888" t="s">
        <v>48</v>
      </c>
      <c r="B250" s="889"/>
      <c r="C250" s="889"/>
      <c r="D250" s="889"/>
      <c r="E250" s="889"/>
      <c r="F250" s="889"/>
      <c r="G250" s="890"/>
    </row>
    <row r="251" spans="1:7" x14ac:dyDescent="0.2">
      <c r="A251" s="915" t="s">
        <v>49</v>
      </c>
      <c r="B251" s="916"/>
      <c r="C251" s="916"/>
      <c r="D251" s="916"/>
      <c r="E251" s="916"/>
      <c r="F251" s="916"/>
      <c r="G251" s="917"/>
    </row>
    <row r="252" spans="1:7" x14ac:dyDescent="0.2">
      <c r="A252" s="6"/>
      <c r="B252" s="99"/>
      <c r="C252" s="8"/>
      <c r="D252" s="9"/>
      <c r="E252" s="99"/>
      <c r="F252" s="10"/>
      <c r="G252" s="11" t="s">
        <v>8</v>
      </c>
    </row>
    <row r="253" spans="1:7" x14ac:dyDescent="0.2">
      <c r="A253" s="12" t="s">
        <v>1</v>
      </c>
      <c r="B253" s="13"/>
      <c r="C253" s="14" t="s">
        <v>16</v>
      </c>
      <c r="D253" s="13"/>
      <c r="E253" s="362" t="s">
        <v>1141</v>
      </c>
      <c r="F253" s="60"/>
      <c r="G253" s="363" t="s">
        <v>1100</v>
      </c>
    </row>
    <row r="254" spans="1:7" x14ac:dyDescent="0.2">
      <c r="A254" s="17" t="s">
        <v>8</v>
      </c>
      <c r="B254" s="100"/>
      <c r="C254" s="19"/>
      <c r="D254" s="4"/>
      <c r="E254" s="918"/>
      <c r="F254" s="919"/>
      <c r="G254" s="20"/>
    </row>
    <row r="255" spans="1:7" x14ac:dyDescent="0.2">
      <c r="A255" s="21" t="s">
        <v>37</v>
      </c>
      <c r="B255" s="22"/>
      <c r="C255" s="22"/>
      <c r="D255" s="22"/>
      <c r="E255" s="23" t="s">
        <v>46</v>
      </c>
      <c r="F255" s="24"/>
      <c r="G255" s="20" t="s">
        <v>50</v>
      </c>
    </row>
    <row r="256" spans="1:7" x14ac:dyDescent="0.2">
      <c r="A256" s="6"/>
      <c r="B256" s="99"/>
      <c r="C256" s="8"/>
      <c r="D256" s="8"/>
      <c r="E256" s="920"/>
      <c r="F256" s="921"/>
      <c r="G256" s="25"/>
    </row>
    <row r="257" spans="1:7" ht="26.25" thickBot="1" x14ac:dyDescent="0.25">
      <c r="A257" s="26" t="s">
        <v>47</v>
      </c>
      <c r="B257" s="161" t="s">
        <v>23</v>
      </c>
      <c r="C257" s="28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7" ht="13.5" thickTop="1" x14ac:dyDescent="0.2">
      <c r="A258" s="29">
        <v>1</v>
      </c>
      <c r="B258" s="101"/>
      <c r="C258" s="422" t="s">
        <v>242</v>
      </c>
      <c r="D258" s="382" t="s">
        <v>1107</v>
      </c>
      <c r="E258" s="102">
        <v>80</v>
      </c>
      <c r="F258" s="163">
        <v>200</v>
      </c>
      <c r="G258" s="35">
        <f>F258*E258</f>
        <v>16000</v>
      </c>
    </row>
    <row r="259" spans="1:7" x14ac:dyDescent="0.2">
      <c r="A259" s="29">
        <v>2</v>
      </c>
      <c r="B259" s="101"/>
      <c r="C259" s="422" t="s">
        <v>242</v>
      </c>
      <c r="D259" s="382" t="s">
        <v>325</v>
      </c>
      <c r="E259" s="102">
        <v>80</v>
      </c>
      <c r="F259" s="163">
        <v>350</v>
      </c>
      <c r="G259" s="35">
        <f t="shared" ref="G259:G260" si="2">F259*E259</f>
        <v>28000</v>
      </c>
    </row>
    <row r="260" spans="1:7" x14ac:dyDescent="0.2">
      <c r="A260" s="29">
        <v>3</v>
      </c>
      <c r="B260" s="101"/>
      <c r="C260" s="422" t="s">
        <v>242</v>
      </c>
      <c r="D260" s="382" t="s">
        <v>1108</v>
      </c>
      <c r="E260" s="102">
        <v>80</v>
      </c>
      <c r="F260" s="163">
        <v>200</v>
      </c>
      <c r="G260" s="35">
        <f t="shared" si="2"/>
        <v>16000</v>
      </c>
    </row>
    <row r="261" spans="1:7" x14ac:dyDescent="0.2">
      <c r="A261" s="29"/>
      <c r="B261" s="101"/>
      <c r="C261" s="31"/>
      <c r="D261" s="162"/>
      <c r="E261" s="102"/>
      <c r="F261" s="163"/>
      <c r="G261" s="35"/>
    </row>
    <row r="262" spans="1:7" x14ac:dyDescent="0.2">
      <c r="A262" s="29"/>
      <c r="B262" s="101"/>
      <c r="C262" s="31"/>
      <c r="D262" s="165" t="s">
        <v>1145</v>
      </c>
      <c r="E262" s="102"/>
      <c r="F262" s="163"/>
      <c r="G262" s="35"/>
    </row>
    <row r="263" spans="1:7" x14ac:dyDescent="0.2">
      <c r="A263" s="29"/>
      <c r="B263" s="101"/>
      <c r="C263" s="31"/>
      <c r="D263" s="136"/>
      <c r="E263" s="102"/>
      <c r="F263" s="163"/>
      <c r="G263" s="35"/>
    </row>
    <row r="264" spans="1:7" x14ac:dyDescent="0.2">
      <c r="A264" s="29"/>
      <c r="B264" s="101"/>
      <c r="C264" s="31"/>
      <c r="D264" s="67"/>
      <c r="E264" s="102"/>
      <c r="F264" s="163"/>
      <c r="G264" s="35"/>
    </row>
    <row r="265" spans="1:7" x14ac:dyDescent="0.2">
      <c r="A265" s="29"/>
      <c r="B265" s="101"/>
      <c r="C265" s="31"/>
      <c r="D265" s="165"/>
      <c r="E265" s="102"/>
      <c r="F265" s="163"/>
      <c r="G265" s="35"/>
    </row>
    <row r="266" spans="1:7" x14ac:dyDescent="0.2">
      <c r="A266" s="29"/>
      <c r="B266" s="101"/>
      <c r="C266" s="31"/>
      <c r="D266" s="165"/>
      <c r="E266" s="102"/>
      <c r="F266" s="163"/>
      <c r="G266" s="35"/>
    </row>
    <row r="267" spans="1:7" x14ac:dyDescent="0.2">
      <c r="A267" s="29"/>
      <c r="B267" s="101"/>
      <c r="C267" s="31"/>
      <c r="D267" s="165"/>
      <c r="E267" s="102"/>
      <c r="F267" s="163"/>
      <c r="G267" s="35"/>
    </row>
    <row r="268" spans="1:7" x14ac:dyDescent="0.2">
      <c r="A268" s="29"/>
      <c r="B268" s="101"/>
      <c r="C268" s="31"/>
      <c r="D268" s="67"/>
      <c r="E268" s="102"/>
      <c r="F268" s="163"/>
      <c r="G268" s="35"/>
    </row>
    <row r="269" spans="1:7" x14ac:dyDescent="0.2">
      <c r="A269" s="29"/>
      <c r="B269" s="101"/>
      <c r="C269" s="31"/>
      <c r="D269" s="67"/>
      <c r="E269" s="102"/>
      <c r="F269" s="163"/>
      <c r="G269" s="35"/>
    </row>
    <row r="270" spans="1:7" x14ac:dyDescent="0.2">
      <c r="A270" s="29"/>
      <c r="B270" s="101"/>
      <c r="C270" s="31"/>
      <c r="D270" s="165"/>
      <c r="E270" s="166"/>
      <c r="F270" s="163"/>
      <c r="G270" s="167"/>
    </row>
    <row r="271" spans="1:7" x14ac:dyDescent="0.2">
      <c r="A271" s="29"/>
      <c r="B271" s="101"/>
      <c r="C271" s="31"/>
      <c r="D271" s="165"/>
      <c r="E271" s="102"/>
      <c r="F271" s="163"/>
      <c r="G271" s="167"/>
    </row>
    <row r="272" spans="1:7" x14ac:dyDescent="0.2">
      <c r="A272" s="29"/>
      <c r="B272" s="101"/>
      <c r="C272" s="31"/>
      <c r="D272" s="67"/>
      <c r="E272" s="102"/>
      <c r="F272" s="163"/>
      <c r="G272" s="167"/>
    </row>
    <row r="273" spans="1:7" x14ac:dyDescent="0.2">
      <c r="A273" s="29"/>
      <c r="B273" s="101"/>
      <c r="C273" s="31"/>
      <c r="D273" s="67"/>
      <c r="E273" s="102"/>
      <c r="F273" s="163"/>
      <c r="G273" s="167"/>
    </row>
    <row r="274" spans="1:7" x14ac:dyDescent="0.2">
      <c r="A274" s="29"/>
      <c r="B274" s="101"/>
      <c r="C274" s="31"/>
      <c r="D274" s="67"/>
      <c r="E274" s="102"/>
      <c r="F274" s="163"/>
      <c r="G274" s="167"/>
    </row>
    <row r="275" spans="1:7" x14ac:dyDescent="0.2">
      <c r="A275" s="29"/>
      <c r="B275" s="101"/>
      <c r="C275" s="41"/>
      <c r="D275" s="168"/>
      <c r="E275" s="77"/>
      <c r="F275" s="169"/>
      <c r="G275" s="167"/>
    </row>
    <row r="276" spans="1:7" x14ac:dyDescent="0.2">
      <c r="A276" s="29"/>
      <c r="B276" s="101"/>
      <c r="C276" s="41"/>
      <c r="D276" s="360"/>
      <c r="E276" s="77"/>
      <c r="F276" s="169"/>
      <c r="G276" s="167"/>
    </row>
    <row r="277" spans="1:7" x14ac:dyDescent="0.2">
      <c r="A277" s="29"/>
      <c r="B277" s="101"/>
      <c r="C277" s="41"/>
      <c r="D277" s="360"/>
      <c r="E277" s="77"/>
      <c r="F277" s="169"/>
      <c r="G277" s="167"/>
    </row>
    <row r="278" spans="1:7" x14ac:dyDescent="0.2">
      <c r="A278" s="29"/>
      <c r="B278" s="101"/>
      <c r="C278" s="41"/>
      <c r="D278" s="67"/>
      <c r="E278" s="77"/>
      <c r="F278" s="169"/>
      <c r="G278" s="35"/>
    </row>
    <row r="279" spans="1:7" x14ac:dyDescent="0.2">
      <c r="A279" s="29"/>
      <c r="B279" s="101"/>
      <c r="C279" s="41"/>
      <c r="D279" s="67"/>
      <c r="E279" s="77"/>
      <c r="F279" s="169" t="s">
        <v>152</v>
      </c>
      <c r="G279" s="35"/>
    </row>
    <row r="280" spans="1:7" x14ac:dyDescent="0.2">
      <c r="A280" s="29"/>
      <c r="B280" s="101"/>
      <c r="C280" s="41"/>
      <c r="D280" s="67"/>
      <c r="E280" s="77"/>
      <c r="F280" s="169"/>
      <c r="G280" s="35"/>
    </row>
    <row r="281" spans="1:7" x14ac:dyDescent="0.2">
      <c r="A281" s="29"/>
      <c r="B281" s="101"/>
      <c r="C281" s="41"/>
      <c r="D281" s="67"/>
      <c r="E281" s="77"/>
      <c r="F281" s="169"/>
      <c r="G281" s="35"/>
    </row>
    <row r="282" spans="1:7" x14ac:dyDescent="0.2">
      <c r="A282" s="29"/>
      <c r="B282" s="101"/>
      <c r="C282" s="31"/>
      <c r="D282" s="67"/>
      <c r="E282" s="102"/>
      <c r="F282" s="163"/>
      <c r="G282" s="35"/>
    </row>
    <row r="283" spans="1:7" x14ac:dyDescent="0.2">
      <c r="A283" s="29"/>
      <c r="B283" s="101"/>
      <c r="C283" s="31"/>
      <c r="D283" s="67"/>
      <c r="E283" s="102"/>
      <c r="F283" s="163"/>
      <c r="G283" s="35"/>
    </row>
    <row r="284" spans="1:7" x14ac:dyDescent="0.2">
      <c r="A284" s="29"/>
      <c r="B284" s="101"/>
      <c r="C284" s="31"/>
      <c r="D284" s="170" t="s">
        <v>150</v>
      </c>
      <c r="E284" s="102"/>
      <c r="F284" s="163"/>
      <c r="G284" s="35"/>
    </row>
    <row r="285" spans="1:7" x14ac:dyDescent="0.2">
      <c r="A285" s="29"/>
      <c r="B285" s="101"/>
      <c r="C285" s="31"/>
      <c r="D285" s="170"/>
      <c r="E285" s="102"/>
      <c r="F285" s="171"/>
      <c r="G285" s="35"/>
    </row>
    <row r="286" spans="1:7" x14ac:dyDescent="0.2">
      <c r="A286" s="29"/>
      <c r="B286" s="101"/>
      <c r="C286" s="31"/>
      <c r="D286" s="32"/>
      <c r="E286" s="104"/>
      <c r="F286" s="171"/>
      <c r="G286" s="35"/>
    </row>
    <row r="287" spans="1:7" x14ac:dyDescent="0.2">
      <c r="A287" s="29"/>
      <c r="B287" s="101"/>
      <c r="C287" s="31"/>
      <c r="D287" s="32"/>
      <c r="E287" s="104"/>
      <c r="F287" s="171"/>
      <c r="G287" s="35"/>
    </row>
    <row r="288" spans="1:7" x14ac:dyDescent="0.2">
      <c r="A288" s="29"/>
      <c r="B288" s="101"/>
      <c r="C288" s="31"/>
      <c r="D288" s="32"/>
      <c r="E288" s="104"/>
      <c r="F288" s="171"/>
      <c r="G288" s="35"/>
    </row>
    <row r="289" spans="1:7" x14ac:dyDescent="0.2">
      <c r="A289" s="29"/>
      <c r="B289" s="101"/>
      <c r="C289" s="31"/>
      <c r="D289" s="32"/>
      <c r="E289" s="104"/>
      <c r="F289" s="172"/>
      <c r="G289" s="35"/>
    </row>
    <row r="290" spans="1:7" x14ac:dyDescent="0.2">
      <c r="A290" s="29"/>
      <c r="B290" s="101"/>
      <c r="C290" s="31" t="s">
        <v>8</v>
      </c>
      <c r="D290" s="32"/>
      <c r="E290" s="104"/>
      <c r="F290" s="172"/>
      <c r="G290" s="35"/>
    </row>
    <row r="291" spans="1:7" x14ac:dyDescent="0.2">
      <c r="A291" s="29"/>
      <c r="B291" s="101"/>
      <c r="C291" s="31"/>
      <c r="D291" s="32"/>
      <c r="E291" s="104"/>
      <c r="F291" s="173"/>
      <c r="G291" s="167" t="s">
        <v>8</v>
      </c>
    </row>
    <row r="292" spans="1:7" ht="13.5" thickBot="1" x14ac:dyDescent="0.25">
      <c r="A292" s="45"/>
      <c r="B292" s="174"/>
      <c r="C292" s="47"/>
      <c r="D292" s="175"/>
      <c r="E292" s="174"/>
      <c r="F292" s="49" t="s">
        <v>15</v>
      </c>
      <c r="G292" s="50">
        <f>SUM(G258:G291)</f>
        <v>60000</v>
      </c>
    </row>
    <row r="293" spans="1:7" ht="13.5" thickTop="1" x14ac:dyDescent="0.2">
      <c r="A293" s="361" t="s">
        <v>1109</v>
      </c>
      <c r="B293" s="176"/>
      <c r="E293" s="176"/>
      <c r="G293" s="20"/>
    </row>
    <row r="294" spans="1:7" ht="13.5" thickBot="1" x14ac:dyDescent="0.25">
      <c r="A294" s="1056" t="s">
        <v>1128</v>
      </c>
      <c r="B294" s="1054"/>
      <c r="C294" s="1054"/>
      <c r="D294" s="1054"/>
      <c r="E294" s="1054"/>
      <c r="F294" s="1054"/>
      <c r="G294" s="1055"/>
    </row>
    <row r="295" spans="1:7" ht="13.5" thickTop="1" x14ac:dyDescent="0.2">
      <c r="A295" s="906"/>
      <c r="B295" s="907"/>
      <c r="C295" s="907"/>
      <c r="D295" s="57" t="s">
        <v>11</v>
      </c>
      <c r="E295" s="908" t="s">
        <v>12</v>
      </c>
      <c r="F295" s="908"/>
      <c r="G295" s="909"/>
    </row>
    <row r="296" spans="1:7" x14ac:dyDescent="0.2">
      <c r="A296" s="910" t="s">
        <v>17</v>
      </c>
      <c r="B296" s="911"/>
      <c r="C296" s="911"/>
      <c r="D296" s="57"/>
      <c r="E296" s="912"/>
      <c r="F296" s="913"/>
      <c r="G296" s="914"/>
    </row>
    <row r="297" spans="1:7" x14ac:dyDescent="0.2">
      <c r="A297" s="910" t="s">
        <v>38</v>
      </c>
      <c r="B297" s="911"/>
      <c r="C297" s="911"/>
      <c r="D297" s="58" t="s">
        <v>1015</v>
      </c>
      <c r="E297" s="969" t="s">
        <v>142</v>
      </c>
      <c r="F297" s="868"/>
      <c r="G297" s="869"/>
    </row>
    <row r="298" spans="1:7" ht="13.5" thickBot="1" x14ac:dyDescent="0.25">
      <c r="A298" s="901" t="s">
        <v>39</v>
      </c>
      <c r="B298" s="902"/>
      <c r="C298" s="902"/>
      <c r="D298" s="59" t="s">
        <v>245</v>
      </c>
      <c r="E298" s="904" t="s">
        <v>0</v>
      </c>
      <c r="F298" s="904"/>
      <c r="G298" s="905"/>
    </row>
    <row r="299" spans="1:7" ht="16.5" x14ac:dyDescent="0.25">
      <c r="A299" s="885" t="s">
        <v>29</v>
      </c>
      <c r="B299" s="886"/>
      <c r="C299" s="886"/>
      <c r="D299" s="886"/>
      <c r="E299" s="886"/>
      <c r="F299" s="886"/>
      <c r="G299" s="887"/>
    </row>
    <row r="300" spans="1:7" x14ac:dyDescent="0.2">
      <c r="A300" s="888" t="s">
        <v>48</v>
      </c>
      <c r="B300" s="889"/>
      <c r="C300" s="889"/>
      <c r="D300" s="889"/>
      <c r="E300" s="889"/>
      <c r="F300" s="889"/>
      <c r="G300" s="890"/>
    </row>
    <row r="301" spans="1:7" x14ac:dyDescent="0.2">
      <c r="A301" s="915" t="s">
        <v>49</v>
      </c>
      <c r="B301" s="916"/>
      <c r="C301" s="916"/>
      <c r="D301" s="916"/>
      <c r="E301" s="916"/>
      <c r="F301" s="916"/>
      <c r="G301" s="917"/>
    </row>
    <row r="302" spans="1:7" x14ac:dyDescent="0.2">
      <c r="A302" s="6"/>
      <c r="B302" s="99"/>
      <c r="C302" s="8"/>
      <c r="D302" s="9"/>
      <c r="E302" s="99"/>
      <c r="F302" s="10"/>
      <c r="G302" s="11" t="s">
        <v>8</v>
      </c>
    </row>
    <row r="303" spans="1:7" x14ac:dyDescent="0.2">
      <c r="A303" s="12" t="s">
        <v>1</v>
      </c>
      <c r="B303" s="13"/>
      <c r="C303" s="14" t="s">
        <v>16</v>
      </c>
      <c r="D303" s="13"/>
      <c r="E303" s="362" t="s">
        <v>1137</v>
      </c>
      <c r="F303" s="60"/>
      <c r="G303" s="363" t="s">
        <v>1100</v>
      </c>
    </row>
    <row r="304" spans="1:7" x14ac:dyDescent="0.2">
      <c r="A304" s="17" t="s">
        <v>8</v>
      </c>
      <c r="B304" s="100"/>
      <c r="C304" s="19"/>
      <c r="D304" s="4"/>
      <c r="E304" s="918"/>
      <c r="F304" s="919"/>
      <c r="G304" s="20"/>
    </row>
    <row r="305" spans="1:16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16" x14ac:dyDescent="0.2">
      <c r="A306" s="6"/>
      <c r="B306" s="99"/>
      <c r="C306" s="8"/>
      <c r="D306" s="8"/>
      <c r="E306" s="920"/>
      <c r="F306" s="921"/>
      <c r="G306" s="25"/>
    </row>
    <row r="307" spans="1:16" ht="26.25" thickBot="1" x14ac:dyDescent="0.25">
      <c r="A307" s="26" t="s">
        <v>47</v>
      </c>
      <c r="B307" s="161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16" ht="13.5" thickTop="1" x14ac:dyDescent="0.2">
      <c r="A308" s="29">
        <v>1</v>
      </c>
      <c r="B308" s="101"/>
      <c r="C308" s="422" t="s">
        <v>149</v>
      </c>
      <c r="D308" s="382" t="s">
        <v>1110</v>
      </c>
      <c r="E308" s="102">
        <v>75</v>
      </c>
      <c r="F308" s="163">
        <v>200</v>
      </c>
      <c r="G308" s="35">
        <f>F308*E308</f>
        <v>15000</v>
      </c>
      <c r="J308" s="29">
        <v>1</v>
      </c>
      <c r="K308" s="101"/>
      <c r="L308" s="422" t="s">
        <v>149</v>
      </c>
      <c r="M308" s="382" t="s">
        <v>1110</v>
      </c>
      <c r="N308" s="102">
        <v>75</v>
      </c>
      <c r="O308" s="163">
        <v>200</v>
      </c>
      <c r="P308" s="35">
        <f>O308*N308</f>
        <v>15000</v>
      </c>
    </row>
    <row r="309" spans="1:16" x14ac:dyDescent="0.2">
      <c r="A309" s="29"/>
      <c r="B309" s="101"/>
      <c r="C309" s="422"/>
      <c r="D309" s="382"/>
      <c r="E309" s="102"/>
      <c r="F309" s="163"/>
      <c r="G309" s="35"/>
      <c r="J309" s="29">
        <v>2</v>
      </c>
      <c r="K309" s="101"/>
      <c r="L309" s="422" t="s">
        <v>149</v>
      </c>
      <c r="M309" s="382" t="s">
        <v>1144</v>
      </c>
      <c r="N309" s="102">
        <v>75</v>
      </c>
      <c r="O309" s="163">
        <v>350</v>
      </c>
      <c r="P309" s="35">
        <f t="shared" ref="P309" si="3">O309*N309</f>
        <v>26250</v>
      </c>
    </row>
    <row r="310" spans="1:16" x14ac:dyDescent="0.2">
      <c r="A310" s="29"/>
      <c r="B310" s="101"/>
      <c r="C310" s="422"/>
      <c r="D310" s="382"/>
      <c r="E310" s="102"/>
      <c r="F310" s="163"/>
      <c r="G310" s="35"/>
      <c r="J310" s="29"/>
      <c r="K310" s="101"/>
      <c r="L310" s="422"/>
      <c r="M310" s="382" t="s">
        <v>301</v>
      </c>
      <c r="N310" s="102"/>
      <c r="O310" s="163"/>
      <c r="P310" s="35"/>
    </row>
    <row r="311" spans="1:16" x14ac:dyDescent="0.2">
      <c r="A311" s="29"/>
      <c r="B311" s="101"/>
      <c r="C311" s="31"/>
      <c r="D311" s="162"/>
      <c r="E311" s="102"/>
      <c r="F311" s="163"/>
      <c r="G311" s="35"/>
      <c r="J311" s="29"/>
      <c r="K311" s="101"/>
      <c r="L311" s="31"/>
      <c r="M311" s="162"/>
      <c r="N311" s="102"/>
      <c r="O311" s="163"/>
      <c r="P311" s="35"/>
    </row>
    <row r="312" spans="1:16" x14ac:dyDescent="0.2">
      <c r="A312" s="29"/>
      <c r="B312" s="101"/>
      <c r="C312" s="31"/>
      <c r="D312" s="165"/>
      <c r="E312" s="102"/>
      <c r="F312" s="163"/>
      <c r="G312" s="35"/>
    </row>
    <row r="313" spans="1:16" x14ac:dyDescent="0.2">
      <c r="A313" s="29"/>
      <c r="B313" s="101"/>
      <c r="C313" s="31"/>
      <c r="D313" s="136"/>
      <c r="E313" s="102"/>
      <c r="F313" s="163"/>
      <c r="G313" s="35"/>
    </row>
    <row r="314" spans="1:16" x14ac:dyDescent="0.2">
      <c r="A314" s="29"/>
      <c r="B314" s="101"/>
      <c r="C314" s="31"/>
      <c r="D314" s="67"/>
      <c r="E314" s="102"/>
      <c r="F314" s="163"/>
      <c r="G314" s="35"/>
      <c r="J314" s="430" t="s">
        <v>1823</v>
      </c>
    </row>
    <row r="315" spans="1:16" x14ac:dyDescent="0.2">
      <c r="A315" s="29"/>
      <c r="B315" s="101"/>
      <c r="C315" s="31"/>
      <c r="D315" s="165"/>
      <c r="E315" s="102"/>
      <c r="F315" s="163"/>
      <c r="G315" s="35"/>
    </row>
    <row r="316" spans="1:16" x14ac:dyDescent="0.2">
      <c r="A316" s="29"/>
      <c r="B316" s="101"/>
      <c r="C316" s="31"/>
      <c r="D316" s="165"/>
      <c r="E316" s="102"/>
      <c r="F316" s="163"/>
      <c r="G316" s="35"/>
    </row>
    <row r="317" spans="1:16" x14ac:dyDescent="0.2">
      <c r="A317" s="29"/>
      <c r="B317" s="101"/>
      <c r="C317" s="31"/>
      <c r="D317" s="165"/>
      <c r="E317" s="102"/>
      <c r="F317" s="163"/>
      <c r="G317" s="35"/>
    </row>
    <row r="318" spans="1:16" x14ac:dyDescent="0.2">
      <c r="A318" s="29"/>
      <c r="B318" s="101"/>
      <c r="C318" s="31"/>
      <c r="D318" s="67"/>
      <c r="E318" s="102"/>
      <c r="F318" s="163"/>
      <c r="G318" s="35"/>
    </row>
    <row r="319" spans="1:16" x14ac:dyDescent="0.2">
      <c r="A319" s="29"/>
      <c r="B319" s="101"/>
      <c r="C319" s="31"/>
      <c r="D319" s="67"/>
      <c r="E319" s="102"/>
      <c r="F319" s="163"/>
      <c r="G319" s="35"/>
    </row>
    <row r="320" spans="1:16" x14ac:dyDescent="0.2">
      <c r="A320" s="29"/>
      <c r="B320" s="101"/>
      <c r="C320" s="31"/>
      <c r="D320" s="165"/>
      <c r="E320" s="166"/>
      <c r="F320" s="163"/>
      <c r="G320" s="167"/>
    </row>
    <row r="321" spans="1:7" x14ac:dyDescent="0.2">
      <c r="A321" s="29"/>
      <c r="B321" s="101"/>
      <c r="C321" s="31"/>
      <c r="D321" s="165"/>
      <c r="E321" s="102"/>
      <c r="F321" s="163"/>
      <c r="G321" s="167"/>
    </row>
    <row r="322" spans="1:7" x14ac:dyDescent="0.2">
      <c r="A322" s="29"/>
      <c r="B322" s="101"/>
      <c r="C322" s="31"/>
      <c r="D322" s="67"/>
      <c r="E322" s="102"/>
      <c r="F322" s="163"/>
      <c r="G322" s="167"/>
    </row>
    <row r="323" spans="1:7" x14ac:dyDescent="0.2">
      <c r="A323" s="29"/>
      <c r="B323" s="101"/>
      <c r="C323" s="31"/>
      <c r="D323" s="67"/>
      <c r="E323" s="102"/>
      <c r="F323" s="163"/>
      <c r="G323" s="167"/>
    </row>
    <row r="324" spans="1:7" x14ac:dyDescent="0.2">
      <c r="A324" s="29"/>
      <c r="B324" s="101"/>
      <c r="C324" s="31"/>
      <c r="D324" s="67"/>
      <c r="E324" s="102"/>
      <c r="F324" s="163"/>
      <c r="G324" s="167"/>
    </row>
    <row r="325" spans="1:7" x14ac:dyDescent="0.2">
      <c r="A325" s="29"/>
      <c r="B325" s="101"/>
      <c r="C325" s="41"/>
      <c r="D325" s="168"/>
      <c r="E325" s="77"/>
      <c r="F325" s="169"/>
      <c r="G325" s="167"/>
    </row>
    <row r="326" spans="1:7" x14ac:dyDescent="0.2">
      <c r="A326" s="29"/>
      <c r="B326" s="101"/>
      <c r="C326" s="41"/>
      <c r="D326" s="360"/>
      <c r="E326" s="77"/>
      <c r="F326" s="169"/>
      <c r="G326" s="167"/>
    </row>
    <row r="327" spans="1:7" x14ac:dyDescent="0.2">
      <c r="A327" s="29"/>
      <c r="B327" s="101"/>
      <c r="C327" s="41"/>
      <c r="D327" s="360"/>
      <c r="E327" s="77"/>
      <c r="F327" s="169"/>
      <c r="G327" s="167"/>
    </row>
    <row r="328" spans="1:7" x14ac:dyDescent="0.2">
      <c r="A328" s="29"/>
      <c r="B328" s="101"/>
      <c r="C328" s="41"/>
      <c r="D328" s="67"/>
      <c r="E328" s="77"/>
      <c r="F328" s="169"/>
      <c r="G328" s="35"/>
    </row>
    <row r="329" spans="1:7" x14ac:dyDescent="0.2">
      <c r="A329" s="29"/>
      <c r="B329" s="101"/>
      <c r="C329" s="41"/>
      <c r="D329" s="67"/>
      <c r="E329" s="77"/>
      <c r="F329" s="169" t="s">
        <v>152</v>
      </c>
      <c r="G329" s="35"/>
    </row>
    <row r="330" spans="1:7" x14ac:dyDescent="0.2">
      <c r="A330" s="29"/>
      <c r="B330" s="101"/>
      <c r="C330" s="41"/>
      <c r="D330" s="67"/>
      <c r="E330" s="77"/>
      <c r="F330" s="169"/>
      <c r="G330" s="35"/>
    </row>
    <row r="331" spans="1:7" x14ac:dyDescent="0.2">
      <c r="A331" s="29"/>
      <c r="B331" s="101"/>
      <c r="C331" s="41"/>
      <c r="D331" s="67"/>
      <c r="E331" s="77"/>
      <c r="F331" s="169"/>
      <c r="G331" s="35"/>
    </row>
    <row r="332" spans="1:7" x14ac:dyDescent="0.2">
      <c r="A332" s="29"/>
      <c r="B332" s="101"/>
      <c r="C332" s="31"/>
      <c r="D332" s="67"/>
      <c r="E332" s="102"/>
      <c r="F332" s="163"/>
      <c r="G332" s="35"/>
    </row>
    <row r="333" spans="1:7" x14ac:dyDescent="0.2">
      <c r="A333" s="29"/>
      <c r="B333" s="101"/>
      <c r="C333" s="31"/>
      <c r="D333" s="67"/>
      <c r="E333" s="102"/>
      <c r="F333" s="163"/>
      <c r="G333" s="35"/>
    </row>
    <row r="334" spans="1:7" x14ac:dyDescent="0.2">
      <c r="A334" s="29"/>
      <c r="B334" s="101"/>
      <c r="C334" s="31"/>
      <c r="D334" s="170" t="s">
        <v>150</v>
      </c>
      <c r="E334" s="102"/>
      <c r="F334" s="163"/>
      <c r="G334" s="35"/>
    </row>
    <row r="335" spans="1:7" x14ac:dyDescent="0.2">
      <c r="A335" s="29"/>
      <c r="B335" s="101"/>
      <c r="C335" s="31"/>
      <c r="D335" s="170"/>
      <c r="E335" s="102"/>
      <c r="F335" s="171"/>
      <c r="G335" s="35"/>
    </row>
    <row r="336" spans="1:7" x14ac:dyDescent="0.2">
      <c r="A336" s="29"/>
      <c r="B336" s="101"/>
      <c r="C336" s="31"/>
      <c r="D336" s="32"/>
      <c r="E336" s="104"/>
      <c r="F336" s="171"/>
      <c r="G336" s="35"/>
    </row>
    <row r="337" spans="1:7" x14ac:dyDescent="0.2">
      <c r="A337" s="29"/>
      <c r="B337" s="101"/>
      <c r="C337" s="31"/>
      <c r="D337" s="32"/>
      <c r="E337" s="104"/>
      <c r="F337" s="171"/>
      <c r="G337" s="35"/>
    </row>
    <row r="338" spans="1:7" x14ac:dyDescent="0.2">
      <c r="A338" s="29"/>
      <c r="B338" s="101"/>
      <c r="C338" s="31"/>
      <c r="D338" s="32"/>
      <c r="E338" s="104"/>
      <c r="F338" s="171"/>
      <c r="G338" s="35"/>
    </row>
    <row r="339" spans="1:7" x14ac:dyDescent="0.2">
      <c r="A339" s="29"/>
      <c r="B339" s="101"/>
      <c r="C339" s="31"/>
      <c r="D339" s="32"/>
      <c r="E339" s="104"/>
      <c r="F339" s="172"/>
      <c r="G339" s="35"/>
    </row>
    <row r="340" spans="1:7" x14ac:dyDescent="0.2">
      <c r="A340" s="29"/>
      <c r="B340" s="101"/>
      <c r="C340" s="31" t="s">
        <v>8</v>
      </c>
      <c r="D340" s="32"/>
      <c r="E340" s="104"/>
      <c r="F340" s="172"/>
      <c r="G340" s="35"/>
    </row>
    <row r="341" spans="1:7" x14ac:dyDescent="0.2">
      <c r="A341" s="29"/>
      <c r="B341" s="101"/>
      <c r="C341" s="31"/>
      <c r="D341" s="32"/>
      <c r="E341" s="104"/>
      <c r="F341" s="173"/>
      <c r="G341" s="167" t="s">
        <v>8</v>
      </c>
    </row>
    <row r="342" spans="1:7" ht="13.5" thickBot="1" x14ac:dyDescent="0.25">
      <c r="A342" s="45"/>
      <c r="B342" s="174"/>
      <c r="C342" s="47"/>
      <c r="D342" s="175"/>
      <c r="E342" s="174"/>
      <c r="F342" s="49" t="s">
        <v>15</v>
      </c>
      <c r="G342" s="50">
        <f>SUM(G308:G341)</f>
        <v>15000</v>
      </c>
    </row>
    <row r="343" spans="1:7" ht="13.5" thickTop="1" x14ac:dyDescent="0.2">
      <c r="A343" s="361" t="s">
        <v>1111</v>
      </c>
      <c r="B343" s="176"/>
      <c r="E343" s="176"/>
      <c r="G343" s="20"/>
    </row>
    <row r="344" spans="1:7" ht="13.5" thickBot="1" x14ac:dyDescent="0.25">
      <c r="A344" s="1056" t="s">
        <v>8</v>
      </c>
      <c r="B344" s="1054"/>
      <c r="C344" s="1054"/>
      <c r="D344" s="1054"/>
      <c r="E344" s="1054"/>
      <c r="F344" s="1054"/>
      <c r="G344" s="1055"/>
    </row>
    <row r="345" spans="1:7" ht="13.5" thickTop="1" x14ac:dyDescent="0.2">
      <c r="A345" s="906"/>
      <c r="B345" s="907"/>
      <c r="C345" s="907"/>
      <c r="D345" s="57" t="s">
        <v>11</v>
      </c>
      <c r="E345" s="908" t="s">
        <v>12</v>
      </c>
      <c r="F345" s="908"/>
      <c r="G345" s="909"/>
    </row>
    <row r="346" spans="1:7" x14ac:dyDescent="0.2">
      <c r="A346" s="910" t="s">
        <v>17</v>
      </c>
      <c r="B346" s="911"/>
      <c r="C346" s="911"/>
      <c r="D346" s="57"/>
      <c r="E346" s="912"/>
      <c r="F346" s="913"/>
      <c r="G346" s="914"/>
    </row>
    <row r="347" spans="1:7" x14ac:dyDescent="0.2">
      <c r="A347" s="910" t="s">
        <v>38</v>
      </c>
      <c r="B347" s="911"/>
      <c r="C347" s="911"/>
      <c r="D347" s="58" t="s">
        <v>1015</v>
      </c>
      <c r="E347" s="969" t="s">
        <v>142</v>
      </c>
      <c r="F347" s="868"/>
      <c r="G347" s="869"/>
    </row>
    <row r="348" spans="1:7" ht="13.5" thickBot="1" x14ac:dyDescent="0.25">
      <c r="A348" s="901" t="s">
        <v>39</v>
      </c>
      <c r="B348" s="902"/>
      <c r="C348" s="902"/>
      <c r="D348" s="59" t="s">
        <v>245</v>
      </c>
      <c r="E348" s="904" t="s">
        <v>0</v>
      </c>
      <c r="F348" s="904"/>
      <c r="G348" s="905"/>
    </row>
    <row r="349" spans="1:7" ht="16.5" x14ac:dyDescent="0.25">
      <c r="A349" s="885" t="s">
        <v>29</v>
      </c>
      <c r="B349" s="886"/>
      <c r="C349" s="886"/>
      <c r="D349" s="886"/>
      <c r="E349" s="886"/>
      <c r="F349" s="886"/>
      <c r="G349" s="887"/>
    </row>
    <row r="350" spans="1:7" x14ac:dyDescent="0.2">
      <c r="A350" s="888" t="s">
        <v>48</v>
      </c>
      <c r="B350" s="889"/>
      <c r="C350" s="889"/>
      <c r="D350" s="889"/>
      <c r="E350" s="889"/>
      <c r="F350" s="889"/>
      <c r="G350" s="890"/>
    </row>
    <row r="351" spans="1:7" x14ac:dyDescent="0.2">
      <c r="A351" s="915" t="s">
        <v>49</v>
      </c>
      <c r="B351" s="916"/>
      <c r="C351" s="916"/>
      <c r="D351" s="916"/>
      <c r="E351" s="916"/>
      <c r="F351" s="916"/>
      <c r="G351" s="917"/>
    </row>
    <row r="352" spans="1:7" x14ac:dyDescent="0.2">
      <c r="A352" s="6"/>
      <c r="B352" s="99"/>
      <c r="C352" s="8"/>
      <c r="D352" s="9"/>
      <c r="E352" s="99"/>
      <c r="F352" s="10"/>
      <c r="G352" s="11" t="s">
        <v>8</v>
      </c>
    </row>
    <row r="353" spans="1:7" x14ac:dyDescent="0.2">
      <c r="A353" s="12" t="s">
        <v>1</v>
      </c>
      <c r="B353" s="13"/>
      <c r="C353" s="14" t="s">
        <v>16</v>
      </c>
      <c r="D353" s="13"/>
      <c r="E353" s="362" t="s">
        <v>1139</v>
      </c>
      <c r="F353" s="60"/>
      <c r="G353" s="363" t="s">
        <v>1100</v>
      </c>
    </row>
    <row r="354" spans="1:7" x14ac:dyDescent="0.2">
      <c r="A354" s="17" t="s">
        <v>8</v>
      </c>
      <c r="B354" s="100"/>
      <c r="C354" s="19"/>
      <c r="D354" s="4"/>
      <c r="E354" s="918"/>
      <c r="F354" s="919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920"/>
      <c r="F356" s="921"/>
      <c r="G356" s="25"/>
    </row>
    <row r="357" spans="1:7" ht="26.25" thickBot="1" x14ac:dyDescent="0.25">
      <c r="A357" s="26" t="s">
        <v>47</v>
      </c>
      <c r="B357" s="161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29">
        <v>1</v>
      </c>
      <c r="B358" s="101"/>
      <c r="C358" s="422" t="s">
        <v>242</v>
      </c>
      <c r="D358" s="382" t="s">
        <v>1116</v>
      </c>
      <c r="E358" s="102">
        <v>85</v>
      </c>
      <c r="F358" s="163">
        <v>200</v>
      </c>
      <c r="G358" s="35">
        <f>F358*E358</f>
        <v>17000</v>
      </c>
    </row>
    <row r="359" spans="1:7" x14ac:dyDescent="0.2">
      <c r="A359" s="29"/>
      <c r="B359" s="101"/>
      <c r="C359" s="422"/>
      <c r="D359" s="382"/>
      <c r="E359" s="102"/>
      <c r="F359" s="163"/>
      <c r="G359" s="35"/>
    </row>
    <row r="360" spans="1:7" x14ac:dyDescent="0.2">
      <c r="A360" s="29"/>
      <c r="B360" s="101"/>
      <c r="C360" s="422"/>
      <c r="D360" s="382"/>
      <c r="E360" s="102"/>
      <c r="F360" s="163"/>
      <c r="G360" s="35"/>
    </row>
    <row r="361" spans="1:7" x14ac:dyDescent="0.2">
      <c r="A361" s="29"/>
      <c r="B361" s="101"/>
      <c r="C361" s="31"/>
      <c r="D361" s="162"/>
      <c r="E361" s="102"/>
      <c r="F361" s="163"/>
      <c r="G361" s="35"/>
    </row>
    <row r="362" spans="1:7" x14ac:dyDescent="0.2">
      <c r="A362" s="29"/>
      <c r="B362" s="101"/>
      <c r="C362" s="31"/>
      <c r="D362" s="165"/>
      <c r="E362" s="102"/>
      <c r="F362" s="163"/>
      <c r="G362" s="35"/>
    </row>
    <row r="363" spans="1:7" x14ac:dyDescent="0.2">
      <c r="A363" s="29"/>
      <c r="B363" s="101"/>
      <c r="C363" s="31"/>
      <c r="D363" s="136"/>
      <c r="E363" s="102"/>
      <c r="F363" s="163"/>
      <c r="G363" s="35"/>
    </row>
    <row r="364" spans="1:7" x14ac:dyDescent="0.2">
      <c r="A364" s="29"/>
      <c r="B364" s="101"/>
      <c r="C364" s="31"/>
      <c r="D364" s="67"/>
      <c r="E364" s="102"/>
      <c r="F364" s="163"/>
      <c r="G364" s="35"/>
    </row>
    <row r="365" spans="1:7" x14ac:dyDescent="0.2">
      <c r="A365" s="29"/>
      <c r="B365" s="101"/>
      <c r="C365" s="31"/>
      <c r="D365" s="165"/>
      <c r="E365" s="102"/>
      <c r="F365" s="163"/>
      <c r="G365" s="35"/>
    </row>
    <row r="366" spans="1:7" x14ac:dyDescent="0.2">
      <c r="A366" s="29"/>
      <c r="B366" s="101"/>
      <c r="C366" s="31"/>
      <c r="D366" s="165"/>
      <c r="E366" s="102"/>
      <c r="F366" s="163"/>
      <c r="G366" s="35"/>
    </row>
    <row r="367" spans="1:7" x14ac:dyDescent="0.2">
      <c r="A367" s="29"/>
      <c r="B367" s="101"/>
      <c r="C367" s="31"/>
      <c r="D367" s="165"/>
      <c r="E367" s="102"/>
      <c r="F367" s="163"/>
      <c r="G367" s="35"/>
    </row>
    <row r="368" spans="1:7" x14ac:dyDescent="0.2">
      <c r="A368" s="29"/>
      <c r="B368" s="101"/>
      <c r="C368" s="31"/>
      <c r="D368" s="67"/>
      <c r="E368" s="102"/>
      <c r="F368" s="163"/>
      <c r="G368" s="35"/>
    </row>
    <row r="369" spans="1:7" x14ac:dyDescent="0.2">
      <c r="A369" s="29"/>
      <c r="B369" s="101"/>
      <c r="C369" s="31"/>
      <c r="D369" s="67"/>
      <c r="E369" s="102"/>
      <c r="F369" s="163"/>
      <c r="G369" s="35"/>
    </row>
    <row r="370" spans="1:7" x14ac:dyDescent="0.2">
      <c r="A370" s="29"/>
      <c r="B370" s="101"/>
      <c r="C370" s="31"/>
      <c r="D370" s="165"/>
      <c r="E370" s="166"/>
      <c r="F370" s="163"/>
      <c r="G370" s="167"/>
    </row>
    <row r="371" spans="1:7" x14ac:dyDescent="0.2">
      <c r="A371" s="29"/>
      <c r="B371" s="101"/>
      <c r="C371" s="31"/>
      <c r="D371" s="165"/>
      <c r="E371" s="102"/>
      <c r="F371" s="163"/>
      <c r="G371" s="167"/>
    </row>
    <row r="372" spans="1:7" x14ac:dyDescent="0.2">
      <c r="A372" s="29"/>
      <c r="B372" s="101"/>
      <c r="C372" s="31"/>
      <c r="D372" s="67"/>
      <c r="E372" s="102"/>
      <c r="F372" s="163"/>
      <c r="G372" s="167"/>
    </row>
    <row r="373" spans="1:7" x14ac:dyDescent="0.2">
      <c r="A373" s="29"/>
      <c r="B373" s="101"/>
      <c r="C373" s="31"/>
      <c r="D373" s="67"/>
      <c r="E373" s="102"/>
      <c r="F373" s="163"/>
      <c r="G373" s="167"/>
    </row>
    <row r="374" spans="1:7" x14ac:dyDescent="0.2">
      <c r="A374" s="29"/>
      <c r="B374" s="101"/>
      <c r="C374" s="31"/>
      <c r="D374" s="67"/>
      <c r="E374" s="102"/>
      <c r="F374" s="163"/>
      <c r="G374" s="167"/>
    </row>
    <row r="375" spans="1:7" x14ac:dyDescent="0.2">
      <c r="A375" s="29"/>
      <c r="B375" s="101"/>
      <c r="C375" s="41"/>
      <c r="D375" s="168"/>
      <c r="E375" s="77"/>
      <c r="F375" s="169"/>
      <c r="G375" s="167"/>
    </row>
    <row r="376" spans="1:7" x14ac:dyDescent="0.2">
      <c r="A376" s="29"/>
      <c r="B376" s="101"/>
      <c r="C376" s="41"/>
      <c r="D376" s="360"/>
      <c r="E376" s="77"/>
      <c r="F376" s="169"/>
      <c r="G376" s="167"/>
    </row>
    <row r="377" spans="1:7" x14ac:dyDescent="0.2">
      <c r="A377" s="29"/>
      <c r="B377" s="101"/>
      <c r="C377" s="41"/>
      <c r="D377" s="360"/>
      <c r="E377" s="77"/>
      <c r="F377" s="169"/>
      <c r="G377" s="167"/>
    </row>
    <row r="378" spans="1:7" x14ac:dyDescent="0.2">
      <c r="A378" s="29"/>
      <c r="B378" s="101"/>
      <c r="C378" s="41"/>
      <c r="D378" s="67"/>
      <c r="E378" s="77"/>
      <c r="F378" s="169"/>
      <c r="G378" s="35"/>
    </row>
    <row r="379" spans="1:7" x14ac:dyDescent="0.2">
      <c r="A379" s="29"/>
      <c r="B379" s="101"/>
      <c r="C379" s="41"/>
      <c r="D379" s="67"/>
      <c r="E379" s="77"/>
      <c r="F379" s="169" t="s">
        <v>152</v>
      </c>
      <c r="G379" s="35"/>
    </row>
    <row r="380" spans="1:7" x14ac:dyDescent="0.2">
      <c r="A380" s="29"/>
      <c r="B380" s="101"/>
      <c r="C380" s="41"/>
      <c r="D380" s="67"/>
      <c r="E380" s="77"/>
      <c r="F380" s="169"/>
      <c r="G380" s="35"/>
    </row>
    <row r="381" spans="1:7" x14ac:dyDescent="0.2">
      <c r="A381" s="29"/>
      <c r="B381" s="101"/>
      <c r="C381" s="41"/>
      <c r="D381" s="67"/>
      <c r="E381" s="77"/>
      <c r="F381" s="169"/>
      <c r="G381" s="35"/>
    </row>
    <row r="382" spans="1:7" x14ac:dyDescent="0.2">
      <c r="A382" s="29"/>
      <c r="B382" s="101"/>
      <c r="C382" s="31"/>
      <c r="D382" s="67"/>
      <c r="E382" s="102"/>
      <c r="F382" s="163"/>
      <c r="G382" s="35"/>
    </row>
    <row r="383" spans="1:7" x14ac:dyDescent="0.2">
      <c r="A383" s="29"/>
      <c r="B383" s="101"/>
      <c r="C383" s="31"/>
      <c r="D383" s="67"/>
      <c r="E383" s="102"/>
      <c r="F383" s="163"/>
      <c r="G383" s="35"/>
    </row>
    <row r="384" spans="1:7" x14ac:dyDescent="0.2">
      <c r="A384" s="29"/>
      <c r="B384" s="101"/>
      <c r="C384" s="31"/>
      <c r="D384" s="170" t="s">
        <v>150</v>
      </c>
      <c r="E384" s="102"/>
      <c r="F384" s="163"/>
      <c r="G384" s="35"/>
    </row>
    <row r="385" spans="1:7" x14ac:dyDescent="0.2">
      <c r="A385" s="29"/>
      <c r="B385" s="101"/>
      <c r="C385" s="31"/>
      <c r="D385" s="170"/>
      <c r="E385" s="102"/>
      <c r="F385" s="171"/>
      <c r="G385" s="35"/>
    </row>
    <row r="386" spans="1:7" x14ac:dyDescent="0.2">
      <c r="A386" s="29"/>
      <c r="B386" s="101"/>
      <c r="C386" s="31"/>
      <c r="D386" s="32"/>
      <c r="E386" s="104"/>
      <c r="F386" s="171"/>
      <c r="G386" s="35"/>
    </row>
    <row r="387" spans="1:7" x14ac:dyDescent="0.2">
      <c r="A387" s="29"/>
      <c r="B387" s="101"/>
      <c r="C387" s="31"/>
      <c r="D387" s="32"/>
      <c r="E387" s="104"/>
      <c r="F387" s="171"/>
      <c r="G387" s="35"/>
    </row>
    <row r="388" spans="1:7" x14ac:dyDescent="0.2">
      <c r="A388" s="29"/>
      <c r="B388" s="101"/>
      <c r="C388" s="31"/>
      <c r="D388" s="32"/>
      <c r="E388" s="104"/>
      <c r="F388" s="171"/>
      <c r="G388" s="35"/>
    </row>
    <row r="389" spans="1:7" x14ac:dyDescent="0.2">
      <c r="A389" s="29"/>
      <c r="B389" s="101"/>
      <c r="C389" s="31"/>
      <c r="D389" s="32"/>
      <c r="E389" s="104"/>
      <c r="F389" s="172"/>
      <c r="G389" s="35"/>
    </row>
    <row r="390" spans="1:7" x14ac:dyDescent="0.2">
      <c r="A390" s="29"/>
      <c r="B390" s="101"/>
      <c r="C390" s="31" t="s">
        <v>8</v>
      </c>
      <c r="D390" s="32"/>
      <c r="E390" s="104"/>
      <c r="F390" s="172"/>
      <c r="G390" s="35"/>
    </row>
    <row r="391" spans="1:7" x14ac:dyDescent="0.2">
      <c r="A391" s="29"/>
      <c r="B391" s="101"/>
      <c r="C391" s="31"/>
      <c r="D391" s="32"/>
      <c r="E391" s="104"/>
      <c r="F391" s="173"/>
      <c r="G391" s="167" t="s">
        <v>8</v>
      </c>
    </row>
    <row r="392" spans="1:7" ht="13.5" thickBot="1" x14ac:dyDescent="0.25">
      <c r="A392" s="45"/>
      <c r="B392" s="174"/>
      <c r="C392" s="47"/>
      <c r="D392" s="175"/>
      <c r="E392" s="174"/>
      <c r="F392" s="49" t="s">
        <v>15</v>
      </c>
      <c r="G392" s="50">
        <f>SUM(G358:G391)</f>
        <v>17000</v>
      </c>
    </row>
    <row r="393" spans="1:7" ht="13.5" thickTop="1" x14ac:dyDescent="0.2">
      <c r="A393" s="361" t="s">
        <v>1692</v>
      </c>
      <c r="B393" s="176"/>
      <c r="E393" s="176"/>
      <c r="G393" s="20"/>
    </row>
    <row r="394" spans="1:7" ht="13.5" thickBot="1" x14ac:dyDescent="0.25">
      <c r="A394" s="1056" t="s">
        <v>1693</v>
      </c>
      <c r="B394" s="1054"/>
      <c r="C394" s="1054"/>
      <c r="D394" s="1054"/>
      <c r="E394" s="1054"/>
      <c r="F394" s="1054"/>
      <c r="G394" s="1055"/>
    </row>
    <row r="395" spans="1:7" ht="13.5" thickTop="1" x14ac:dyDescent="0.2">
      <c r="A395" s="906"/>
      <c r="B395" s="907"/>
      <c r="C395" s="907"/>
      <c r="D395" s="57" t="s">
        <v>11</v>
      </c>
      <c r="E395" s="908" t="s">
        <v>12</v>
      </c>
      <c r="F395" s="908"/>
      <c r="G395" s="909"/>
    </row>
    <row r="396" spans="1:7" x14ac:dyDescent="0.2">
      <c r="A396" s="910" t="s">
        <v>17</v>
      </c>
      <c r="B396" s="911"/>
      <c r="C396" s="911"/>
      <c r="D396" s="57"/>
      <c r="E396" s="912"/>
      <c r="F396" s="913"/>
      <c r="G396" s="914"/>
    </row>
    <row r="397" spans="1:7" x14ac:dyDescent="0.2">
      <c r="A397" s="910" t="s">
        <v>38</v>
      </c>
      <c r="B397" s="911"/>
      <c r="C397" s="911"/>
      <c r="D397" s="58" t="s">
        <v>1015</v>
      </c>
      <c r="E397" s="969" t="s">
        <v>142</v>
      </c>
      <c r="F397" s="868"/>
      <c r="G397" s="869"/>
    </row>
    <row r="398" spans="1:7" ht="13.5" thickBot="1" x14ac:dyDescent="0.25">
      <c r="A398" s="901" t="s">
        <v>39</v>
      </c>
      <c r="B398" s="902"/>
      <c r="C398" s="902"/>
      <c r="D398" s="59" t="s">
        <v>245</v>
      </c>
      <c r="E398" s="904" t="s">
        <v>0</v>
      </c>
      <c r="F398" s="904"/>
      <c r="G398" s="905"/>
    </row>
    <row r="399" spans="1:7" ht="16.5" x14ac:dyDescent="0.25">
      <c r="A399" s="885" t="s">
        <v>29</v>
      </c>
      <c r="B399" s="886"/>
      <c r="C399" s="886"/>
      <c r="D399" s="886"/>
      <c r="E399" s="886"/>
      <c r="F399" s="886"/>
      <c r="G399" s="887"/>
    </row>
    <row r="400" spans="1:7" x14ac:dyDescent="0.2">
      <c r="A400" s="888" t="s">
        <v>48</v>
      </c>
      <c r="B400" s="889"/>
      <c r="C400" s="889"/>
      <c r="D400" s="889"/>
      <c r="E400" s="889"/>
      <c r="F400" s="889"/>
      <c r="G400" s="890"/>
    </row>
    <row r="401" spans="1:7" x14ac:dyDescent="0.2">
      <c r="A401" s="915" t="s">
        <v>49</v>
      </c>
      <c r="B401" s="916"/>
      <c r="C401" s="916"/>
      <c r="D401" s="916"/>
      <c r="E401" s="916"/>
      <c r="F401" s="916"/>
      <c r="G401" s="917"/>
    </row>
    <row r="402" spans="1:7" x14ac:dyDescent="0.2">
      <c r="A402" s="6"/>
      <c r="B402" s="99"/>
      <c r="C402" s="8"/>
      <c r="D402" s="9"/>
      <c r="E402" s="99"/>
      <c r="F402" s="10"/>
      <c r="G402" s="11" t="s">
        <v>8</v>
      </c>
    </row>
    <row r="403" spans="1:7" x14ac:dyDescent="0.2">
      <c r="A403" s="12" t="s">
        <v>1</v>
      </c>
      <c r="B403" s="13"/>
      <c r="C403" s="14" t="s">
        <v>16</v>
      </c>
      <c r="D403" s="13"/>
      <c r="E403" s="362" t="s">
        <v>1140</v>
      </c>
      <c r="F403" s="60"/>
      <c r="G403" s="363" t="s">
        <v>1100</v>
      </c>
    </row>
    <row r="404" spans="1:7" x14ac:dyDescent="0.2">
      <c r="A404" s="17" t="s">
        <v>8</v>
      </c>
      <c r="B404" s="100"/>
      <c r="C404" s="19"/>
      <c r="D404" s="4"/>
      <c r="E404" s="918"/>
      <c r="F404" s="919"/>
      <c r="G404" s="20"/>
    </row>
    <row r="405" spans="1:7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7" x14ac:dyDescent="0.2">
      <c r="A406" s="6"/>
      <c r="B406" s="99"/>
      <c r="C406" s="8"/>
      <c r="D406" s="8"/>
      <c r="E406" s="920"/>
      <c r="F406" s="921"/>
      <c r="G406" s="25"/>
    </row>
    <row r="407" spans="1:7" ht="26.25" thickBot="1" x14ac:dyDescent="0.25">
      <c r="A407" s="26" t="s">
        <v>47</v>
      </c>
      <c r="B407" s="161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7" ht="13.5" thickTop="1" x14ac:dyDescent="0.2">
      <c r="A408" s="29"/>
      <c r="B408" s="101"/>
      <c r="C408" s="422"/>
      <c r="D408" s="440" t="s">
        <v>1119</v>
      </c>
      <c r="E408" s="102"/>
      <c r="F408" s="163"/>
      <c r="G408" s="372" t="s">
        <v>8</v>
      </c>
    </row>
    <row r="409" spans="1:7" x14ac:dyDescent="0.2">
      <c r="A409" s="29">
        <v>1</v>
      </c>
      <c r="B409" s="101"/>
      <c r="C409" s="422" t="s">
        <v>242</v>
      </c>
      <c r="D409" s="382" t="s">
        <v>1112</v>
      </c>
      <c r="E409" s="102">
        <v>15</v>
      </c>
      <c r="F409" s="163">
        <v>200</v>
      </c>
      <c r="G409" s="35">
        <f t="shared" ref="G409:G415" si="4">F409*E409</f>
        <v>3000</v>
      </c>
    </row>
    <row r="410" spans="1:7" x14ac:dyDescent="0.2">
      <c r="A410" s="29">
        <v>2</v>
      </c>
      <c r="B410" s="101"/>
      <c r="C410" s="422" t="s">
        <v>242</v>
      </c>
      <c r="D410" s="382" t="s">
        <v>325</v>
      </c>
      <c r="E410" s="102">
        <v>15</v>
      </c>
      <c r="F410" s="163">
        <v>350</v>
      </c>
      <c r="G410" s="35">
        <f t="shared" si="4"/>
        <v>5250</v>
      </c>
    </row>
    <row r="411" spans="1:7" x14ac:dyDescent="0.2">
      <c r="A411" s="29">
        <v>3</v>
      </c>
      <c r="B411" s="101"/>
      <c r="C411" s="422" t="s">
        <v>242</v>
      </c>
      <c r="D411" s="382" t="s">
        <v>1113</v>
      </c>
      <c r="E411" s="102">
        <v>15</v>
      </c>
      <c r="F411" s="163">
        <v>200</v>
      </c>
      <c r="G411" s="35">
        <f t="shared" si="4"/>
        <v>3000</v>
      </c>
    </row>
    <row r="412" spans="1:7" x14ac:dyDescent="0.2">
      <c r="A412" s="29"/>
      <c r="B412" s="101"/>
      <c r="C412" s="31"/>
      <c r="D412" s="441" t="s">
        <v>1120</v>
      </c>
      <c r="E412" s="102"/>
      <c r="F412" s="163"/>
      <c r="G412" s="372" t="s">
        <v>8</v>
      </c>
    </row>
    <row r="413" spans="1:7" x14ac:dyDescent="0.2">
      <c r="A413" s="29">
        <v>4</v>
      </c>
      <c r="B413" s="101"/>
      <c r="C413" s="422" t="s">
        <v>242</v>
      </c>
      <c r="D413" s="376" t="s">
        <v>1115</v>
      </c>
      <c r="E413" s="102">
        <v>15</v>
      </c>
      <c r="F413" s="163">
        <v>200</v>
      </c>
      <c r="G413" s="35">
        <f t="shared" si="4"/>
        <v>3000</v>
      </c>
    </row>
    <row r="414" spans="1:7" x14ac:dyDescent="0.2">
      <c r="A414" s="29">
        <v>5</v>
      </c>
      <c r="B414" s="101"/>
      <c r="C414" s="422" t="s">
        <v>242</v>
      </c>
      <c r="D414" s="384" t="s">
        <v>325</v>
      </c>
      <c r="E414" s="102">
        <v>15</v>
      </c>
      <c r="F414" s="163">
        <v>350</v>
      </c>
      <c r="G414" s="35">
        <f t="shared" si="4"/>
        <v>5250</v>
      </c>
    </row>
    <row r="415" spans="1:7" x14ac:dyDescent="0.2">
      <c r="A415" s="29">
        <v>6</v>
      </c>
      <c r="B415" s="101"/>
      <c r="C415" s="422" t="s">
        <v>242</v>
      </c>
      <c r="D415" s="165" t="s">
        <v>1114</v>
      </c>
      <c r="E415" s="102">
        <v>15</v>
      </c>
      <c r="F415" s="163">
        <v>200</v>
      </c>
      <c r="G415" s="35">
        <f t="shared" si="4"/>
        <v>3000</v>
      </c>
    </row>
    <row r="416" spans="1:7" x14ac:dyDescent="0.2">
      <c r="A416" s="29"/>
      <c r="B416" s="101"/>
      <c r="C416" s="31"/>
      <c r="D416" s="165"/>
      <c r="E416" s="102"/>
      <c r="F416" s="163"/>
      <c r="G416" s="35"/>
    </row>
    <row r="417" spans="1:7" x14ac:dyDescent="0.2">
      <c r="A417" s="29"/>
      <c r="B417" s="101"/>
      <c r="C417" s="31"/>
      <c r="D417" s="165"/>
      <c r="E417" s="102"/>
      <c r="F417" s="163"/>
      <c r="G417" s="35"/>
    </row>
    <row r="418" spans="1:7" x14ac:dyDescent="0.2">
      <c r="A418" s="29"/>
      <c r="B418" s="101"/>
      <c r="C418" s="31"/>
      <c r="D418" s="67"/>
      <c r="E418" s="102"/>
      <c r="F418" s="163"/>
      <c r="G418" s="35"/>
    </row>
    <row r="419" spans="1:7" x14ac:dyDescent="0.2">
      <c r="A419" s="29"/>
      <c r="B419" s="101"/>
      <c r="C419" s="31"/>
      <c r="D419" s="67"/>
      <c r="E419" s="102"/>
      <c r="F419" s="163"/>
      <c r="G419" s="35"/>
    </row>
    <row r="420" spans="1:7" x14ac:dyDescent="0.2">
      <c r="A420" s="29"/>
      <c r="B420" s="101"/>
      <c r="C420" s="31"/>
      <c r="D420" s="165"/>
      <c r="E420" s="166"/>
      <c r="F420" s="163"/>
      <c r="G420" s="167"/>
    </row>
    <row r="421" spans="1:7" x14ac:dyDescent="0.2">
      <c r="A421" s="29"/>
      <c r="B421" s="101"/>
      <c r="C421" s="31"/>
      <c r="D421" s="165"/>
      <c r="E421" s="102"/>
      <c r="F421" s="163"/>
      <c r="G421" s="167"/>
    </row>
    <row r="422" spans="1:7" x14ac:dyDescent="0.2">
      <c r="A422" s="29"/>
      <c r="B422" s="101"/>
      <c r="C422" s="31"/>
      <c r="D422" s="67"/>
      <c r="E422" s="102"/>
      <c r="F422" s="163"/>
      <c r="G422" s="167"/>
    </row>
    <row r="423" spans="1:7" x14ac:dyDescent="0.2">
      <c r="A423" s="29"/>
      <c r="B423" s="101"/>
      <c r="C423" s="31"/>
      <c r="D423" s="67"/>
      <c r="E423" s="102"/>
      <c r="F423" s="163"/>
      <c r="G423" s="167"/>
    </row>
    <row r="424" spans="1:7" x14ac:dyDescent="0.2">
      <c r="A424" s="29"/>
      <c r="B424" s="101"/>
      <c r="C424" s="31"/>
      <c r="D424" s="67"/>
      <c r="E424" s="102"/>
      <c r="F424" s="163"/>
      <c r="G424" s="167"/>
    </row>
    <row r="425" spans="1:7" x14ac:dyDescent="0.2">
      <c r="A425" s="29"/>
      <c r="B425" s="101"/>
      <c r="C425" s="41"/>
      <c r="D425" s="168"/>
      <c r="E425" s="77"/>
      <c r="F425" s="169"/>
      <c r="G425" s="167"/>
    </row>
    <row r="426" spans="1:7" x14ac:dyDescent="0.2">
      <c r="A426" s="29"/>
      <c r="B426" s="101"/>
      <c r="C426" s="41"/>
      <c r="D426" s="360"/>
      <c r="E426" s="77"/>
      <c r="F426" s="169"/>
      <c r="G426" s="167"/>
    </row>
    <row r="427" spans="1:7" x14ac:dyDescent="0.2">
      <c r="A427" s="29"/>
      <c r="B427" s="101"/>
      <c r="C427" s="41"/>
      <c r="D427" s="360"/>
      <c r="E427" s="77"/>
      <c r="F427" s="169"/>
      <c r="G427" s="167"/>
    </row>
    <row r="428" spans="1:7" x14ac:dyDescent="0.2">
      <c r="A428" s="29"/>
      <c r="B428" s="101"/>
      <c r="C428" s="41"/>
      <c r="D428" s="67"/>
      <c r="E428" s="77"/>
      <c r="F428" s="169"/>
      <c r="G428" s="35"/>
    </row>
    <row r="429" spans="1:7" x14ac:dyDescent="0.2">
      <c r="A429" s="29"/>
      <c r="B429" s="101"/>
      <c r="C429" s="41"/>
      <c r="D429" s="67"/>
      <c r="E429" s="77"/>
      <c r="F429" s="169" t="s">
        <v>152</v>
      </c>
      <c r="G429" s="35"/>
    </row>
    <row r="430" spans="1:7" x14ac:dyDescent="0.2">
      <c r="A430" s="29"/>
      <c r="B430" s="101"/>
      <c r="C430" s="41"/>
      <c r="D430" s="67"/>
      <c r="E430" s="77"/>
      <c r="F430" s="169"/>
      <c r="G430" s="35"/>
    </row>
    <row r="431" spans="1:7" x14ac:dyDescent="0.2">
      <c r="A431" s="29"/>
      <c r="B431" s="101"/>
      <c r="C431" s="41"/>
      <c r="D431" s="67"/>
      <c r="E431" s="77"/>
      <c r="F431" s="169"/>
      <c r="G431" s="35"/>
    </row>
    <row r="432" spans="1:7" x14ac:dyDescent="0.2">
      <c r="A432" s="29"/>
      <c r="B432" s="101"/>
      <c r="C432" s="31"/>
      <c r="D432" s="67"/>
      <c r="E432" s="102"/>
      <c r="F432" s="163"/>
      <c r="G432" s="35"/>
    </row>
    <row r="433" spans="1:7" x14ac:dyDescent="0.2">
      <c r="A433" s="29"/>
      <c r="B433" s="101"/>
      <c r="C433" s="31"/>
      <c r="D433" s="67"/>
      <c r="E433" s="102"/>
      <c r="F433" s="163"/>
      <c r="G433" s="35"/>
    </row>
    <row r="434" spans="1:7" x14ac:dyDescent="0.2">
      <c r="A434" s="29"/>
      <c r="B434" s="101"/>
      <c r="C434" s="31"/>
      <c r="D434" s="170" t="s">
        <v>150</v>
      </c>
      <c r="E434" s="102"/>
      <c r="F434" s="163"/>
      <c r="G434" s="35"/>
    </row>
    <row r="435" spans="1:7" x14ac:dyDescent="0.2">
      <c r="A435" s="29"/>
      <c r="B435" s="101"/>
      <c r="C435" s="31"/>
      <c r="D435" s="170"/>
      <c r="E435" s="102"/>
      <c r="F435" s="171"/>
      <c r="G435" s="35"/>
    </row>
    <row r="436" spans="1:7" x14ac:dyDescent="0.2">
      <c r="A436" s="29"/>
      <c r="B436" s="101"/>
      <c r="C436" s="31"/>
      <c r="D436" s="32"/>
      <c r="E436" s="104"/>
      <c r="F436" s="171"/>
      <c r="G436" s="35"/>
    </row>
    <row r="437" spans="1:7" x14ac:dyDescent="0.2">
      <c r="A437" s="29"/>
      <c r="B437" s="101"/>
      <c r="C437" s="31"/>
      <c r="D437" s="32"/>
      <c r="E437" s="104"/>
      <c r="F437" s="171"/>
      <c r="G437" s="35"/>
    </row>
    <row r="438" spans="1:7" x14ac:dyDescent="0.2">
      <c r="A438" s="29"/>
      <c r="B438" s="101"/>
      <c r="C438" s="31"/>
      <c r="D438" s="32"/>
      <c r="E438" s="104"/>
      <c r="F438" s="171"/>
      <c r="G438" s="35"/>
    </row>
    <row r="439" spans="1:7" x14ac:dyDescent="0.2">
      <c r="A439" s="29"/>
      <c r="B439" s="101"/>
      <c r="C439" s="31"/>
      <c r="D439" s="32"/>
      <c r="E439" s="104"/>
      <c r="F439" s="172"/>
      <c r="G439" s="35"/>
    </row>
    <row r="440" spans="1:7" x14ac:dyDescent="0.2">
      <c r="A440" s="29"/>
      <c r="B440" s="101"/>
      <c r="C440" s="31" t="s">
        <v>8</v>
      </c>
      <c r="D440" s="32"/>
      <c r="E440" s="104"/>
      <c r="F440" s="172"/>
      <c r="G440" s="35"/>
    </row>
    <row r="441" spans="1:7" x14ac:dyDescent="0.2">
      <c r="A441" s="29"/>
      <c r="B441" s="101"/>
      <c r="C441" s="31"/>
      <c r="D441" s="32"/>
      <c r="E441" s="104"/>
      <c r="F441" s="173"/>
      <c r="G441" s="167" t="s">
        <v>8</v>
      </c>
    </row>
    <row r="442" spans="1:7" ht="13.5" thickBot="1" x14ac:dyDescent="0.25">
      <c r="A442" s="45"/>
      <c r="B442" s="174"/>
      <c r="C442" s="47"/>
      <c r="D442" s="175"/>
      <c r="E442" s="174"/>
      <c r="F442" s="49" t="s">
        <v>15</v>
      </c>
      <c r="G442" s="50">
        <f>SUM(G408:G441)</f>
        <v>22500</v>
      </c>
    </row>
    <row r="443" spans="1:7" ht="13.5" thickTop="1" x14ac:dyDescent="0.2">
      <c r="A443" s="361" t="s">
        <v>1117</v>
      </c>
      <c r="B443" s="176"/>
      <c r="E443" s="176"/>
      <c r="G443" s="20"/>
    </row>
    <row r="444" spans="1:7" ht="13.5" thickBot="1" x14ac:dyDescent="0.25">
      <c r="A444" s="1056" t="s">
        <v>1118</v>
      </c>
      <c r="B444" s="1054"/>
      <c r="C444" s="1054"/>
      <c r="D444" s="1054"/>
      <c r="E444" s="1054"/>
      <c r="F444" s="1054"/>
      <c r="G444" s="1055"/>
    </row>
    <row r="445" spans="1:7" ht="13.5" thickTop="1" x14ac:dyDescent="0.2">
      <c r="A445" s="906"/>
      <c r="B445" s="907"/>
      <c r="C445" s="907"/>
      <c r="D445" s="57" t="s">
        <v>11</v>
      </c>
      <c r="E445" s="908" t="s">
        <v>12</v>
      </c>
      <c r="F445" s="908"/>
      <c r="G445" s="909"/>
    </row>
    <row r="446" spans="1:7" x14ac:dyDescent="0.2">
      <c r="A446" s="910" t="s">
        <v>17</v>
      </c>
      <c r="B446" s="911"/>
      <c r="C446" s="911"/>
      <c r="D446" s="57"/>
      <c r="E446" s="912"/>
      <c r="F446" s="913"/>
      <c r="G446" s="914"/>
    </row>
    <row r="447" spans="1:7" x14ac:dyDescent="0.2">
      <c r="A447" s="910" t="s">
        <v>38</v>
      </c>
      <c r="B447" s="911"/>
      <c r="C447" s="911"/>
      <c r="D447" s="58" t="s">
        <v>1015</v>
      </c>
      <c r="E447" s="969" t="s">
        <v>142</v>
      </c>
      <c r="F447" s="868"/>
      <c r="G447" s="869"/>
    </row>
    <row r="448" spans="1:7" ht="13.5" thickBot="1" x14ac:dyDescent="0.25">
      <c r="A448" s="901" t="s">
        <v>39</v>
      </c>
      <c r="B448" s="902"/>
      <c r="C448" s="902"/>
      <c r="D448" s="59" t="s">
        <v>245</v>
      </c>
      <c r="E448" s="904" t="s">
        <v>0</v>
      </c>
      <c r="F448" s="904"/>
      <c r="G448" s="905"/>
    </row>
    <row r="449" spans="1:16" ht="16.5" x14ac:dyDescent="0.25">
      <c r="A449" s="885" t="s">
        <v>29</v>
      </c>
      <c r="B449" s="886"/>
      <c r="C449" s="886"/>
      <c r="D449" s="886"/>
      <c r="E449" s="886"/>
      <c r="F449" s="886"/>
      <c r="G449" s="887"/>
    </row>
    <row r="450" spans="1:16" x14ac:dyDescent="0.2">
      <c r="A450" s="888" t="s">
        <v>48</v>
      </c>
      <c r="B450" s="889"/>
      <c r="C450" s="889"/>
      <c r="D450" s="889"/>
      <c r="E450" s="889"/>
      <c r="F450" s="889"/>
      <c r="G450" s="890"/>
    </row>
    <row r="451" spans="1:16" x14ac:dyDescent="0.2">
      <c r="A451" s="915" t="s">
        <v>49</v>
      </c>
      <c r="B451" s="916"/>
      <c r="C451" s="916"/>
      <c r="D451" s="916"/>
      <c r="E451" s="916"/>
      <c r="F451" s="916"/>
      <c r="G451" s="917"/>
    </row>
    <row r="452" spans="1:16" x14ac:dyDescent="0.2">
      <c r="A452" s="6"/>
      <c r="B452" s="99"/>
      <c r="C452" s="8"/>
      <c r="D452" s="9"/>
      <c r="E452" s="99"/>
      <c r="F452" s="10"/>
      <c r="G452" s="11" t="s">
        <v>8</v>
      </c>
    </row>
    <row r="453" spans="1:16" x14ac:dyDescent="0.2">
      <c r="A453" s="12" t="s">
        <v>1</v>
      </c>
      <c r="B453" s="13"/>
      <c r="C453" s="14" t="s">
        <v>16</v>
      </c>
      <c r="D453" s="13"/>
      <c r="E453" s="362" t="s">
        <v>1357</v>
      </c>
      <c r="F453" s="60"/>
      <c r="G453" s="363" t="s">
        <v>1349</v>
      </c>
    </row>
    <row r="454" spans="1:16" x14ac:dyDescent="0.2">
      <c r="A454" s="17" t="s">
        <v>8</v>
      </c>
      <c r="B454" s="100"/>
      <c r="C454" s="19"/>
      <c r="D454" s="4"/>
      <c r="E454" s="918"/>
      <c r="F454" s="919"/>
      <c r="G454" s="20"/>
    </row>
    <row r="455" spans="1:16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16" x14ac:dyDescent="0.2">
      <c r="A456" s="6"/>
      <c r="B456" s="99"/>
      <c r="C456" s="8"/>
      <c r="D456" s="8"/>
      <c r="E456" s="920"/>
      <c r="F456" s="921"/>
      <c r="G456" s="25"/>
    </row>
    <row r="457" spans="1:16" ht="26.25" thickBot="1" x14ac:dyDescent="0.25">
      <c r="A457" s="26" t="s">
        <v>47</v>
      </c>
      <c r="B457" s="161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16" ht="13.5" thickTop="1" x14ac:dyDescent="0.2">
      <c r="A458" s="29">
        <v>1</v>
      </c>
      <c r="B458" s="101"/>
      <c r="C458" s="422" t="s">
        <v>149</v>
      </c>
      <c r="D458" s="382" t="s">
        <v>1822</v>
      </c>
      <c r="E458" s="102">
        <v>25</v>
      </c>
      <c r="F458" s="163">
        <v>200</v>
      </c>
      <c r="G458" s="372">
        <f>F458*E458</f>
        <v>5000</v>
      </c>
      <c r="J458" s="29">
        <v>1</v>
      </c>
      <c r="K458" s="101"/>
      <c r="L458" s="422" t="s">
        <v>149</v>
      </c>
      <c r="M458" s="382" t="s">
        <v>1292</v>
      </c>
      <c r="N458" s="102">
        <v>25</v>
      </c>
      <c r="O458" s="163">
        <v>200</v>
      </c>
      <c r="P458" s="372">
        <f>O458*N458</f>
        <v>5000</v>
      </c>
    </row>
    <row r="459" spans="1:16" x14ac:dyDescent="0.2">
      <c r="A459" s="29"/>
      <c r="B459" s="101"/>
      <c r="C459" s="422"/>
      <c r="D459" s="382"/>
      <c r="E459" s="102"/>
      <c r="F459" s="163"/>
      <c r="G459" s="372"/>
      <c r="J459" s="29">
        <v>2</v>
      </c>
      <c r="K459" s="101"/>
      <c r="L459" s="422" t="s">
        <v>149</v>
      </c>
      <c r="M459" s="382" t="s">
        <v>325</v>
      </c>
      <c r="N459" s="102">
        <v>25</v>
      </c>
      <c r="O459" s="163">
        <v>350</v>
      </c>
      <c r="P459" s="372">
        <f>O459*N459</f>
        <v>8750</v>
      </c>
    </row>
    <row r="460" spans="1:16" x14ac:dyDescent="0.2">
      <c r="A460" s="29"/>
      <c r="B460" s="101"/>
      <c r="C460" s="422"/>
      <c r="D460" s="382"/>
      <c r="E460" s="102"/>
      <c r="F460" s="163"/>
      <c r="G460" s="35"/>
    </row>
    <row r="461" spans="1:16" x14ac:dyDescent="0.2">
      <c r="A461" s="29"/>
      <c r="B461" s="101"/>
      <c r="C461" s="422"/>
      <c r="D461" s="382"/>
      <c r="E461" s="102"/>
      <c r="F461" s="163"/>
      <c r="G461" s="35"/>
      <c r="J461" s="430" t="s">
        <v>1821</v>
      </c>
    </row>
    <row r="462" spans="1:16" x14ac:dyDescent="0.2">
      <c r="A462" s="29"/>
      <c r="B462" s="101"/>
      <c r="C462" s="31"/>
      <c r="D462" s="441"/>
      <c r="E462" s="102"/>
      <c r="F462" s="163"/>
      <c r="G462" s="372"/>
    </row>
    <row r="463" spans="1:16" x14ac:dyDescent="0.2">
      <c r="A463" s="29"/>
      <c r="B463" s="101"/>
      <c r="C463" s="422"/>
      <c r="D463" s="376"/>
      <c r="E463" s="102"/>
      <c r="F463" s="163"/>
      <c r="G463" s="35"/>
    </row>
    <row r="464" spans="1:16" x14ac:dyDescent="0.2">
      <c r="A464" s="29"/>
      <c r="B464" s="101"/>
      <c r="C464" s="422"/>
      <c r="D464" s="384"/>
      <c r="E464" s="102"/>
      <c r="F464" s="163"/>
      <c r="G464" s="35"/>
    </row>
    <row r="465" spans="1:7" x14ac:dyDescent="0.2">
      <c r="A465" s="29"/>
      <c r="B465" s="101"/>
      <c r="C465" s="422"/>
      <c r="D465" s="165"/>
      <c r="E465" s="102"/>
      <c r="F465" s="163"/>
      <c r="G465" s="35"/>
    </row>
    <row r="466" spans="1:7" x14ac:dyDescent="0.2">
      <c r="A466" s="29"/>
      <c r="B466" s="101"/>
      <c r="C466" s="31"/>
      <c r="D466" s="165"/>
      <c r="E466" s="102"/>
      <c r="F466" s="163"/>
      <c r="G466" s="35"/>
    </row>
    <row r="467" spans="1:7" x14ac:dyDescent="0.2">
      <c r="A467" s="29"/>
      <c r="B467" s="101"/>
      <c r="C467" s="31"/>
      <c r="D467" s="165"/>
      <c r="E467" s="102"/>
      <c r="F467" s="163"/>
      <c r="G467" s="35"/>
    </row>
    <row r="468" spans="1:7" x14ac:dyDescent="0.2">
      <c r="A468" s="29"/>
      <c r="B468" s="101"/>
      <c r="C468" s="31"/>
      <c r="D468" s="67"/>
      <c r="E468" s="102"/>
      <c r="F468" s="163"/>
      <c r="G468" s="35"/>
    </row>
    <row r="469" spans="1:7" x14ac:dyDescent="0.2">
      <c r="A469" s="29"/>
      <c r="B469" s="101"/>
      <c r="C469" s="31"/>
      <c r="D469" s="67"/>
      <c r="E469" s="102"/>
      <c r="F469" s="163"/>
      <c r="G469" s="35"/>
    </row>
    <row r="470" spans="1:7" x14ac:dyDescent="0.2">
      <c r="A470" s="29"/>
      <c r="B470" s="101"/>
      <c r="C470" s="31"/>
      <c r="D470" s="165"/>
      <c r="E470" s="166"/>
      <c r="F470" s="163"/>
      <c r="G470" s="167"/>
    </row>
    <row r="471" spans="1:7" x14ac:dyDescent="0.2">
      <c r="A471" s="29"/>
      <c r="B471" s="101"/>
      <c r="C471" s="31"/>
      <c r="D471" s="165"/>
      <c r="E471" s="102"/>
      <c r="F471" s="163"/>
      <c r="G471" s="167"/>
    </row>
    <row r="472" spans="1:7" x14ac:dyDescent="0.2">
      <c r="A472" s="29"/>
      <c r="B472" s="101"/>
      <c r="C472" s="31"/>
      <c r="D472" s="67"/>
      <c r="E472" s="102"/>
      <c r="F472" s="163"/>
      <c r="G472" s="167"/>
    </row>
    <row r="473" spans="1:7" x14ac:dyDescent="0.2">
      <c r="A473" s="29"/>
      <c r="B473" s="101"/>
      <c r="C473" s="31"/>
      <c r="D473" s="67"/>
      <c r="E473" s="102"/>
      <c r="F473" s="163"/>
      <c r="G473" s="167"/>
    </row>
    <row r="474" spans="1:7" x14ac:dyDescent="0.2">
      <c r="A474" s="29"/>
      <c r="B474" s="101"/>
      <c r="C474" s="31"/>
      <c r="D474" s="67"/>
      <c r="E474" s="102"/>
      <c r="F474" s="163"/>
      <c r="G474" s="167"/>
    </row>
    <row r="475" spans="1:7" x14ac:dyDescent="0.2">
      <c r="A475" s="29"/>
      <c r="B475" s="101"/>
      <c r="C475" s="41"/>
      <c r="D475" s="168"/>
      <c r="E475" s="77"/>
      <c r="F475" s="169"/>
      <c r="G475" s="167"/>
    </row>
    <row r="476" spans="1:7" x14ac:dyDescent="0.2">
      <c r="A476" s="29"/>
      <c r="B476" s="101"/>
      <c r="C476" s="41"/>
      <c r="D476" s="360"/>
      <c r="E476" s="77"/>
      <c r="F476" s="169"/>
      <c r="G476" s="167"/>
    </row>
    <row r="477" spans="1:7" x14ac:dyDescent="0.2">
      <c r="A477" s="29"/>
      <c r="B477" s="101"/>
      <c r="C477" s="41"/>
      <c r="D477" s="360"/>
      <c r="E477" s="77"/>
      <c r="F477" s="169"/>
      <c r="G477" s="167"/>
    </row>
    <row r="478" spans="1:7" x14ac:dyDescent="0.2">
      <c r="A478" s="29"/>
      <c r="B478" s="101"/>
      <c r="C478" s="41"/>
      <c r="D478" s="67"/>
      <c r="E478" s="77"/>
      <c r="F478" s="169"/>
      <c r="G478" s="35"/>
    </row>
    <row r="479" spans="1:7" x14ac:dyDescent="0.2">
      <c r="A479" s="29"/>
      <c r="B479" s="101"/>
      <c r="C479" s="41"/>
      <c r="D479" s="67"/>
      <c r="E479" s="77"/>
      <c r="F479" s="169" t="s">
        <v>152</v>
      </c>
      <c r="G479" s="35"/>
    </row>
    <row r="480" spans="1:7" x14ac:dyDescent="0.2">
      <c r="A480" s="29"/>
      <c r="B480" s="101"/>
      <c r="C480" s="41"/>
      <c r="D480" s="67"/>
      <c r="E480" s="77"/>
      <c r="F480" s="169"/>
      <c r="G480" s="35"/>
    </row>
    <row r="481" spans="1:7" x14ac:dyDescent="0.2">
      <c r="A481" s="29"/>
      <c r="B481" s="101"/>
      <c r="C481" s="41"/>
      <c r="D481" s="67"/>
      <c r="E481" s="77"/>
      <c r="F481" s="169"/>
      <c r="G481" s="35"/>
    </row>
    <row r="482" spans="1:7" x14ac:dyDescent="0.2">
      <c r="A482" s="29"/>
      <c r="B482" s="101"/>
      <c r="C482" s="31"/>
      <c r="D482" s="67"/>
      <c r="E482" s="102"/>
      <c r="F482" s="163"/>
      <c r="G482" s="35"/>
    </row>
    <row r="483" spans="1:7" x14ac:dyDescent="0.2">
      <c r="A483" s="29"/>
      <c r="B483" s="101"/>
      <c r="C483" s="31"/>
      <c r="D483" s="67"/>
      <c r="E483" s="102"/>
      <c r="F483" s="163"/>
      <c r="G483" s="35"/>
    </row>
    <row r="484" spans="1:7" x14ac:dyDescent="0.2">
      <c r="A484" s="29"/>
      <c r="B484" s="101"/>
      <c r="C484" s="31"/>
      <c r="D484" s="170" t="s">
        <v>150</v>
      </c>
      <c r="E484" s="102"/>
      <c r="F484" s="163"/>
      <c r="G484" s="35"/>
    </row>
    <row r="485" spans="1:7" x14ac:dyDescent="0.2">
      <c r="A485" s="29"/>
      <c r="B485" s="101"/>
      <c r="C485" s="31"/>
      <c r="D485" s="170"/>
      <c r="E485" s="102"/>
      <c r="F485" s="171"/>
      <c r="G485" s="35"/>
    </row>
    <row r="486" spans="1:7" x14ac:dyDescent="0.2">
      <c r="A486" s="29"/>
      <c r="B486" s="101"/>
      <c r="C486" s="31"/>
      <c r="D486" s="32"/>
      <c r="E486" s="104"/>
      <c r="F486" s="171"/>
      <c r="G486" s="35"/>
    </row>
    <row r="487" spans="1:7" x14ac:dyDescent="0.2">
      <c r="A487" s="29"/>
      <c r="B487" s="101"/>
      <c r="C487" s="31"/>
      <c r="D487" s="32"/>
      <c r="E487" s="104"/>
      <c r="F487" s="171"/>
      <c r="G487" s="35"/>
    </row>
    <row r="488" spans="1:7" x14ac:dyDescent="0.2">
      <c r="A488" s="29"/>
      <c r="B488" s="101"/>
      <c r="C488" s="31"/>
      <c r="D488" s="32"/>
      <c r="E488" s="104"/>
      <c r="F488" s="171"/>
      <c r="G488" s="35"/>
    </row>
    <row r="489" spans="1:7" x14ac:dyDescent="0.2">
      <c r="A489" s="29"/>
      <c r="B489" s="101"/>
      <c r="C489" s="31"/>
      <c r="D489" s="32"/>
      <c r="E489" s="104"/>
      <c r="F489" s="172"/>
      <c r="G489" s="35"/>
    </row>
    <row r="490" spans="1:7" x14ac:dyDescent="0.2">
      <c r="A490" s="29"/>
      <c r="B490" s="101"/>
      <c r="C490" s="31" t="s">
        <v>8</v>
      </c>
      <c r="D490" s="32"/>
      <c r="E490" s="104"/>
      <c r="F490" s="172"/>
      <c r="G490" s="35"/>
    </row>
    <row r="491" spans="1:7" x14ac:dyDescent="0.2">
      <c r="A491" s="29"/>
      <c r="B491" s="101"/>
      <c r="C491" s="31"/>
      <c r="D491" s="32"/>
      <c r="E491" s="104"/>
      <c r="F491" s="173"/>
      <c r="G491" s="167" t="s">
        <v>8</v>
      </c>
    </row>
    <row r="492" spans="1:7" ht="13.5" thickBot="1" x14ac:dyDescent="0.25">
      <c r="A492" s="45"/>
      <c r="B492" s="174"/>
      <c r="C492" s="47"/>
      <c r="D492" s="175"/>
      <c r="E492" s="174"/>
      <c r="F492" s="49" t="s">
        <v>15</v>
      </c>
      <c r="G492" s="50">
        <f>SUM(G458:G491)</f>
        <v>5000</v>
      </c>
    </row>
    <row r="493" spans="1:7" ht="13.5" thickTop="1" x14ac:dyDescent="0.2">
      <c r="A493" s="361" t="s">
        <v>1293</v>
      </c>
      <c r="B493" s="176"/>
      <c r="E493" s="176"/>
      <c r="G493" s="20"/>
    </row>
    <row r="494" spans="1:7" ht="13.5" thickBot="1" x14ac:dyDescent="0.25">
      <c r="A494" s="1056" t="s">
        <v>8</v>
      </c>
      <c r="B494" s="1054"/>
      <c r="C494" s="1054"/>
      <c r="D494" s="1054"/>
      <c r="E494" s="1054"/>
      <c r="F494" s="1054"/>
      <c r="G494" s="1055"/>
    </row>
    <row r="495" spans="1:7" ht="13.5" thickTop="1" x14ac:dyDescent="0.2">
      <c r="A495" s="906"/>
      <c r="B495" s="907"/>
      <c r="C495" s="907"/>
      <c r="D495" s="57" t="s">
        <v>11</v>
      </c>
      <c r="E495" s="908" t="s">
        <v>12</v>
      </c>
      <c r="F495" s="908"/>
      <c r="G495" s="909"/>
    </row>
    <row r="496" spans="1:7" x14ac:dyDescent="0.2">
      <c r="A496" s="910" t="s">
        <v>17</v>
      </c>
      <c r="B496" s="911"/>
      <c r="C496" s="911"/>
      <c r="D496" s="57"/>
      <c r="E496" s="912"/>
      <c r="F496" s="913"/>
      <c r="G496" s="914"/>
    </row>
    <row r="497" spans="1:7" x14ac:dyDescent="0.2">
      <c r="A497" s="910" t="s">
        <v>38</v>
      </c>
      <c r="B497" s="911"/>
      <c r="C497" s="911"/>
      <c r="D497" s="58" t="s">
        <v>1015</v>
      </c>
      <c r="E497" s="969" t="s">
        <v>142</v>
      </c>
      <c r="F497" s="868"/>
      <c r="G497" s="869"/>
    </row>
    <row r="498" spans="1:7" ht="13.5" thickBot="1" x14ac:dyDescent="0.25">
      <c r="A498" s="901" t="s">
        <v>39</v>
      </c>
      <c r="B498" s="902"/>
      <c r="C498" s="902"/>
      <c r="D498" s="59" t="s">
        <v>245</v>
      </c>
      <c r="E498" s="904" t="s">
        <v>0</v>
      </c>
      <c r="F498" s="904"/>
      <c r="G498" s="905"/>
    </row>
    <row r="499" spans="1:7" ht="16.5" x14ac:dyDescent="0.25">
      <c r="A499" s="885" t="s">
        <v>29</v>
      </c>
      <c r="B499" s="886"/>
      <c r="C499" s="886"/>
      <c r="D499" s="886"/>
      <c r="E499" s="886"/>
      <c r="F499" s="886"/>
      <c r="G499" s="887"/>
    </row>
    <row r="500" spans="1:7" x14ac:dyDescent="0.2">
      <c r="A500" s="888" t="s">
        <v>48</v>
      </c>
      <c r="B500" s="889"/>
      <c r="C500" s="889"/>
      <c r="D500" s="889"/>
      <c r="E500" s="889"/>
      <c r="F500" s="889"/>
      <c r="G500" s="890"/>
    </row>
    <row r="501" spans="1:7" x14ac:dyDescent="0.2">
      <c r="A501" s="915" t="s">
        <v>49</v>
      </c>
      <c r="B501" s="916"/>
      <c r="C501" s="916"/>
      <c r="D501" s="916"/>
      <c r="E501" s="916"/>
      <c r="F501" s="916"/>
      <c r="G501" s="917"/>
    </row>
    <row r="502" spans="1:7" x14ac:dyDescent="0.2">
      <c r="A502" s="6"/>
      <c r="B502" s="99"/>
      <c r="C502" s="8"/>
      <c r="D502" s="9"/>
      <c r="E502" s="99"/>
      <c r="F502" s="10"/>
      <c r="G502" s="11" t="s">
        <v>8</v>
      </c>
    </row>
    <row r="503" spans="1:7" x14ac:dyDescent="0.2">
      <c r="A503" s="12" t="s">
        <v>1</v>
      </c>
      <c r="B503" s="13"/>
      <c r="C503" s="14" t="s">
        <v>16</v>
      </c>
      <c r="D503" s="13"/>
      <c r="E503" s="362" t="s">
        <v>1519</v>
      </c>
      <c r="F503" s="60"/>
      <c r="G503" s="363" t="s">
        <v>1516</v>
      </c>
    </row>
    <row r="504" spans="1:7" x14ac:dyDescent="0.2">
      <c r="A504" s="17" t="s">
        <v>8</v>
      </c>
      <c r="B504" s="100"/>
      <c r="C504" s="19"/>
      <c r="D504" s="4"/>
      <c r="E504" s="918"/>
      <c r="F504" s="919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920"/>
      <c r="F506" s="921"/>
      <c r="G506" s="25"/>
    </row>
    <row r="507" spans="1:7" ht="26.25" thickBot="1" x14ac:dyDescent="0.25">
      <c r="A507" s="26" t="s">
        <v>47</v>
      </c>
      <c r="B507" s="161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29">
        <v>1</v>
      </c>
      <c r="B508" s="101"/>
      <c r="C508" s="422" t="s">
        <v>149</v>
      </c>
      <c r="D508" s="382" t="s">
        <v>1517</v>
      </c>
      <c r="E508" s="102">
        <v>40</v>
      </c>
      <c r="F508" s="163">
        <v>200</v>
      </c>
      <c r="G508" s="372">
        <f>F508*E508</f>
        <v>8000</v>
      </c>
    </row>
    <row r="509" spans="1:7" x14ac:dyDescent="0.2">
      <c r="A509" s="29"/>
      <c r="B509" s="101"/>
      <c r="C509" s="422"/>
      <c r="D509" s="382"/>
      <c r="E509" s="102"/>
      <c r="F509" s="163"/>
      <c r="G509" s="372"/>
    </row>
    <row r="510" spans="1:7" x14ac:dyDescent="0.2">
      <c r="A510" s="29"/>
      <c r="B510" s="101"/>
      <c r="C510" s="422"/>
      <c r="D510" s="382"/>
      <c r="E510" s="102"/>
      <c r="F510" s="163"/>
      <c r="G510" s="35"/>
    </row>
    <row r="511" spans="1:7" x14ac:dyDescent="0.2">
      <c r="A511" s="29"/>
      <c r="B511" s="101"/>
      <c r="C511" s="422"/>
      <c r="D511" s="382"/>
      <c r="E511" s="102"/>
      <c r="F511" s="163"/>
      <c r="G511" s="35"/>
    </row>
    <row r="512" spans="1:7" x14ac:dyDescent="0.2">
      <c r="A512" s="29"/>
      <c r="B512" s="101"/>
      <c r="C512" s="31"/>
      <c r="D512" s="441"/>
      <c r="E512" s="102"/>
      <c r="F512" s="163"/>
      <c r="G512" s="372"/>
    </row>
    <row r="513" spans="1:7" x14ac:dyDescent="0.2">
      <c r="A513" s="29"/>
      <c r="B513" s="101"/>
      <c r="C513" s="422"/>
      <c r="D513" s="376"/>
      <c r="E513" s="102"/>
      <c r="F513" s="163"/>
      <c r="G513" s="35"/>
    </row>
    <row r="514" spans="1:7" x14ac:dyDescent="0.2">
      <c r="A514" s="29"/>
      <c r="B514" s="101"/>
      <c r="C514" s="422"/>
      <c r="D514" s="384"/>
      <c r="E514" s="102"/>
      <c r="F514" s="163"/>
      <c r="G514" s="35"/>
    </row>
    <row r="515" spans="1:7" x14ac:dyDescent="0.2">
      <c r="A515" s="29"/>
      <c r="B515" s="101"/>
      <c r="C515" s="422"/>
      <c r="D515" s="165"/>
      <c r="E515" s="102"/>
      <c r="F515" s="163"/>
      <c r="G515" s="35"/>
    </row>
    <row r="516" spans="1:7" x14ac:dyDescent="0.2">
      <c r="A516" s="29"/>
      <c r="B516" s="101"/>
      <c r="C516" s="31"/>
      <c r="D516" s="165"/>
      <c r="E516" s="102"/>
      <c r="F516" s="163"/>
      <c r="G516" s="35"/>
    </row>
    <row r="517" spans="1:7" x14ac:dyDescent="0.2">
      <c r="A517" s="29"/>
      <c r="B517" s="101"/>
      <c r="C517" s="31"/>
      <c r="D517" s="165"/>
      <c r="E517" s="102"/>
      <c r="F517" s="163"/>
      <c r="G517" s="35"/>
    </row>
    <row r="518" spans="1:7" x14ac:dyDescent="0.2">
      <c r="A518" s="29"/>
      <c r="B518" s="101"/>
      <c r="C518" s="31"/>
      <c r="D518" s="67"/>
      <c r="E518" s="102"/>
      <c r="F518" s="163"/>
      <c r="G518" s="35"/>
    </row>
    <row r="519" spans="1:7" x14ac:dyDescent="0.2">
      <c r="A519" s="29"/>
      <c r="B519" s="101"/>
      <c r="C519" s="31"/>
      <c r="D519" s="67"/>
      <c r="E519" s="102"/>
      <c r="F519" s="163"/>
      <c r="G519" s="35"/>
    </row>
    <row r="520" spans="1:7" x14ac:dyDescent="0.2">
      <c r="A520" s="29"/>
      <c r="B520" s="101"/>
      <c r="C520" s="31"/>
      <c r="D520" s="165"/>
      <c r="E520" s="166"/>
      <c r="F520" s="163"/>
      <c r="G520" s="167"/>
    </row>
    <row r="521" spans="1:7" x14ac:dyDescent="0.2">
      <c r="A521" s="29"/>
      <c r="B521" s="101"/>
      <c r="C521" s="31"/>
      <c r="D521" s="165"/>
      <c r="E521" s="102"/>
      <c r="F521" s="163"/>
      <c r="G521" s="167"/>
    </row>
    <row r="522" spans="1:7" x14ac:dyDescent="0.2">
      <c r="A522" s="29"/>
      <c r="B522" s="101"/>
      <c r="C522" s="31"/>
      <c r="D522" s="67"/>
      <c r="E522" s="102"/>
      <c r="F522" s="163"/>
      <c r="G522" s="167"/>
    </row>
    <row r="523" spans="1:7" x14ac:dyDescent="0.2">
      <c r="A523" s="29"/>
      <c r="B523" s="101"/>
      <c r="C523" s="31"/>
      <c r="D523" s="67"/>
      <c r="E523" s="102"/>
      <c r="F523" s="163"/>
      <c r="G523" s="167"/>
    </row>
    <row r="524" spans="1:7" x14ac:dyDescent="0.2">
      <c r="A524" s="29"/>
      <c r="B524" s="101"/>
      <c r="C524" s="31"/>
      <c r="D524" s="67"/>
      <c r="E524" s="102"/>
      <c r="F524" s="163"/>
      <c r="G524" s="167"/>
    </row>
    <row r="525" spans="1:7" x14ac:dyDescent="0.2">
      <c r="A525" s="29"/>
      <c r="B525" s="101"/>
      <c r="C525" s="41"/>
      <c r="D525" s="168"/>
      <c r="E525" s="77"/>
      <c r="F525" s="169"/>
      <c r="G525" s="167"/>
    </row>
    <row r="526" spans="1:7" x14ac:dyDescent="0.2">
      <c r="A526" s="29"/>
      <c r="B526" s="101"/>
      <c r="C526" s="41"/>
      <c r="D526" s="360"/>
      <c r="E526" s="77"/>
      <c r="F526" s="169"/>
      <c r="G526" s="167"/>
    </row>
    <row r="527" spans="1:7" x14ac:dyDescent="0.2">
      <c r="A527" s="29"/>
      <c r="B527" s="101"/>
      <c r="C527" s="41"/>
      <c r="D527" s="360"/>
      <c r="E527" s="77"/>
      <c r="F527" s="169"/>
      <c r="G527" s="167"/>
    </row>
    <row r="528" spans="1:7" x14ac:dyDescent="0.2">
      <c r="A528" s="29"/>
      <c r="B528" s="101"/>
      <c r="C528" s="41"/>
      <c r="D528" s="67"/>
      <c r="E528" s="77"/>
      <c r="F528" s="169"/>
      <c r="G528" s="35"/>
    </row>
    <row r="529" spans="1:7" x14ac:dyDescent="0.2">
      <c r="A529" s="29"/>
      <c r="B529" s="101"/>
      <c r="C529" s="41"/>
      <c r="D529" s="67"/>
      <c r="E529" s="77"/>
      <c r="F529" s="169" t="s">
        <v>152</v>
      </c>
      <c r="G529" s="35"/>
    </row>
    <row r="530" spans="1:7" x14ac:dyDescent="0.2">
      <c r="A530" s="29"/>
      <c r="B530" s="101"/>
      <c r="C530" s="41"/>
      <c r="D530" s="67"/>
      <c r="E530" s="77"/>
      <c r="F530" s="169"/>
      <c r="G530" s="35"/>
    </row>
    <row r="531" spans="1:7" x14ac:dyDescent="0.2">
      <c r="A531" s="29"/>
      <c r="B531" s="101"/>
      <c r="C531" s="41"/>
      <c r="D531" s="67"/>
      <c r="E531" s="77"/>
      <c r="F531" s="169"/>
      <c r="G531" s="35"/>
    </row>
    <row r="532" spans="1:7" x14ac:dyDescent="0.2">
      <c r="A532" s="29"/>
      <c r="B532" s="101"/>
      <c r="C532" s="31"/>
      <c r="D532" s="67"/>
      <c r="E532" s="102"/>
      <c r="F532" s="163"/>
      <c r="G532" s="35"/>
    </row>
    <row r="533" spans="1:7" x14ac:dyDescent="0.2">
      <c r="A533" s="29"/>
      <c r="B533" s="101"/>
      <c r="C533" s="31"/>
      <c r="D533" s="67"/>
      <c r="E533" s="102"/>
      <c r="F533" s="163"/>
      <c r="G533" s="35"/>
    </row>
    <row r="534" spans="1:7" x14ac:dyDescent="0.2">
      <c r="A534" s="29"/>
      <c r="B534" s="101"/>
      <c r="C534" s="31"/>
      <c r="D534" s="170" t="s">
        <v>150</v>
      </c>
      <c r="E534" s="102"/>
      <c r="F534" s="163"/>
      <c r="G534" s="35"/>
    </row>
    <row r="535" spans="1:7" x14ac:dyDescent="0.2">
      <c r="A535" s="29"/>
      <c r="B535" s="101"/>
      <c r="C535" s="31"/>
      <c r="D535" s="170"/>
      <c r="E535" s="102"/>
      <c r="F535" s="171"/>
      <c r="G535" s="35"/>
    </row>
    <row r="536" spans="1:7" x14ac:dyDescent="0.2">
      <c r="A536" s="29"/>
      <c r="B536" s="101"/>
      <c r="C536" s="31"/>
      <c r="D536" s="32"/>
      <c r="E536" s="104"/>
      <c r="F536" s="171"/>
      <c r="G536" s="35"/>
    </row>
    <row r="537" spans="1:7" x14ac:dyDescent="0.2">
      <c r="A537" s="29"/>
      <c r="B537" s="101"/>
      <c r="C537" s="31"/>
      <c r="D537" s="32"/>
      <c r="E537" s="104"/>
      <c r="F537" s="171"/>
      <c r="G537" s="35"/>
    </row>
    <row r="538" spans="1:7" x14ac:dyDescent="0.2">
      <c r="A538" s="29"/>
      <c r="B538" s="101"/>
      <c r="C538" s="31"/>
      <c r="D538" s="32"/>
      <c r="E538" s="104"/>
      <c r="F538" s="171"/>
      <c r="G538" s="35"/>
    </row>
    <row r="539" spans="1:7" x14ac:dyDescent="0.2">
      <c r="A539" s="29"/>
      <c r="B539" s="101"/>
      <c r="C539" s="31"/>
      <c r="D539" s="32"/>
      <c r="E539" s="104"/>
      <c r="F539" s="172"/>
      <c r="G539" s="35"/>
    </row>
    <row r="540" spans="1:7" x14ac:dyDescent="0.2">
      <c r="A540" s="29"/>
      <c r="B540" s="101"/>
      <c r="C540" s="31" t="s">
        <v>8</v>
      </c>
      <c r="D540" s="32"/>
      <c r="E540" s="104"/>
      <c r="F540" s="172"/>
      <c r="G540" s="35"/>
    </row>
    <row r="541" spans="1:7" x14ac:dyDescent="0.2">
      <c r="A541" s="29"/>
      <c r="B541" s="101"/>
      <c r="C541" s="31"/>
      <c r="D541" s="32"/>
      <c r="E541" s="104"/>
      <c r="F541" s="173"/>
      <c r="G541" s="167" t="s">
        <v>8</v>
      </c>
    </row>
    <row r="542" spans="1:7" ht="13.5" thickBot="1" x14ac:dyDescent="0.25">
      <c r="A542" s="45"/>
      <c r="B542" s="174"/>
      <c r="C542" s="47"/>
      <c r="D542" s="175"/>
      <c r="E542" s="174"/>
      <c r="F542" s="49" t="s">
        <v>15</v>
      </c>
      <c r="G542" s="50">
        <f>SUM(G508:G541)</f>
        <v>8000</v>
      </c>
    </row>
    <row r="543" spans="1:7" ht="13.5" thickTop="1" x14ac:dyDescent="0.2">
      <c r="A543" s="361" t="s">
        <v>1570</v>
      </c>
      <c r="B543" s="176"/>
      <c r="E543" s="176"/>
      <c r="G543" s="20"/>
    </row>
    <row r="544" spans="1:7" ht="13.5" thickBot="1" x14ac:dyDescent="0.25">
      <c r="A544" s="1056" t="s">
        <v>8</v>
      </c>
      <c r="B544" s="1054"/>
      <c r="C544" s="1054"/>
      <c r="D544" s="1054"/>
      <c r="E544" s="1054"/>
      <c r="F544" s="1054"/>
      <c r="G544" s="1055"/>
    </row>
    <row r="545" spans="1:7" ht="13.5" thickTop="1" x14ac:dyDescent="0.2">
      <c r="A545" s="906"/>
      <c r="B545" s="907"/>
      <c r="C545" s="907"/>
      <c r="D545" s="57" t="s">
        <v>11</v>
      </c>
      <c r="E545" s="908" t="s">
        <v>12</v>
      </c>
      <c r="F545" s="908"/>
      <c r="G545" s="909"/>
    </row>
    <row r="546" spans="1:7" x14ac:dyDescent="0.2">
      <c r="A546" s="910" t="s">
        <v>17</v>
      </c>
      <c r="B546" s="911"/>
      <c r="C546" s="911"/>
      <c r="D546" s="57"/>
      <c r="E546" s="912"/>
      <c r="F546" s="913"/>
      <c r="G546" s="914"/>
    </row>
    <row r="547" spans="1:7" x14ac:dyDescent="0.2">
      <c r="A547" s="910" t="s">
        <v>38</v>
      </c>
      <c r="B547" s="911"/>
      <c r="C547" s="911"/>
      <c r="D547" s="58" t="s">
        <v>1015</v>
      </c>
      <c r="E547" s="969" t="s">
        <v>142</v>
      </c>
      <c r="F547" s="868"/>
      <c r="G547" s="869"/>
    </row>
    <row r="548" spans="1:7" ht="13.5" thickBot="1" x14ac:dyDescent="0.25">
      <c r="A548" s="901" t="s">
        <v>39</v>
      </c>
      <c r="B548" s="902"/>
      <c r="C548" s="902"/>
      <c r="D548" s="59" t="s">
        <v>245</v>
      </c>
      <c r="E548" s="904" t="s">
        <v>0</v>
      </c>
      <c r="F548" s="904"/>
      <c r="G548" s="905"/>
    </row>
    <row r="549" spans="1:7" ht="16.5" x14ac:dyDescent="0.25">
      <c r="A549" s="885" t="s">
        <v>29</v>
      </c>
      <c r="B549" s="886"/>
      <c r="C549" s="886"/>
      <c r="D549" s="886"/>
      <c r="E549" s="886"/>
      <c r="F549" s="886"/>
      <c r="G549" s="887"/>
    </row>
    <row r="550" spans="1:7" x14ac:dyDescent="0.2">
      <c r="A550" s="888" t="s">
        <v>48</v>
      </c>
      <c r="B550" s="889"/>
      <c r="C550" s="889"/>
      <c r="D550" s="889"/>
      <c r="E550" s="889"/>
      <c r="F550" s="889"/>
      <c r="G550" s="890"/>
    </row>
    <row r="551" spans="1:7" x14ac:dyDescent="0.2">
      <c r="A551" s="915" t="s">
        <v>49</v>
      </c>
      <c r="B551" s="916"/>
      <c r="C551" s="916"/>
      <c r="D551" s="916"/>
      <c r="E551" s="916"/>
      <c r="F551" s="916"/>
      <c r="G551" s="917"/>
    </row>
    <row r="552" spans="1:7" x14ac:dyDescent="0.2">
      <c r="A552" s="6"/>
      <c r="B552" s="99"/>
      <c r="C552" s="8"/>
      <c r="D552" s="9"/>
      <c r="E552" s="99"/>
      <c r="F552" s="10"/>
      <c r="G552" s="11" t="s">
        <v>8</v>
      </c>
    </row>
    <row r="553" spans="1:7" x14ac:dyDescent="0.2">
      <c r="A553" s="12" t="s">
        <v>1</v>
      </c>
      <c r="B553" s="13"/>
      <c r="C553" s="14" t="s">
        <v>16</v>
      </c>
      <c r="D553" s="13"/>
      <c r="E553" s="362" t="s">
        <v>1625</v>
      </c>
      <c r="F553" s="60"/>
      <c r="G553" s="363" t="s">
        <v>1527</v>
      </c>
    </row>
    <row r="554" spans="1:7" x14ac:dyDescent="0.2">
      <c r="A554" s="17" t="s">
        <v>8</v>
      </c>
      <c r="B554" s="100"/>
      <c r="C554" s="19"/>
      <c r="D554" s="4"/>
      <c r="E554" s="918"/>
      <c r="F554" s="919"/>
      <c r="G554" s="20"/>
    </row>
    <row r="555" spans="1:7" x14ac:dyDescent="0.2">
      <c r="A555" s="21" t="s">
        <v>37</v>
      </c>
      <c r="B555" s="22"/>
      <c r="C555" s="22"/>
      <c r="D555" s="22"/>
      <c r="E555" s="23" t="s">
        <v>46</v>
      </c>
      <c r="F555" s="24"/>
      <c r="G555" s="20" t="s">
        <v>50</v>
      </c>
    </row>
    <row r="556" spans="1:7" x14ac:dyDescent="0.2">
      <c r="A556" s="6"/>
      <c r="B556" s="99"/>
      <c r="C556" s="8"/>
      <c r="D556" s="8"/>
      <c r="E556" s="920"/>
      <c r="F556" s="921"/>
      <c r="G556" s="25"/>
    </row>
    <row r="557" spans="1:7" ht="26.25" thickBot="1" x14ac:dyDescent="0.25">
      <c r="A557" s="26" t="s">
        <v>47</v>
      </c>
      <c r="B557" s="161" t="s">
        <v>23</v>
      </c>
      <c r="C557" s="28" t="s">
        <v>34</v>
      </c>
      <c r="D557" s="110" t="s">
        <v>53</v>
      </c>
      <c r="E557" s="114" t="s">
        <v>54</v>
      </c>
      <c r="F557" s="111" t="s">
        <v>55</v>
      </c>
      <c r="G557" s="112" t="s">
        <v>35</v>
      </c>
    </row>
    <row r="558" spans="1:7" ht="13.5" thickTop="1" x14ac:dyDescent="0.2">
      <c r="A558" s="29">
        <v>1</v>
      </c>
      <c r="B558" s="101"/>
      <c r="C558" s="422" t="s">
        <v>242</v>
      </c>
      <c r="D558" s="382" t="s">
        <v>1554</v>
      </c>
      <c r="E558" s="102">
        <v>30</v>
      </c>
      <c r="F558" s="163">
        <v>200</v>
      </c>
      <c r="G558" s="372">
        <f>F558*E558</f>
        <v>6000</v>
      </c>
    </row>
    <row r="559" spans="1:7" x14ac:dyDescent="0.2">
      <c r="A559" s="29"/>
      <c r="B559" s="101"/>
      <c r="C559" s="422"/>
      <c r="D559" s="382"/>
      <c r="E559" s="102"/>
      <c r="F559" s="163"/>
      <c r="G559" s="372"/>
    </row>
    <row r="560" spans="1:7" x14ac:dyDescent="0.2">
      <c r="A560" s="29"/>
      <c r="B560" s="101"/>
      <c r="C560" s="422"/>
      <c r="D560" s="382"/>
      <c r="E560" s="102"/>
      <c r="F560" s="163"/>
      <c r="G560" s="35"/>
    </row>
    <row r="561" spans="1:7" x14ac:dyDescent="0.2">
      <c r="A561" s="29"/>
      <c r="B561" s="101"/>
      <c r="C561" s="422"/>
      <c r="D561" s="382" t="s">
        <v>152</v>
      </c>
      <c r="E561" s="102"/>
      <c r="F561" s="163"/>
      <c r="G561" s="35"/>
    </row>
    <row r="562" spans="1:7" x14ac:dyDescent="0.2">
      <c r="A562" s="29"/>
      <c r="B562" s="101"/>
      <c r="C562" s="31"/>
      <c r="D562" s="441"/>
      <c r="E562" s="102"/>
      <c r="F562" s="163"/>
      <c r="G562" s="372"/>
    </row>
    <row r="563" spans="1:7" x14ac:dyDescent="0.2">
      <c r="A563" s="29"/>
      <c r="B563" s="101"/>
      <c r="C563" s="422"/>
      <c r="D563" s="376" t="s">
        <v>151</v>
      </c>
      <c r="E563" s="102"/>
      <c r="F563" s="163"/>
      <c r="G563" s="35"/>
    </row>
    <row r="564" spans="1:7" x14ac:dyDescent="0.2">
      <c r="A564" s="29"/>
      <c r="B564" s="101"/>
      <c r="C564" s="422"/>
      <c r="D564" s="384"/>
      <c r="E564" s="102"/>
      <c r="F564" s="163"/>
      <c r="G564" s="35"/>
    </row>
    <row r="565" spans="1:7" x14ac:dyDescent="0.2">
      <c r="A565" s="29"/>
      <c r="B565" s="101"/>
      <c r="C565" s="422"/>
      <c r="D565" s="165"/>
      <c r="E565" s="102"/>
      <c r="F565" s="163"/>
      <c r="G565" s="35"/>
    </row>
    <row r="566" spans="1:7" x14ac:dyDescent="0.2">
      <c r="A566" s="29"/>
      <c r="B566" s="101"/>
      <c r="C566" s="31"/>
      <c r="D566" s="165"/>
      <c r="E566" s="102"/>
      <c r="F566" s="163"/>
      <c r="G566" s="35"/>
    </row>
    <row r="567" spans="1:7" x14ac:dyDescent="0.2">
      <c r="A567" s="29"/>
      <c r="B567" s="101"/>
      <c r="C567" s="31"/>
      <c r="D567" s="165"/>
      <c r="E567" s="102"/>
      <c r="F567" s="163"/>
      <c r="G567" s="35"/>
    </row>
    <row r="568" spans="1:7" x14ac:dyDescent="0.2">
      <c r="A568" s="29"/>
      <c r="B568" s="101"/>
      <c r="C568" s="31"/>
      <c r="D568" s="67"/>
      <c r="E568" s="102"/>
      <c r="F568" s="163"/>
      <c r="G568" s="35"/>
    </row>
    <row r="569" spans="1:7" x14ac:dyDescent="0.2">
      <c r="A569" s="29"/>
      <c r="B569" s="101"/>
      <c r="C569" s="31"/>
      <c r="D569" s="67"/>
      <c r="E569" s="102"/>
      <c r="F569" s="163"/>
      <c r="G569" s="35"/>
    </row>
    <row r="570" spans="1:7" x14ac:dyDescent="0.2">
      <c r="A570" s="29"/>
      <c r="B570" s="101"/>
      <c r="C570" s="31"/>
      <c r="D570" s="165"/>
      <c r="E570" s="166"/>
      <c r="F570" s="163"/>
      <c r="G570" s="167"/>
    </row>
    <row r="571" spans="1:7" x14ac:dyDescent="0.2">
      <c r="A571" s="29"/>
      <c r="B571" s="101"/>
      <c r="C571" s="31"/>
      <c r="D571" s="165"/>
      <c r="E571" s="102"/>
      <c r="F571" s="163"/>
      <c r="G571" s="167"/>
    </row>
    <row r="572" spans="1:7" x14ac:dyDescent="0.2">
      <c r="A572" s="29"/>
      <c r="B572" s="101"/>
      <c r="C572" s="31"/>
      <c r="D572" s="67"/>
      <c r="E572" s="102"/>
      <c r="F572" s="163"/>
      <c r="G572" s="167"/>
    </row>
    <row r="573" spans="1:7" x14ac:dyDescent="0.2">
      <c r="A573" s="29"/>
      <c r="B573" s="101"/>
      <c r="C573" s="31"/>
      <c r="D573" s="67"/>
      <c r="E573" s="102"/>
      <c r="F573" s="163"/>
      <c r="G573" s="167"/>
    </row>
    <row r="574" spans="1:7" x14ac:dyDescent="0.2">
      <c r="A574" s="29"/>
      <c r="B574" s="101"/>
      <c r="C574" s="31"/>
      <c r="D574" s="67"/>
      <c r="E574" s="102"/>
      <c r="F574" s="163"/>
      <c r="G574" s="167"/>
    </row>
    <row r="575" spans="1:7" x14ac:dyDescent="0.2">
      <c r="A575" s="29"/>
      <c r="B575" s="101"/>
      <c r="C575" s="41"/>
      <c r="D575" s="168"/>
      <c r="E575" s="77"/>
      <c r="F575" s="169"/>
      <c r="G575" s="167"/>
    </row>
    <row r="576" spans="1:7" x14ac:dyDescent="0.2">
      <c r="A576" s="29"/>
      <c r="B576" s="101"/>
      <c r="C576" s="41"/>
      <c r="D576" s="360"/>
      <c r="E576" s="77"/>
      <c r="F576" s="169"/>
      <c r="G576" s="167"/>
    </row>
    <row r="577" spans="1:7" x14ac:dyDescent="0.2">
      <c r="A577" s="29"/>
      <c r="B577" s="101"/>
      <c r="C577" s="41"/>
      <c r="D577" s="360"/>
      <c r="E577" s="77"/>
      <c r="F577" s="169"/>
      <c r="G577" s="167"/>
    </row>
    <row r="578" spans="1:7" x14ac:dyDescent="0.2">
      <c r="A578" s="29"/>
      <c r="B578" s="101"/>
      <c r="C578" s="41"/>
      <c r="D578" s="67"/>
      <c r="E578" s="77"/>
      <c r="F578" s="169"/>
      <c r="G578" s="35"/>
    </row>
    <row r="579" spans="1:7" x14ac:dyDescent="0.2">
      <c r="A579" s="29"/>
      <c r="B579" s="101"/>
      <c r="C579" s="41"/>
      <c r="D579" s="67"/>
      <c r="E579" s="77"/>
      <c r="F579" s="169" t="s">
        <v>152</v>
      </c>
      <c r="G579" s="35"/>
    </row>
    <row r="580" spans="1:7" x14ac:dyDescent="0.2">
      <c r="A580" s="29"/>
      <c r="B580" s="101"/>
      <c r="C580" s="41"/>
      <c r="D580" s="67"/>
      <c r="E580" s="77"/>
      <c r="F580" s="169"/>
      <c r="G580" s="35"/>
    </row>
    <row r="581" spans="1:7" x14ac:dyDescent="0.2">
      <c r="A581" s="29"/>
      <c r="B581" s="101"/>
      <c r="C581" s="41"/>
      <c r="D581" s="67"/>
      <c r="E581" s="77"/>
      <c r="F581" s="169"/>
      <c r="G581" s="35"/>
    </row>
    <row r="582" spans="1:7" x14ac:dyDescent="0.2">
      <c r="A582" s="29"/>
      <c r="B582" s="101"/>
      <c r="C582" s="31"/>
      <c r="D582" s="67"/>
      <c r="E582" s="102"/>
      <c r="F582" s="163"/>
      <c r="G582" s="35"/>
    </row>
    <row r="583" spans="1:7" x14ac:dyDescent="0.2">
      <c r="A583" s="29"/>
      <c r="B583" s="101"/>
      <c r="C583" s="31"/>
      <c r="D583" s="67"/>
      <c r="E583" s="102"/>
      <c r="F583" s="163"/>
      <c r="G583" s="35"/>
    </row>
    <row r="584" spans="1:7" x14ac:dyDescent="0.2">
      <c r="A584" s="29"/>
      <c r="B584" s="101"/>
      <c r="C584" s="31"/>
      <c r="D584" s="170" t="s">
        <v>150</v>
      </c>
      <c r="E584" s="102"/>
      <c r="F584" s="163"/>
      <c r="G584" s="35"/>
    </row>
    <row r="585" spans="1:7" x14ac:dyDescent="0.2">
      <c r="A585" s="29"/>
      <c r="B585" s="101"/>
      <c r="C585" s="31"/>
      <c r="D585" s="170"/>
      <c r="E585" s="102"/>
      <c r="F585" s="171"/>
      <c r="G585" s="35"/>
    </row>
    <row r="586" spans="1:7" x14ac:dyDescent="0.2">
      <c r="A586" s="29"/>
      <c r="B586" s="101"/>
      <c r="C586" s="31"/>
      <c r="D586" s="32"/>
      <c r="E586" s="104"/>
      <c r="F586" s="171"/>
      <c r="G586" s="35"/>
    </row>
    <row r="587" spans="1:7" x14ac:dyDescent="0.2">
      <c r="A587" s="29"/>
      <c r="B587" s="101"/>
      <c r="C587" s="31"/>
      <c r="D587" s="32"/>
      <c r="E587" s="104"/>
      <c r="F587" s="171"/>
      <c r="G587" s="35"/>
    </row>
    <row r="588" spans="1:7" x14ac:dyDescent="0.2">
      <c r="A588" s="29"/>
      <c r="B588" s="101"/>
      <c r="C588" s="31"/>
      <c r="D588" s="32"/>
      <c r="E588" s="104"/>
      <c r="F588" s="171"/>
      <c r="G588" s="35"/>
    </row>
    <row r="589" spans="1:7" x14ac:dyDescent="0.2">
      <c r="A589" s="29"/>
      <c r="B589" s="101"/>
      <c r="C589" s="31"/>
      <c r="D589" s="32"/>
      <c r="E589" s="104"/>
      <c r="F589" s="172"/>
      <c r="G589" s="35"/>
    </row>
    <row r="590" spans="1:7" x14ac:dyDescent="0.2">
      <c r="A590" s="29"/>
      <c r="B590" s="101"/>
      <c r="C590" s="31" t="s">
        <v>8</v>
      </c>
      <c r="D590" s="32"/>
      <c r="E590" s="104"/>
      <c r="F590" s="172"/>
      <c r="G590" s="35"/>
    </row>
    <row r="591" spans="1:7" x14ac:dyDescent="0.2">
      <c r="A591" s="29"/>
      <c r="B591" s="101"/>
      <c r="C591" s="31"/>
      <c r="D591" s="32"/>
      <c r="E591" s="104"/>
      <c r="F591" s="173"/>
      <c r="G591" s="167" t="s">
        <v>8</v>
      </c>
    </row>
    <row r="592" spans="1:7" ht="13.5" thickBot="1" x14ac:dyDescent="0.25">
      <c r="A592" s="45"/>
      <c r="B592" s="174"/>
      <c r="C592" s="47"/>
      <c r="D592" s="175"/>
      <c r="E592" s="174"/>
      <c r="F592" s="49" t="s">
        <v>15</v>
      </c>
      <c r="G592" s="50">
        <f>SUM(G558:G591)</f>
        <v>6000</v>
      </c>
    </row>
    <row r="593" spans="1:7" ht="13.5" thickTop="1" x14ac:dyDescent="0.2">
      <c r="A593" s="361" t="s">
        <v>1848</v>
      </c>
      <c r="B593" s="176"/>
      <c r="E593" s="176"/>
      <c r="G593" s="20"/>
    </row>
    <row r="594" spans="1:7" ht="13.5" thickBot="1" x14ac:dyDescent="0.25">
      <c r="A594" s="1056" t="s">
        <v>1555</v>
      </c>
      <c r="B594" s="1054"/>
      <c r="C594" s="1054"/>
      <c r="D594" s="1054"/>
      <c r="E594" s="1054"/>
      <c r="F594" s="1054"/>
      <c r="G594" s="1055"/>
    </row>
    <row r="595" spans="1:7" ht="13.5" thickTop="1" x14ac:dyDescent="0.2">
      <c r="A595" s="906"/>
      <c r="B595" s="907"/>
      <c r="C595" s="907"/>
      <c r="D595" s="57" t="s">
        <v>11</v>
      </c>
      <c r="E595" s="908" t="s">
        <v>12</v>
      </c>
      <c r="F595" s="908"/>
      <c r="G595" s="909"/>
    </row>
    <row r="596" spans="1:7" x14ac:dyDescent="0.2">
      <c r="A596" s="910" t="s">
        <v>17</v>
      </c>
      <c r="B596" s="911"/>
      <c r="C596" s="911"/>
      <c r="D596" s="57"/>
      <c r="E596" s="912"/>
      <c r="F596" s="913"/>
      <c r="G596" s="914"/>
    </row>
    <row r="597" spans="1:7" x14ac:dyDescent="0.2">
      <c r="A597" s="910" t="s">
        <v>38</v>
      </c>
      <c r="B597" s="911"/>
      <c r="C597" s="911"/>
      <c r="D597" s="58" t="s">
        <v>1015</v>
      </c>
      <c r="E597" s="969" t="s">
        <v>142</v>
      </c>
      <c r="F597" s="868"/>
      <c r="G597" s="869"/>
    </row>
    <row r="598" spans="1:7" ht="13.5" thickBot="1" x14ac:dyDescent="0.25">
      <c r="A598" s="901" t="s">
        <v>39</v>
      </c>
      <c r="B598" s="902"/>
      <c r="C598" s="902"/>
      <c r="D598" s="59" t="s">
        <v>245</v>
      </c>
      <c r="E598" s="904" t="s">
        <v>0</v>
      </c>
      <c r="F598" s="904"/>
      <c r="G598" s="905"/>
    </row>
    <row r="599" spans="1:7" ht="16.5" x14ac:dyDescent="0.25">
      <c r="A599" s="885" t="s">
        <v>29</v>
      </c>
      <c r="B599" s="886"/>
      <c r="C599" s="886"/>
      <c r="D599" s="886"/>
      <c r="E599" s="886"/>
      <c r="F599" s="886"/>
      <c r="G599" s="887"/>
    </row>
    <row r="600" spans="1:7" x14ac:dyDescent="0.2">
      <c r="A600" s="888" t="s">
        <v>48</v>
      </c>
      <c r="B600" s="889"/>
      <c r="C600" s="889"/>
      <c r="D600" s="889"/>
      <c r="E600" s="889"/>
      <c r="F600" s="889"/>
      <c r="G600" s="890"/>
    </row>
    <row r="601" spans="1:7" x14ac:dyDescent="0.2">
      <c r="A601" s="915" t="s">
        <v>49</v>
      </c>
      <c r="B601" s="916"/>
      <c r="C601" s="916"/>
      <c r="D601" s="916"/>
      <c r="E601" s="916"/>
      <c r="F601" s="916"/>
      <c r="G601" s="917"/>
    </row>
    <row r="602" spans="1:7" x14ac:dyDescent="0.2">
      <c r="A602" s="6"/>
      <c r="B602" s="99"/>
      <c r="C602" s="8"/>
      <c r="D602" s="9"/>
      <c r="E602" s="99"/>
      <c r="F602" s="10"/>
      <c r="G602" s="11" t="s">
        <v>8</v>
      </c>
    </row>
    <row r="603" spans="1:7" x14ac:dyDescent="0.2">
      <c r="A603" s="12" t="s">
        <v>1</v>
      </c>
      <c r="B603" s="13"/>
      <c r="C603" s="14" t="s">
        <v>16</v>
      </c>
      <c r="D603" s="13"/>
      <c r="E603" s="362" t="s">
        <v>1632</v>
      </c>
      <c r="F603" s="60"/>
      <c r="G603" s="363" t="s">
        <v>1527</v>
      </c>
    </row>
    <row r="604" spans="1:7" x14ac:dyDescent="0.2">
      <c r="A604" s="17" t="s">
        <v>8</v>
      </c>
      <c r="B604" s="100"/>
      <c r="C604" s="19"/>
      <c r="D604" s="4"/>
      <c r="E604" s="918"/>
      <c r="F604" s="919"/>
      <c r="G604" s="20"/>
    </row>
    <row r="605" spans="1:7" x14ac:dyDescent="0.2">
      <c r="A605" s="21" t="s">
        <v>37</v>
      </c>
      <c r="B605" s="22"/>
      <c r="C605" s="22"/>
      <c r="D605" s="22"/>
      <c r="E605" s="23" t="s">
        <v>46</v>
      </c>
      <c r="F605" s="24"/>
      <c r="G605" s="20" t="s">
        <v>50</v>
      </c>
    </row>
    <row r="606" spans="1:7" x14ac:dyDescent="0.2">
      <c r="A606" s="6"/>
      <c r="B606" s="99"/>
      <c r="C606" s="8"/>
      <c r="D606" s="8"/>
      <c r="E606" s="920"/>
      <c r="F606" s="921"/>
      <c r="G606" s="25"/>
    </row>
    <row r="607" spans="1:7" ht="26.25" thickBot="1" x14ac:dyDescent="0.25">
      <c r="A607" s="26" t="s">
        <v>47</v>
      </c>
      <c r="B607" s="161" t="s">
        <v>23</v>
      </c>
      <c r="C607" s="28" t="s">
        <v>34</v>
      </c>
      <c r="D607" s="110" t="s">
        <v>53</v>
      </c>
      <c r="E607" s="114" t="s">
        <v>54</v>
      </c>
      <c r="F607" s="111" t="s">
        <v>55</v>
      </c>
      <c r="G607" s="112" t="s">
        <v>35</v>
      </c>
    </row>
    <row r="608" spans="1:7" ht="13.5" thickTop="1" x14ac:dyDescent="0.2">
      <c r="A608" s="29">
        <v>1</v>
      </c>
      <c r="B608" s="101"/>
      <c r="C608" s="422" t="s">
        <v>242</v>
      </c>
      <c r="D608" s="382" t="s">
        <v>1571</v>
      </c>
      <c r="E608" s="102">
        <v>25</v>
      </c>
      <c r="F608" s="163">
        <v>200</v>
      </c>
      <c r="G608" s="372">
        <f>F608*E608</f>
        <v>5000</v>
      </c>
    </row>
    <row r="609" spans="1:7" x14ac:dyDescent="0.2">
      <c r="A609" s="29">
        <v>2</v>
      </c>
      <c r="B609" s="101"/>
      <c r="C609" s="422" t="s">
        <v>242</v>
      </c>
      <c r="D609" s="382" t="s">
        <v>325</v>
      </c>
      <c r="E609" s="102">
        <v>25</v>
      </c>
      <c r="F609" s="163">
        <v>350</v>
      </c>
      <c r="G609" s="372">
        <f>F609*E609</f>
        <v>8750</v>
      </c>
    </row>
    <row r="610" spans="1:7" x14ac:dyDescent="0.2">
      <c r="A610" s="29"/>
      <c r="B610" s="101"/>
      <c r="C610" s="422"/>
      <c r="D610" s="382"/>
      <c r="E610" s="102"/>
      <c r="F610" s="163"/>
      <c r="G610" s="35"/>
    </row>
    <row r="611" spans="1:7" x14ac:dyDescent="0.2">
      <c r="A611" s="29"/>
      <c r="B611" s="101"/>
      <c r="C611" s="422"/>
      <c r="D611" s="382"/>
      <c r="E611" s="102"/>
      <c r="F611" s="163"/>
      <c r="G611" s="35"/>
    </row>
    <row r="612" spans="1:7" x14ac:dyDescent="0.2">
      <c r="A612" s="29"/>
      <c r="B612" s="101"/>
      <c r="C612" s="31"/>
      <c r="D612" s="441"/>
      <c r="E612" s="102"/>
      <c r="F612" s="163"/>
      <c r="G612" s="372"/>
    </row>
    <row r="613" spans="1:7" x14ac:dyDescent="0.2">
      <c r="A613" s="29"/>
      <c r="B613" s="101"/>
      <c r="C613" s="422"/>
      <c r="D613" s="376"/>
      <c r="E613" s="102"/>
      <c r="F613" s="163"/>
      <c r="G613" s="35"/>
    </row>
    <row r="614" spans="1:7" x14ac:dyDescent="0.2">
      <c r="A614" s="29"/>
      <c r="B614" s="101"/>
      <c r="C614" s="422"/>
      <c r="D614" s="384"/>
      <c r="E614" s="102"/>
      <c r="F614" s="163"/>
      <c r="G614" s="35"/>
    </row>
    <row r="615" spans="1:7" x14ac:dyDescent="0.2">
      <c r="A615" s="29"/>
      <c r="B615" s="101"/>
      <c r="C615" s="422"/>
      <c r="D615" s="165"/>
      <c r="E615" s="102"/>
      <c r="F615" s="163"/>
      <c r="G615" s="35"/>
    </row>
    <row r="616" spans="1:7" x14ac:dyDescent="0.2">
      <c r="A616" s="29"/>
      <c r="B616" s="101"/>
      <c r="C616" s="31"/>
      <c r="D616" s="165"/>
      <c r="E616" s="102"/>
      <c r="F616" s="163"/>
      <c r="G616" s="35"/>
    </row>
    <row r="617" spans="1:7" x14ac:dyDescent="0.2">
      <c r="A617" s="29"/>
      <c r="B617" s="101"/>
      <c r="C617" s="31"/>
      <c r="D617" s="165"/>
      <c r="E617" s="102"/>
      <c r="F617" s="163"/>
      <c r="G617" s="35"/>
    </row>
    <row r="618" spans="1:7" x14ac:dyDescent="0.2">
      <c r="A618" s="29"/>
      <c r="B618" s="101"/>
      <c r="C618" s="31"/>
      <c r="D618" s="67"/>
      <c r="E618" s="102"/>
      <c r="F618" s="163"/>
      <c r="G618" s="35"/>
    </row>
    <row r="619" spans="1:7" x14ac:dyDescent="0.2">
      <c r="A619" s="29"/>
      <c r="B619" s="101"/>
      <c r="C619" s="31"/>
      <c r="D619" s="67"/>
      <c r="E619" s="102"/>
      <c r="F619" s="163"/>
      <c r="G619" s="35"/>
    </row>
    <row r="620" spans="1:7" x14ac:dyDescent="0.2">
      <c r="A620" s="29"/>
      <c r="B620" s="101"/>
      <c r="C620" s="31"/>
      <c r="D620" s="165"/>
      <c r="E620" s="166"/>
      <c r="F620" s="163"/>
      <c r="G620" s="167"/>
    </row>
    <row r="621" spans="1:7" x14ac:dyDescent="0.2">
      <c r="A621" s="29"/>
      <c r="B621" s="101"/>
      <c r="C621" s="31"/>
      <c r="D621" s="165"/>
      <c r="E621" s="102"/>
      <c r="F621" s="163"/>
      <c r="G621" s="167"/>
    </row>
    <row r="622" spans="1:7" x14ac:dyDescent="0.2">
      <c r="A622" s="29"/>
      <c r="B622" s="101"/>
      <c r="C622" s="31"/>
      <c r="D622" s="67"/>
      <c r="E622" s="102"/>
      <c r="F622" s="163"/>
      <c r="G622" s="167"/>
    </row>
    <row r="623" spans="1:7" x14ac:dyDescent="0.2">
      <c r="A623" s="29"/>
      <c r="B623" s="101"/>
      <c r="C623" s="31"/>
      <c r="D623" s="67"/>
      <c r="E623" s="102"/>
      <c r="F623" s="163"/>
      <c r="G623" s="167"/>
    </row>
    <row r="624" spans="1:7" x14ac:dyDescent="0.2">
      <c r="A624" s="29"/>
      <c r="B624" s="101"/>
      <c r="C624" s="31"/>
      <c r="D624" s="67"/>
      <c r="E624" s="102"/>
      <c r="F624" s="163"/>
      <c r="G624" s="167"/>
    </row>
    <row r="625" spans="1:7" x14ac:dyDescent="0.2">
      <c r="A625" s="29"/>
      <c r="B625" s="101"/>
      <c r="C625" s="41"/>
      <c r="D625" s="168"/>
      <c r="E625" s="77"/>
      <c r="F625" s="169"/>
      <c r="G625" s="167"/>
    </row>
    <row r="626" spans="1:7" x14ac:dyDescent="0.2">
      <c r="A626" s="29"/>
      <c r="B626" s="101"/>
      <c r="C626" s="41"/>
      <c r="D626" s="360"/>
      <c r="E626" s="77"/>
      <c r="F626" s="169"/>
      <c r="G626" s="167"/>
    </row>
    <row r="627" spans="1:7" x14ac:dyDescent="0.2">
      <c r="A627" s="29"/>
      <c r="B627" s="101"/>
      <c r="C627" s="41"/>
      <c r="D627" s="360"/>
      <c r="E627" s="77"/>
      <c r="F627" s="169"/>
      <c r="G627" s="167"/>
    </row>
    <row r="628" spans="1:7" x14ac:dyDescent="0.2">
      <c r="A628" s="29"/>
      <c r="B628" s="101"/>
      <c r="C628" s="41"/>
      <c r="D628" s="67"/>
      <c r="E628" s="77"/>
      <c r="F628" s="169"/>
      <c r="G628" s="35"/>
    </row>
    <row r="629" spans="1:7" x14ac:dyDescent="0.2">
      <c r="A629" s="29"/>
      <c r="B629" s="101"/>
      <c r="C629" s="41"/>
      <c r="D629" s="67"/>
      <c r="E629" s="77"/>
      <c r="F629" s="169" t="s">
        <v>152</v>
      </c>
      <c r="G629" s="35"/>
    </row>
    <row r="630" spans="1:7" x14ac:dyDescent="0.2">
      <c r="A630" s="29"/>
      <c r="B630" s="101"/>
      <c r="C630" s="41"/>
      <c r="D630" s="67"/>
      <c r="E630" s="77"/>
      <c r="F630" s="169"/>
      <c r="G630" s="35"/>
    </row>
    <row r="631" spans="1:7" x14ac:dyDescent="0.2">
      <c r="A631" s="29"/>
      <c r="B631" s="101"/>
      <c r="C631" s="41"/>
      <c r="D631" s="67"/>
      <c r="E631" s="77"/>
      <c r="F631" s="169"/>
      <c r="G631" s="35"/>
    </row>
    <row r="632" spans="1:7" x14ac:dyDescent="0.2">
      <c r="A632" s="29"/>
      <c r="B632" s="101"/>
      <c r="C632" s="31"/>
      <c r="D632" s="67"/>
      <c r="E632" s="102"/>
      <c r="F632" s="163"/>
      <c r="G632" s="35"/>
    </row>
    <row r="633" spans="1:7" x14ac:dyDescent="0.2">
      <c r="A633" s="29"/>
      <c r="B633" s="101"/>
      <c r="C633" s="31"/>
      <c r="D633" s="67"/>
      <c r="E633" s="102"/>
      <c r="F633" s="163"/>
      <c r="G633" s="35"/>
    </row>
    <row r="634" spans="1:7" x14ac:dyDescent="0.2">
      <c r="A634" s="29"/>
      <c r="B634" s="101"/>
      <c r="C634" s="31"/>
      <c r="D634" s="170" t="s">
        <v>150</v>
      </c>
      <c r="E634" s="102"/>
      <c r="F634" s="163"/>
      <c r="G634" s="35"/>
    </row>
    <row r="635" spans="1:7" x14ac:dyDescent="0.2">
      <c r="A635" s="29"/>
      <c r="B635" s="101"/>
      <c r="C635" s="31"/>
      <c r="D635" s="170"/>
      <c r="E635" s="102"/>
      <c r="F635" s="171"/>
      <c r="G635" s="35"/>
    </row>
    <row r="636" spans="1:7" x14ac:dyDescent="0.2">
      <c r="A636" s="29"/>
      <c r="B636" s="101"/>
      <c r="C636" s="31"/>
      <c r="D636" s="32"/>
      <c r="E636" s="104"/>
      <c r="F636" s="171"/>
      <c r="G636" s="35"/>
    </row>
    <row r="637" spans="1:7" x14ac:dyDescent="0.2">
      <c r="A637" s="29"/>
      <c r="B637" s="101"/>
      <c r="C637" s="31"/>
      <c r="D637" s="32"/>
      <c r="E637" s="104"/>
      <c r="F637" s="171"/>
      <c r="G637" s="35"/>
    </row>
    <row r="638" spans="1:7" x14ac:dyDescent="0.2">
      <c r="A638" s="29"/>
      <c r="B638" s="101"/>
      <c r="C638" s="31"/>
      <c r="D638" s="32"/>
      <c r="E638" s="104"/>
      <c r="F638" s="171"/>
      <c r="G638" s="35"/>
    </row>
    <row r="639" spans="1:7" x14ac:dyDescent="0.2">
      <c r="A639" s="29"/>
      <c r="B639" s="101"/>
      <c r="C639" s="31"/>
      <c r="D639" s="32"/>
      <c r="E639" s="104"/>
      <c r="F639" s="172"/>
      <c r="G639" s="35"/>
    </row>
    <row r="640" spans="1:7" x14ac:dyDescent="0.2">
      <c r="A640" s="29"/>
      <c r="B640" s="101"/>
      <c r="C640" s="31" t="s">
        <v>8</v>
      </c>
      <c r="D640" s="32"/>
      <c r="E640" s="104"/>
      <c r="F640" s="172"/>
      <c r="G640" s="35"/>
    </row>
    <row r="641" spans="1:7" x14ac:dyDescent="0.2">
      <c r="A641" s="29"/>
      <c r="B641" s="101"/>
      <c r="C641" s="31"/>
      <c r="D641" s="32"/>
      <c r="E641" s="104"/>
      <c r="F641" s="173"/>
      <c r="G641" s="167" t="s">
        <v>8</v>
      </c>
    </row>
    <row r="642" spans="1:7" ht="13.5" thickBot="1" x14ac:dyDescent="0.25">
      <c r="A642" s="45"/>
      <c r="B642" s="174"/>
      <c r="C642" s="47"/>
      <c r="D642" s="175"/>
      <c r="E642" s="174"/>
      <c r="F642" s="49" t="s">
        <v>15</v>
      </c>
      <c r="G642" s="50">
        <f>SUM(G608:G641)</f>
        <v>13750</v>
      </c>
    </row>
    <row r="643" spans="1:7" ht="13.5" thickTop="1" x14ac:dyDescent="0.2">
      <c r="A643" s="361" t="s">
        <v>1572</v>
      </c>
      <c r="B643" s="176"/>
      <c r="E643" s="176"/>
      <c r="G643" s="20"/>
    </row>
    <row r="644" spans="1:7" ht="13.5" thickBot="1" x14ac:dyDescent="0.25">
      <c r="A644" s="1056" t="s">
        <v>1573</v>
      </c>
      <c r="B644" s="1054"/>
      <c r="C644" s="1054"/>
      <c r="D644" s="1054"/>
      <c r="E644" s="1054"/>
      <c r="F644" s="1054"/>
      <c r="G644" s="1055"/>
    </row>
    <row r="645" spans="1:7" ht="13.5" thickTop="1" x14ac:dyDescent="0.2">
      <c r="A645" s="906"/>
      <c r="B645" s="907"/>
      <c r="C645" s="907"/>
      <c r="D645" s="57" t="s">
        <v>11</v>
      </c>
      <c r="E645" s="908" t="s">
        <v>12</v>
      </c>
      <c r="F645" s="908"/>
      <c r="G645" s="909"/>
    </row>
    <row r="646" spans="1:7" x14ac:dyDescent="0.2">
      <c r="A646" s="910" t="s">
        <v>17</v>
      </c>
      <c r="B646" s="911"/>
      <c r="C646" s="911"/>
      <c r="D646" s="57"/>
      <c r="E646" s="912"/>
      <c r="F646" s="913"/>
      <c r="G646" s="914"/>
    </row>
    <row r="647" spans="1:7" x14ac:dyDescent="0.2">
      <c r="A647" s="910" t="s">
        <v>38</v>
      </c>
      <c r="B647" s="911"/>
      <c r="C647" s="911"/>
      <c r="D647" s="58" t="s">
        <v>1015</v>
      </c>
      <c r="E647" s="969" t="s">
        <v>142</v>
      </c>
      <c r="F647" s="868"/>
      <c r="G647" s="869"/>
    </row>
    <row r="648" spans="1:7" ht="13.5" thickBot="1" x14ac:dyDescent="0.25">
      <c r="A648" s="901" t="s">
        <v>39</v>
      </c>
      <c r="B648" s="902"/>
      <c r="C648" s="902"/>
      <c r="D648" s="59" t="s">
        <v>245</v>
      </c>
      <c r="E648" s="904" t="s">
        <v>0</v>
      </c>
      <c r="F648" s="904"/>
      <c r="G648" s="905"/>
    </row>
    <row r="649" spans="1:7" ht="16.5" x14ac:dyDescent="0.25">
      <c r="A649" s="885" t="s">
        <v>29</v>
      </c>
      <c r="B649" s="886"/>
      <c r="C649" s="886"/>
      <c r="D649" s="886"/>
      <c r="E649" s="886"/>
      <c r="F649" s="886"/>
      <c r="G649" s="887"/>
    </row>
    <row r="650" spans="1:7" x14ac:dyDescent="0.2">
      <c r="A650" s="888" t="s">
        <v>48</v>
      </c>
      <c r="B650" s="889"/>
      <c r="C650" s="889"/>
      <c r="D650" s="889"/>
      <c r="E650" s="889"/>
      <c r="F650" s="889"/>
      <c r="G650" s="890"/>
    </row>
    <row r="651" spans="1:7" x14ac:dyDescent="0.2">
      <c r="A651" s="915" t="s">
        <v>49</v>
      </c>
      <c r="B651" s="916"/>
      <c r="C651" s="916"/>
      <c r="D651" s="916"/>
      <c r="E651" s="916"/>
      <c r="F651" s="916"/>
      <c r="G651" s="917"/>
    </row>
    <row r="652" spans="1:7" x14ac:dyDescent="0.2">
      <c r="A652" s="6"/>
      <c r="B652" s="99"/>
      <c r="C652" s="8"/>
      <c r="D652" s="9"/>
      <c r="E652" s="99"/>
      <c r="F652" s="10"/>
      <c r="G652" s="11" t="s">
        <v>8</v>
      </c>
    </row>
    <row r="653" spans="1:7" x14ac:dyDescent="0.2">
      <c r="A653" s="12" t="s">
        <v>1</v>
      </c>
      <c r="B653" s="13"/>
      <c r="C653" s="14" t="s">
        <v>16</v>
      </c>
      <c r="D653" s="13"/>
      <c r="E653" s="362" t="s">
        <v>1801</v>
      </c>
      <c r="F653" s="60"/>
      <c r="G653" s="363" t="s">
        <v>1781</v>
      </c>
    </row>
    <row r="654" spans="1:7" x14ac:dyDescent="0.2">
      <c r="A654" s="17" t="s">
        <v>8</v>
      </c>
      <c r="B654" s="100"/>
      <c r="C654" s="19"/>
      <c r="D654" s="4"/>
      <c r="E654" s="918"/>
      <c r="F654" s="919"/>
      <c r="G654" s="20"/>
    </row>
    <row r="655" spans="1:7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7" x14ac:dyDescent="0.2">
      <c r="A656" s="6"/>
      <c r="B656" s="99"/>
      <c r="C656" s="8"/>
      <c r="D656" s="8"/>
      <c r="E656" s="920"/>
      <c r="F656" s="921"/>
      <c r="G656" s="25"/>
    </row>
    <row r="657" spans="1:7" ht="26.25" thickBot="1" x14ac:dyDescent="0.25">
      <c r="A657" s="26" t="s">
        <v>47</v>
      </c>
      <c r="B657" s="161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7" ht="13.5" thickTop="1" x14ac:dyDescent="0.2">
      <c r="A658" s="29">
        <v>1</v>
      </c>
      <c r="B658" s="101"/>
      <c r="C658" s="422" t="s">
        <v>242</v>
      </c>
      <c r="D658" s="382" t="s">
        <v>1657</v>
      </c>
      <c r="E658" s="102">
        <v>20</v>
      </c>
      <c r="F658" s="163">
        <v>200</v>
      </c>
      <c r="G658" s="372">
        <f>F658*E658</f>
        <v>4000</v>
      </c>
    </row>
    <row r="659" spans="1:7" x14ac:dyDescent="0.2">
      <c r="A659" s="29"/>
      <c r="B659" s="101"/>
      <c r="C659" s="422"/>
      <c r="D659" s="382" t="s">
        <v>1658</v>
      </c>
      <c r="E659" s="102"/>
      <c r="F659" s="163"/>
      <c r="G659" s="372"/>
    </row>
    <row r="660" spans="1:7" x14ac:dyDescent="0.2">
      <c r="A660" s="29"/>
      <c r="B660" s="101"/>
      <c r="C660" s="422"/>
      <c r="D660" s="382"/>
      <c r="E660" s="102"/>
      <c r="F660" s="163"/>
      <c r="G660" s="35"/>
    </row>
    <row r="661" spans="1:7" x14ac:dyDescent="0.2">
      <c r="A661" s="29"/>
      <c r="B661" s="101"/>
      <c r="C661" s="422"/>
      <c r="D661" s="382"/>
      <c r="E661" s="102"/>
      <c r="F661" s="163"/>
      <c r="G661" s="35"/>
    </row>
    <row r="662" spans="1:7" x14ac:dyDescent="0.2">
      <c r="A662" s="29"/>
      <c r="B662" s="101"/>
      <c r="C662" s="31"/>
      <c r="D662" s="441"/>
      <c r="E662" s="102"/>
      <c r="F662" s="163"/>
      <c r="G662" s="372"/>
    </row>
    <row r="663" spans="1:7" x14ac:dyDescent="0.2">
      <c r="A663" s="29"/>
      <c r="B663" s="101"/>
      <c r="C663" s="422"/>
      <c r="D663" s="376"/>
      <c r="E663" s="102"/>
      <c r="F663" s="163"/>
      <c r="G663" s="35"/>
    </row>
    <row r="664" spans="1:7" x14ac:dyDescent="0.2">
      <c r="A664" s="29"/>
      <c r="B664" s="101"/>
      <c r="C664" s="422"/>
      <c r="D664" s="384"/>
      <c r="E664" s="102"/>
      <c r="F664" s="163"/>
      <c r="G664" s="35"/>
    </row>
    <row r="665" spans="1:7" x14ac:dyDescent="0.2">
      <c r="A665" s="29"/>
      <c r="B665" s="101"/>
      <c r="C665" s="422"/>
      <c r="D665" s="165"/>
      <c r="E665" s="102"/>
      <c r="F665" s="163"/>
      <c r="G665" s="35"/>
    </row>
    <row r="666" spans="1:7" x14ac:dyDescent="0.2">
      <c r="A666" s="29"/>
      <c r="B666" s="101"/>
      <c r="C666" s="31"/>
      <c r="D666" s="165"/>
      <c r="E666" s="102"/>
      <c r="F666" s="163"/>
      <c r="G666" s="35"/>
    </row>
    <row r="667" spans="1:7" x14ac:dyDescent="0.2">
      <c r="A667" s="29"/>
      <c r="B667" s="101"/>
      <c r="C667" s="31"/>
      <c r="D667" s="165"/>
      <c r="E667" s="102"/>
      <c r="F667" s="163"/>
      <c r="G667" s="35"/>
    </row>
    <row r="668" spans="1:7" x14ac:dyDescent="0.2">
      <c r="A668" s="29"/>
      <c r="B668" s="101"/>
      <c r="C668" s="31"/>
      <c r="D668" s="67"/>
      <c r="E668" s="102"/>
      <c r="F668" s="163"/>
      <c r="G668" s="35"/>
    </row>
    <row r="669" spans="1:7" x14ac:dyDescent="0.2">
      <c r="A669" s="29"/>
      <c r="B669" s="101"/>
      <c r="C669" s="31"/>
      <c r="D669" s="67"/>
      <c r="E669" s="102"/>
      <c r="F669" s="163"/>
      <c r="G669" s="35"/>
    </row>
    <row r="670" spans="1:7" x14ac:dyDescent="0.2">
      <c r="A670" s="29"/>
      <c r="B670" s="101"/>
      <c r="C670" s="31"/>
      <c r="D670" s="165"/>
      <c r="E670" s="166"/>
      <c r="F670" s="163"/>
      <c r="G670" s="167"/>
    </row>
    <row r="671" spans="1:7" x14ac:dyDescent="0.2">
      <c r="A671" s="29"/>
      <c r="B671" s="101"/>
      <c r="C671" s="31"/>
      <c r="D671" s="165"/>
      <c r="E671" s="102"/>
      <c r="F671" s="163"/>
      <c r="G671" s="167"/>
    </row>
    <row r="672" spans="1:7" x14ac:dyDescent="0.2">
      <c r="A672" s="29"/>
      <c r="B672" s="101"/>
      <c r="C672" s="31"/>
      <c r="D672" s="67"/>
      <c r="E672" s="102"/>
      <c r="F672" s="163"/>
      <c r="G672" s="167"/>
    </row>
    <row r="673" spans="1:7" x14ac:dyDescent="0.2">
      <c r="A673" s="29"/>
      <c r="B673" s="101"/>
      <c r="C673" s="31"/>
      <c r="D673" s="67"/>
      <c r="E673" s="102"/>
      <c r="F673" s="163"/>
      <c r="G673" s="167"/>
    </row>
    <row r="674" spans="1:7" x14ac:dyDescent="0.2">
      <c r="A674" s="29"/>
      <c r="B674" s="101"/>
      <c r="C674" s="31"/>
      <c r="D674" s="67"/>
      <c r="E674" s="102"/>
      <c r="F674" s="163"/>
      <c r="G674" s="167"/>
    </row>
    <row r="675" spans="1:7" x14ac:dyDescent="0.2">
      <c r="A675" s="29"/>
      <c r="B675" s="101"/>
      <c r="C675" s="41"/>
      <c r="D675" s="168"/>
      <c r="E675" s="77"/>
      <c r="F675" s="169"/>
      <c r="G675" s="167"/>
    </row>
    <row r="676" spans="1:7" x14ac:dyDescent="0.2">
      <c r="A676" s="29"/>
      <c r="B676" s="101"/>
      <c r="C676" s="41"/>
      <c r="D676" s="360"/>
      <c r="E676" s="77"/>
      <c r="F676" s="169"/>
      <c r="G676" s="167"/>
    </row>
    <row r="677" spans="1:7" x14ac:dyDescent="0.2">
      <c r="A677" s="29"/>
      <c r="B677" s="101"/>
      <c r="C677" s="41"/>
      <c r="D677" s="360"/>
      <c r="E677" s="77"/>
      <c r="F677" s="169"/>
      <c r="G677" s="167"/>
    </row>
    <row r="678" spans="1:7" x14ac:dyDescent="0.2">
      <c r="A678" s="29"/>
      <c r="B678" s="101"/>
      <c r="C678" s="41"/>
      <c r="D678" s="67"/>
      <c r="E678" s="77"/>
      <c r="F678" s="169"/>
      <c r="G678" s="35"/>
    </row>
    <row r="679" spans="1:7" x14ac:dyDescent="0.2">
      <c r="A679" s="29"/>
      <c r="B679" s="101"/>
      <c r="C679" s="41"/>
      <c r="D679" s="67"/>
      <c r="E679" s="77"/>
      <c r="F679" s="169" t="s">
        <v>152</v>
      </c>
      <c r="G679" s="35"/>
    </row>
    <row r="680" spans="1:7" x14ac:dyDescent="0.2">
      <c r="A680" s="29"/>
      <c r="B680" s="101"/>
      <c r="C680" s="41"/>
      <c r="D680" s="67"/>
      <c r="E680" s="77"/>
      <c r="F680" s="169"/>
      <c r="G680" s="35"/>
    </row>
    <row r="681" spans="1:7" x14ac:dyDescent="0.2">
      <c r="A681" s="29"/>
      <c r="B681" s="101"/>
      <c r="C681" s="41"/>
      <c r="D681" s="67"/>
      <c r="E681" s="77"/>
      <c r="F681" s="169"/>
      <c r="G681" s="35"/>
    </row>
    <row r="682" spans="1:7" x14ac:dyDescent="0.2">
      <c r="A682" s="29"/>
      <c r="B682" s="101"/>
      <c r="C682" s="31"/>
      <c r="D682" s="67"/>
      <c r="E682" s="102"/>
      <c r="F682" s="163"/>
      <c r="G682" s="35"/>
    </row>
    <row r="683" spans="1:7" x14ac:dyDescent="0.2">
      <c r="A683" s="29"/>
      <c r="B683" s="101"/>
      <c r="C683" s="31"/>
      <c r="D683" s="67"/>
      <c r="E683" s="102"/>
      <c r="F683" s="163"/>
      <c r="G683" s="35"/>
    </row>
    <row r="684" spans="1:7" x14ac:dyDescent="0.2">
      <c r="A684" s="29"/>
      <c r="B684" s="101"/>
      <c r="C684" s="31"/>
      <c r="D684" s="170" t="s">
        <v>150</v>
      </c>
      <c r="E684" s="102"/>
      <c r="F684" s="163"/>
      <c r="G684" s="35"/>
    </row>
    <row r="685" spans="1:7" x14ac:dyDescent="0.2">
      <c r="A685" s="29"/>
      <c r="B685" s="101"/>
      <c r="C685" s="31"/>
      <c r="D685" s="170"/>
      <c r="E685" s="102"/>
      <c r="F685" s="171"/>
      <c r="G685" s="35"/>
    </row>
    <row r="686" spans="1:7" x14ac:dyDescent="0.2">
      <c r="A686" s="29"/>
      <c r="B686" s="101"/>
      <c r="C686" s="31"/>
      <c r="D686" s="32"/>
      <c r="E686" s="104"/>
      <c r="F686" s="171"/>
      <c r="G686" s="35"/>
    </row>
    <row r="687" spans="1:7" x14ac:dyDescent="0.2">
      <c r="A687" s="29"/>
      <c r="B687" s="101"/>
      <c r="C687" s="31"/>
      <c r="D687" s="32"/>
      <c r="E687" s="104"/>
      <c r="F687" s="171"/>
      <c r="G687" s="35"/>
    </row>
    <row r="688" spans="1:7" x14ac:dyDescent="0.2">
      <c r="A688" s="29"/>
      <c r="B688" s="101"/>
      <c r="C688" s="31"/>
      <c r="D688" s="32"/>
      <c r="E688" s="104"/>
      <c r="F688" s="171"/>
      <c r="G688" s="35"/>
    </row>
    <row r="689" spans="1:7" x14ac:dyDescent="0.2">
      <c r="A689" s="29"/>
      <c r="B689" s="101"/>
      <c r="C689" s="31"/>
      <c r="D689" s="32"/>
      <c r="E689" s="104"/>
      <c r="F689" s="172"/>
      <c r="G689" s="35"/>
    </row>
    <row r="690" spans="1:7" x14ac:dyDescent="0.2">
      <c r="A690" s="29"/>
      <c r="B690" s="101"/>
      <c r="C690" s="31" t="s">
        <v>8</v>
      </c>
      <c r="D690" s="32"/>
      <c r="E690" s="104"/>
      <c r="F690" s="172"/>
      <c r="G690" s="35"/>
    </row>
    <row r="691" spans="1:7" x14ac:dyDescent="0.2">
      <c r="A691" s="29"/>
      <c r="B691" s="101"/>
      <c r="C691" s="31"/>
      <c r="D691" s="32"/>
      <c r="E691" s="104"/>
      <c r="F691" s="173"/>
      <c r="G691" s="167" t="s">
        <v>8</v>
      </c>
    </row>
    <row r="692" spans="1:7" ht="13.5" thickBot="1" x14ac:dyDescent="0.25">
      <c r="A692" s="45"/>
      <c r="B692" s="174"/>
      <c r="C692" s="47"/>
      <c r="D692" s="175"/>
      <c r="E692" s="174"/>
      <c r="F692" s="49" t="s">
        <v>15</v>
      </c>
      <c r="G692" s="50">
        <f>SUM(G658:G691)</f>
        <v>4000</v>
      </c>
    </row>
    <row r="693" spans="1:7" ht="13.5" thickTop="1" x14ac:dyDescent="0.2">
      <c r="A693" s="361" t="s">
        <v>1659</v>
      </c>
      <c r="B693" s="176"/>
      <c r="E693" s="176"/>
      <c r="G693" s="20"/>
    </row>
    <row r="694" spans="1:7" ht="13.5" thickBot="1" x14ac:dyDescent="0.25">
      <c r="A694" s="1056" t="s">
        <v>1660</v>
      </c>
      <c r="B694" s="1054"/>
      <c r="C694" s="1054"/>
      <c r="D694" s="1054"/>
      <c r="E694" s="1054"/>
      <c r="F694" s="1054"/>
      <c r="G694" s="1055"/>
    </row>
    <row r="695" spans="1:7" ht="13.5" thickTop="1" x14ac:dyDescent="0.2">
      <c r="A695" s="906"/>
      <c r="B695" s="907"/>
      <c r="C695" s="907"/>
      <c r="D695" s="57" t="s">
        <v>11</v>
      </c>
      <c r="E695" s="908" t="s">
        <v>12</v>
      </c>
      <c r="F695" s="908"/>
      <c r="G695" s="909"/>
    </row>
    <row r="696" spans="1:7" x14ac:dyDescent="0.2">
      <c r="A696" s="910" t="s">
        <v>17</v>
      </c>
      <c r="B696" s="911"/>
      <c r="C696" s="911"/>
      <c r="D696" s="57"/>
      <c r="E696" s="912"/>
      <c r="F696" s="913"/>
      <c r="G696" s="914"/>
    </row>
    <row r="697" spans="1:7" x14ac:dyDescent="0.2">
      <c r="A697" s="910" t="s">
        <v>38</v>
      </c>
      <c r="B697" s="911"/>
      <c r="C697" s="911"/>
      <c r="D697" s="58" t="s">
        <v>1015</v>
      </c>
      <c r="E697" s="969" t="s">
        <v>142</v>
      </c>
      <c r="F697" s="868"/>
      <c r="G697" s="869"/>
    </row>
    <row r="698" spans="1:7" ht="13.5" thickBot="1" x14ac:dyDescent="0.25">
      <c r="A698" s="901" t="s">
        <v>39</v>
      </c>
      <c r="B698" s="902"/>
      <c r="C698" s="902"/>
      <c r="D698" s="59" t="s">
        <v>245</v>
      </c>
      <c r="E698" s="904" t="s">
        <v>0</v>
      </c>
      <c r="F698" s="904"/>
      <c r="G698" s="905"/>
    </row>
    <row r="699" spans="1:7" ht="16.5" x14ac:dyDescent="0.25">
      <c r="A699" s="885" t="s">
        <v>29</v>
      </c>
      <c r="B699" s="886"/>
      <c r="C699" s="886"/>
      <c r="D699" s="886"/>
      <c r="E699" s="886"/>
      <c r="F699" s="886"/>
      <c r="G699" s="887"/>
    </row>
    <row r="700" spans="1:7" x14ac:dyDescent="0.2">
      <c r="A700" s="888" t="s">
        <v>48</v>
      </c>
      <c r="B700" s="889"/>
      <c r="C700" s="889"/>
      <c r="D700" s="889"/>
      <c r="E700" s="889"/>
      <c r="F700" s="889"/>
      <c r="G700" s="890"/>
    </row>
    <row r="701" spans="1:7" x14ac:dyDescent="0.2">
      <c r="A701" s="915" t="s">
        <v>49</v>
      </c>
      <c r="B701" s="916"/>
      <c r="C701" s="916"/>
      <c r="D701" s="916"/>
      <c r="E701" s="916"/>
      <c r="F701" s="916"/>
      <c r="G701" s="917"/>
    </row>
    <row r="702" spans="1:7" x14ac:dyDescent="0.2">
      <c r="A702" s="6"/>
      <c r="B702" s="99"/>
      <c r="C702" s="8"/>
      <c r="D702" s="9"/>
      <c r="E702" s="99"/>
      <c r="F702" s="10"/>
      <c r="G702" s="11" t="s">
        <v>8</v>
      </c>
    </row>
    <row r="703" spans="1:7" x14ac:dyDescent="0.2">
      <c r="A703" s="12" t="s">
        <v>1</v>
      </c>
      <c r="B703" s="13"/>
      <c r="C703" s="14" t="s">
        <v>16</v>
      </c>
      <c r="D703" s="13"/>
      <c r="E703" s="362" t="s">
        <v>1846</v>
      </c>
      <c r="F703" s="60"/>
      <c r="G703" s="363" t="s">
        <v>1844</v>
      </c>
    </row>
    <row r="704" spans="1:7" x14ac:dyDescent="0.2">
      <c r="A704" s="17" t="s">
        <v>8</v>
      </c>
      <c r="B704" s="100"/>
      <c r="C704" s="19"/>
      <c r="D704" s="4"/>
      <c r="E704" s="918"/>
      <c r="F704" s="919"/>
      <c r="G704" s="20"/>
    </row>
    <row r="705" spans="1:12" x14ac:dyDescent="0.2">
      <c r="A705" s="21" t="s">
        <v>37</v>
      </c>
      <c r="B705" s="22"/>
      <c r="C705" s="22"/>
      <c r="D705" s="22"/>
      <c r="E705" s="23" t="s">
        <v>46</v>
      </c>
      <c r="F705" s="24"/>
      <c r="G705" s="20" t="s">
        <v>50</v>
      </c>
    </row>
    <row r="706" spans="1:12" x14ac:dyDescent="0.2">
      <c r="A706" s="6"/>
      <c r="B706" s="99"/>
      <c r="C706" s="8"/>
      <c r="D706" s="8"/>
      <c r="E706" s="920"/>
      <c r="F706" s="921"/>
      <c r="G706" s="25"/>
    </row>
    <row r="707" spans="1:12" ht="26.25" thickBot="1" x14ac:dyDescent="0.25">
      <c r="A707" s="26" t="s">
        <v>47</v>
      </c>
      <c r="B707" s="161" t="s">
        <v>23</v>
      </c>
      <c r="C707" s="28" t="s">
        <v>34</v>
      </c>
      <c r="D707" s="110" t="s">
        <v>53</v>
      </c>
      <c r="E707" s="114" t="s">
        <v>54</v>
      </c>
      <c r="F707" s="111" t="s">
        <v>55</v>
      </c>
      <c r="G707" s="112" t="s">
        <v>35</v>
      </c>
    </row>
    <row r="708" spans="1:12" ht="13.5" thickTop="1" x14ac:dyDescent="0.2">
      <c r="A708" s="29">
        <v>1</v>
      </c>
      <c r="B708" s="101"/>
      <c r="C708" s="422" t="s">
        <v>242</v>
      </c>
      <c r="D708" s="382" t="s">
        <v>1715</v>
      </c>
      <c r="E708" s="102">
        <v>150</v>
      </c>
      <c r="F708" s="163">
        <v>200</v>
      </c>
      <c r="G708" s="372">
        <f>F708*E708</f>
        <v>30000</v>
      </c>
    </row>
    <row r="709" spans="1:12" x14ac:dyDescent="0.2">
      <c r="A709" s="29"/>
      <c r="B709" s="101"/>
      <c r="C709" s="422"/>
      <c r="D709" s="382" t="s">
        <v>1716</v>
      </c>
      <c r="E709" s="102"/>
      <c r="F709" s="163"/>
      <c r="G709" s="372"/>
    </row>
    <row r="710" spans="1:12" x14ac:dyDescent="0.2">
      <c r="A710" s="29"/>
      <c r="B710" s="101"/>
      <c r="C710" s="422"/>
      <c r="D710" s="382"/>
      <c r="E710" s="102"/>
      <c r="F710" s="163"/>
      <c r="G710" s="35"/>
    </row>
    <row r="711" spans="1:12" x14ac:dyDescent="0.2">
      <c r="A711" s="29"/>
      <c r="B711" s="101"/>
      <c r="C711" s="422"/>
      <c r="D711" s="382"/>
      <c r="E711" s="102"/>
      <c r="F711" s="163"/>
      <c r="G711" s="35"/>
    </row>
    <row r="712" spans="1:12" x14ac:dyDescent="0.2">
      <c r="A712" s="29"/>
      <c r="B712" s="101"/>
      <c r="C712" s="31"/>
      <c r="D712" s="441"/>
      <c r="E712" s="102"/>
      <c r="F712" s="163"/>
      <c r="G712" s="372"/>
    </row>
    <row r="713" spans="1:12" x14ac:dyDescent="0.2">
      <c r="A713" s="29"/>
      <c r="B713" s="101"/>
      <c r="C713" s="422"/>
      <c r="D713" s="376"/>
      <c r="E713" s="102"/>
      <c r="F713" s="163"/>
      <c r="G713" s="35"/>
    </row>
    <row r="714" spans="1:12" x14ac:dyDescent="0.2">
      <c r="A714" s="29"/>
      <c r="B714" s="101"/>
      <c r="C714" s="422"/>
      <c r="D714" s="384"/>
      <c r="E714" s="102"/>
      <c r="F714" s="163"/>
      <c r="G714" s="35"/>
      <c r="J714" s="2">
        <v>75</v>
      </c>
      <c r="K714" s="211">
        <v>199.5</v>
      </c>
      <c r="L714" s="164">
        <f>K714*J714</f>
        <v>14962.5</v>
      </c>
    </row>
    <row r="715" spans="1:12" x14ac:dyDescent="0.2">
      <c r="A715" s="29"/>
      <c r="B715" s="101"/>
      <c r="C715" s="422"/>
      <c r="D715" s="165"/>
      <c r="E715" s="102"/>
      <c r="F715" s="163"/>
      <c r="G715" s="35"/>
      <c r="J715" s="2">
        <v>75</v>
      </c>
      <c r="K715" s="211">
        <v>349.5</v>
      </c>
      <c r="L715" s="164">
        <f>K715*J715</f>
        <v>26212.5</v>
      </c>
    </row>
    <row r="716" spans="1:12" x14ac:dyDescent="0.2">
      <c r="A716" s="29"/>
      <c r="B716" s="101"/>
      <c r="C716" s="31"/>
      <c r="D716" s="165"/>
      <c r="E716" s="102"/>
      <c r="F716" s="163"/>
      <c r="G716" s="35"/>
      <c r="L716" s="463">
        <f>SUM(L714:L715)</f>
        <v>41175</v>
      </c>
    </row>
    <row r="717" spans="1:12" x14ac:dyDescent="0.2">
      <c r="A717" s="29"/>
      <c r="B717" s="101"/>
      <c r="C717" s="31"/>
      <c r="D717" s="165"/>
      <c r="E717" s="102"/>
      <c r="F717" s="163"/>
      <c r="G717" s="35"/>
      <c r="J717" s="2">
        <v>75</v>
      </c>
      <c r="K717" s="211">
        <v>199.9</v>
      </c>
      <c r="L717" s="164">
        <f>K717*J717</f>
        <v>14992.5</v>
      </c>
    </row>
    <row r="718" spans="1:12" x14ac:dyDescent="0.2">
      <c r="A718" s="29"/>
      <c r="B718" s="101"/>
      <c r="C718" s="31"/>
      <c r="D718" s="67"/>
      <c r="E718" s="102"/>
      <c r="F718" s="163"/>
      <c r="G718" s="35"/>
      <c r="J718" s="430">
        <v>75</v>
      </c>
      <c r="K718" s="437">
        <v>349.9</v>
      </c>
      <c r="L718" s="164">
        <f>K718*J718</f>
        <v>26242.5</v>
      </c>
    </row>
    <row r="719" spans="1:12" x14ac:dyDescent="0.2">
      <c r="A719" s="29"/>
      <c r="B719" s="101"/>
      <c r="C719" s="31"/>
      <c r="D719" s="67"/>
      <c r="E719" s="102"/>
      <c r="F719" s="163"/>
      <c r="G719" s="35"/>
      <c r="K719" s="211"/>
      <c r="L719" s="463">
        <f>SUM(L717:L718)</f>
        <v>41235</v>
      </c>
    </row>
    <row r="720" spans="1:12" x14ac:dyDescent="0.2">
      <c r="A720" s="29"/>
      <c r="B720" s="101"/>
      <c r="C720" s="31"/>
      <c r="D720" s="165"/>
      <c r="E720" s="166"/>
      <c r="F720" s="163"/>
      <c r="G720" s="167"/>
      <c r="J720" s="430">
        <v>75</v>
      </c>
      <c r="K720" s="437">
        <v>199.95</v>
      </c>
      <c r="L720" s="164">
        <f>K720*J720</f>
        <v>14996.25</v>
      </c>
    </row>
    <row r="721" spans="1:12" x14ac:dyDescent="0.2">
      <c r="A721" s="29"/>
      <c r="B721" s="101"/>
      <c r="C721" s="31"/>
      <c r="D721" s="165"/>
      <c r="E721" s="102"/>
      <c r="F721" s="163"/>
      <c r="G721" s="167"/>
      <c r="J721" s="430">
        <v>75</v>
      </c>
      <c r="K721" s="437">
        <v>349.95</v>
      </c>
      <c r="L721" s="164">
        <f>K721*J721</f>
        <v>26246.25</v>
      </c>
    </row>
    <row r="722" spans="1:12" x14ac:dyDescent="0.2">
      <c r="A722" s="29"/>
      <c r="B722" s="101"/>
      <c r="C722" s="31"/>
      <c r="D722" s="67"/>
      <c r="E722" s="102"/>
      <c r="F722" s="163"/>
      <c r="G722" s="167"/>
      <c r="L722" s="463">
        <f>SUM(L720:L721)</f>
        <v>41242.5</v>
      </c>
    </row>
    <row r="723" spans="1:12" x14ac:dyDescent="0.2">
      <c r="A723" s="29"/>
      <c r="B723" s="101"/>
      <c r="C723" s="31"/>
      <c r="D723" s="67"/>
      <c r="E723" s="102"/>
      <c r="F723" s="163"/>
      <c r="G723" s="167"/>
    </row>
    <row r="724" spans="1:12" x14ac:dyDescent="0.2">
      <c r="A724" s="29"/>
      <c r="B724" s="101"/>
      <c r="C724" s="31"/>
      <c r="D724" s="67"/>
      <c r="E724" s="102"/>
      <c r="F724" s="163"/>
      <c r="G724" s="167"/>
    </row>
    <row r="725" spans="1:12" x14ac:dyDescent="0.2">
      <c r="A725" s="29"/>
      <c r="B725" s="101"/>
      <c r="C725" s="41"/>
      <c r="D725" s="168"/>
      <c r="E725" s="77"/>
      <c r="F725" s="169"/>
      <c r="G725" s="167"/>
      <c r="J725" s="430" t="s">
        <v>152</v>
      </c>
    </row>
    <row r="726" spans="1:12" x14ac:dyDescent="0.2">
      <c r="A726" s="29"/>
      <c r="B726" s="101"/>
      <c r="C726" s="41"/>
      <c r="D726" s="360"/>
      <c r="E726" s="77"/>
      <c r="F726" s="169"/>
      <c r="G726" s="167"/>
    </row>
    <row r="727" spans="1:12" x14ac:dyDescent="0.2">
      <c r="A727" s="29"/>
      <c r="B727" s="101"/>
      <c r="C727" s="41"/>
      <c r="D727" s="360"/>
      <c r="E727" s="77"/>
      <c r="F727" s="169"/>
      <c r="G727" s="167"/>
    </row>
    <row r="728" spans="1:12" x14ac:dyDescent="0.2">
      <c r="A728" s="29"/>
      <c r="B728" s="101"/>
      <c r="C728" s="41"/>
      <c r="D728" s="67"/>
      <c r="E728" s="77"/>
      <c r="F728" s="169"/>
      <c r="G728" s="35"/>
    </row>
    <row r="729" spans="1:12" x14ac:dyDescent="0.2">
      <c r="A729" s="29"/>
      <c r="B729" s="101"/>
      <c r="C729" s="41"/>
      <c r="D729" s="67"/>
      <c r="E729" s="77"/>
      <c r="F729" s="169" t="s">
        <v>152</v>
      </c>
      <c r="G729" s="35"/>
    </row>
    <row r="730" spans="1:12" x14ac:dyDescent="0.2">
      <c r="A730" s="29"/>
      <c r="B730" s="101"/>
      <c r="C730" s="41"/>
      <c r="D730" s="67"/>
      <c r="E730" s="77"/>
      <c r="F730" s="169"/>
      <c r="G730" s="35"/>
    </row>
    <row r="731" spans="1:12" x14ac:dyDescent="0.2">
      <c r="A731" s="29"/>
      <c r="B731" s="101"/>
      <c r="C731" s="41"/>
      <c r="D731" s="67"/>
      <c r="E731" s="77"/>
      <c r="F731" s="169"/>
      <c r="G731" s="35"/>
    </row>
    <row r="732" spans="1:12" x14ac:dyDescent="0.2">
      <c r="A732" s="29"/>
      <c r="B732" s="101"/>
      <c r="C732" s="31"/>
      <c r="D732" s="67"/>
      <c r="E732" s="102"/>
      <c r="F732" s="163"/>
      <c r="G732" s="35"/>
    </row>
    <row r="733" spans="1:12" x14ac:dyDescent="0.2">
      <c r="A733" s="29"/>
      <c r="B733" s="101"/>
      <c r="C733" s="31"/>
      <c r="D733" s="67"/>
      <c r="E733" s="102"/>
      <c r="F733" s="163"/>
      <c r="G733" s="35"/>
    </row>
    <row r="734" spans="1:12" x14ac:dyDescent="0.2">
      <c r="A734" s="29"/>
      <c r="B734" s="101"/>
      <c r="C734" s="31"/>
      <c r="D734" s="170" t="s">
        <v>150</v>
      </c>
      <c r="E734" s="102"/>
      <c r="F734" s="163"/>
      <c r="G734" s="35"/>
    </row>
    <row r="735" spans="1:12" x14ac:dyDescent="0.2">
      <c r="A735" s="29"/>
      <c r="B735" s="101"/>
      <c r="C735" s="31"/>
      <c r="D735" s="170"/>
      <c r="E735" s="102"/>
      <c r="F735" s="171"/>
      <c r="G735" s="35"/>
    </row>
    <row r="736" spans="1:12" x14ac:dyDescent="0.2">
      <c r="A736" s="29"/>
      <c r="B736" s="101"/>
      <c r="C736" s="31"/>
      <c r="D736" s="32"/>
      <c r="E736" s="104"/>
      <c r="F736" s="171"/>
      <c r="G736" s="35"/>
    </row>
    <row r="737" spans="1:7" x14ac:dyDescent="0.2">
      <c r="A737" s="29"/>
      <c r="B737" s="101"/>
      <c r="C737" s="31"/>
      <c r="D737" s="32"/>
      <c r="E737" s="104"/>
      <c r="F737" s="171"/>
      <c r="G737" s="35"/>
    </row>
    <row r="738" spans="1:7" x14ac:dyDescent="0.2">
      <c r="A738" s="29"/>
      <c r="B738" s="101"/>
      <c r="C738" s="31"/>
      <c r="D738" s="32"/>
      <c r="E738" s="104"/>
      <c r="F738" s="171"/>
      <c r="G738" s="35"/>
    </row>
    <row r="739" spans="1:7" x14ac:dyDescent="0.2">
      <c r="A739" s="29"/>
      <c r="B739" s="101"/>
      <c r="C739" s="31"/>
      <c r="D739" s="39"/>
      <c r="E739" s="104"/>
      <c r="F739" s="172"/>
      <c r="G739" s="35"/>
    </row>
    <row r="740" spans="1:7" x14ac:dyDescent="0.2">
      <c r="A740" s="29"/>
      <c r="B740" s="101"/>
      <c r="C740" s="31" t="s">
        <v>8</v>
      </c>
      <c r="E740" s="104"/>
      <c r="F740" s="172"/>
      <c r="G740" s="35"/>
    </row>
    <row r="741" spans="1:7" x14ac:dyDescent="0.2">
      <c r="A741" s="29"/>
      <c r="B741" s="101"/>
      <c r="C741" s="31"/>
      <c r="D741" s="32"/>
      <c r="E741" s="104"/>
      <c r="F741" s="173"/>
      <c r="G741" s="167" t="s">
        <v>8</v>
      </c>
    </row>
    <row r="742" spans="1:7" ht="13.5" thickBot="1" x14ac:dyDescent="0.25">
      <c r="A742" s="45"/>
      <c r="B742" s="174"/>
      <c r="C742" s="47"/>
      <c r="D742" s="175"/>
      <c r="E742" s="174"/>
      <c r="F742" s="49" t="s">
        <v>15</v>
      </c>
      <c r="G742" s="50">
        <f>SUM(G708:G741)</f>
        <v>30000</v>
      </c>
    </row>
    <row r="743" spans="1:7" ht="13.5" thickTop="1" x14ac:dyDescent="0.2">
      <c r="A743" s="361" t="s">
        <v>1717</v>
      </c>
      <c r="B743" s="176"/>
      <c r="E743" s="176"/>
      <c r="G743" s="20"/>
    </row>
    <row r="744" spans="1:7" ht="13.5" thickBot="1" x14ac:dyDescent="0.25">
      <c r="A744" s="1056" t="s">
        <v>1718</v>
      </c>
      <c r="B744" s="1054"/>
      <c r="C744" s="1054"/>
      <c r="D744" s="1054"/>
      <c r="E744" s="1054"/>
      <c r="F744" s="1054"/>
      <c r="G744" s="1055"/>
    </row>
    <row r="745" spans="1:7" ht="13.5" thickTop="1" x14ac:dyDescent="0.2">
      <c r="A745" s="906"/>
      <c r="B745" s="907"/>
      <c r="C745" s="907"/>
      <c r="D745" s="57" t="s">
        <v>11</v>
      </c>
      <c r="E745" s="908" t="s">
        <v>12</v>
      </c>
      <c r="F745" s="908"/>
      <c r="G745" s="909"/>
    </row>
    <row r="746" spans="1:7" x14ac:dyDescent="0.2">
      <c r="A746" s="910" t="s">
        <v>17</v>
      </c>
      <c r="B746" s="911"/>
      <c r="C746" s="911"/>
      <c r="D746" s="57"/>
      <c r="E746" s="912"/>
      <c r="F746" s="913"/>
      <c r="G746" s="914"/>
    </row>
    <row r="747" spans="1:7" x14ac:dyDescent="0.2">
      <c r="A747" s="910" t="s">
        <v>38</v>
      </c>
      <c r="B747" s="911"/>
      <c r="C747" s="911"/>
      <c r="D747" s="58" t="s">
        <v>1015</v>
      </c>
      <c r="E747" s="969" t="s">
        <v>142</v>
      </c>
      <c r="F747" s="868"/>
      <c r="G747" s="869"/>
    </row>
    <row r="748" spans="1:7" ht="13.5" thickBot="1" x14ac:dyDescent="0.25">
      <c r="A748" s="901" t="s">
        <v>39</v>
      </c>
      <c r="B748" s="902"/>
      <c r="C748" s="902"/>
      <c r="D748" s="59" t="s">
        <v>245</v>
      </c>
      <c r="E748" s="904" t="s">
        <v>0</v>
      </c>
      <c r="F748" s="904"/>
      <c r="G748" s="905"/>
    </row>
    <row r="749" spans="1:7" ht="16.5" x14ac:dyDescent="0.25">
      <c r="A749" s="885" t="s">
        <v>29</v>
      </c>
      <c r="B749" s="886"/>
      <c r="C749" s="886"/>
      <c r="D749" s="886"/>
      <c r="E749" s="886"/>
      <c r="F749" s="886"/>
      <c r="G749" s="887"/>
    </row>
    <row r="750" spans="1:7" x14ac:dyDescent="0.2">
      <c r="A750" s="888" t="s">
        <v>48</v>
      </c>
      <c r="B750" s="889"/>
      <c r="C750" s="889"/>
      <c r="D750" s="889"/>
      <c r="E750" s="889"/>
      <c r="F750" s="889"/>
      <c r="G750" s="890"/>
    </row>
    <row r="751" spans="1:7" x14ac:dyDescent="0.2">
      <c r="A751" s="915" t="s">
        <v>49</v>
      </c>
      <c r="B751" s="916"/>
      <c r="C751" s="916"/>
      <c r="D751" s="916"/>
      <c r="E751" s="916"/>
      <c r="F751" s="916"/>
      <c r="G751" s="917"/>
    </row>
    <row r="752" spans="1:7" x14ac:dyDescent="0.2">
      <c r="A752" s="6"/>
      <c r="B752" s="99"/>
      <c r="C752" s="8"/>
      <c r="D752" s="9"/>
      <c r="E752" s="99"/>
      <c r="F752" s="10"/>
      <c r="G752" s="11" t="s">
        <v>8</v>
      </c>
    </row>
    <row r="753" spans="1:7" x14ac:dyDescent="0.2">
      <c r="A753" s="12" t="s">
        <v>1</v>
      </c>
      <c r="B753" s="13"/>
      <c r="C753" s="14" t="s">
        <v>16</v>
      </c>
      <c r="D753" s="13"/>
      <c r="E753" s="362" t="s">
        <v>2100</v>
      </c>
      <c r="F753" s="60"/>
      <c r="G753" s="363" t="s">
        <v>2093</v>
      </c>
    </row>
    <row r="754" spans="1:7" x14ac:dyDescent="0.2">
      <c r="A754" s="17" t="s">
        <v>8</v>
      </c>
      <c r="B754" s="100"/>
      <c r="C754" s="19"/>
      <c r="D754" s="4"/>
      <c r="E754" s="918"/>
      <c r="F754" s="919"/>
      <c r="G754" s="20"/>
    </row>
    <row r="755" spans="1:7" x14ac:dyDescent="0.2">
      <c r="A755" s="21" t="s">
        <v>37</v>
      </c>
      <c r="B755" s="22"/>
      <c r="C755" s="22"/>
      <c r="D755" s="22"/>
      <c r="E755" s="23" t="s">
        <v>46</v>
      </c>
      <c r="F755" s="24"/>
      <c r="G755" s="20" t="s">
        <v>50</v>
      </c>
    </row>
    <row r="756" spans="1:7" x14ac:dyDescent="0.2">
      <c r="A756" s="6"/>
      <c r="B756" s="99"/>
      <c r="C756" s="8"/>
      <c r="D756" s="8"/>
      <c r="E756" s="920"/>
      <c r="F756" s="921"/>
      <c r="G756" s="25"/>
    </row>
    <row r="757" spans="1:7" ht="26.25" thickBot="1" x14ac:dyDescent="0.25">
      <c r="A757" s="26" t="s">
        <v>47</v>
      </c>
      <c r="B757" s="161" t="s">
        <v>23</v>
      </c>
      <c r="C757" s="28" t="s">
        <v>34</v>
      </c>
      <c r="D757" s="110" t="s">
        <v>53</v>
      </c>
      <c r="E757" s="114" t="s">
        <v>54</v>
      </c>
      <c r="F757" s="111" t="s">
        <v>55</v>
      </c>
      <c r="G757" s="112" t="s">
        <v>35</v>
      </c>
    </row>
    <row r="758" spans="1:7" ht="13.5" thickTop="1" x14ac:dyDescent="0.2">
      <c r="A758" s="29">
        <v>1</v>
      </c>
      <c r="B758" s="101"/>
      <c r="C758" s="422" t="s">
        <v>149</v>
      </c>
      <c r="D758" s="382" t="s">
        <v>2129</v>
      </c>
      <c r="E758" s="102">
        <v>250</v>
      </c>
      <c r="F758" s="163">
        <v>200</v>
      </c>
      <c r="G758" s="372">
        <f>F758*E758</f>
        <v>50000</v>
      </c>
    </row>
    <row r="759" spans="1:7" x14ac:dyDescent="0.2">
      <c r="A759" s="29">
        <v>2</v>
      </c>
      <c r="B759" s="101"/>
      <c r="C759" s="422" t="s">
        <v>149</v>
      </c>
      <c r="D759" s="382" t="s">
        <v>348</v>
      </c>
      <c r="E759" s="102">
        <v>250</v>
      </c>
      <c r="F759" s="163">
        <v>350</v>
      </c>
      <c r="G759" s="35">
        <f>F759*E759</f>
        <v>87500</v>
      </c>
    </row>
    <row r="760" spans="1:7" x14ac:dyDescent="0.2">
      <c r="A760" s="29"/>
      <c r="B760" s="101"/>
      <c r="C760" s="422"/>
      <c r="D760" s="382" t="s">
        <v>2094</v>
      </c>
      <c r="E760" s="102"/>
      <c r="F760" s="163"/>
      <c r="G760" s="35"/>
    </row>
    <row r="761" spans="1:7" x14ac:dyDescent="0.2">
      <c r="A761" s="29">
        <v>3</v>
      </c>
      <c r="B761" s="101"/>
      <c r="C761" s="422" t="s">
        <v>149</v>
      </c>
      <c r="D761" s="165" t="s">
        <v>2095</v>
      </c>
      <c r="E761" s="102">
        <v>250</v>
      </c>
      <c r="F761" s="163">
        <v>200</v>
      </c>
      <c r="G761" s="372">
        <f>F761*E761</f>
        <v>50000</v>
      </c>
    </row>
    <row r="762" spans="1:7" x14ac:dyDescent="0.2">
      <c r="A762" s="29"/>
      <c r="B762" s="101"/>
      <c r="C762" s="422"/>
      <c r="D762" s="376"/>
      <c r="E762" s="102"/>
      <c r="F762" s="163"/>
      <c r="G762" s="35"/>
    </row>
    <row r="763" spans="1:7" x14ac:dyDescent="0.2">
      <c r="A763" s="29"/>
      <c r="B763" s="101"/>
      <c r="C763" s="422"/>
      <c r="D763" s="384" t="s">
        <v>1188</v>
      </c>
      <c r="E763" s="102"/>
      <c r="F763" s="163"/>
      <c r="G763" s="35"/>
    </row>
    <row r="764" spans="1:7" x14ac:dyDescent="0.2">
      <c r="A764" s="29"/>
      <c r="B764" s="101"/>
      <c r="C764" s="422"/>
      <c r="D764" s="165"/>
      <c r="E764" s="102"/>
      <c r="F764" s="163"/>
      <c r="G764" s="35"/>
    </row>
    <row r="765" spans="1:7" x14ac:dyDescent="0.2">
      <c r="A765" s="29"/>
      <c r="B765" s="101"/>
      <c r="C765" s="31"/>
      <c r="D765" s="165"/>
      <c r="E765" s="102"/>
      <c r="F765" s="163"/>
      <c r="G765" s="35"/>
    </row>
    <row r="766" spans="1:7" x14ac:dyDescent="0.2">
      <c r="A766" s="29"/>
      <c r="B766" s="101"/>
      <c r="C766" s="31"/>
      <c r="D766" s="165"/>
      <c r="E766" s="102"/>
      <c r="F766" s="163"/>
      <c r="G766" s="35"/>
    </row>
    <row r="767" spans="1:7" x14ac:dyDescent="0.2">
      <c r="A767" s="29"/>
      <c r="B767" s="101"/>
      <c r="C767" s="31"/>
      <c r="D767" s="165"/>
      <c r="E767" s="102"/>
      <c r="F767" s="163"/>
      <c r="G767" s="35"/>
    </row>
    <row r="768" spans="1:7" x14ac:dyDescent="0.2">
      <c r="A768" s="29"/>
      <c r="B768" s="101"/>
      <c r="C768" s="31"/>
      <c r="D768" s="67"/>
      <c r="E768" s="102"/>
      <c r="F768" s="163"/>
      <c r="G768" s="35"/>
    </row>
    <row r="769" spans="1:7" x14ac:dyDescent="0.2">
      <c r="A769" s="29"/>
      <c r="B769" s="101"/>
      <c r="C769" s="31"/>
      <c r="D769" s="67"/>
      <c r="E769" s="102"/>
      <c r="F769" s="163"/>
      <c r="G769" s="35"/>
    </row>
    <row r="770" spans="1:7" x14ac:dyDescent="0.2">
      <c r="A770" s="29"/>
      <c r="B770" s="101"/>
      <c r="C770" s="31"/>
      <c r="D770" s="165" t="s">
        <v>152</v>
      </c>
      <c r="E770" s="166"/>
      <c r="F770" s="163"/>
      <c r="G770" s="167"/>
    </row>
    <row r="771" spans="1:7" x14ac:dyDescent="0.2">
      <c r="A771" s="29"/>
      <c r="B771" s="101"/>
      <c r="C771" s="31"/>
      <c r="D771" s="165"/>
      <c r="E771" s="102"/>
      <c r="F771" s="163"/>
      <c r="G771" s="167"/>
    </row>
    <row r="772" spans="1:7" x14ac:dyDescent="0.2">
      <c r="A772" s="29"/>
      <c r="B772" s="101"/>
      <c r="C772" s="31"/>
      <c r="D772" s="67"/>
      <c r="E772" s="102"/>
      <c r="F772" s="163"/>
      <c r="G772" s="167"/>
    </row>
    <row r="773" spans="1:7" x14ac:dyDescent="0.2">
      <c r="A773" s="29"/>
      <c r="B773" s="101"/>
      <c r="C773" s="31"/>
      <c r="D773" s="67"/>
      <c r="E773" s="102"/>
      <c r="F773" s="163"/>
      <c r="G773" s="167"/>
    </row>
    <row r="774" spans="1:7" x14ac:dyDescent="0.2">
      <c r="A774" s="29"/>
      <c r="B774" s="101"/>
      <c r="C774" s="31"/>
      <c r="D774" s="67"/>
      <c r="E774" s="102"/>
      <c r="F774" s="163"/>
      <c r="G774" s="167"/>
    </row>
    <row r="775" spans="1:7" x14ac:dyDescent="0.2">
      <c r="A775" s="29"/>
      <c r="B775" s="101"/>
      <c r="C775" s="41"/>
      <c r="D775" s="168"/>
      <c r="E775" s="77"/>
      <c r="F775" s="169"/>
      <c r="G775" s="167"/>
    </row>
    <row r="776" spans="1:7" x14ac:dyDescent="0.2">
      <c r="A776" s="29"/>
      <c r="B776" s="101"/>
      <c r="C776" s="41"/>
      <c r="D776" s="360"/>
      <c r="E776" s="77"/>
      <c r="F776" s="169"/>
      <c r="G776" s="167"/>
    </row>
    <row r="777" spans="1:7" x14ac:dyDescent="0.2">
      <c r="A777" s="29"/>
      <c r="B777" s="101"/>
      <c r="C777" s="41"/>
      <c r="D777" s="360"/>
      <c r="E777" s="77"/>
      <c r="F777" s="169"/>
      <c r="G777" s="167"/>
    </row>
    <row r="778" spans="1:7" x14ac:dyDescent="0.2">
      <c r="A778" s="29"/>
      <c r="B778" s="101"/>
      <c r="C778" s="41"/>
      <c r="D778" s="67"/>
      <c r="E778" s="77"/>
      <c r="F778" s="169"/>
      <c r="G778" s="35"/>
    </row>
    <row r="779" spans="1:7" x14ac:dyDescent="0.2">
      <c r="A779" s="29"/>
      <c r="B779" s="101"/>
      <c r="C779" s="41"/>
      <c r="D779" s="384" t="s">
        <v>150</v>
      </c>
      <c r="E779" s="77"/>
      <c r="F779" s="169" t="s">
        <v>152</v>
      </c>
      <c r="G779" s="35"/>
    </row>
    <row r="780" spans="1:7" x14ac:dyDescent="0.2">
      <c r="A780" s="29"/>
      <c r="B780" s="101"/>
      <c r="C780" s="41"/>
      <c r="D780" s="67"/>
      <c r="E780" s="77"/>
      <c r="F780" s="169"/>
      <c r="G780" s="35"/>
    </row>
    <row r="781" spans="1:7" x14ac:dyDescent="0.2">
      <c r="A781" s="29"/>
      <c r="B781" s="101"/>
      <c r="C781" s="41"/>
      <c r="D781" s="67"/>
      <c r="E781" s="77"/>
      <c r="F781" s="169"/>
      <c r="G781" s="35"/>
    </row>
    <row r="782" spans="1:7" x14ac:dyDescent="0.2">
      <c r="A782" s="29"/>
      <c r="B782" s="101"/>
      <c r="C782" s="31"/>
      <c r="D782" s="67"/>
      <c r="E782" s="102"/>
      <c r="F782" s="163"/>
      <c r="G782" s="35"/>
    </row>
    <row r="783" spans="1:7" x14ac:dyDescent="0.2">
      <c r="A783" s="29"/>
      <c r="B783" s="101"/>
      <c r="C783" s="31"/>
      <c r="D783" s="67"/>
      <c r="E783" s="102"/>
      <c r="F783" s="163"/>
      <c r="G783" s="35"/>
    </row>
    <row r="784" spans="1:7" x14ac:dyDescent="0.2">
      <c r="A784" s="29"/>
      <c r="B784" s="101"/>
      <c r="C784" s="31"/>
      <c r="D784" s="170" t="s">
        <v>150</v>
      </c>
      <c r="E784" s="102"/>
      <c r="F784" s="163"/>
      <c r="G784" s="35"/>
    </row>
    <row r="785" spans="1:12" x14ac:dyDescent="0.2">
      <c r="A785" s="29"/>
      <c r="B785" s="101"/>
      <c r="C785" s="31"/>
      <c r="D785" s="170"/>
      <c r="E785" s="102"/>
      <c r="F785" s="171"/>
      <c r="G785" s="35"/>
      <c r="J785" s="430" t="s">
        <v>8</v>
      </c>
    </row>
    <row r="786" spans="1:12" x14ac:dyDescent="0.2">
      <c r="A786" s="29"/>
      <c r="B786" s="101"/>
      <c r="C786" s="31"/>
      <c r="D786" s="32"/>
      <c r="E786" s="104"/>
      <c r="F786" s="171"/>
      <c r="G786" s="35"/>
    </row>
    <row r="787" spans="1:12" x14ac:dyDescent="0.2">
      <c r="A787" s="29"/>
      <c r="B787" s="101"/>
      <c r="C787" s="31"/>
      <c r="D787" s="32"/>
      <c r="E787" s="104"/>
      <c r="F787" s="171"/>
      <c r="G787" s="35"/>
    </row>
    <row r="788" spans="1:12" x14ac:dyDescent="0.2">
      <c r="A788" s="29"/>
      <c r="B788" s="101"/>
      <c r="C788" s="31"/>
      <c r="D788" s="32"/>
      <c r="E788" s="104"/>
      <c r="F788" s="171"/>
      <c r="G788" s="35"/>
    </row>
    <row r="789" spans="1:12" x14ac:dyDescent="0.2">
      <c r="A789" s="29"/>
      <c r="B789" s="101"/>
      <c r="C789" s="31"/>
      <c r="D789" s="39"/>
      <c r="E789" s="104"/>
      <c r="F789" s="172"/>
      <c r="G789" s="35"/>
      <c r="J789" s="430" t="s">
        <v>8</v>
      </c>
      <c r="K789" s="430" t="s">
        <v>8</v>
      </c>
      <c r="L789" s="430" t="s">
        <v>8</v>
      </c>
    </row>
    <row r="790" spans="1:12" x14ac:dyDescent="0.2">
      <c r="A790" s="29"/>
      <c r="B790" s="101"/>
      <c r="C790" s="31" t="s">
        <v>8</v>
      </c>
      <c r="E790" s="104"/>
      <c r="F790" s="172"/>
      <c r="G790" s="35"/>
      <c r="K790" s="430" t="s">
        <v>8</v>
      </c>
    </row>
    <row r="791" spans="1:12" x14ac:dyDescent="0.2">
      <c r="A791" s="29"/>
      <c r="B791" s="101"/>
      <c r="C791" s="31"/>
      <c r="D791" s="32"/>
      <c r="E791" s="104"/>
      <c r="F791" s="173"/>
      <c r="G791" s="167" t="s">
        <v>8</v>
      </c>
    </row>
    <row r="792" spans="1:12" ht="13.5" thickBot="1" x14ac:dyDescent="0.25">
      <c r="A792" s="45"/>
      <c r="B792" s="174"/>
      <c r="C792" s="47"/>
      <c r="D792" s="175"/>
      <c r="E792" s="174"/>
      <c r="F792" s="49" t="s">
        <v>15</v>
      </c>
      <c r="G792" s="50">
        <f>SUM(G758:G791)</f>
        <v>187500</v>
      </c>
    </row>
    <row r="793" spans="1:12" ht="13.5" thickTop="1" x14ac:dyDescent="0.2">
      <c r="A793" s="361" t="s">
        <v>2096</v>
      </c>
      <c r="B793" s="176"/>
      <c r="E793" s="176"/>
      <c r="G793" s="20"/>
    </row>
    <row r="794" spans="1:12" ht="13.5" thickBot="1" x14ac:dyDescent="0.25">
      <c r="A794" s="622"/>
      <c r="B794" s="623"/>
      <c r="C794" s="961" t="s">
        <v>2097</v>
      </c>
      <c r="D794" s="1054"/>
      <c r="E794" s="1054"/>
      <c r="F794" s="1054"/>
      <c r="G794" s="1055"/>
    </row>
    <row r="795" spans="1:12" ht="13.5" thickTop="1" x14ac:dyDescent="0.2">
      <c r="A795" s="906"/>
      <c r="B795" s="907"/>
      <c r="C795" s="907"/>
      <c r="D795" s="57" t="s">
        <v>11</v>
      </c>
      <c r="E795" s="908" t="s">
        <v>12</v>
      </c>
      <c r="F795" s="908"/>
      <c r="G795" s="909"/>
    </row>
    <row r="796" spans="1:12" x14ac:dyDescent="0.2">
      <c r="A796" s="910" t="s">
        <v>17</v>
      </c>
      <c r="B796" s="911"/>
      <c r="C796" s="911"/>
      <c r="D796" s="57"/>
      <c r="E796" s="912"/>
      <c r="F796" s="913"/>
      <c r="G796" s="914"/>
    </row>
    <row r="797" spans="1:12" x14ac:dyDescent="0.2">
      <c r="A797" s="910" t="s">
        <v>38</v>
      </c>
      <c r="B797" s="911"/>
      <c r="C797" s="911"/>
      <c r="D797" s="58" t="s">
        <v>1015</v>
      </c>
      <c r="E797" s="969" t="s">
        <v>142</v>
      </c>
      <c r="F797" s="868"/>
      <c r="G797" s="869"/>
    </row>
    <row r="798" spans="1:12" ht="13.5" thickBot="1" x14ac:dyDescent="0.25">
      <c r="A798" s="901" t="s">
        <v>39</v>
      </c>
      <c r="B798" s="902"/>
      <c r="C798" s="902"/>
      <c r="D798" s="59" t="s">
        <v>245</v>
      </c>
      <c r="E798" s="904" t="s">
        <v>0</v>
      </c>
      <c r="F798" s="904"/>
      <c r="G798" s="905"/>
    </row>
    <row r="799" spans="1:12" ht="16.5" x14ac:dyDescent="0.25">
      <c r="A799" s="885" t="s">
        <v>29</v>
      </c>
      <c r="B799" s="886"/>
      <c r="C799" s="886"/>
      <c r="D799" s="886"/>
      <c r="E799" s="886"/>
      <c r="F799" s="886"/>
      <c r="G799" s="887"/>
    </row>
    <row r="800" spans="1:12" x14ac:dyDescent="0.2">
      <c r="A800" s="888" t="s">
        <v>48</v>
      </c>
      <c r="B800" s="889"/>
      <c r="C800" s="889"/>
      <c r="D800" s="889"/>
      <c r="E800" s="889"/>
      <c r="F800" s="889"/>
      <c r="G800" s="890"/>
    </row>
    <row r="801" spans="1:10" x14ac:dyDescent="0.2">
      <c r="A801" s="915" t="s">
        <v>49</v>
      </c>
      <c r="B801" s="916"/>
      <c r="C801" s="916"/>
      <c r="D801" s="916"/>
      <c r="E801" s="916"/>
      <c r="F801" s="916"/>
      <c r="G801" s="917"/>
    </row>
    <row r="802" spans="1:10" x14ac:dyDescent="0.2">
      <c r="A802" s="6"/>
      <c r="B802" s="99"/>
      <c r="C802" s="8"/>
      <c r="D802" s="9"/>
      <c r="E802" s="99"/>
      <c r="F802" s="10"/>
      <c r="G802" s="11" t="s">
        <v>8</v>
      </c>
    </row>
    <row r="803" spans="1:10" x14ac:dyDescent="0.2">
      <c r="A803" s="12" t="s">
        <v>1</v>
      </c>
      <c r="B803" s="13"/>
      <c r="C803" s="14" t="s">
        <v>16</v>
      </c>
      <c r="D803" s="13"/>
      <c r="E803" s="362" t="s">
        <v>2522</v>
      </c>
      <c r="F803" s="60"/>
      <c r="G803" s="363" t="s">
        <v>2515</v>
      </c>
    </row>
    <row r="804" spans="1:10" x14ac:dyDescent="0.2">
      <c r="A804" s="17" t="s">
        <v>8</v>
      </c>
      <c r="B804" s="100"/>
      <c r="C804" s="19"/>
      <c r="D804" s="4"/>
      <c r="E804" s="918"/>
      <c r="F804" s="919"/>
      <c r="G804" s="20"/>
    </row>
    <row r="805" spans="1:10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10" x14ac:dyDescent="0.2">
      <c r="A806" s="6"/>
      <c r="B806" s="99"/>
      <c r="C806" s="8"/>
      <c r="D806" s="8"/>
      <c r="E806" s="920"/>
      <c r="F806" s="921"/>
      <c r="G806" s="25"/>
    </row>
    <row r="807" spans="1:10" ht="26.25" thickBot="1" x14ac:dyDescent="0.25">
      <c r="A807" s="26" t="s">
        <v>47</v>
      </c>
      <c r="B807" s="161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10" ht="13.5" thickTop="1" x14ac:dyDescent="0.2">
      <c r="A808" s="29">
        <v>1</v>
      </c>
      <c r="B808" s="101"/>
      <c r="C808" s="422" t="s">
        <v>149</v>
      </c>
      <c r="D808" s="382" t="s">
        <v>2516</v>
      </c>
      <c r="E808" s="102">
        <v>20</v>
      </c>
      <c r="F808" s="587">
        <v>190</v>
      </c>
      <c r="G808" s="372">
        <f>F808*E808</f>
        <v>3800</v>
      </c>
      <c r="J808" s="2">
        <f>3800/20</f>
        <v>190</v>
      </c>
    </row>
    <row r="809" spans="1:10" x14ac:dyDescent="0.2">
      <c r="A809" s="29"/>
      <c r="B809" s="101"/>
      <c r="C809" s="422"/>
      <c r="D809" s="382" t="s">
        <v>2517</v>
      </c>
      <c r="E809" s="102"/>
      <c r="F809" s="163"/>
      <c r="G809" s="35"/>
    </row>
    <row r="810" spans="1:10" x14ac:dyDescent="0.2">
      <c r="A810" s="29"/>
      <c r="B810" s="101"/>
      <c r="C810" s="422"/>
      <c r="D810" s="382"/>
      <c r="E810" s="102"/>
      <c r="F810" s="163"/>
      <c r="G810" s="35"/>
    </row>
    <row r="811" spans="1:10" x14ac:dyDescent="0.2">
      <c r="A811" s="29"/>
      <c r="B811" s="101"/>
      <c r="C811" s="422"/>
      <c r="D811" s="165"/>
      <c r="E811" s="102"/>
      <c r="F811" s="163"/>
      <c r="G811" s="372"/>
    </row>
    <row r="812" spans="1:10" x14ac:dyDescent="0.2">
      <c r="A812" s="29"/>
      <c r="B812" s="101"/>
      <c r="C812" s="422"/>
      <c r="D812" s="376"/>
      <c r="E812" s="102"/>
      <c r="F812" s="163"/>
      <c r="G812" s="35"/>
    </row>
    <row r="813" spans="1:10" x14ac:dyDescent="0.2">
      <c r="A813" s="29"/>
      <c r="B813" s="101"/>
      <c r="C813" s="422"/>
      <c r="D813" s="384"/>
      <c r="E813" s="102"/>
      <c r="F813" s="163"/>
      <c r="G813" s="35"/>
    </row>
    <row r="814" spans="1:10" x14ac:dyDescent="0.2">
      <c r="A814" s="29"/>
      <c r="B814" s="101"/>
      <c r="C814" s="422"/>
      <c r="D814" s="165"/>
      <c r="E814" s="102"/>
      <c r="F814" s="163"/>
      <c r="G814" s="35"/>
    </row>
    <row r="815" spans="1:10" x14ac:dyDescent="0.2">
      <c r="A815" s="29"/>
      <c r="B815" s="101"/>
      <c r="C815" s="31"/>
      <c r="E815" s="102"/>
      <c r="F815" s="163"/>
      <c r="G815" s="35"/>
    </row>
    <row r="816" spans="1:10" x14ac:dyDescent="0.2">
      <c r="A816" s="29"/>
      <c r="B816" s="101"/>
      <c r="C816" s="31"/>
      <c r="D816" s="165"/>
      <c r="E816" s="102"/>
      <c r="F816" s="163"/>
      <c r="G816" s="35"/>
    </row>
    <row r="817" spans="1:7" x14ac:dyDescent="0.2">
      <c r="A817" s="29"/>
      <c r="B817" s="101"/>
      <c r="C817" s="31"/>
      <c r="D817" s="165"/>
      <c r="E817" s="102"/>
      <c r="F817" s="163"/>
      <c r="G817" s="35"/>
    </row>
    <row r="818" spans="1:7" x14ac:dyDescent="0.2">
      <c r="A818" s="29"/>
      <c r="B818" s="101"/>
      <c r="C818" s="31"/>
      <c r="D818" s="67"/>
      <c r="E818" s="102"/>
      <c r="F818" s="163"/>
      <c r="G818" s="35"/>
    </row>
    <row r="819" spans="1:7" x14ac:dyDescent="0.2">
      <c r="A819" s="29"/>
      <c r="B819" s="101"/>
      <c r="C819" s="31"/>
      <c r="D819" s="67"/>
      <c r="E819" s="102"/>
      <c r="F819" s="163"/>
      <c r="G819" s="35"/>
    </row>
    <row r="820" spans="1:7" x14ac:dyDescent="0.2">
      <c r="A820" s="29"/>
      <c r="B820" s="101"/>
      <c r="C820" s="31"/>
      <c r="D820" s="165" t="s">
        <v>152</v>
      </c>
      <c r="E820" s="166"/>
      <c r="F820" s="163"/>
      <c r="G820" s="167"/>
    </row>
    <row r="821" spans="1:7" x14ac:dyDescent="0.2">
      <c r="A821" s="29"/>
      <c r="B821" s="101"/>
      <c r="C821" s="31"/>
      <c r="D821" s="165"/>
      <c r="E821" s="102"/>
      <c r="F821" s="163"/>
      <c r="G821" s="167"/>
    </row>
    <row r="822" spans="1:7" x14ac:dyDescent="0.2">
      <c r="A822" s="29"/>
      <c r="B822" s="101"/>
      <c r="C822" s="31"/>
      <c r="D822" s="67"/>
      <c r="E822" s="102"/>
      <c r="F822" s="163"/>
      <c r="G822" s="167"/>
    </row>
    <row r="823" spans="1:7" x14ac:dyDescent="0.2">
      <c r="A823" s="29"/>
      <c r="B823" s="101"/>
      <c r="C823" s="31"/>
      <c r="D823" s="67"/>
      <c r="E823" s="102"/>
      <c r="F823" s="163"/>
      <c r="G823" s="167"/>
    </row>
    <row r="824" spans="1:7" x14ac:dyDescent="0.2">
      <c r="A824" s="29"/>
      <c r="B824" s="101"/>
      <c r="C824" s="31"/>
      <c r="D824" s="67"/>
      <c r="E824" s="102"/>
      <c r="F824" s="163"/>
      <c r="G824" s="167"/>
    </row>
    <row r="825" spans="1:7" x14ac:dyDescent="0.2">
      <c r="A825" s="29"/>
      <c r="B825" s="101"/>
      <c r="C825" s="41"/>
      <c r="D825" s="168"/>
      <c r="E825" s="77"/>
      <c r="F825" s="169"/>
      <c r="G825" s="167"/>
    </row>
    <row r="826" spans="1:7" x14ac:dyDescent="0.2">
      <c r="A826" s="29"/>
      <c r="B826" s="101"/>
      <c r="C826" s="41"/>
      <c r="D826" s="360"/>
      <c r="E826" s="77"/>
      <c r="F826" s="169"/>
      <c r="G826" s="167"/>
    </row>
    <row r="827" spans="1:7" x14ac:dyDescent="0.2">
      <c r="A827" s="29"/>
      <c r="B827" s="101"/>
      <c r="C827" s="41"/>
      <c r="D827" s="360"/>
      <c r="E827" s="77"/>
      <c r="F827" s="169"/>
      <c r="G827" s="167"/>
    </row>
    <row r="828" spans="1:7" x14ac:dyDescent="0.2">
      <c r="A828" s="29"/>
      <c r="B828" s="101"/>
      <c r="C828" s="41"/>
      <c r="D828" s="67"/>
      <c r="E828" s="77"/>
      <c r="F828" s="169"/>
      <c r="G828" s="35"/>
    </row>
    <row r="829" spans="1:7" x14ac:dyDescent="0.2">
      <c r="A829" s="29"/>
      <c r="B829" s="101"/>
      <c r="C829" s="41"/>
      <c r="D829" s="67"/>
      <c r="E829" s="77"/>
      <c r="F829" s="169"/>
      <c r="G829" s="35"/>
    </row>
    <row r="830" spans="1:7" x14ac:dyDescent="0.2">
      <c r="A830" s="29"/>
      <c r="B830" s="101"/>
      <c r="C830" s="31"/>
      <c r="D830" s="67"/>
      <c r="E830" s="102"/>
      <c r="F830" s="163"/>
      <c r="G830" s="35"/>
    </row>
    <row r="831" spans="1:7" x14ac:dyDescent="0.2">
      <c r="A831" s="29"/>
      <c r="B831" s="101"/>
      <c r="C831" s="31"/>
      <c r="D831" s="67"/>
      <c r="E831" s="102"/>
      <c r="F831" s="163"/>
      <c r="G831" s="35"/>
    </row>
    <row r="832" spans="1:7" x14ac:dyDescent="0.2">
      <c r="A832" s="29"/>
      <c r="B832" s="101"/>
      <c r="C832" s="31"/>
      <c r="D832" s="170" t="s">
        <v>150</v>
      </c>
      <c r="E832" s="102"/>
      <c r="F832" s="163"/>
      <c r="G832" s="35"/>
    </row>
    <row r="833" spans="1:7" x14ac:dyDescent="0.2">
      <c r="A833" s="29"/>
      <c r="B833" s="101"/>
      <c r="C833" s="31"/>
      <c r="D833" s="170"/>
      <c r="E833" s="102"/>
      <c r="F833" s="171"/>
      <c r="G833" s="35"/>
    </row>
    <row r="834" spans="1:7" x14ac:dyDescent="0.2">
      <c r="A834" s="29"/>
      <c r="B834" s="101"/>
      <c r="C834" s="31"/>
      <c r="D834" s="32"/>
      <c r="E834" s="104"/>
      <c r="F834" s="171"/>
      <c r="G834" s="35"/>
    </row>
    <row r="835" spans="1:7" x14ac:dyDescent="0.2">
      <c r="A835" s="29"/>
      <c r="B835" s="101"/>
      <c r="C835" s="31"/>
      <c r="D835" s="32"/>
      <c r="E835" s="104"/>
      <c r="F835" s="171"/>
      <c r="G835" s="35"/>
    </row>
    <row r="836" spans="1:7" x14ac:dyDescent="0.2">
      <c r="A836" s="29"/>
      <c r="B836" s="101"/>
      <c r="C836" s="31"/>
      <c r="D836" s="32"/>
      <c r="E836" s="104"/>
      <c r="F836" s="171"/>
      <c r="G836" s="35"/>
    </row>
    <row r="837" spans="1:7" x14ac:dyDescent="0.2">
      <c r="A837" s="29"/>
      <c r="B837" s="101"/>
      <c r="C837" s="31"/>
      <c r="D837" s="39"/>
      <c r="E837" s="104"/>
      <c r="F837" s="172"/>
      <c r="G837" s="35"/>
    </row>
    <row r="838" spans="1:7" x14ac:dyDescent="0.2">
      <c r="A838" s="29"/>
      <c r="B838" s="101"/>
      <c r="C838" s="31" t="s">
        <v>8</v>
      </c>
      <c r="E838" s="104"/>
      <c r="F838" s="172"/>
      <c r="G838" s="35"/>
    </row>
    <row r="839" spans="1:7" x14ac:dyDescent="0.2">
      <c r="A839" s="29"/>
      <c r="B839" s="101"/>
      <c r="C839" s="31"/>
      <c r="D839" s="32"/>
      <c r="E839" s="104"/>
      <c r="F839" s="173"/>
      <c r="G839" s="167" t="s">
        <v>8</v>
      </c>
    </row>
    <row r="840" spans="1:7" ht="13.5" thickBot="1" x14ac:dyDescent="0.25">
      <c r="A840" s="45"/>
      <c r="B840" s="174"/>
      <c r="C840" s="47"/>
      <c r="D840" s="175"/>
      <c r="E840" s="174"/>
      <c r="F840" s="49" t="s">
        <v>15</v>
      </c>
      <c r="G840" s="50">
        <f>SUM(G808:G839)</f>
        <v>3800</v>
      </c>
    </row>
    <row r="841" spans="1:7" ht="13.5" thickTop="1" x14ac:dyDescent="0.2">
      <c r="A841" s="361" t="s">
        <v>2518</v>
      </c>
      <c r="B841" s="176"/>
      <c r="E841" s="176"/>
      <c r="G841" s="20"/>
    </row>
    <row r="842" spans="1:7" x14ac:dyDescent="0.2">
      <c r="A842" s="361"/>
      <c r="B842" s="176"/>
      <c r="C842" s="876" t="s">
        <v>2520</v>
      </c>
      <c r="D842" s="899"/>
      <c r="E842" s="899"/>
      <c r="F842" s="899"/>
      <c r="G842" s="900"/>
    </row>
    <row r="843" spans="1:7" x14ac:dyDescent="0.2">
      <c r="A843" s="361"/>
      <c r="B843" s="176"/>
      <c r="C843" s="876" t="s">
        <v>2521</v>
      </c>
      <c r="D843" s="899"/>
      <c r="E843" s="899"/>
      <c r="F843" s="899"/>
      <c r="G843" s="900"/>
    </row>
    <row r="844" spans="1:7" ht="13.5" thickBot="1" x14ac:dyDescent="0.25">
      <c r="A844" s="622"/>
      <c r="B844" s="623"/>
      <c r="C844" s="961" t="s">
        <v>2519</v>
      </c>
      <c r="D844" s="1054"/>
      <c r="E844" s="1054"/>
      <c r="F844" s="1054"/>
      <c r="G844" s="1055"/>
    </row>
    <row r="845" spans="1:7" ht="13.5" thickTop="1" x14ac:dyDescent="0.2">
      <c r="A845" s="906"/>
      <c r="B845" s="907"/>
      <c r="C845" s="907"/>
      <c r="D845" s="57" t="s">
        <v>11</v>
      </c>
      <c r="E845" s="908" t="s">
        <v>12</v>
      </c>
      <c r="F845" s="908"/>
      <c r="G845" s="909"/>
    </row>
    <row r="846" spans="1:7" x14ac:dyDescent="0.2">
      <c r="A846" s="910" t="s">
        <v>17</v>
      </c>
      <c r="B846" s="911"/>
      <c r="C846" s="911"/>
      <c r="D846" s="57"/>
      <c r="E846" s="912"/>
      <c r="F846" s="913"/>
      <c r="G846" s="914"/>
    </row>
    <row r="847" spans="1:7" x14ac:dyDescent="0.2">
      <c r="A847" s="910" t="s">
        <v>38</v>
      </c>
      <c r="B847" s="911"/>
      <c r="C847" s="911"/>
      <c r="D847" s="58" t="s">
        <v>1015</v>
      </c>
      <c r="E847" s="969" t="s">
        <v>142</v>
      </c>
      <c r="F847" s="868"/>
      <c r="G847" s="869"/>
    </row>
    <row r="848" spans="1:7" ht="13.5" thickBot="1" x14ac:dyDescent="0.25">
      <c r="A848" s="901" t="s">
        <v>39</v>
      </c>
      <c r="B848" s="902"/>
      <c r="C848" s="902"/>
      <c r="D848" s="59" t="s">
        <v>245</v>
      </c>
      <c r="E848" s="904" t="s">
        <v>0</v>
      </c>
      <c r="F848" s="904"/>
      <c r="G848" s="905"/>
    </row>
    <row r="849" spans="1:7" ht="16.5" x14ac:dyDescent="0.25">
      <c r="A849" s="885" t="s">
        <v>29</v>
      </c>
      <c r="B849" s="886"/>
      <c r="C849" s="886"/>
      <c r="D849" s="886"/>
      <c r="E849" s="886"/>
      <c r="F849" s="886"/>
      <c r="G849" s="887"/>
    </row>
    <row r="850" spans="1:7" x14ac:dyDescent="0.2">
      <c r="A850" s="888" t="s">
        <v>48</v>
      </c>
      <c r="B850" s="889"/>
      <c r="C850" s="889"/>
      <c r="D850" s="889"/>
      <c r="E850" s="889"/>
      <c r="F850" s="889"/>
      <c r="G850" s="890"/>
    </row>
    <row r="851" spans="1:7" x14ac:dyDescent="0.2">
      <c r="A851" s="915" t="s">
        <v>49</v>
      </c>
      <c r="B851" s="916"/>
      <c r="C851" s="916"/>
      <c r="D851" s="916"/>
      <c r="E851" s="916"/>
      <c r="F851" s="916"/>
      <c r="G851" s="917"/>
    </row>
    <row r="852" spans="1:7" x14ac:dyDescent="0.2">
      <c r="A852" s="6"/>
      <c r="B852" s="99"/>
      <c r="C852" s="8"/>
      <c r="D852" s="9"/>
      <c r="E852" s="99"/>
      <c r="F852" s="10"/>
      <c r="G852" s="11" t="s">
        <v>8</v>
      </c>
    </row>
    <row r="853" spans="1:7" x14ac:dyDescent="0.2">
      <c r="A853" s="12" t="s">
        <v>1</v>
      </c>
      <c r="B853" s="13"/>
      <c r="C853" s="14" t="s">
        <v>16</v>
      </c>
      <c r="D853" s="13"/>
      <c r="E853" s="362" t="s">
        <v>3531</v>
      </c>
      <c r="F853" s="60"/>
      <c r="G853" s="363" t="s">
        <v>3530</v>
      </c>
    </row>
    <row r="854" spans="1:7" x14ac:dyDescent="0.2">
      <c r="A854" s="17" t="s">
        <v>8</v>
      </c>
      <c r="B854" s="100"/>
      <c r="C854" s="19"/>
      <c r="D854" s="4"/>
      <c r="E854" s="918"/>
      <c r="F854" s="919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920"/>
      <c r="F856" s="921"/>
      <c r="G856" s="25"/>
    </row>
    <row r="857" spans="1:7" ht="26.25" thickBot="1" x14ac:dyDescent="0.25">
      <c r="A857" s="26" t="s">
        <v>47</v>
      </c>
      <c r="B857" s="161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422" t="s">
        <v>149</v>
      </c>
      <c r="D858" s="382" t="s">
        <v>3532</v>
      </c>
      <c r="E858" s="102">
        <v>50</v>
      </c>
      <c r="F858" s="163">
        <v>200</v>
      </c>
      <c r="G858" s="372">
        <f>F858*E858</f>
        <v>10000</v>
      </c>
    </row>
    <row r="859" spans="1:7" x14ac:dyDescent="0.2">
      <c r="A859" s="29"/>
      <c r="B859" s="655"/>
      <c r="C859" s="860"/>
      <c r="D859" s="382" t="s">
        <v>3533</v>
      </c>
      <c r="E859" s="788"/>
      <c r="F859" s="780"/>
      <c r="G859" s="372"/>
    </row>
    <row r="860" spans="1:7" x14ac:dyDescent="0.2">
      <c r="A860" s="29">
        <v>2</v>
      </c>
      <c r="B860" s="101"/>
      <c r="C860" s="422" t="s">
        <v>149</v>
      </c>
      <c r="D860" s="382" t="s">
        <v>348</v>
      </c>
      <c r="E860" s="102">
        <v>50</v>
      </c>
      <c r="F860" s="163">
        <v>350</v>
      </c>
      <c r="G860" s="372">
        <f t="shared" ref="G860" si="5">F860*E860</f>
        <v>17500</v>
      </c>
    </row>
    <row r="861" spans="1:7" x14ac:dyDescent="0.2">
      <c r="A861" s="29"/>
      <c r="B861" s="101"/>
      <c r="C861" s="422"/>
      <c r="D861" s="382" t="s">
        <v>3534</v>
      </c>
      <c r="E861" s="102"/>
      <c r="F861" s="163"/>
      <c r="G861" s="35"/>
    </row>
    <row r="862" spans="1:7" x14ac:dyDescent="0.2">
      <c r="A862" s="29"/>
      <c r="B862" s="101"/>
      <c r="C862" s="422"/>
      <c r="D862" s="165"/>
      <c r="E862" s="102"/>
      <c r="F862" s="163"/>
      <c r="G862" s="372"/>
    </row>
    <row r="863" spans="1:7" x14ac:dyDescent="0.2">
      <c r="A863" s="29"/>
      <c r="B863" s="101"/>
      <c r="C863" s="422"/>
      <c r="D863" s="165" t="s">
        <v>1145</v>
      </c>
      <c r="E863" s="102"/>
      <c r="F863" s="163"/>
      <c r="G863" s="35"/>
    </row>
    <row r="864" spans="1:7" x14ac:dyDescent="0.2">
      <c r="A864" s="29"/>
      <c r="B864" s="101"/>
      <c r="C864" s="422"/>
      <c r="D864" s="384"/>
      <c r="E864" s="102"/>
      <c r="F864" s="163"/>
      <c r="G864" s="35"/>
    </row>
    <row r="865" spans="1:7" x14ac:dyDescent="0.2">
      <c r="A865" s="29"/>
      <c r="B865" s="101"/>
      <c r="C865" s="422"/>
      <c r="D865" s="165"/>
      <c r="E865" s="102"/>
      <c r="F865" s="163"/>
      <c r="G865" s="35"/>
    </row>
    <row r="866" spans="1:7" x14ac:dyDescent="0.2">
      <c r="A866" s="29"/>
      <c r="B866" s="101"/>
      <c r="C866" s="31"/>
      <c r="D866" s="165"/>
      <c r="E866" s="102"/>
      <c r="F866" s="163"/>
      <c r="G866" s="35"/>
    </row>
    <row r="867" spans="1:7" x14ac:dyDescent="0.2">
      <c r="A867" s="29"/>
      <c r="B867" s="101"/>
      <c r="C867" s="31"/>
      <c r="D867" s="165"/>
      <c r="E867" s="102"/>
      <c r="F867" s="163"/>
      <c r="G867" s="35"/>
    </row>
    <row r="868" spans="1:7" x14ac:dyDescent="0.2">
      <c r="A868" s="29"/>
      <c r="B868" s="101"/>
      <c r="C868" s="31"/>
      <c r="D868" s="165"/>
      <c r="E868" s="102"/>
      <c r="F868" s="163"/>
      <c r="G868" s="35"/>
    </row>
    <row r="869" spans="1:7" x14ac:dyDescent="0.2">
      <c r="A869" s="29"/>
      <c r="B869" s="101"/>
      <c r="C869" s="31"/>
      <c r="D869" s="67"/>
      <c r="E869" s="102"/>
      <c r="F869" s="163"/>
      <c r="G869" s="35"/>
    </row>
    <row r="870" spans="1:7" x14ac:dyDescent="0.2">
      <c r="A870" s="29"/>
      <c r="B870" s="101"/>
      <c r="C870" s="31"/>
      <c r="D870" s="165" t="s">
        <v>152</v>
      </c>
      <c r="E870" s="166"/>
      <c r="F870" s="163"/>
      <c r="G870" s="167"/>
    </row>
    <row r="871" spans="1:7" x14ac:dyDescent="0.2">
      <c r="A871" s="29"/>
      <c r="B871" s="101"/>
      <c r="C871" s="31"/>
      <c r="D871" s="165"/>
      <c r="E871" s="102"/>
      <c r="F871" s="163"/>
      <c r="G871" s="167"/>
    </row>
    <row r="872" spans="1:7" x14ac:dyDescent="0.2">
      <c r="A872" s="29"/>
      <c r="B872" s="101"/>
      <c r="C872" s="31"/>
      <c r="D872" s="67"/>
      <c r="E872" s="102"/>
      <c r="F872" s="163"/>
      <c r="G872" s="167"/>
    </row>
    <row r="873" spans="1:7" x14ac:dyDescent="0.2">
      <c r="A873" s="29"/>
      <c r="B873" s="101"/>
      <c r="C873" s="31"/>
      <c r="D873" s="67"/>
      <c r="E873" s="102"/>
      <c r="F873" s="163"/>
      <c r="G873" s="167"/>
    </row>
    <row r="874" spans="1:7" x14ac:dyDescent="0.2">
      <c r="A874" s="29"/>
      <c r="B874" s="101"/>
      <c r="C874" s="31"/>
      <c r="D874" s="67"/>
      <c r="E874" s="102"/>
      <c r="F874" s="163"/>
      <c r="G874" s="167"/>
    </row>
    <row r="875" spans="1:7" x14ac:dyDescent="0.2">
      <c r="A875" s="29"/>
      <c r="B875" s="101"/>
      <c r="C875" s="41"/>
      <c r="D875" s="168"/>
      <c r="E875" s="77"/>
      <c r="F875" s="169"/>
      <c r="G875" s="167"/>
    </row>
    <row r="876" spans="1:7" x14ac:dyDescent="0.2">
      <c r="A876" s="29"/>
      <c r="B876" s="101"/>
      <c r="C876" s="41"/>
      <c r="D876" s="360"/>
      <c r="E876" s="77"/>
      <c r="F876" s="169"/>
      <c r="G876" s="167"/>
    </row>
    <row r="877" spans="1:7" x14ac:dyDescent="0.2">
      <c r="A877" s="29"/>
      <c r="B877" s="101"/>
      <c r="C877" s="41"/>
      <c r="D877" s="360"/>
      <c r="E877" s="77"/>
      <c r="F877" s="169"/>
      <c r="G877" s="167"/>
    </row>
    <row r="878" spans="1:7" x14ac:dyDescent="0.2">
      <c r="A878" s="29"/>
      <c r="B878" s="101"/>
      <c r="C878" s="41"/>
      <c r="D878" s="67"/>
      <c r="E878" s="77"/>
      <c r="F878" s="169"/>
      <c r="G878" s="35"/>
    </row>
    <row r="879" spans="1:7" x14ac:dyDescent="0.2">
      <c r="A879" s="29"/>
      <c r="B879" s="101"/>
      <c r="C879" s="41"/>
      <c r="D879" s="384" t="s">
        <v>150</v>
      </c>
      <c r="E879" s="77"/>
      <c r="F879" s="169" t="s">
        <v>152</v>
      </c>
      <c r="G879" s="35"/>
    </row>
    <row r="880" spans="1:7" x14ac:dyDescent="0.2">
      <c r="A880" s="29"/>
      <c r="B880" s="101"/>
      <c r="C880" s="41"/>
      <c r="D880" s="67"/>
      <c r="E880" s="77"/>
      <c r="F880" s="169"/>
      <c r="G880" s="35"/>
    </row>
    <row r="881" spans="1:12" x14ac:dyDescent="0.2">
      <c r="A881" s="29"/>
      <c r="B881" s="101"/>
      <c r="C881" s="41"/>
      <c r="D881" s="67"/>
      <c r="E881" s="77"/>
      <c r="F881" s="169"/>
      <c r="G881" s="35"/>
    </row>
    <row r="882" spans="1:12" x14ac:dyDescent="0.2">
      <c r="A882" s="29"/>
      <c r="B882" s="101"/>
      <c r="C882" s="31"/>
      <c r="D882" s="67"/>
      <c r="E882" s="102"/>
      <c r="F882" s="163"/>
      <c r="G882" s="35"/>
    </row>
    <row r="883" spans="1:12" x14ac:dyDescent="0.2">
      <c r="A883" s="29"/>
      <c r="B883" s="101"/>
      <c r="C883" s="31"/>
      <c r="D883" s="67"/>
      <c r="E883" s="102"/>
      <c r="F883" s="163"/>
      <c r="G883" s="35"/>
    </row>
    <row r="884" spans="1:12" x14ac:dyDescent="0.2">
      <c r="A884" s="29"/>
      <c r="B884" s="101"/>
      <c r="C884" s="31"/>
      <c r="D884" s="170" t="s">
        <v>150</v>
      </c>
      <c r="E884" s="102"/>
      <c r="F884" s="163"/>
      <c r="G884" s="35"/>
    </row>
    <row r="885" spans="1:12" x14ac:dyDescent="0.2">
      <c r="A885" s="29"/>
      <c r="B885" s="101"/>
      <c r="C885" s="31"/>
      <c r="D885" s="170"/>
      <c r="E885" s="102"/>
      <c r="F885" s="171"/>
      <c r="G885" s="35"/>
      <c r="J885" s="430" t="s">
        <v>8</v>
      </c>
    </row>
    <row r="886" spans="1:12" x14ac:dyDescent="0.2">
      <c r="A886" s="29"/>
      <c r="B886" s="101"/>
      <c r="C886" s="31"/>
      <c r="D886" s="32"/>
      <c r="E886" s="104"/>
      <c r="F886" s="171"/>
      <c r="G886" s="35"/>
    </row>
    <row r="887" spans="1:12" x14ac:dyDescent="0.2">
      <c r="A887" s="29"/>
      <c r="B887" s="101"/>
      <c r="C887" s="31"/>
      <c r="D887" s="32"/>
      <c r="E887" s="104"/>
      <c r="F887" s="171"/>
      <c r="G887" s="35"/>
    </row>
    <row r="888" spans="1:12" x14ac:dyDescent="0.2">
      <c r="A888" s="29"/>
      <c r="B888" s="101"/>
      <c r="C888" s="31"/>
      <c r="D888" s="32"/>
      <c r="E888" s="104"/>
      <c r="F888" s="171"/>
      <c r="G888" s="35"/>
    </row>
    <row r="889" spans="1:12" x14ac:dyDescent="0.2">
      <c r="A889" s="29"/>
      <c r="B889" s="101"/>
      <c r="C889" s="31"/>
      <c r="D889" s="39"/>
      <c r="E889" s="104"/>
      <c r="F889" s="172"/>
      <c r="G889" s="35"/>
      <c r="J889" s="430" t="s">
        <v>8</v>
      </c>
      <c r="K889" s="430" t="s">
        <v>8</v>
      </c>
      <c r="L889" s="430" t="s">
        <v>8</v>
      </c>
    </row>
    <row r="890" spans="1:12" x14ac:dyDescent="0.2">
      <c r="A890" s="29"/>
      <c r="B890" s="101"/>
      <c r="C890" s="31" t="s">
        <v>8</v>
      </c>
      <c r="E890" s="104"/>
      <c r="F890" s="172"/>
      <c r="G890" s="35"/>
      <c r="K890" s="430" t="s">
        <v>8</v>
      </c>
    </row>
    <row r="891" spans="1:12" x14ac:dyDescent="0.2">
      <c r="A891" s="29"/>
      <c r="B891" s="101"/>
      <c r="C891" s="31"/>
      <c r="D891" s="32"/>
      <c r="E891" s="104"/>
      <c r="F891" s="173"/>
      <c r="G891" s="167" t="s">
        <v>8</v>
      </c>
    </row>
    <row r="892" spans="1:12" ht="13.5" thickBot="1" x14ac:dyDescent="0.25">
      <c r="A892" s="45"/>
      <c r="B892" s="174"/>
      <c r="C892" s="47"/>
      <c r="D892" s="175"/>
      <c r="E892" s="174"/>
      <c r="F892" s="49" t="s">
        <v>15</v>
      </c>
      <c r="G892" s="50">
        <f>SUM(G858:G891)</f>
        <v>27500</v>
      </c>
    </row>
    <row r="893" spans="1:12" ht="13.5" thickTop="1" x14ac:dyDescent="0.2">
      <c r="A893" s="361" t="s">
        <v>3535</v>
      </c>
      <c r="B893" s="176"/>
      <c r="E893" s="176"/>
      <c r="G893" s="20"/>
    </row>
    <row r="894" spans="1:12" ht="13.5" thickBot="1" x14ac:dyDescent="0.25">
      <c r="A894" s="622"/>
      <c r="B894" s="623"/>
      <c r="C894" s="961"/>
      <c r="D894" s="1054"/>
      <c r="E894" s="1054"/>
      <c r="F894" s="1054"/>
      <c r="G894" s="1055"/>
    </row>
    <row r="895" spans="1:12" ht="13.5" thickTop="1" x14ac:dyDescent="0.2">
      <c r="A895" s="906"/>
      <c r="B895" s="907"/>
      <c r="C895" s="907"/>
      <c r="D895" s="57" t="s">
        <v>11</v>
      </c>
      <c r="E895" s="908" t="s">
        <v>12</v>
      </c>
      <c r="F895" s="908"/>
      <c r="G895" s="909"/>
    </row>
    <row r="896" spans="1:12" x14ac:dyDescent="0.2">
      <c r="A896" s="910" t="s">
        <v>17</v>
      </c>
      <c r="B896" s="911"/>
      <c r="C896" s="911"/>
      <c r="D896" s="57"/>
      <c r="E896" s="912"/>
      <c r="F896" s="913"/>
      <c r="G896" s="914"/>
    </row>
    <row r="897" spans="1:7" x14ac:dyDescent="0.2">
      <c r="A897" s="910" t="s">
        <v>38</v>
      </c>
      <c r="B897" s="911"/>
      <c r="C897" s="911"/>
      <c r="D897" s="58" t="s">
        <v>1015</v>
      </c>
      <c r="E897" s="969" t="s">
        <v>142</v>
      </c>
      <c r="F897" s="868"/>
      <c r="G897" s="869"/>
    </row>
    <row r="898" spans="1:7" ht="13.5" thickBot="1" x14ac:dyDescent="0.25">
      <c r="A898" s="901" t="s">
        <v>39</v>
      </c>
      <c r="B898" s="902"/>
      <c r="C898" s="902"/>
      <c r="D898" s="59" t="s">
        <v>245</v>
      </c>
      <c r="E898" s="904" t="s">
        <v>0</v>
      </c>
      <c r="F898" s="904"/>
      <c r="G898" s="905"/>
    </row>
  </sheetData>
  <mergeCells count="255">
    <mergeCell ref="A897:C897"/>
    <mergeCell ref="E897:G897"/>
    <mergeCell ref="A898:C898"/>
    <mergeCell ref="E898:G898"/>
    <mergeCell ref="A849:G849"/>
    <mergeCell ref="A850:G850"/>
    <mergeCell ref="A851:G851"/>
    <mergeCell ref="E854:F854"/>
    <mergeCell ref="E856:F856"/>
    <mergeCell ref="C894:G894"/>
    <mergeCell ref="A895:C895"/>
    <mergeCell ref="E895:G895"/>
    <mergeCell ref="A896:C896"/>
    <mergeCell ref="E896:G896"/>
    <mergeCell ref="A847:C847"/>
    <mergeCell ref="E847:G847"/>
    <mergeCell ref="A848:C848"/>
    <mergeCell ref="E848:G848"/>
    <mergeCell ref="C844:G844"/>
    <mergeCell ref="C842:G842"/>
    <mergeCell ref="C843:G843"/>
    <mergeCell ref="A799:G799"/>
    <mergeCell ref="A800:G800"/>
    <mergeCell ref="A801:G801"/>
    <mergeCell ref="E804:F804"/>
    <mergeCell ref="E806:F806"/>
    <mergeCell ref="A845:C845"/>
    <mergeCell ref="E845:G845"/>
    <mergeCell ref="A846:C846"/>
    <mergeCell ref="E846:G846"/>
    <mergeCell ref="A697:C697"/>
    <mergeCell ref="E697:G697"/>
    <mergeCell ref="A698:C698"/>
    <mergeCell ref="E698:G698"/>
    <mergeCell ref="A649:G649"/>
    <mergeCell ref="A650:G650"/>
    <mergeCell ref="A651:G651"/>
    <mergeCell ref="E654:F654"/>
    <mergeCell ref="E656:F656"/>
    <mergeCell ref="A694:G694"/>
    <mergeCell ref="A695:C695"/>
    <mergeCell ref="E695:G695"/>
    <mergeCell ref="A696:C696"/>
    <mergeCell ref="E696:G696"/>
    <mergeCell ref="A647:C647"/>
    <mergeCell ref="E647:G647"/>
    <mergeCell ref="A648:C648"/>
    <mergeCell ref="E648:G648"/>
    <mergeCell ref="A599:G599"/>
    <mergeCell ref="A600:G600"/>
    <mergeCell ref="A601:G601"/>
    <mergeCell ref="E604:F604"/>
    <mergeCell ref="E606:F606"/>
    <mergeCell ref="A644:G644"/>
    <mergeCell ref="A645:C645"/>
    <mergeCell ref="E645:G645"/>
    <mergeCell ref="A646:C646"/>
    <mergeCell ref="E646:G646"/>
    <mergeCell ref="A547:C547"/>
    <mergeCell ref="E547:G547"/>
    <mergeCell ref="A548:C548"/>
    <mergeCell ref="E548:G548"/>
    <mergeCell ref="A499:G499"/>
    <mergeCell ref="A500:G500"/>
    <mergeCell ref="A501:G501"/>
    <mergeCell ref="E504:F504"/>
    <mergeCell ref="E506:F506"/>
    <mergeCell ref="A544:G544"/>
    <mergeCell ref="A545:C545"/>
    <mergeCell ref="E545:G545"/>
    <mergeCell ref="A546:C546"/>
    <mergeCell ref="E546:G546"/>
    <mergeCell ref="A1:G1"/>
    <mergeCell ref="A2:G2"/>
    <mergeCell ref="A3:G3"/>
    <mergeCell ref="E6:F6"/>
    <mergeCell ref="E8:F8"/>
    <mergeCell ref="A199:G199"/>
    <mergeCell ref="A200:G200"/>
    <mergeCell ref="A201:G201"/>
    <mergeCell ref="E204:F204"/>
    <mergeCell ref="A45:G45"/>
    <mergeCell ref="A50:G50"/>
    <mergeCell ref="A51:G51"/>
    <mergeCell ref="A52:G52"/>
    <mergeCell ref="E55:F55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A94:G94"/>
    <mergeCell ref="E57:F57"/>
    <mergeCell ref="A95:C95"/>
    <mergeCell ref="E95:G95"/>
    <mergeCell ref="A96:C96"/>
    <mergeCell ref="E96:G96"/>
    <mergeCell ref="A144:G144"/>
    <mergeCell ref="A145:C145"/>
    <mergeCell ref="E145:G145"/>
    <mergeCell ref="A146:C146"/>
    <mergeCell ref="E146:G146"/>
    <mergeCell ref="A99:G99"/>
    <mergeCell ref="A100:G100"/>
    <mergeCell ref="A101:G101"/>
    <mergeCell ref="E104:F104"/>
    <mergeCell ref="E106:F106"/>
    <mergeCell ref="A150:G150"/>
    <mergeCell ref="A151:G151"/>
    <mergeCell ref="E154:F154"/>
    <mergeCell ref="E156:F156"/>
    <mergeCell ref="A194:G194"/>
    <mergeCell ref="A147:C147"/>
    <mergeCell ref="E147:G147"/>
    <mergeCell ref="A148:C148"/>
    <mergeCell ref="E148:G148"/>
    <mergeCell ref="A149:G149"/>
    <mergeCell ref="A249:G249"/>
    <mergeCell ref="A250:G250"/>
    <mergeCell ref="A251:G251"/>
    <mergeCell ref="E254:F254"/>
    <mergeCell ref="E256:F256"/>
    <mergeCell ref="A198:C198"/>
    <mergeCell ref="E198:G198"/>
    <mergeCell ref="A193:G193"/>
    <mergeCell ref="A195:C195"/>
    <mergeCell ref="E195:G195"/>
    <mergeCell ref="A196:C196"/>
    <mergeCell ref="E196:G196"/>
    <mergeCell ref="A197:C197"/>
    <mergeCell ref="E197:G197"/>
    <mergeCell ref="E206:F206"/>
    <mergeCell ref="A247:C247"/>
    <mergeCell ref="E247:G247"/>
    <mergeCell ref="A248:C248"/>
    <mergeCell ref="E248:G248"/>
    <mergeCell ref="A244:G244"/>
    <mergeCell ref="A245:C245"/>
    <mergeCell ref="E245:G245"/>
    <mergeCell ref="A246:C246"/>
    <mergeCell ref="E246:G246"/>
    <mergeCell ref="A297:C297"/>
    <mergeCell ref="E297:G297"/>
    <mergeCell ref="A298:C298"/>
    <mergeCell ref="E298:G298"/>
    <mergeCell ref="A299:G299"/>
    <mergeCell ref="A294:G294"/>
    <mergeCell ref="A295:C295"/>
    <mergeCell ref="E295:G295"/>
    <mergeCell ref="A296:C296"/>
    <mergeCell ref="E296:G296"/>
    <mergeCell ref="A345:C345"/>
    <mergeCell ref="E345:G345"/>
    <mergeCell ref="A346:C346"/>
    <mergeCell ref="E346:G346"/>
    <mergeCell ref="A347:C347"/>
    <mergeCell ref="E347:G347"/>
    <mergeCell ref="A300:G300"/>
    <mergeCell ref="A301:G301"/>
    <mergeCell ref="E304:F304"/>
    <mergeCell ref="E306:F306"/>
    <mergeCell ref="A344:G344"/>
    <mergeCell ref="E354:F354"/>
    <mergeCell ref="E356:F356"/>
    <mergeCell ref="A394:G394"/>
    <mergeCell ref="A395:C395"/>
    <mergeCell ref="E395:G395"/>
    <mergeCell ref="A348:C348"/>
    <mergeCell ref="E348:G348"/>
    <mergeCell ref="A349:G349"/>
    <mergeCell ref="A350:G350"/>
    <mergeCell ref="A351:G351"/>
    <mergeCell ref="A399:G399"/>
    <mergeCell ref="A400:G400"/>
    <mergeCell ref="A401:G401"/>
    <mergeCell ref="E404:F404"/>
    <mergeCell ref="E406:F406"/>
    <mergeCell ref="A396:C396"/>
    <mergeCell ref="E396:G396"/>
    <mergeCell ref="A397:C397"/>
    <mergeCell ref="E397:G397"/>
    <mergeCell ref="A398:C398"/>
    <mergeCell ref="E398:G398"/>
    <mergeCell ref="A447:C447"/>
    <mergeCell ref="E447:G447"/>
    <mergeCell ref="A448:C448"/>
    <mergeCell ref="E448:G448"/>
    <mergeCell ref="A444:G444"/>
    <mergeCell ref="A445:C445"/>
    <mergeCell ref="E445:G445"/>
    <mergeCell ref="A446:C446"/>
    <mergeCell ref="E446:G446"/>
    <mergeCell ref="A497:C497"/>
    <mergeCell ref="E497:G497"/>
    <mergeCell ref="A498:C498"/>
    <mergeCell ref="E498:G498"/>
    <mergeCell ref="A449:G449"/>
    <mergeCell ref="A450:G450"/>
    <mergeCell ref="A451:G451"/>
    <mergeCell ref="E454:F454"/>
    <mergeCell ref="E456:F456"/>
    <mergeCell ref="A494:G494"/>
    <mergeCell ref="A495:C495"/>
    <mergeCell ref="E495:G495"/>
    <mergeCell ref="A496:C496"/>
    <mergeCell ref="E496:G496"/>
    <mergeCell ref="A597:C597"/>
    <mergeCell ref="E597:G597"/>
    <mergeCell ref="A598:C598"/>
    <mergeCell ref="E598:G598"/>
    <mergeCell ref="A549:G549"/>
    <mergeCell ref="A550:G550"/>
    <mergeCell ref="A551:G551"/>
    <mergeCell ref="E554:F554"/>
    <mergeCell ref="E556:F556"/>
    <mergeCell ref="A594:G594"/>
    <mergeCell ref="A595:C595"/>
    <mergeCell ref="E595:G595"/>
    <mergeCell ref="A596:C596"/>
    <mergeCell ref="E596:G596"/>
    <mergeCell ref="A747:C747"/>
    <mergeCell ref="E747:G747"/>
    <mergeCell ref="A748:C748"/>
    <mergeCell ref="E748:G748"/>
    <mergeCell ref="A699:G699"/>
    <mergeCell ref="A700:G700"/>
    <mergeCell ref="A701:G701"/>
    <mergeCell ref="E704:F704"/>
    <mergeCell ref="E706:F706"/>
    <mergeCell ref="A744:G744"/>
    <mergeCell ref="A745:C745"/>
    <mergeCell ref="E745:G745"/>
    <mergeCell ref="A746:C746"/>
    <mergeCell ref="E746:G746"/>
    <mergeCell ref="A797:C797"/>
    <mergeCell ref="E797:G797"/>
    <mergeCell ref="A798:C798"/>
    <mergeCell ref="E798:G798"/>
    <mergeCell ref="C794:G794"/>
    <mergeCell ref="A749:G749"/>
    <mergeCell ref="A750:G750"/>
    <mergeCell ref="A751:G751"/>
    <mergeCell ref="E754:F754"/>
    <mergeCell ref="E756:F756"/>
    <mergeCell ref="A795:C795"/>
    <mergeCell ref="E795:G795"/>
    <mergeCell ref="A796:C796"/>
    <mergeCell ref="E796:G796"/>
  </mergeCells>
  <pageMargins left="0.5" right="0.5" top="1" bottom="1" header="0.3" footer="0.3"/>
  <pageSetup fitToWidth="0" orientation="portrait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A3CC4"/>
  </sheetPr>
  <dimension ref="A1:L99"/>
  <sheetViews>
    <sheetView topLeftCell="A50" zoomScale="110" zoomScaleNormal="110" zoomScaleSheetLayoutView="50" workbookViewId="0">
      <selection activeCell="F80" sqref="F8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1.28515625" style="1" customWidth="1"/>
    <col min="10" max="10" width="55.7109375" style="1" customWidth="1"/>
    <col min="11" max="11" width="11.28515625" style="1" customWidth="1"/>
    <col min="12" max="12" width="19.140625" style="2" customWidth="1"/>
    <col min="13" max="13" width="12.85546875" style="2" bestFit="1" customWidth="1"/>
    <col min="14" max="14" width="11.5703125" style="2" customWidth="1"/>
    <col min="15" max="15" width="11.7109375" style="2" customWidth="1"/>
    <col min="16" max="16" width="10.7109375" style="2" customWidth="1"/>
    <col min="17" max="17" width="9.28515625" style="2" bestFit="1" customWidth="1"/>
    <col min="18" max="18" width="10.42578125" style="2" bestFit="1" customWidth="1"/>
    <col min="19" max="19" width="9.28515625" style="2" bestFit="1" customWidth="1"/>
    <col min="20" max="20" width="10.28515625" style="2" bestFit="1" customWidth="1"/>
    <col min="21" max="22" width="9.140625" style="2"/>
    <col min="23" max="24" width="9.28515625" style="2" bestFit="1" customWidth="1"/>
    <col min="25" max="25" width="11.28515625" style="2" customWidth="1"/>
    <col min="26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65</v>
      </c>
      <c r="D5" s="13"/>
      <c r="E5" s="362" t="s">
        <v>1815</v>
      </c>
      <c r="F5" s="98"/>
      <c r="G5" s="363" t="s">
        <v>1781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376" t="s">
        <v>8</v>
      </c>
      <c r="E10" s="158"/>
      <c r="F10" s="128"/>
      <c r="G10" s="35"/>
    </row>
    <row r="11" spans="1:7" x14ac:dyDescent="0.2">
      <c r="A11" s="29">
        <v>1</v>
      </c>
      <c r="B11" s="101"/>
      <c r="C11" s="41" t="s">
        <v>242</v>
      </c>
      <c r="D11" s="370" t="s">
        <v>1813</v>
      </c>
      <c r="E11" s="108">
        <v>70</v>
      </c>
      <c r="F11" s="128">
        <v>200</v>
      </c>
      <c r="G11" s="35">
        <f t="shared" ref="G11:G12" si="0">F11*E11</f>
        <v>14000</v>
      </c>
    </row>
    <row r="12" spans="1:7" x14ac:dyDescent="0.2">
      <c r="A12" s="29">
        <v>2</v>
      </c>
      <c r="B12" s="101"/>
      <c r="C12" s="41" t="s">
        <v>242</v>
      </c>
      <c r="D12" s="370" t="s">
        <v>306</v>
      </c>
      <c r="E12" s="108">
        <v>70</v>
      </c>
      <c r="F12" s="149">
        <v>450</v>
      </c>
      <c r="G12" s="35">
        <f t="shared" si="0"/>
        <v>31500</v>
      </c>
    </row>
    <row r="13" spans="1:7" x14ac:dyDescent="0.2">
      <c r="A13" s="364" t="s">
        <v>8</v>
      </c>
      <c r="B13" s="101"/>
      <c r="C13" s="371" t="s">
        <v>8</v>
      </c>
      <c r="D13" s="370" t="s">
        <v>8</v>
      </c>
      <c r="E13" s="407" t="s">
        <v>8</v>
      </c>
      <c r="F13" s="403" t="s">
        <v>8</v>
      </c>
      <c r="G13" s="372" t="s">
        <v>8</v>
      </c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</row>
    <row r="20" spans="1:10" x14ac:dyDescent="0.2">
      <c r="A20" s="29"/>
      <c r="B20" s="105"/>
      <c r="C20" s="41"/>
      <c r="D20" s="136"/>
      <c r="E20" s="407" t="s">
        <v>152</v>
      </c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  <c r="J24" s="1" t="s">
        <v>152</v>
      </c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</row>
    <row r="28" spans="1:10" x14ac:dyDescent="0.2">
      <c r="A28" s="29"/>
      <c r="B28" s="101"/>
      <c r="C28" s="41"/>
      <c r="D28" s="67"/>
      <c r="E28" s="104"/>
      <c r="F28" s="154"/>
      <c r="G28" s="35"/>
    </row>
    <row r="29" spans="1:10" x14ac:dyDescent="0.2">
      <c r="A29" s="29"/>
      <c r="B29" s="101"/>
      <c r="C29" s="41"/>
      <c r="D29" s="136"/>
      <c r="E29" s="104"/>
      <c r="F29" s="154"/>
      <c r="G29" s="35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62"/>
      <c r="E31" s="104"/>
      <c r="F31" s="154"/>
      <c r="G31" s="35"/>
    </row>
    <row r="32" spans="1:10" x14ac:dyDescent="0.2">
      <c r="A32" s="29"/>
      <c r="B32" s="101"/>
      <c r="C32" s="41"/>
      <c r="D32" s="62"/>
      <c r="E32" s="104"/>
      <c r="F32" s="154"/>
      <c r="G32" s="35"/>
    </row>
    <row r="33" spans="1:12" x14ac:dyDescent="0.2">
      <c r="A33" s="29"/>
      <c r="B33" s="101"/>
      <c r="C33" s="41"/>
      <c r="D33" s="62"/>
      <c r="E33" s="104"/>
      <c r="F33" s="154"/>
      <c r="G33" s="35"/>
    </row>
    <row r="34" spans="1:12" x14ac:dyDescent="0.2">
      <c r="A34" s="29"/>
      <c r="B34" s="101"/>
      <c r="C34" s="41"/>
      <c r="D34" s="67"/>
      <c r="E34" s="104"/>
      <c r="F34" s="154"/>
      <c r="G34" s="35"/>
      <c r="L34" s="2" t="s">
        <v>151</v>
      </c>
    </row>
    <row r="35" spans="1:12" x14ac:dyDescent="0.2">
      <c r="A35" s="29"/>
      <c r="B35" s="101"/>
      <c r="C35" s="41"/>
      <c r="D35" s="159"/>
      <c r="E35" s="104"/>
      <c r="F35" s="154"/>
      <c r="G35" s="35"/>
    </row>
    <row r="36" spans="1:12" x14ac:dyDescent="0.2">
      <c r="A36" s="29"/>
      <c r="B36" s="101"/>
      <c r="C36" s="41"/>
      <c r="D36" s="159"/>
      <c r="E36" s="104"/>
      <c r="F36" s="154"/>
      <c r="G36" s="35"/>
    </row>
    <row r="37" spans="1:12" x14ac:dyDescent="0.2">
      <c r="A37" s="29"/>
      <c r="B37" s="101"/>
      <c r="C37" s="41"/>
      <c r="D37" s="159"/>
      <c r="E37" s="104"/>
      <c r="F37" s="154"/>
      <c r="G37" s="35"/>
    </row>
    <row r="38" spans="1:12" x14ac:dyDescent="0.2">
      <c r="A38" s="29"/>
      <c r="B38" s="101"/>
      <c r="C38" s="41"/>
      <c r="D38" s="136"/>
      <c r="E38" s="153"/>
      <c r="F38" s="128"/>
      <c r="G38" s="35"/>
    </row>
    <row r="39" spans="1:12" x14ac:dyDescent="0.2">
      <c r="A39" s="29"/>
      <c r="B39" s="101"/>
      <c r="C39" s="41"/>
      <c r="D39" s="136"/>
      <c r="E39" s="102"/>
      <c r="F39" s="128"/>
      <c r="G39" s="35"/>
    </row>
    <row r="40" spans="1:12" x14ac:dyDescent="0.2">
      <c r="A40" s="29"/>
      <c r="B40" s="101"/>
      <c r="C40" s="31"/>
      <c r="D40" s="67"/>
      <c r="E40" s="131"/>
      <c r="F40" s="117"/>
      <c r="G40" s="35"/>
    </row>
    <row r="41" spans="1:12" x14ac:dyDescent="0.2">
      <c r="A41" s="29"/>
      <c r="B41" s="101"/>
      <c r="C41" s="41"/>
      <c r="D41" s="118"/>
      <c r="E41" s="108"/>
      <c r="F41" s="149"/>
      <c r="G41" s="35"/>
    </row>
    <row r="42" spans="1:12" x14ac:dyDescent="0.2">
      <c r="A42" s="29"/>
      <c r="B42" s="101"/>
      <c r="C42" s="41"/>
      <c r="D42" s="144"/>
      <c r="E42" s="108"/>
      <c r="F42" s="149"/>
      <c r="G42" s="35"/>
    </row>
    <row r="43" spans="1:12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45500</v>
      </c>
    </row>
    <row r="44" spans="1:12" ht="13.5" thickTop="1" x14ac:dyDescent="0.2">
      <c r="A44" s="875" t="s">
        <v>1814</v>
      </c>
      <c r="B44" s="899"/>
      <c r="C44" s="899"/>
      <c r="D44" s="899"/>
      <c r="E44" s="899"/>
      <c r="F44" s="899"/>
      <c r="G44" s="900"/>
    </row>
    <row r="45" spans="1:12" ht="13.5" thickBot="1" x14ac:dyDescent="0.25">
      <c r="A45" s="52"/>
      <c r="B45" s="103"/>
      <c r="C45" s="374" t="s">
        <v>1824</v>
      </c>
      <c r="D45" s="54"/>
      <c r="E45" s="103"/>
      <c r="F45" s="55"/>
      <c r="G45" s="56"/>
    </row>
    <row r="46" spans="1:12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12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12" x14ac:dyDescent="0.2">
      <c r="A48" s="910" t="s">
        <v>38</v>
      </c>
      <c r="B48" s="911"/>
      <c r="C48" s="911"/>
      <c r="D48" s="73" t="s">
        <v>893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894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65</v>
      </c>
      <c r="D54" s="13"/>
      <c r="E54" s="362" t="s">
        <v>2149</v>
      </c>
      <c r="F54" s="98"/>
      <c r="G54" s="363" t="s">
        <v>2103</v>
      </c>
    </row>
    <row r="55" spans="1:7" x14ac:dyDescent="0.2">
      <c r="A55" s="17" t="s">
        <v>8</v>
      </c>
      <c r="B55" s="100"/>
      <c r="C55" s="19"/>
      <c r="D55" s="4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41" t="s">
        <v>242</v>
      </c>
      <c r="D59" s="370" t="s">
        <v>997</v>
      </c>
      <c r="E59" s="108">
        <v>50</v>
      </c>
      <c r="F59" s="128">
        <v>200</v>
      </c>
      <c r="G59" s="35">
        <f t="shared" ref="G59:G61" si="1">F59*E59</f>
        <v>10000</v>
      </c>
    </row>
    <row r="60" spans="1:7" x14ac:dyDescent="0.2">
      <c r="A60" s="29">
        <v>2</v>
      </c>
      <c r="B60" s="101"/>
      <c r="C60" s="41" t="s">
        <v>242</v>
      </c>
      <c r="D60" s="370" t="s">
        <v>306</v>
      </c>
      <c r="E60" s="108">
        <v>50</v>
      </c>
      <c r="F60" s="149">
        <v>450</v>
      </c>
      <c r="G60" s="35">
        <f t="shared" si="1"/>
        <v>22500</v>
      </c>
    </row>
    <row r="61" spans="1:7" x14ac:dyDescent="0.2">
      <c r="A61" s="364">
        <v>3</v>
      </c>
      <c r="B61" s="101"/>
      <c r="C61" s="371" t="s">
        <v>242</v>
      </c>
      <c r="D61" s="370" t="s">
        <v>2078</v>
      </c>
      <c r="E61" s="407">
        <v>50</v>
      </c>
      <c r="F61" s="403">
        <v>200</v>
      </c>
      <c r="G61" s="35">
        <f t="shared" si="1"/>
        <v>10000</v>
      </c>
    </row>
    <row r="62" spans="1:7" x14ac:dyDescent="0.2">
      <c r="A62" s="364"/>
      <c r="B62" s="101"/>
      <c r="C62" s="371"/>
      <c r="D62" s="370"/>
      <c r="E62" s="407"/>
      <c r="F62" s="403"/>
      <c r="G62" s="372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10" x14ac:dyDescent="0.2">
      <c r="A81" s="29"/>
      <c r="B81" s="101"/>
      <c r="C81" s="41"/>
      <c r="D81" s="62"/>
      <c r="E81" s="104"/>
      <c r="F81" s="154"/>
      <c r="G81" s="35"/>
    </row>
    <row r="82" spans="1:10" x14ac:dyDescent="0.2">
      <c r="A82" s="29"/>
      <c r="B82" s="101"/>
      <c r="C82" s="41"/>
      <c r="D82" s="62"/>
      <c r="E82" s="104"/>
      <c r="F82" s="154"/>
      <c r="G82" s="35"/>
    </row>
    <row r="83" spans="1:10" x14ac:dyDescent="0.2">
      <c r="A83" s="29"/>
      <c r="B83" s="101"/>
      <c r="C83" s="41"/>
      <c r="D83" s="67"/>
      <c r="E83" s="104"/>
      <c r="F83" s="154"/>
      <c r="G83" s="35"/>
    </row>
    <row r="84" spans="1:10" x14ac:dyDescent="0.2">
      <c r="A84" s="29"/>
      <c r="B84" s="101"/>
      <c r="C84" s="41"/>
      <c r="D84" s="159"/>
      <c r="E84" s="104"/>
      <c r="F84" s="154"/>
      <c r="G84" s="35"/>
    </row>
    <row r="85" spans="1:10" x14ac:dyDescent="0.2">
      <c r="A85" s="29"/>
      <c r="B85" s="101"/>
      <c r="C85" s="41"/>
      <c r="D85" s="159"/>
      <c r="E85" s="104"/>
      <c r="F85" s="154"/>
      <c r="G85" s="35"/>
    </row>
    <row r="86" spans="1:10" x14ac:dyDescent="0.2">
      <c r="A86" s="29"/>
      <c r="B86" s="101"/>
      <c r="C86" s="41"/>
      <c r="D86" s="136"/>
      <c r="E86" s="153"/>
      <c r="F86" s="128"/>
      <c r="G86" s="35"/>
    </row>
    <row r="87" spans="1:10" x14ac:dyDescent="0.2">
      <c r="A87" s="29"/>
      <c r="B87" s="101"/>
      <c r="C87" s="41"/>
      <c r="D87" s="136"/>
      <c r="E87" s="153"/>
      <c r="F87" s="128"/>
      <c r="G87" s="35"/>
    </row>
    <row r="88" spans="1:10" x14ac:dyDescent="0.2">
      <c r="A88" s="29"/>
      <c r="B88" s="101"/>
      <c r="C88" s="41"/>
      <c r="D88" s="136"/>
      <c r="E88" s="153"/>
      <c r="F88" s="128"/>
      <c r="G88" s="35"/>
    </row>
    <row r="89" spans="1:10" x14ac:dyDescent="0.2">
      <c r="A89" s="29"/>
      <c r="B89" s="101"/>
      <c r="C89" s="41"/>
      <c r="D89" s="136"/>
      <c r="E89" s="102"/>
      <c r="F89" s="128"/>
      <c r="G89" s="35"/>
    </row>
    <row r="90" spans="1:10" x14ac:dyDescent="0.2">
      <c r="A90" s="29"/>
      <c r="B90" s="101"/>
      <c r="C90" s="31"/>
      <c r="D90" s="67"/>
      <c r="E90" s="131"/>
      <c r="F90" s="117"/>
      <c r="G90" s="35"/>
    </row>
    <row r="91" spans="1:10" x14ac:dyDescent="0.2">
      <c r="A91" s="29"/>
      <c r="B91" s="101"/>
      <c r="C91" s="41"/>
      <c r="D91" s="118"/>
      <c r="E91" s="108"/>
      <c r="F91" s="149"/>
      <c r="G91" s="35"/>
    </row>
    <row r="92" spans="1:10" x14ac:dyDescent="0.2">
      <c r="A92" s="29"/>
      <c r="B92" s="101"/>
      <c r="C92" s="41"/>
      <c r="D92" s="144"/>
      <c r="E92" s="108"/>
      <c r="F92" s="149"/>
      <c r="G92" s="35"/>
    </row>
    <row r="93" spans="1:10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42500</v>
      </c>
    </row>
    <row r="94" spans="1:10" ht="13.5" thickTop="1" x14ac:dyDescent="0.2">
      <c r="A94" s="875" t="s">
        <v>2104</v>
      </c>
      <c r="B94" s="899"/>
      <c r="C94" s="899"/>
      <c r="D94" s="899"/>
      <c r="E94" s="899"/>
      <c r="F94" s="899"/>
      <c r="G94" s="900"/>
      <c r="J94" s="1" t="s">
        <v>8</v>
      </c>
    </row>
    <row r="95" spans="1:10" ht="13.5" thickBot="1" x14ac:dyDescent="0.25">
      <c r="A95" s="926" t="s">
        <v>2105</v>
      </c>
      <c r="B95" s="927"/>
      <c r="C95" s="927"/>
      <c r="D95" s="927"/>
      <c r="E95" s="927"/>
      <c r="F95" s="927"/>
      <c r="G95" s="928"/>
    </row>
    <row r="96" spans="1:10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</row>
    <row r="97" spans="1:7" x14ac:dyDescent="0.2">
      <c r="A97" s="910" t="s">
        <v>17</v>
      </c>
      <c r="B97" s="911"/>
      <c r="C97" s="911"/>
      <c r="D97" s="39"/>
      <c r="E97" s="912"/>
      <c r="F97" s="913"/>
      <c r="G97" s="914"/>
    </row>
    <row r="98" spans="1:7" x14ac:dyDescent="0.2">
      <c r="A98" s="910" t="s">
        <v>38</v>
      </c>
      <c r="B98" s="911"/>
      <c r="C98" s="911"/>
      <c r="D98" s="73" t="s">
        <v>893</v>
      </c>
      <c r="E98" s="868" t="s">
        <v>142</v>
      </c>
      <c r="F98" s="868"/>
      <c r="G98" s="869"/>
    </row>
    <row r="99" spans="1:7" ht="13.5" thickBot="1" x14ac:dyDescent="0.25">
      <c r="A99" s="901" t="s">
        <v>39</v>
      </c>
      <c r="B99" s="902"/>
      <c r="C99" s="902"/>
      <c r="D99" s="59" t="s">
        <v>894</v>
      </c>
      <c r="E99" s="904" t="s">
        <v>0</v>
      </c>
      <c r="F99" s="904"/>
      <c r="G99" s="905"/>
    </row>
  </sheetData>
  <mergeCells count="29"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4:G94"/>
    <mergeCell ref="A96:C96"/>
    <mergeCell ref="E96:G96"/>
    <mergeCell ref="A97:C97"/>
    <mergeCell ref="E97:G97"/>
    <mergeCell ref="A98:C98"/>
    <mergeCell ref="E98:G98"/>
    <mergeCell ref="A99:C99"/>
    <mergeCell ref="E99:G99"/>
    <mergeCell ref="A95:G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8A3CC4"/>
  </sheetPr>
  <dimension ref="A1:H46"/>
  <sheetViews>
    <sheetView topLeftCell="A13" zoomScale="115" zoomScaleNormal="115" workbookViewId="0">
      <selection activeCell="D45" sqref="D45:D4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22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139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73"/>
      <c r="E45" s="868" t="s">
        <v>142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91"/>
      <c r="E46" s="903" t="s">
        <v>0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8A3CC4"/>
  </sheetPr>
  <dimension ref="A1:H46"/>
  <sheetViews>
    <sheetView zoomScale="115" zoomScaleNormal="115" workbookViewId="0">
      <selection activeCell="J19" sqref="J1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898" t="s">
        <v>139</v>
      </c>
      <c r="B41" s="899"/>
      <c r="C41" s="899"/>
      <c r="D41" s="899"/>
      <c r="E41" s="899"/>
      <c r="F41" s="899"/>
      <c r="G41" s="900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x14ac:dyDescent="0.2">
      <c r="A44" s="910" t="s">
        <v>17</v>
      </c>
      <c r="B44" s="911"/>
      <c r="C44" s="911"/>
      <c r="D44" s="39"/>
      <c r="E44" s="912"/>
      <c r="F44" s="913"/>
      <c r="G44" s="914"/>
    </row>
    <row r="45" spans="1:7" x14ac:dyDescent="0.2">
      <c r="A45" s="910" t="s">
        <v>38</v>
      </c>
      <c r="B45" s="911"/>
      <c r="C45" s="911"/>
      <c r="D45" s="58"/>
      <c r="E45" s="868" t="s">
        <v>142</v>
      </c>
      <c r="F45" s="868"/>
      <c r="G45" s="869"/>
    </row>
    <row r="46" spans="1:7" ht="13.5" thickBot="1" x14ac:dyDescent="0.25">
      <c r="A46" s="901" t="s">
        <v>39</v>
      </c>
      <c r="B46" s="902"/>
      <c r="C46" s="902"/>
      <c r="D46" s="91"/>
      <c r="E46" s="904" t="s">
        <v>0</v>
      </c>
      <c r="F46" s="904"/>
      <c r="G46" s="905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8A3CC4"/>
  </sheetPr>
  <dimension ref="A1:Y2084"/>
  <sheetViews>
    <sheetView topLeftCell="A2047" zoomScale="110" zoomScaleNormal="110" workbookViewId="0">
      <selection activeCell="A2036" sqref="A2036:G208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14" width="14.85546875" style="2" customWidth="1"/>
    <col min="15" max="15" width="9.28515625" style="2" bestFit="1" customWidth="1"/>
    <col min="16" max="16" width="10.5703125" style="2" bestFit="1" customWidth="1"/>
    <col min="17" max="17" width="10.28515625" style="2" customWidth="1"/>
    <col min="18" max="18" width="10.140625" style="2" customWidth="1"/>
    <col min="19" max="20" width="9.28515625" style="2" bestFit="1" customWidth="1"/>
    <col min="21" max="21" width="11.28515625" style="2" customWidth="1"/>
    <col min="22" max="16384" width="9.140625" style="2"/>
  </cols>
  <sheetData>
    <row r="1" spans="1:16" ht="16.5" x14ac:dyDescent="0.25">
      <c r="A1" s="885" t="s">
        <v>29</v>
      </c>
      <c r="B1" s="886"/>
      <c r="C1" s="886"/>
      <c r="D1" s="886"/>
      <c r="E1" s="886"/>
      <c r="F1" s="886"/>
      <c r="G1" s="887"/>
      <c r="H1" s="247"/>
      <c r="I1" s="247"/>
      <c r="J1" s="247"/>
      <c r="K1" s="247"/>
      <c r="L1" s="247"/>
      <c r="M1" s="247"/>
      <c r="N1" s="247"/>
    </row>
    <row r="2" spans="1:16" x14ac:dyDescent="0.2">
      <c r="A2" s="888" t="s">
        <v>48</v>
      </c>
      <c r="B2" s="889"/>
      <c r="C2" s="889"/>
      <c r="D2" s="889"/>
      <c r="E2" s="889"/>
      <c r="F2" s="889"/>
      <c r="G2" s="890"/>
      <c r="H2" s="246"/>
      <c r="I2" s="246"/>
      <c r="J2" s="246"/>
      <c r="K2" s="246"/>
      <c r="L2" s="246"/>
      <c r="M2" s="246"/>
      <c r="N2" s="246"/>
    </row>
    <row r="3" spans="1:16" x14ac:dyDescent="0.2">
      <c r="A3" s="915" t="s">
        <v>49</v>
      </c>
      <c r="B3" s="916"/>
      <c r="C3" s="916"/>
      <c r="D3" s="916"/>
      <c r="E3" s="916"/>
      <c r="F3" s="916"/>
      <c r="G3" s="917"/>
      <c r="H3" s="4"/>
      <c r="I3" s="4"/>
      <c r="J3" s="4"/>
      <c r="K3" s="4"/>
      <c r="L3" s="4"/>
      <c r="M3" s="4"/>
      <c r="N3" s="4"/>
    </row>
    <row r="4" spans="1:16" x14ac:dyDescent="0.2">
      <c r="A4" s="6"/>
      <c r="B4" s="99"/>
      <c r="C4" s="8"/>
      <c r="D4" s="9"/>
      <c r="E4" s="99"/>
      <c r="F4" s="10"/>
      <c r="G4" s="11" t="s">
        <v>20</v>
      </c>
      <c r="H4" s="248"/>
      <c r="I4" s="248"/>
      <c r="J4" s="248"/>
      <c r="K4" s="248"/>
      <c r="L4" s="248"/>
      <c r="M4" s="248"/>
      <c r="N4" s="248"/>
    </row>
    <row r="5" spans="1:16" x14ac:dyDescent="0.2">
      <c r="A5" s="12" t="s">
        <v>1</v>
      </c>
      <c r="B5" s="13"/>
      <c r="C5" s="14" t="s">
        <v>36</v>
      </c>
      <c r="D5" s="13"/>
      <c r="E5" s="362" t="s">
        <v>1444</v>
      </c>
      <c r="F5" s="98"/>
      <c r="G5" s="363" t="s">
        <v>1390</v>
      </c>
      <c r="H5" s="430"/>
      <c r="I5" s="430"/>
      <c r="J5" s="430"/>
    </row>
    <row r="6" spans="1:16" x14ac:dyDescent="0.2">
      <c r="A6" s="17" t="s">
        <v>8</v>
      </c>
      <c r="B6" s="100"/>
      <c r="C6" s="19"/>
      <c r="D6" s="4"/>
      <c r="E6" s="918"/>
      <c r="F6" s="919"/>
      <c r="G6" s="20"/>
    </row>
    <row r="7" spans="1:16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6" x14ac:dyDescent="0.2">
      <c r="A8" s="6"/>
      <c r="B8" s="99"/>
      <c r="C8" s="8"/>
      <c r="D8" s="8"/>
      <c r="E8" s="920"/>
      <c r="F8" s="921"/>
      <c r="G8" s="25"/>
    </row>
    <row r="9" spans="1:16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H9" s="249"/>
      <c r="I9" s="249"/>
      <c r="J9" s="249"/>
      <c r="K9" s="249"/>
      <c r="L9" s="249"/>
      <c r="M9" s="249"/>
      <c r="N9" s="249"/>
    </row>
    <row r="10" spans="1:16" ht="13.5" thickTop="1" x14ac:dyDescent="0.2">
      <c r="A10" s="29">
        <v>1</v>
      </c>
      <c r="B10" s="101"/>
      <c r="C10" s="371" t="s">
        <v>242</v>
      </c>
      <c r="D10" s="376" t="s">
        <v>1103</v>
      </c>
      <c r="E10" s="108">
        <v>170</v>
      </c>
      <c r="F10" s="69">
        <v>250</v>
      </c>
      <c r="G10" s="256">
        <f>F10*E10</f>
        <v>42500</v>
      </c>
      <c r="H10" s="355"/>
      <c r="I10" s="355"/>
      <c r="J10" s="355"/>
      <c r="K10" s="355"/>
      <c r="L10" s="355"/>
      <c r="M10" s="355"/>
      <c r="N10" s="355"/>
      <c r="O10" s="69"/>
      <c r="P10" s="35"/>
    </row>
    <row r="11" spans="1:16" x14ac:dyDescent="0.2">
      <c r="A11" s="29"/>
      <c r="B11" s="101"/>
      <c r="C11" s="41"/>
      <c r="D11" s="370" t="s">
        <v>1104</v>
      </c>
      <c r="E11" s="108"/>
      <c r="F11" s="69"/>
      <c r="G11" s="35"/>
      <c r="H11" s="212"/>
      <c r="I11" s="212"/>
      <c r="J11" s="212"/>
      <c r="K11" s="212"/>
      <c r="L11" s="212"/>
      <c r="M11" s="212"/>
      <c r="N11" s="212"/>
    </row>
    <row r="12" spans="1:16" x14ac:dyDescent="0.2">
      <c r="A12" s="29">
        <v>2</v>
      </c>
      <c r="B12" s="101"/>
      <c r="C12" s="371" t="s">
        <v>242</v>
      </c>
      <c r="D12" s="370" t="s">
        <v>980</v>
      </c>
      <c r="E12" s="108">
        <v>170</v>
      </c>
      <c r="F12" s="263">
        <v>450</v>
      </c>
      <c r="G12" s="35">
        <f>F12*E12</f>
        <v>76500</v>
      </c>
      <c r="H12" s="212"/>
      <c r="I12" s="212"/>
      <c r="J12" s="212"/>
      <c r="K12" s="212"/>
      <c r="L12" s="212"/>
      <c r="M12" s="212"/>
      <c r="N12" s="212"/>
      <c r="O12" s="69"/>
      <c r="P12" s="35"/>
    </row>
    <row r="13" spans="1:16" x14ac:dyDescent="0.2">
      <c r="A13" s="29"/>
      <c r="B13" s="101"/>
      <c r="C13" s="41"/>
      <c r="D13" s="370" t="s">
        <v>888</v>
      </c>
      <c r="E13" s="108"/>
      <c r="F13" s="69"/>
      <c r="G13" s="35"/>
      <c r="H13" s="212"/>
      <c r="I13" s="212"/>
      <c r="J13" s="212"/>
      <c r="K13" s="212"/>
      <c r="L13" s="212"/>
      <c r="M13" s="212"/>
      <c r="N13" s="212"/>
    </row>
    <row r="14" spans="1:16" x14ac:dyDescent="0.2">
      <c r="A14" s="29">
        <v>3</v>
      </c>
      <c r="B14" s="105"/>
      <c r="C14" s="371" t="s">
        <v>242</v>
      </c>
      <c r="D14" s="376" t="s">
        <v>1105</v>
      </c>
      <c r="E14" s="102">
        <v>170</v>
      </c>
      <c r="F14" s="69">
        <v>250</v>
      </c>
      <c r="G14" s="35">
        <f>F14*E14</f>
        <v>42500</v>
      </c>
      <c r="H14" s="212"/>
      <c r="I14" s="212"/>
      <c r="J14" s="212"/>
      <c r="K14" s="212"/>
      <c r="L14" s="212"/>
      <c r="M14" s="212"/>
      <c r="N14" s="212"/>
      <c r="O14" s="211"/>
    </row>
    <row r="15" spans="1:16" x14ac:dyDescent="0.2">
      <c r="A15" s="29"/>
      <c r="B15" s="105"/>
      <c r="C15" s="41"/>
      <c r="D15" s="376" t="s">
        <v>1106</v>
      </c>
      <c r="E15" s="102"/>
      <c r="F15" s="69"/>
      <c r="G15" s="35"/>
      <c r="H15" s="212"/>
      <c r="I15" s="212"/>
      <c r="J15" s="212"/>
      <c r="K15" s="212"/>
      <c r="L15" s="212"/>
      <c r="M15" s="212"/>
      <c r="N15" s="212"/>
      <c r="O15" s="211"/>
    </row>
    <row r="16" spans="1:16" x14ac:dyDescent="0.2">
      <c r="A16" s="29"/>
      <c r="B16" s="151"/>
      <c r="C16" s="119"/>
      <c r="D16" s="136"/>
      <c r="E16" s="108"/>
      <c r="F16" s="264"/>
      <c r="G16" s="35"/>
      <c r="H16" s="212"/>
      <c r="I16" s="212"/>
      <c r="J16" s="212"/>
      <c r="K16" s="212"/>
      <c r="L16" s="212"/>
      <c r="M16" s="212"/>
      <c r="N16" s="212"/>
      <c r="O16" s="211"/>
    </row>
    <row r="17" spans="1:16" x14ac:dyDescent="0.2">
      <c r="A17" s="29"/>
      <c r="B17" s="151"/>
      <c r="C17" s="119"/>
      <c r="D17" s="144"/>
      <c r="E17" s="108"/>
      <c r="F17" s="264"/>
      <c r="G17" s="35"/>
      <c r="H17" s="212"/>
      <c r="I17" s="212"/>
      <c r="J17" s="212"/>
      <c r="K17" s="212"/>
      <c r="L17" s="212"/>
      <c r="M17" s="212"/>
      <c r="N17" s="212"/>
      <c r="O17" s="211"/>
      <c r="P17" s="343"/>
    </row>
    <row r="18" spans="1:16" x14ac:dyDescent="0.2">
      <c r="A18" s="29"/>
      <c r="B18" s="101"/>
      <c r="C18" s="41"/>
      <c r="D18" s="144"/>
      <c r="E18" s="104"/>
      <c r="F18" s="69"/>
      <c r="G18" s="35"/>
      <c r="H18" s="212"/>
      <c r="I18" s="212"/>
      <c r="J18" s="212"/>
      <c r="K18" s="212"/>
      <c r="L18" s="212"/>
      <c r="M18" s="212"/>
      <c r="N18" s="212"/>
    </row>
    <row r="19" spans="1:16" x14ac:dyDescent="0.2">
      <c r="A19" s="29"/>
      <c r="B19" s="106"/>
      <c r="C19" s="41"/>
      <c r="D19" s="136"/>
      <c r="E19" s="104"/>
      <c r="F19" s="69"/>
      <c r="G19" s="35"/>
      <c r="H19" s="212"/>
      <c r="I19" s="212"/>
      <c r="J19" s="212"/>
      <c r="K19" s="212"/>
      <c r="L19" s="212"/>
      <c r="M19" s="212"/>
      <c r="N19" s="212"/>
    </row>
    <row r="20" spans="1:16" x14ac:dyDescent="0.2">
      <c r="A20" s="29"/>
      <c r="B20" s="105"/>
      <c r="C20" s="41"/>
      <c r="D20" s="376" t="s">
        <v>8</v>
      </c>
      <c r="E20" s="108"/>
      <c r="F20" s="265"/>
      <c r="G20" s="35"/>
      <c r="H20" s="212"/>
      <c r="I20" s="212"/>
      <c r="J20" s="212"/>
      <c r="K20" s="212"/>
      <c r="L20" s="212"/>
      <c r="M20" s="212"/>
      <c r="N20" s="212"/>
    </row>
    <row r="21" spans="1:16" x14ac:dyDescent="0.2">
      <c r="A21" s="29"/>
      <c r="B21" s="107"/>
      <c r="C21" s="41"/>
      <c r="D21" s="136"/>
      <c r="E21" s="153"/>
      <c r="F21" s="69"/>
      <c r="G21" s="35"/>
      <c r="H21" s="212"/>
      <c r="I21" s="212"/>
      <c r="J21" s="212"/>
      <c r="K21" s="212"/>
      <c r="L21" s="212"/>
      <c r="M21" s="212"/>
      <c r="N21" s="212"/>
    </row>
    <row r="22" spans="1:16" x14ac:dyDescent="0.2">
      <c r="A22" s="29"/>
      <c r="B22" s="107"/>
      <c r="C22" s="41"/>
      <c r="D22" s="67"/>
      <c r="E22" s="153"/>
      <c r="F22" s="69"/>
      <c r="G22" s="35"/>
      <c r="H22" s="212"/>
      <c r="I22" s="212"/>
      <c r="J22" s="212"/>
      <c r="K22" s="212"/>
      <c r="L22" s="212"/>
      <c r="M22" s="212"/>
      <c r="N22" s="212"/>
    </row>
    <row r="23" spans="1:16" x14ac:dyDescent="0.2">
      <c r="A23" s="29"/>
      <c r="B23" s="101"/>
      <c r="C23" s="41"/>
      <c r="D23" s="67"/>
      <c r="E23" s="108"/>
      <c r="F23" s="69"/>
      <c r="G23" s="35"/>
      <c r="H23" s="212"/>
      <c r="I23" s="212"/>
      <c r="J23" s="212"/>
      <c r="K23" s="212"/>
      <c r="L23" s="212"/>
      <c r="M23" s="212"/>
      <c r="N23" s="212"/>
    </row>
    <row r="24" spans="1:16" x14ac:dyDescent="0.2">
      <c r="A24" s="29"/>
      <c r="B24" s="101"/>
      <c r="C24" s="41"/>
      <c r="D24" s="144"/>
      <c r="E24" s="153"/>
      <c r="F24" s="69"/>
      <c r="G24" s="35"/>
      <c r="H24" s="212"/>
      <c r="I24" s="212"/>
      <c r="J24" s="212"/>
      <c r="K24" s="212"/>
      <c r="L24" s="212"/>
      <c r="M24" s="212"/>
      <c r="N24" s="212"/>
    </row>
    <row r="25" spans="1:16" x14ac:dyDescent="0.2">
      <c r="A25" s="29"/>
      <c r="B25" s="106"/>
      <c r="C25" s="41"/>
      <c r="D25" s="67"/>
      <c r="E25" s="104"/>
      <c r="F25" s="266"/>
      <c r="G25" s="35"/>
      <c r="H25" s="212"/>
      <c r="I25" s="212"/>
      <c r="J25" s="212"/>
      <c r="K25" s="212"/>
      <c r="L25" s="212"/>
      <c r="M25" s="212"/>
      <c r="N25" s="212"/>
    </row>
    <row r="26" spans="1:16" x14ac:dyDescent="0.2">
      <c r="A26" s="29"/>
      <c r="B26" s="105"/>
      <c r="C26" s="41"/>
      <c r="D26" s="130"/>
      <c r="E26" s="104"/>
      <c r="F26" s="266"/>
      <c r="G26" s="35"/>
      <c r="H26" s="212"/>
      <c r="I26" s="212"/>
      <c r="J26" s="212"/>
      <c r="K26" s="212"/>
      <c r="L26" s="212"/>
      <c r="M26" s="212"/>
      <c r="N26" s="212"/>
    </row>
    <row r="27" spans="1:16" x14ac:dyDescent="0.2">
      <c r="A27" s="29"/>
      <c r="B27" s="105"/>
      <c r="C27" s="41"/>
      <c r="D27" s="67"/>
      <c r="E27" s="104"/>
      <c r="F27" s="266"/>
      <c r="G27" s="35"/>
      <c r="H27" s="212"/>
      <c r="I27" s="212"/>
      <c r="J27" s="212"/>
      <c r="K27" s="212"/>
      <c r="L27" s="212"/>
      <c r="M27" s="212"/>
      <c r="N27" s="212"/>
    </row>
    <row r="28" spans="1:16" x14ac:dyDescent="0.2">
      <c r="A28" s="29"/>
      <c r="B28" s="101"/>
      <c r="C28" s="41"/>
      <c r="D28" s="67"/>
      <c r="E28" s="104"/>
      <c r="F28" s="266"/>
      <c r="G28" s="35"/>
      <c r="H28" s="212"/>
      <c r="I28" s="212"/>
      <c r="J28" s="212"/>
      <c r="K28" s="212"/>
      <c r="L28" s="212"/>
      <c r="M28" s="212"/>
      <c r="N28" s="212"/>
    </row>
    <row r="29" spans="1:16" x14ac:dyDescent="0.2">
      <c r="A29" s="29"/>
      <c r="B29" s="101"/>
      <c r="C29" s="41"/>
      <c r="D29" s="136"/>
      <c r="E29" s="104"/>
      <c r="F29" s="266"/>
      <c r="G29" s="35"/>
      <c r="H29" s="212"/>
      <c r="I29" s="212"/>
      <c r="J29" s="212"/>
      <c r="K29" s="212"/>
      <c r="L29" s="212"/>
      <c r="M29" s="212"/>
      <c r="N29" s="212"/>
    </row>
    <row r="30" spans="1:16" x14ac:dyDescent="0.2">
      <c r="A30" s="29"/>
      <c r="B30" s="101"/>
      <c r="C30" s="41"/>
      <c r="D30" s="136"/>
      <c r="E30" s="104"/>
      <c r="F30" s="266"/>
      <c r="G30" s="35"/>
      <c r="H30" s="212"/>
      <c r="I30" s="212"/>
      <c r="J30" s="212"/>
      <c r="K30" s="212"/>
      <c r="L30" s="212"/>
      <c r="M30" s="212"/>
      <c r="N30" s="212"/>
    </row>
    <row r="31" spans="1:16" x14ac:dyDescent="0.2">
      <c r="A31" s="29"/>
      <c r="B31" s="101"/>
      <c r="C31" s="41"/>
      <c r="D31" s="67"/>
      <c r="E31" s="104"/>
      <c r="F31" s="266"/>
      <c r="G31" s="35"/>
      <c r="H31" s="212"/>
      <c r="I31" s="212"/>
      <c r="J31" s="212"/>
      <c r="K31" s="212"/>
      <c r="L31" s="212"/>
      <c r="M31" s="212"/>
      <c r="N31" s="212"/>
    </row>
    <row r="32" spans="1:16" x14ac:dyDescent="0.2">
      <c r="A32" s="29"/>
      <c r="B32" s="101"/>
      <c r="C32" s="41"/>
      <c r="D32" s="67"/>
      <c r="E32" s="104"/>
      <c r="F32" s="266"/>
      <c r="G32" s="35"/>
      <c r="H32" s="212"/>
      <c r="I32" s="212"/>
      <c r="J32" s="212"/>
      <c r="K32" s="212"/>
      <c r="L32" s="212"/>
      <c r="M32" s="212"/>
      <c r="N32" s="212"/>
    </row>
    <row r="33" spans="1:16" x14ac:dyDescent="0.2">
      <c r="A33" s="29"/>
      <c r="B33" s="101"/>
      <c r="C33" s="41"/>
      <c r="D33" s="67" t="s">
        <v>150</v>
      </c>
      <c r="E33" s="104"/>
      <c r="F33" s="266"/>
      <c r="G33" s="35"/>
      <c r="H33" s="212"/>
      <c r="I33" s="212"/>
      <c r="J33" s="212"/>
      <c r="K33" s="212"/>
      <c r="L33" s="212"/>
      <c r="M33" s="212"/>
      <c r="N33" s="212"/>
    </row>
    <row r="34" spans="1:16" x14ac:dyDescent="0.2">
      <c r="A34" s="29"/>
      <c r="B34" s="101"/>
      <c r="C34" s="41"/>
      <c r="D34" s="136"/>
      <c r="E34" s="108"/>
      <c r="F34" s="69"/>
      <c r="G34" s="35"/>
      <c r="H34" s="212"/>
      <c r="I34" s="212"/>
      <c r="J34" s="212"/>
      <c r="K34" s="212"/>
      <c r="L34" s="212"/>
      <c r="M34" s="212"/>
      <c r="N34" s="212"/>
    </row>
    <row r="35" spans="1:16" x14ac:dyDescent="0.2">
      <c r="A35" s="29"/>
      <c r="B35" s="101"/>
      <c r="C35" s="41"/>
      <c r="D35" s="144"/>
      <c r="E35" s="153"/>
      <c r="F35" s="69"/>
      <c r="G35" s="35"/>
      <c r="H35" s="212"/>
      <c r="I35" s="212"/>
      <c r="J35" s="212"/>
      <c r="K35" s="212"/>
      <c r="L35" s="212"/>
      <c r="M35" s="212"/>
      <c r="N35" s="212"/>
    </row>
    <row r="36" spans="1:16" x14ac:dyDescent="0.2">
      <c r="A36" s="29"/>
      <c r="B36" s="101"/>
      <c r="C36" s="41"/>
      <c r="D36" s="130"/>
      <c r="E36" s="102"/>
      <c r="F36" s="69"/>
      <c r="G36" s="35"/>
      <c r="H36" s="212"/>
      <c r="I36" s="212"/>
      <c r="J36" s="212"/>
      <c r="K36" s="212"/>
      <c r="L36" s="212"/>
      <c r="M36" s="212"/>
      <c r="N36" s="212"/>
      <c r="P36" s="164"/>
    </row>
    <row r="37" spans="1:16" x14ac:dyDescent="0.2">
      <c r="A37" s="29"/>
      <c r="B37" s="101"/>
      <c r="C37" s="41"/>
      <c r="D37" s="130"/>
      <c r="E37" s="102"/>
      <c r="F37" s="69"/>
      <c r="G37" s="35"/>
      <c r="H37" s="212"/>
      <c r="I37" s="212"/>
      <c r="J37" s="212"/>
      <c r="K37" s="212"/>
      <c r="L37" s="212"/>
      <c r="M37" s="212"/>
      <c r="N37" s="212"/>
      <c r="P37" s="164"/>
    </row>
    <row r="38" spans="1:16" x14ac:dyDescent="0.2">
      <c r="A38" s="29"/>
      <c r="B38" s="101"/>
      <c r="C38" s="31"/>
      <c r="D38" s="130"/>
      <c r="E38" s="131"/>
      <c r="F38" s="267"/>
      <c r="G38" s="35"/>
      <c r="H38" s="212"/>
      <c r="I38" s="212"/>
      <c r="J38" s="212"/>
      <c r="K38" s="212"/>
      <c r="L38" s="212"/>
      <c r="M38" s="212"/>
      <c r="N38" s="212"/>
    </row>
    <row r="39" spans="1:16" x14ac:dyDescent="0.2">
      <c r="A39" s="29"/>
      <c r="B39" s="101"/>
      <c r="C39" s="41"/>
      <c r="D39" s="118"/>
      <c r="E39" s="108"/>
      <c r="F39" s="263"/>
      <c r="G39" s="35"/>
      <c r="H39" s="212"/>
      <c r="I39" s="212"/>
      <c r="J39" s="212"/>
      <c r="K39" s="212"/>
      <c r="L39" s="212"/>
      <c r="M39" s="212"/>
      <c r="N39" s="212"/>
    </row>
    <row r="40" spans="1:16" x14ac:dyDescent="0.2">
      <c r="A40" s="29"/>
      <c r="B40" s="101"/>
      <c r="C40" s="41"/>
      <c r="D40" s="144"/>
      <c r="E40" s="108"/>
      <c r="F40" s="263"/>
      <c r="G40" s="35"/>
      <c r="H40" s="212"/>
      <c r="I40" s="212"/>
      <c r="J40" s="212"/>
      <c r="K40" s="212"/>
      <c r="L40" s="212"/>
      <c r="M40" s="212"/>
      <c r="N40" s="212"/>
    </row>
    <row r="41" spans="1:16" x14ac:dyDescent="0.2">
      <c r="A41" s="29"/>
      <c r="B41" s="101"/>
      <c r="C41" s="41"/>
      <c r="D41" s="144"/>
      <c r="E41" s="108"/>
      <c r="F41" s="149"/>
      <c r="G41" s="35"/>
      <c r="H41" s="212"/>
      <c r="I41" s="212"/>
      <c r="J41" s="212"/>
      <c r="K41" s="212"/>
      <c r="L41" s="212"/>
      <c r="M41" s="212"/>
      <c r="N41" s="212"/>
    </row>
    <row r="42" spans="1:16" x14ac:dyDescent="0.2">
      <c r="A42" s="61"/>
      <c r="B42" s="101"/>
      <c r="C42" s="41"/>
      <c r="D42" s="144"/>
      <c r="E42" s="108"/>
      <c r="F42" s="149"/>
      <c r="G42" s="71"/>
      <c r="H42" s="212"/>
      <c r="I42" s="212"/>
      <c r="J42" s="212"/>
      <c r="K42" s="212"/>
      <c r="L42" s="212"/>
      <c r="M42" s="212"/>
      <c r="N42" s="212"/>
    </row>
    <row r="43" spans="1:16" ht="13.5" thickBot="1" x14ac:dyDescent="0.25">
      <c r="A43" s="209"/>
      <c r="B43" s="132"/>
      <c r="C43" s="115"/>
      <c r="D43" s="115"/>
      <c r="E43" s="132"/>
      <c r="F43" s="49" t="s">
        <v>15</v>
      </c>
      <c r="G43" s="210">
        <f>SUM(G10:G42)</f>
        <v>161500</v>
      </c>
      <c r="H43" s="243"/>
      <c r="I43" s="243"/>
      <c r="J43" s="243"/>
      <c r="K43" s="243"/>
      <c r="L43" s="243"/>
      <c r="M43" s="243"/>
      <c r="N43" s="243"/>
    </row>
    <row r="44" spans="1:16" ht="13.5" thickTop="1" x14ac:dyDescent="0.2">
      <c r="A44" s="875" t="s">
        <v>1075</v>
      </c>
      <c r="B44" s="899"/>
      <c r="C44" s="899"/>
      <c r="D44" s="899"/>
      <c r="E44" s="899"/>
      <c r="F44" s="899"/>
      <c r="G44" s="900"/>
      <c r="H44" s="22"/>
      <c r="I44" s="22"/>
      <c r="J44" s="22"/>
      <c r="K44" s="22"/>
      <c r="L44" s="22"/>
      <c r="M44" s="22"/>
      <c r="N44" s="22"/>
    </row>
    <row r="45" spans="1:16" ht="13.5" thickBot="1" x14ac:dyDescent="0.25">
      <c r="A45" s="52"/>
      <c r="B45" s="103"/>
      <c r="C45" s="374" t="s">
        <v>1076</v>
      </c>
      <c r="D45" s="54"/>
      <c r="E45" s="103"/>
      <c r="F45" s="55"/>
      <c r="G45" s="56"/>
    </row>
    <row r="46" spans="1:16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  <c r="H46" s="4"/>
      <c r="I46" s="4"/>
      <c r="J46" s="4"/>
      <c r="K46" s="4"/>
      <c r="L46" s="4"/>
      <c r="M46" s="4"/>
      <c r="N46" s="4"/>
    </row>
    <row r="47" spans="1:16" x14ac:dyDescent="0.2">
      <c r="A47" s="910" t="s">
        <v>17</v>
      </c>
      <c r="B47" s="911"/>
      <c r="C47" s="911"/>
      <c r="D47" s="39"/>
      <c r="E47" s="912"/>
      <c r="F47" s="913"/>
      <c r="G47" s="914"/>
      <c r="H47" s="176"/>
      <c r="I47" s="176"/>
      <c r="J47" s="176"/>
      <c r="K47" s="176"/>
      <c r="L47" s="176"/>
      <c r="M47" s="176"/>
      <c r="N47" s="176"/>
    </row>
    <row r="48" spans="1:16" x14ac:dyDescent="0.2">
      <c r="A48" s="910" t="s">
        <v>38</v>
      </c>
      <c r="B48" s="911"/>
      <c r="C48" s="911"/>
      <c r="D48" s="73" t="s">
        <v>891</v>
      </c>
      <c r="E48" s="868" t="s">
        <v>142</v>
      </c>
      <c r="F48" s="868"/>
      <c r="G48" s="869"/>
      <c r="H48" s="1"/>
      <c r="I48" s="1"/>
      <c r="J48" s="1"/>
      <c r="K48" s="1"/>
      <c r="L48" s="1"/>
      <c r="M48" s="1"/>
      <c r="N48" s="1"/>
    </row>
    <row r="49" spans="1:14" ht="13.5" thickBot="1" x14ac:dyDescent="0.25">
      <c r="A49" s="901" t="s">
        <v>39</v>
      </c>
      <c r="B49" s="902"/>
      <c r="C49" s="902"/>
      <c r="D49" s="91" t="s">
        <v>892</v>
      </c>
      <c r="E49" s="904" t="s">
        <v>0</v>
      </c>
      <c r="F49" s="904"/>
      <c r="G49" s="905"/>
      <c r="H49" s="4"/>
      <c r="I49" s="4"/>
      <c r="J49" s="4"/>
      <c r="K49" s="4"/>
      <c r="L49" s="4"/>
      <c r="M49" s="4"/>
      <c r="N49" s="4"/>
    </row>
    <row r="50" spans="1:14" ht="16.5" x14ac:dyDescent="0.25">
      <c r="A50" s="885" t="s">
        <v>29</v>
      </c>
      <c r="B50" s="886"/>
      <c r="C50" s="886"/>
      <c r="D50" s="886"/>
      <c r="E50" s="886"/>
      <c r="F50" s="886"/>
      <c r="G50" s="887"/>
      <c r="H50" s="247"/>
      <c r="I50" s="247"/>
      <c r="J50" s="247"/>
    </row>
    <row r="51" spans="1:14" x14ac:dyDescent="0.2">
      <c r="A51" s="888" t="s">
        <v>48</v>
      </c>
      <c r="B51" s="889"/>
      <c r="C51" s="889"/>
      <c r="D51" s="889"/>
      <c r="E51" s="889"/>
      <c r="F51" s="889"/>
      <c r="G51" s="890"/>
      <c r="H51" s="246"/>
      <c r="I51" s="246"/>
      <c r="J51" s="246"/>
    </row>
    <row r="52" spans="1:14" x14ac:dyDescent="0.2">
      <c r="A52" s="915" t="s">
        <v>49</v>
      </c>
      <c r="B52" s="916"/>
      <c r="C52" s="916"/>
      <c r="D52" s="916"/>
      <c r="E52" s="916"/>
      <c r="F52" s="916"/>
      <c r="G52" s="917"/>
      <c r="H52" s="4"/>
      <c r="I52" s="4"/>
      <c r="J52" s="4"/>
    </row>
    <row r="53" spans="1:14" x14ac:dyDescent="0.2">
      <c r="A53" s="6"/>
      <c r="B53" s="99"/>
      <c r="C53" s="8"/>
      <c r="D53" s="9"/>
      <c r="E53" s="99"/>
      <c r="F53" s="10"/>
      <c r="G53" s="11" t="s">
        <v>20</v>
      </c>
      <c r="H53" s="248"/>
      <c r="I53" s="248"/>
      <c r="J53" s="248"/>
    </row>
    <row r="54" spans="1:14" x14ac:dyDescent="0.2">
      <c r="A54" s="12" t="s">
        <v>1</v>
      </c>
      <c r="B54" s="13"/>
      <c r="C54" s="14" t="s">
        <v>36</v>
      </c>
      <c r="D54" s="13"/>
      <c r="E54" s="362" t="s">
        <v>1158</v>
      </c>
      <c r="F54" s="98"/>
      <c r="G54" s="363" t="s">
        <v>1156</v>
      </c>
      <c r="H54" s="430"/>
      <c r="I54" s="430"/>
      <c r="J54" s="430"/>
    </row>
    <row r="55" spans="1:14" x14ac:dyDescent="0.2">
      <c r="A55" s="17" t="s">
        <v>8</v>
      </c>
      <c r="B55" s="100"/>
      <c r="C55" s="19"/>
      <c r="D55" s="4"/>
      <c r="E55" s="918"/>
      <c r="F55" s="919"/>
      <c r="G55" s="20"/>
    </row>
    <row r="56" spans="1:14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14" x14ac:dyDescent="0.2">
      <c r="A57" s="6"/>
      <c r="B57" s="99"/>
      <c r="C57" s="8"/>
      <c r="D57" s="8"/>
      <c r="E57" s="920"/>
      <c r="F57" s="921"/>
      <c r="G57" s="25"/>
    </row>
    <row r="58" spans="1:14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  <c r="H58" s="249"/>
      <c r="I58" s="249"/>
      <c r="J58" s="249"/>
    </row>
    <row r="59" spans="1:14" ht="13.5" thickTop="1" x14ac:dyDescent="0.2">
      <c r="A59" s="29"/>
      <c r="B59" s="101"/>
      <c r="C59" s="371"/>
      <c r="D59" s="376" t="s">
        <v>1153</v>
      </c>
      <c r="E59" s="108"/>
      <c r="F59" s="69"/>
      <c r="G59" s="256"/>
      <c r="H59" s="355"/>
      <c r="I59" s="355"/>
      <c r="J59" s="355"/>
    </row>
    <row r="60" spans="1:14" x14ac:dyDescent="0.2">
      <c r="A60" s="29">
        <v>1</v>
      </c>
      <c r="B60" s="101"/>
      <c r="C60" s="371" t="s">
        <v>149</v>
      </c>
      <c r="D60" s="370" t="s">
        <v>1152</v>
      </c>
      <c r="E60" s="108">
        <v>800</v>
      </c>
      <c r="F60" s="69">
        <v>200</v>
      </c>
      <c r="G60" s="35">
        <f>F60*E60</f>
        <v>160000</v>
      </c>
      <c r="H60" s="212"/>
      <c r="I60" s="212"/>
      <c r="J60" s="212"/>
    </row>
    <row r="61" spans="1:14" x14ac:dyDescent="0.2">
      <c r="A61" s="29"/>
      <c r="B61" s="101"/>
      <c r="C61" s="371"/>
      <c r="D61" s="370" t="s">
        <v>338</v>
      </c>
      <c r="E61" s="108"/>
      <c r="F61" s="263"/>
      <c r="G61" s="35"/>
      <c r="H61" s="212"/>
      <c r="I61" s="212"/>
      <c r="J61" s="212"/>
    </row>
    <row r="62" spans="1:14" x14ac:dyDescent="0.2">
      <c r="A62" s="29">
        <v>2</v>
      </c>
      <c r="B62" s="101"/>
      <c r="C62" s="371" t="s">
        <v>149</v>
      </c>
      <c r="D62" s="370" t="s">
        <v>348</v>
      </c>
      <c r="E62" s="108">
        <v>800</v>
      </c>
      <c r="F62" s="69">
        <v>350</v>
      </c>
      <c r="G62" s="35">
        <f>F62*E62</f>
        <v>280000</v>
      </c>
      <c r="H62" s="212"/>
      <c r="I62" s="212"/>
      <c r="J62" s="212"/>
    </row>
    <row r="63" spans="1:14" x14ac:dyDescent="0.2">
      <c r="A63" s="29"/>
      <c r="B63" s="105"/>
      <c r="C63" s="371"/>
      <c r="D63" s="376" t="s">
        <v>301</v>
      </c>
      <c r="E63" s="102"/>
      <c r="F63" s="69"/>
      <c r="G63" s="35"/>
      <c r="H63" s="212"/>
      <c r="I63" s="212"/>
      <c r="J63" s="212"/>
    </row>
    <row r="64" spans="1:14" x14ac:dyDescent="0.2">
      <c r="A64" s="29"/>
      <c r="B64" s="105"/>
      <c r="C64" s="41"/>
      <c r="D64" s="376" t="s">
        <v>1154</v>
      </c>
      <c r="E64" s="102"/>
      <c r="F64" s="69"/>
      <c r="G64" s="35"/>
      <c r="H64" s="212"/>
      <c r="I64" s="212"/>
      <c r="J64" s="212"/>
    </row>
    <row r="65" spans="1:10" x14ac:dyDescent="0.2">
      <c r="A65" s="29">
        <v>3</v>
      </c>
      <c r="B65" s="151"/>
      <c r="C65" s="385" t="s">
        <v>242</v>
      </c>
      <c r="D65" s="376" t="s">
        <v>1157</v>
      </c>
      <c r="E65" s="108">
        <v>200</v>
      </c>
      <c r="F65" s="264">
        <v>450</v>
      </c>
      <c r="G65" s="35">
        <f>F65*E65</f>
        <v>90000</v>
      </c>
      <c r="H65" s="212"/>
      <c r="I65" s="212"/>
      <c r="J65" s="212"/>
    </row>
    <row r="66" spans="1:10" x14ac:dyDescent="0.2">
      <c r="A66" s="29"/>
      <c r="B66" s="151"/>
      <c r="C66" s="119"/>
      <c r="D66" s="383" t="s">
        <v>301</v>
      </c>
      <c r="E66" s="108"/>
      <c r="F66" s="264"/>
      <c r="G66" s="35"/>
      <c r="H66" s="212"/>
      <c r="I66" s="212"/>
      <c r="J66" s="212"/>
    </row>
    <row r="67" spans="1:10" x14ac:dyDescent="0.2">
      <c r="A67" s="29"/>
      <c r="B67" s="101"/>
      <c r="C67" s="41"/>
      <c r="D67" s="144"/>
      <c r="E67" s="104"/>
      <c r="F67" s="69"/>
      <c r="G67" s="35"/>
      <c r="H67" s="212"/>
      <c r="I67" s="212"/>
      <c r="J67" s="212"/>
    </row>
    <row r="68" spans="1:10" x14ac:dyDescent="0.2">
      <c r="A68" s="29"/>
      <c r="B68" s="106"/>
      <c r="C68" s="41"/>
      <c r="D68" s="136"/>
      <c r="E68" s="104"/>
      <c r="F68" s="69"/>
      <c r="G68" s="35"/>
      <c r="H68" s="212"/>
      <c r="I68" s="212"/>
      <c r="J68" s="212"/>
    </row>
    <row r="69" spans="1:10" x14ac:dyDescent="0.2">
      <c r="A69" s="29"/>
      <c r="B69" s="105"/>
      <c r="C69" s="41"/>
      <c r="D69" s="376" t="s">
        <v>8</v>
      </c>
      <c r="E69" s="108"/>
      <c r="F69" s="265"/>
      <c r="G69" s="35"/>
      <c r="H69" s="212"/>
      <c r="I69" s="212"/>
      <c r="J69" s="212"/>
    </row>
    <row r="70" spans="1:10" x14ac:dyDescent="0.2">
      <c r="A70" s="29"/>
      <c r="B70" s="107"/>
      <c r="C70" s="41"/>
      <c r="D70" s="136"/>
      <c r="E70" s="153"/>
      <c r="F70" s="69"/>
      <c r="G70" s="35"/>
      <c r="H70" s="212"/>
      <c r="I70" s="212"/>
      <c r="J70" s="212"/>
    </row>
    <row r="71" spans="1:10" x14ac:dyDescent="0.2">
      <c r="A71" s="29"/>
      <c r="B71" s="107"/>
      <c r="C71" s="41"/>
      <c r="D71" s="67"/>
      <c r="E71" s="153"/>
      <c r="F71" s="69"/>
      <c r="G71" s="35"/>
      <c r="H71" s="212"/>
      <c r="I71" s="212"/>
      <c r="J71" s="212"/>
    </row>
    <row r="72" spans="1:10" x14ac:dyDescent="0.2">
      <c r="A72" s="29"/>
      <c r="B72" s="101"/>
      <c r="C72" s="41"/>
      <c r="D72" s="67"/>
      <c r="E72" s="108"/>
      <c r="F72" s="69"/>
      <c r="G72" s="35"/>
      <c r="H72" s="212"/>
      <c r="I72" s="212"/>
      <c r="J72" s="212"/>
    </row>
    <row r="73" spans="1:10" x14ac:dyDescent="0.2">
      <c r="A73" s="29"/>
      <c r="B73" s="101"/>
      <c r="C73" s="41"/>
      <c r="D73" s="144"/>
      <c r="E73" s="153"/>
      <c r="F73" s="69"/>
      <c r="G73" s="35"/>
      <c r="H73" s="212"/>
      <c r="I73" s="212"/>
      <c r="J73" s="212"/>
    </row>
    <row r="74" spans="1:10" x14ac:dyDescent="0.2">
      <c r="A74" s="29"/>
      <c r="B74" s="106"/>
      <c r="C74" s="41"/>
      <c r="D74" s="384" t="s">
        <v>8</v>
      </c>
      <c r="E74" s="104"/>
      <c r="F74" s="266"/>
      <c r="G74" s="35"/>
      <c r="H74" s="212"/>
      <c r="I74" s="212"/>
      <c r="J74" s="212"/>
    </row>
    <row r="75" spans="1:10" x14ac:dyDescent="0.2">
      <c r="A75" s="29"/>
      <c r="B75" s="105"/>
      <c r="C75" s="41"/>
      <c r="D75" s="130"/>
      <c r="E75" s="104"/>
      <c r="F75" s="266"/>
      <c r="G75" s="35"/>
      <c r="H75" s="212"/>
      <c r="I75" s="212"/>
      <c r="J75" s="212"/>
    </row>
    <row r="76" spans="1:10" x14ac:dyDescent="0.2">
      <c r="A76" s="29"/>
      <c r="B76" s="105"/>
      <c r="C76" s="41"/>
      <c r="D76" s="67"/>
      <c r="E76" s="104"/>
      <c r="F76" s="266"/>
      <c r="G76" s="35"/>
      <c r="H76" s="212"/>
      <c r="I76" s="212"/>
      <c r="J76" s="212"/>
    </row>
    <row r="77" spans="1:10" x14ac:dyDescent="0.2">
      <c r="A77" s="29"/>
      <c r="B77" s="101"/>
      <c r="C77" s="41"/>
      <c r="D77" s="67"/>
      <c r="E77" s="104"/>
      <c r="F77" s="266"/>
      <c r="G77" s="35"/>
      <c r="H77" s="212"/>
      <c r="I77" s="212"/>
      <c r="J77" s="212"/>
    </row>
    <row r="78" spans="1:10" x14ac:dyDescent="0.2">
      <c r="A78" s="29"/>
      <c r="B78" s="101"/>
      <c r="C78" s="41"/>
      <c r="D78" s="136"/>
      <c r="E78" s="104"/>
      <c r="F78" s="266"/>
      <c r="G78" s="35"/>
      <c r="H78" s="212"/>
      <c r="I78" s="212"/>
      <c r="J78" s="212"/>
    </row>
    <row r="79" spans="1:10" x14ac:dyDescent="0.2">
      <c r="A79" s="29"/>
      <c r="B79" s="101"/>
      <c r="C79" s="41"/>
      <c r="D79" s="136"/>
      <c r="E79" s="104"/>
      <c r="F79" s="266"/>
      <c r="G79" s="35"/>
      <c r="H79" s="212"/>
      <c r="I79" s="212"/>
      <c r="J79" s="212"/>
    </row>
    <row r="80" spans="1:10" x14ac:dyDescent="0.2">
      <c r="A80" s="29"/>
      <c r="B80" s="101"/>
      <c r="C80" s="41"/>
      <c r="D80" s="67"/>
      <c r="E80" s="104"/>
      <c r="F80" s="266"/>
      <c r="G80" s="35"/>
      <c r="H80" s="212"/>
      <c r="I80" s="212"/>
      <c r="J80" s="212"/>
    </row>
    <row r="81" spans="1:10" x14ac:dyDescent="0.2">
      <c r="A81" s="29"/>
      <c r="B81" s="101"/>
      <c r="C81" s="41"/>
      <c r="D81" s="67"/>
      <c r="E81" s="104"/>
      <c r="F81" s="266"/>
      <c r="G81" s="35"/>
      <c r="H81" s="212"/>
      <c r="I81" s="212"/>
      <c r="J81" s="212"/>
    </row>
    <row r="82" spans="1:10" x14ac:dyDescent="0.2">
      <c r="A82" s="29"/>
      <c r="B82" s="101"/>
      <c r="C82" s="41"/>
      <c r="D82" s="67" t="s">
        <v>150</v>
      </c>
      <c r="E82" s="104"/>
      <c r="F82" s="266"/>
      <c r="G82" s="35"/>
      <c r="H82" s="212"/>
      <c r="I82" s="212"/>
      <c r="J82" s="212"/>
    </row>
    <row r="83" spans="1:10" x14ac:dyDescent="0.2">
      <c r="A83" s="29"/>
      <c r="B83" s="101"/>
      <c r="C83" s="41"/>
      <c r="D83" s="67"/>
      <c r="E83" s="104"/>
      <c r="F83" s="266"/>
      <c r="G83" s="35"/>
      <c r="H83" s="212"/>
      <c r="I83" s="212"/>
      <c r="J83" s="212"/>
    </row>
    <row r="84" spans="1:10" x14ac:dyDescent="0.2">
      <c r="A84" s="29"/>
      <c r="B84" s="101"/>
      <c r="C84" s="41"/>
      <c r="D84" s="136"/>
      <c r="E84" s="108"/>
      <c r="F84" s="69"/>
      <c r="G84" s="35"/>
      <c r="H84" s="212"/>
      <c r="I84" s="212"/>
      <c r="J84" s="212"/>
    </row>
    <row r="85" spans="1:10" x14ac:dyDescent="0.2">
      <c r="A85" s="29"/>
      <c r="B85" s="101"/>
      <c r="C85" s="41"/>
      <c r="D85" s="144"/>
      <c r="E85" s="153"/>
      <c r="F85" s="69"/>
      <c r="G85" s="35"/>
      <c r="H85" s="212"/>
      <c r="I85" s="212"/>
      <c r="J85" s="212"/>
    </row>
    <row r="86" spans="1:10" x14ac:dyDescent="0.2">
      <c r="A86" s="29"/>
      <c r="B86" s="101"/>
      <c r="C86" s="41"/>
      <c r="D86" s="130"/>
      <c r="E86" s="102"/>
      <c r="F86" s="69"/>
      <c r="G86" s="35"/>
      <c r="H86" s="212"/>
      <c r="I86" s="212"/>
      <c r="J86" s="212"/>
    </row>
    <row r="87" spans="1:10" x14ac:dyDescent="0.2">
      <c r="A87" s="29"/>
      <c r="B87" s="101"/>
      <c r="C87" s="31"/>
      <c r="D87" s="130"/>
      <c r="E87" s="131"/>
      <c r="F87" s="267"/>
      <c r="G87" s="35"/>
      <c r="H87" s="212"/>
      <c r="I87" s="212"/>
      <c r="J87" s="212"/>
    </row>
    <row r="88" spans="1:10" x14ac:dyDescent="0.2">
      <c r="A88" s="29"/>
      <c r="B88" s="101"/>
      <c r="C88" s="41"/>
      <c r="D88" s="118"/>
      <c r="E88" s="108"/>
      <c r="F88" s="263"/>
      <c r="G88" s="35"/>
      <c r="H88" s="212"/>
      <c r="I88" s="212"/>
      <c r="J88" s="212"/>
    </row>
    <row r="89" spans="1:10" x14ac:dyDescent="0.2">
      <c r="A89" s="29"/>
      <c r="B89" s="101"/>
      <c r="C89" s="41"/>
      <c r="D89" s="144"/>
      <c r="E89" s="108"/>
      <c r="F89" s="263"/>
      <c r="G89" s="35"/>
      <c r="H89" s="212"/>
      <c r="I89" s="212"/>
      <c r="J89" s="212"/>
    </row>
    <row r="90" spans="1:10" x14ac:dyDescent="0.2">
      <c r="A90" s="29"/>
      <c r="B90" s="101"/>
      <c r="C90" s="41"/>
      <c r="D90" s="144"/>
      <c r="E90" s="108"/>
      <c r="F90" s="149"/>
      <c r="G90" s="35"/>
      <c r="H90" s="212"/>
      <c r="I90" s="212"/>
      <c r="J90" s="212"/>
    </row>
    <row r="91" spans="1:10" x14ac:dyDescent="0.2">
      <c r="A91" s="61"/>
      <c r="B91" s="101"/>
      <c r="C91" s="41"/>
      <c r="D91" s="144"/>
      <c r="E91" s="108"/>
      <c r="F91" s="149"/>
      <c r="G91" s="71"/>
      <c r="H91" s="212"/>
      <c r="I91" s="212"/>
      <c r="J91" s="212"/>
    </row>
    <row r="92" spans="1:10" ht="13.5" thickBot="1" x14ac:dyDescent="0.25">
      <c r="A92" s="209"/>
      <c r="B92" s="132"/>
      <c r="C92" s="115"/>
      <c r="D92" s="115"/>
      <c r="E92" s="132"/>
      <c r="F92" s="49" t="s">
        <v>15</v>
      </c>
      <c r="G92" s="210">
        <f>SUM(G60:G91)</f>
        <v>530000</v>
      </c>
      <c r="H92" s="243"/>
      <c r="I92" s="243"/>
      <c r="J92" s="243"/>
    </row>
    <row r="93" spans="1:10" ht="13.5" thickTop="1" x14ac:dyDescent="0.2">
      <c r="A93" s="875" t="s">
        <v>1155</v>
      </c>
      <c r="B93" s="899"/>
      <c r="C93" s="899"/>
      <c r="D93" s="899"/>
      <c r="E93" s="899"/>
      <c r="F93" s="899"/>
      <c r="G93" s="900"/>
      <c r="H93" s="22"/>
      <c r="I93" s="22"/>
      <c r="J93" s="22"/>
    </row>
    <row r="94" spans="1:10" ht="13.5" thickBot="1" x14ac:dyDescent="0.25">
      <c r="A94" s="52"/>
      <c r="B94" s="103"/>
      <c r="C94" s="374" t="s">
        <v>8</v>
      </c>
      <c r="D94" s="54"/>
      <c r="E94" s="103"/>
      <c r="F94" s="55"/>
      <c r="G94" s="56"/>
    </row>
    <row r="95" spans="1:10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  <c r="H95" s="4"/>
      <c r="I95" s="4"/>
      <c r="J95" s="4"/>
    </row>
    <row r="96" spans="1:10" x14ac:dyDescent="0.2">
      <c r="A96" s="910" t="s">
        <v>17</v>
      </c>
      <c r="B96" s="911"/>
      <c r="C96" s="911"/>
      <c r="D96" s="39"/>
      <c r="E96" s="912"/>
      <c r="F96" s="913"/>
      <c r="G96" s="914"/>
      <c r="H96" s="176"/>
      <c r="I96" s="176"/>
      <c r="J96" s="176"/>
    </row>
    <row r="97" spans="1:10" x14ac:dyDescent="0.2">
      <c r="A97" s="910" t="s">
        <v>38</v>
      </c>
      <c r="B97" s="911"/>
      <c r="C97" s="911"/>
      <c r="D97" s="73" t="s">
        <v>891</v>
      </c>
      <c r="E97" s="868" t="s">
        <v>142</v>
      </c>
      <c r="F97" s="868"/>
      <c r="G97" s="869"/>
      <c r="H97" s="1"/>
      <c r="I97" s="1"/>
      <c r="J97" s="1"/>
    </row>
    <row r="98" spans="1:10" ht="13.5" thickBot="1" x14ac:dyDescent="0.25">
      <c r="A98" s="901" t="s">
        <v>39</v>
      </c>
      <c r="B98" s="902"/>
      <c r="C98" s="902"/>
      <c r="D98" s="91" t="s">
        <v>892</v>
      </c>
      <c r="E98" s="904" t="s">
        <v>0</v>
      </c>
      <c r="F98" s="904"/>
      <c r="G98" s="905"/>
      <c r="H98" s="4"/>
      <c r="I98" s="4"/>
      <c r="J98" s="4"/>
    </row>
    <row r="99" spans="1:10" ht="16.5" x14ac:dyDescent="0.25">
      <c r="A99" s="885" t="s">
        <v>29</v>
      </c>
      <c r="B99" s="886"/>
      <c r="C99" s="886"/>
      <c r="D99" s="886"/>
      <c r="E99" s="886"/>
      <c r="F99" s="886"/>
      <c r="G99" s="887"/>
      <c r="H99" s="247"/>
      <c r="I99" s="247"/>
      <c r="J99" s="247"/>
    </row>
    <row r="100" spans="1:10" x14ac:dyDescent="0.2">
      <c r="A100" s="888" t="s">
        <v>48</v>
      </c>
      <c r="B100" s="889"/>
      <c r="C100" s="889"/>
      <c r="D100" s="889"/>
      <c r="E100" s="889"/>
      <c r="F100" s="889"/>
      <c r="G100" s="890"/>
      <c r="H100" s="246"/>
      <c r="I100" s="246"/>
      <c r="J100" s="246"/>
    </row>
    <row r="101" spans="1:10" x14ac:dyDescent="0.2">
      <c r="A101" s="915" t="s">
        <v>49</v>
      </c>
      <c r="B101" s="916"/>
      <c r="C101" s="916"/>
      <c r="D101" s="916"/>
      <c r="E101" s="916"/>
      <c r="F101" s="916"/>
      <c r="G101" s="917"/>
      <c r="H101" s="4"/>
      <c r="I101" s="4"/>
      <c r="J101" s="4"/>
    </row>
    <row r="102" spans="1:10" x14ac:dyDescent="0.2">
      <c r="A102" s="6"/>
      <c r="B102" s="99"/>
      <c r="C102" s="8"/>
      <c r="D102" s="9"/>
      <c r="E102" s="99"/>
      <c r="F102" s="10"/>
      <c r="G102" s="11" t="s">
        <v>20</v>
      </c>
      <c r="H102" s="248"/>
      <c r="I102" s="248"/>
      <c r="J102" s="248"/>
    </row>
    <row r="103" spans="1:10" x14ac:dyDescent="0.2">
      <c r="A103" s="12" t="s">
        <v>1</v>
      </c>
      <c r="B103" s="13"/>
      <c r="C103" s="14" t="s">
        <v>36</v>
      </c>
      <c r="D103" s="13"/>
      <c r="E103" s="362" t="s">
        <v>1362</v>
      </c>
      <c r="F103" s="98"/>
      <c r="G103" s="363" t="s">
        <v>1343</v>
      </c>
      <c r="H103" s="430"/>
      <c r="I103" s="430"/>
      <c r="J103" s="430"/>
    </row>
    <row r="104" spans="1:10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10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10" x14ac:dyDescent="0.2">
      <c r="A106" s="6"/>
      <c r="B106" s="99"/>
      <c r="C106" s="8"/>
      <c r="D106" s="8"/>
      <c r="E106" s="920"/>
      <c r="F106" s="921"/>
      <c r="G106" s="25"/>
    </row>
    <row r="107" spans="1:10" ht="26.25" thickBot="1" x14ac:dyDescent="0.25">
      <c r="A107" s="207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  <c r="H107" s="249"/>
      <c r="I107" s="249"/>
      <c r="J107" s="249"/>
    </row>
    <row r="108" spans="1:10" ht="13.5" thickTop="1" x14ac:dyDescent="0.2">
      <c r="A108" s="29">
        <v>1</v>
      </c>
      <c r="B108" s="101"/>
      <c r="C108" s="371" t="s">
        <v>149</v>
      </c>
      <c r="D108" s="376" t="s">
        <v>1363</v>
      </c>
      <c r="E108" s="108">
        <v>50</v>
      </c>
      <c r="F108" s="69">
        <v>200</v>
      </c>
      <c r="G108" s="256">
        <f>F108*E108</f>
        <v>10000</v>
      </c>
      <c r="H108" s="355"/>
      <c r="I108" s="355"/>
      <c r="J108" s="355"/>
    </row>
    <row r="109" spans="1:10" x14ac:dyDescent="0.2">
      <c r="A109" s="29"/>
      <c r="B109" s="101"/>
      <c r="C109" s="371"/>
      <c r="D109" s="370" t="s">
        <v>978</v>
      </c>
      <c r="E109" s="108"/>
      <c r="F109" s="69"/>
      <c r="G109" s="35"/>
      <c r="H109" s="212"/>
      <c r="I109" s="212"/>
      <c r="J109" s="212"/>
    </row>
    <row r="110" spans="1:10" x14ac:dyDescent="0.2">
      <c r="A110" s="29">
        <v>2</v>
      </c>
      <c r="B110" s="101"/>
      <c r="C110" s="371" t="s">
        <v>149</v>
      </c>
      <c r="D110" s="370" t="s">
        <v>339</v>
      </c>
      <c r="E110" s="108">
        <v>50</v>
      </c>
      <c r="F110" s="263">
        <v>350</v>
      </c>
      <c r="G110" s="35">
        <f>F110*E110</f>
        <v>17500</v>
      </c>
      <c r="H110" s="212"/>
      <c r="I110" s="212"/>
      <c r="J110" s="212"/>
    </row>
    <row r="111" spans="1:10" x14ac:dyDescent="0.2">
      <c r="A111" s="29"/>
      <c r="B111" s="101"/>
      <c r="C111" s="371"/>
      <c r="D111" s="370" t="s">
        <v>301</v>
      </c>
      <c r="E111" s="108"/>
      <c r="F111" s="69"/>
      <c r="G111" s="35"/>
      <c r="H111" s="212"/>
      <c r="I111" s="212"/>
      <c r="J111" s="212"/>
    </row>
    <row r="112" spans="1:10" x14ac:dyDescent="0.2">
      <c r="A112" s="29"/>
      <c r="B112" s="105"/>
      <c r="C112" s="371"/>
      <c r="D112" s="376"/>
      <c r="E112" s="102"/>
      <c r="F112" s="69"/>
      <c r="G112" s="35"/>
      <c r="H112" s="212"/>
      <c r="I112" s="212"/>
      <c r="J112" s="212"/>
    </row>
    <row r="113" spans="1:10" x14ac:dyDescent="0.2">
      <c r="A113" s="29"/>
      <c r="B113" s="105"/>
      <c r="C113" s="41"/>
      <c r="D113" s="376"/>
      <c r="E113" s="102"/>
      <c r="F113" s="69"/>
      <c r="G113" s="35"/>
      <c r="H113" s="212"/>
      <c r="I113" s="212"/>
      <c r="J113" s="212"/>
    </row>
    <row r="114" spans="1:10" x14ac:dyDescent="0.2">
      <c r="A114" s="29"/>
      <c r="B114" s="151"/>
      <c r="C114" s="385"/>
      <c r="D114" s="376"/>
      <c r="E114" s="108"/>
      <c r="F114" s="264"/>
      <c r="G114" s="35"/>
      <c r="H114" s="212"/>
      <c r="I114" s="212"/>
      <c r="J114" s="212"/>
    </row>
    <row r="115" spans="1:10" x14ac:dyDescent="0.2">
      <c r="A115" s="29"/>
      <c r="B115" s="151"/>
      <c r="C115" s="119"/>
      <c r="D115" s="383"/>
      <c r="E115" s="108"/>
      <c r="F115" s="264"/>
      <c r="G115" s="35"/>
      <c r="H115" s="212"/>
      <c r="I115" s="212"/>
      <c r="J115" s="212"/>
    </row>
    <row r="116" spans="1:10" x14ac:dyDescent="0.2">
      <c r="A116" s="29"/>
      <c r="B116" s="101"/>
      <c r="C116" s="41"/>
      <c r="D116" s="144"/>
      <c r="E116" s="104"/>
      <c r="F116" s="69"/>
      <c r="G116" s="35"/>
      <c r="H116" s="212"/>
      <c r="I116" s="212"/>
      <c r="J116" s="212"/>
    </row>
    <row r="117" spans="1:10" x14ac:dyDescent="0.2">
      <c r="A117" s="29"/>
      <c r="B117" s="106"/>
      <c r="C117" s="41"/>
      <c r="D117" s="136"/>
      <c r="E117" s="104"/>
      <c r="F117" s="69"/>
      <c r="G117" s="35"/>
      <c r="H117" s="212"/>
      <c r="I117" s="212"/>
      <c r="J117" s="212"/>
    </row>
    <row r="118" spans="1:10" x14ac:dyDescent="0.2">
      <c r="A118" s="29"/>
      <c r="B118" s="105"/>
      <c r="C118" s="41"/>
      <c r="D118" s="376" t="s">
        <v>8</v>
      </c>
      <c r="E118" s="108"/>
      <c r="F118" s="265"/>
      <c r="G118" s="35"/>
      <c r="H118" s="212"/>
      <c r="I118" s="212"/>
      <c r="J118" s="212"/>
    </row>
    <row r="119" spans="1:10" x14ac:dyDescent="0.2">
      <c r="A119" s="29"/>
      <c r="B119" s="107"/>
      <c r="C119" s="41"/>
      <c r="D119" s="136"/>
      <c r="E119" s="153"/>
      <c r="F119" s="69"/>
      <c r="G119" s="35"/>
      <c r="H119" s="212"/>
      <c r="I119" s="212"/>
      <c r="J119" s="212"/>
    </row>
    <row r="120" spans="1:10" x14ac:dyDescent="0.2">
      <c r="A120" s="29"/>
      <c r="B120" s="107"/>
      <c r="C120" s="41"/>
      <c r="D120" s="67"/>
      <c r="E120" s="153"/>
      <c r="F120" s="69"/>
      <c r="G120" s="35"/>
      <c r="H120" s="212"/>
      <c r="I120" s="212"/>
      <c r="J120" s="212"/>
    </row>
    <row r="121" spans="1:10" x14ac:dyDescent="0.2">
      <c r="A121" s="29"/>
      <c r="B121" s="101"/>
      <c r="C121" s="41"/>
      <c r="D121" s="67"/>
      <c r="E121" s="108"/>
      <c r="F121" s="69"/>
      <c r="G121" s="35"/>
      <c r="H121" s="212"/>
      <c r="I121" s="212"/>
      <c r="J121" s="212"/>
    </row>
    <row r="122" spans="1:10" x14ac:dyDescent="0.2">
      <c r="A122" s="29"/>
      <c r="B122" s="101"/>
      <c r="C122" s="41"/>
      <c r="D122" s="144"/>
      <c r="E122" s="153"/>
      <c r="F122" s="69"/>
      <c r="G122" s="35"/>
      <c r="H122" s="212"/>
      <c r="I122" s="212"/>
      <c r="J122" s="212"/>
    </row>
    <row r="123" spans="1:10" x14ac:dyDescent="0.2">
      <c r="A123" s="29"/>
      <c r="B123" s="106"/>
      <c r="C123" s="41"/>
      <c r="D123" s="384" t="s">
        <v>8</v>
      </c>
      <c r="E123" s="104"/>
      <c r="F123" s="266"/>
      <c r="G123" s="35"/>
      <c r="H123" s="212"/>
      <c r="I123" s="212"/>
      <c r="J123" s="212"/>
    </row>
    <row r="124" spans="1:10" x14ac:dyDescent="0.2">
      <c r="A124" s="29"/>
      <c r="B124" s="105"/>
      <c r="C124" s="41"/>
      <c r="D124" s="130"/>
      <c r="E124" s="104"/>
      <c r="F124" s="266"/>
      <c r="G124" s="35"/>
      <c r="H124" s="212"/>
      <c r="I124" s="212"/>
      <c r="J124" s="212"/>
    </row>
    <row r="125" spans="1:10" x14ac:dyDescent="0.2">
      <c r="A125" s="29"/>
      <c r="B125" s="105"/>
      <c r="C125" s="41"/>
      <c r="D125" s="67"/>
      <c r="E125" s="104"/>
      <c r="F125" s="266"/>
      <c r="G125" s="35"/>
      <c r="H125" s="212"/>
      <c r="I125" s="212"/>
      <c r="J125" s="212"/>
    </row>
    <row r="126" spans="1:10" x14ac:dyDescent="0.2">
      <c r="A126" s="29"/>
      <c r="B126" s="101"/>
      <c r="C126" s="41"/>
      <c r="D126" s="67"/>
      <c r="E126" s="104"/>
      <c r="F126" s="266"/>
      <c r="G126" s="35"/>
      <c r="H126" s="212"/>
      <c r="I126" s="212"/>
      <c r="J126" s="212"/>
    </row>
    <row r="127" spans="1:10" x14ac:dyDescent="0.2">
      <c r="A127" s="29"/>
      <c r="B127" s="101"/>
      <c r="C127" s="41"/>
      <c r="D127" s="136"/>
      <c r="E127" s="104"/>
      <c r="F127" s="266"/>
      <c r="G127" s="35"/>
      <c r="H127" s="212"/>
      <c r="I127" s="212"/>
      <c r="J127" s="212"/>
    </row>
    <row r="128" spans="1:10" x14ac:dyDescent="0.2">
      <c r="A128" s="29"/>
      <c r="B128" s="101"/>
      <c r="C128" s="41"/>
      <c r="D128" s="136"/>
      <c r="E128" s="104"/>
      <c r="F128" s="266"/>
      <c r="G128" s="35"/>
      <c r="H128" s="212"/>
      <c r="I128" s="212"/>
      <c r="J128" s="212"/>
    </row>
    <row r="129" spans="1:10" x14ac:dyDescent="0.2">
      <c r="A129" s="29"/>
      <c r="B129" s="101"/>
      <c r="C129" s="41"/>
      <c r="D129" s="67"/>
      <c r="E129" s="104"/>
      <c r="F129" s="266"/>
      <c r="G129" s="35"/>
      <c r="H129" s="212"/>
      <c r="I129" s="212"/>
      <c r="J129" s="212"/>
    </row>
    <row r="130" spans="1:10" x14ac:dyDescent="0.2">
      <c r="A130" s="29"/>
      <c r="B130" s="101"/>
      <c r="C130" s="41"/>
      <c r="D130" s="67"/>
      <c r="E130" s="104"/>
      <c r="F130" s="266"/>
      <c r="G130" s="35"/>
      <c r="H130" s="212"/>
      <c r="I130" s="212"/>
      <c r="J130" s="212"/>
    </row>
    <row r="131" spans="1:10" x14ac:dyDescent="0.2">
      <c r="A131" s="29"/>
      <c r="B131" s="101"/>
      <c r="C131" s="41"/>
      <c r="D131" s="67"/>
      <c r="E131" s="104"/>
      <c r="F131" s="266"/>
      <c r="G131" s="35"/>
      <c r="H131" s="212"/>
      <c r="I131" s="212"/>
      <c r="J131" s="212"/>
    </row>
    <row r="132" spans="1:10" x14ac:dyDescent="0.2">
      <c r="A132" s="29"/>
      <c r="B132" s="101"/>
      <c r="C132" s="41"/>
      <c r="D132" s="67" t="s">
        <v>150</v>
      </c>
      <c r="E132" s="104"/>
      <c r="F132" s="266"/>
      <c r="G132" s="35"/>
      <c r="H132" s="212"/>
      <c r="I132" s="212"/>
      <c r="J132" s="212"/>
    </row>
    <row r="133" spans="1:10" x14ac:dyDescent="0.2">
      <c r="A133" s="29"/>
      <c r="B133" s="101"/>
      <c r="C133" s="41"/>
      <c r="D133" s="136"/>
      <c r="E133" s="108"/>
      <c r="F133" s="69"/>
      <c r="G133" s="35"/>
      <c r="H133" s="212"/>
      <c r="I133" s="212"/>
      <c r="J133" s="212"/>
    </row>
    <row r="134" spans="1:10" x14ac:dyDescent="0.2">
      <c r="A134" s="29"/>
      <c r="B134" s="101"/>
      <c r="C134" s="41"/>
      <c r="D134" s="144"/>
      <c r="E134" s="153"/>
      <c r="F134" s="69"/>
      <c r="G134" s="35"/>
      <c r="H134" s="212"/>
      <c r="I134" s="212"/>
      <c r="J134" s="212"/>
    </row>
    <row r="135" spans="1:10" x14ac:dyDescent="0.2">
      <c r="A135" s="29"/>
      <c r="B135" s="101"/>
      <c r="C135" s="41"/>
      <c r="D135" s="130"/>
      <c r="E135" s="102"/>
      <c r="F135" s="69"/>
      <c r="G135" s="35"/>
      <c r="H135" s="212"/>
      <c r="I135" s="212"/>
      <c r="J135" s="212"/>
    </row>
    <row r="136" spans="1:10" x14ac:dyDescent="0.2">
      <c r="A136" s="29"/>
      <c r="B136" s="101"/>
      <c r="C136" s="31"/>
      <c r="D136" s="130"/>
      <c r="E136" s="131"/>
      <c r="F136" s="267"/>
      <c r="G136" s="35"/>
      <c r="H136" s="212"/>
      <c r="I136" s="212"/>
      <c r="J136" s="212"/>
    </row>
    <row r="137" spans="1:10" x14ac:dyDescent="0.2">
      <c r="A137" s="29"/>
      <c r="B137" s="101"/>
      <c r="C137" s="41"/>
      <c r="D137" s="118"/>
      <c r="E137" s="108"/>
      <c r="F137" s="263"/>
      <c r="G137" s="35"/>
      <c r="H137" s="212"/>
      <c r="I137" s="212"/>
      <c r="J137" s="212"/>
    </row>
    <row r="138" spans="1:10" x14ac:dyDescent="0.2">
      <c r="A138" s="29"/>
      <c r="B138" s="101"/>
      <c r="C138" s="41"/>
      <c r="D138" s="144"/>
      <c r="E138" s="108"/>
      <c r="F138" s="263"/>
      <c r="G138" s="35"/>
      <c r="H138" s="212"/>
      <c r="I138" s="212"/>
      <c r="J138" s="212"/>
    </row>
    <row r="139" spans="1:10" x14ac:dyDescent="0.2">
      <c r="A139" s="29"/>
      <c r="B139" s="101"/>
      <c r="C139" s="41"/>
      <c r="D139" s="144"/>
      <c r="E139" s="108"/>
      <c r="F139" s="149"/>
      <c r="G139" s="35"/>
      <c r="H139" s="212"/>
      <c r="I139" s="212"/>
      <c r="J139" s="212"/>
    </row>
    <row r="140" spans="1:10" x14ac:dyDescent="0.2">
      <c r="A140" s="61"/>
      <c r="B140" s="101"/>
      <c r="C140" s="41"/>
      <c r="D140" s="144"/>
      <c r="E140" s="108"/>
      <c r="F140" s="149"/>
      <c r="G140" s="71"/>
      <c r="H140" s="212"/>
      <c r="I140" s="212"/>
      <c r="J140" s="212"/>
    </row>
    <row r="141" spans="1:10" ht="13.5" thickBot="1" x14ac:dyDescent="0.25">
      <c r="A141" s="209"/>
      <c r="B141" s="132"/>
      <c r="C141" s="115"/>
      <c r="D141" s="115"/>
      <c r="E141" s="132"/>
      <c r="F141" s="49" t="s">
        <v>15</v>
      </c>
      <c r="G141" s="210">
        <f>SUM(G108:G140)</f>
        <v>27500</v>
      </c>
      <c r="H141" s="243"/>
      <c r="I141" s="243"/>
      <c r="J141" s="243"/>
    </row>
    <row r="142" spans="1:10" ht="13.5" thickTop="1" x14ac:dyDescent="0.2">
      <c r="A142" s="875" t="s">
        <v>1364</v>
      </c>
      <c r="B142" s="899"/>
      <c r="C142" s="899"/>
      <c r="D142" s="899"/>
      <c r="E142" s="899"/>
      <c r="F142" s="899"/>
      <c r="G142" s="900"/>
      <c r="H142" s="22"/>
      <c r="I142" s="22"/>
      <c r="J142" s="22"/>
    </row>
    <row r="143" spans="1:10" ht="13.5" thickBot="1" x14ac:dyDescent="0.25">
      <c r="A143" s="52"/>
      <c r="B143" s="103"/>
      <c r="C143" s="374" t="s">
        <v>8</v>
      </c>
      <c r="D143" s="54"/>
      <c r="E143" s="103"/>
      <c r="F143" s="55"/>
      <c r="G143" s="56"/>
    </row>
    <row r="144" spans="1:10" ht="13.5" thickTop="1" x14ac:dyDescent="0.2">
      <c r="A144" s="906"/>
      <c r="B144" s="907"/>
      <c r="C144" s="907"/>
      <c r="D144" s="57" t="s">
        <v>11</v>
      </c>
      <c r="E144" s="908" t="s">
        <v>12</v>
      </c>
      <c r="F144" s="908"/>
      <c r="G144" s="909"/>
      <c r="H144" s="4"/>
      <c r="I144" s="4"/>
      <c r="J144" s="4"/>
    </row>
    <row r="145" spans="1:10" x14ac:dyDescent="0.2">
      <c r="A145" s="910" t="s">
        <v>17</v>
      </c>
      <c r="B145" s="911"/>
      <c r="C145" s="911"/>
      <c r="D145" s="39"/>
      <c r="E145" s="912"/>
      <c r="F145" s="913"/>
      <c r="G145" s="914"/>
      <c r="H145" s="176"/>
      <c r="I145" s="176"/>
      <c r="J145" s="176"/>
    </row>
    <row r="146" spans="1:10" x14ac:dyDescent="0.2">
      <c r="A146" s="910" t="s">
        <v>38</v>
      </c>
      <c r="B146" s="911"/>
      <c r="C146" s="911"/>
      <c r="D146" s="73" t="s">
        <v>891</v>
      </c>
      <c r="E146" s="868" t="s">
        <v>142</v>
      </c>
      <c r="F146" s="868"/>
      <c r="G146" s="869"/>
      <c r="H146" s="1"/>
      <c r="I146" s="1"/>
      <c r="J146" s="1"/>
    </row>
    <row r="147" spans="1:10" ht="13.5" thickBot="1" x14ac:dyDescent="0.25">
      <c r="A147" s="901" t="s">
        <v>39</v>
      </c>
      <c r="B147" s="902"/>
      <c r="C147" s="902"/>
      <c r="D147" s="91" t="s">
        <v>892</v>
      </c>
      <c r="E147" s="904" t="s">
        <v>0</v>
      </c>
      <c r="F147" s="904"/>
      <c r="G147" s="905"/>
      <c r="H147" s="4"/>
      <c r="I147" s="4"/>
      <c r="J147" s="4"/>
    </row>
    <row r="148" spans="1:10" ht="16.5" x14ac:dyDescent="0.25">
      <c r="A148" s="885" t="s">
        <v>29</v>
      </c>
      <c r="B148" s="886"/>
      <c r="C148" s="886"/>
      <c r="D148" s="886"/>
      <c r="E148" s="886"/>
      <c r="F148" s="886"/>
      <c r="G148" s="887"/>
      <c r="H148" s="247"/>
      <c r="I148" s="247"/>
      <c r="J148" s="247"/>
    </row>
    <row r="149" spans="1:10" x14ac:dyDescent="0.2">
      <c r="A149" s="888" t="s">
        <v>48</v>
      </c>
      <c r="B149" s="889"/>
      <c r="C149" s="889"/>
      <c r="D149" s="889"/>
      <c r="E149" s="889"/>
      <c r="F149" s="889"/>
      <c r="G149" s="890"/>
      <c r="H149" s="246"/>
      <c r="I149" s="246"/>
      <c r="J149" s="246"/>
    </row>
    <row r="150" spans="1:10" x14ac:dyDescent="0.2">
      <c r="A150" s="915" t="s">
        <v>49</v>
      </c>
      <c r="B150" s="916"/>
      <c r="C150" s="916"/>
      <c r="D150" s="916"/>
      <c r="E150" s="916"/>
      <c r="F150" s="916"/>
      <c r="G150" s="917"/>
      <c r="H150" s="4"/>
      <c r="I150" s="4"/>
      <c r="J150" s="4"/>
    </row>
    <row r="151" spans="1:10" x14ac:dyDescent="0.2">
      <c r="A151" s="6"/>
      <c r="B151" s="99"/>
      <c r="C151" s="8"/>
      <c r="D151" s="9"/>
      <c r="E151" s="99"/>
      <c r="F151" s="10"/>
      <c r="G151" s="11" t="s">
        <v>20</v>
      </c>
      <c r="H151" s="248"/>
      <c r="I151" s="248"/>
      <c r="J151" s="248"/>
    </row>
    <row r="152" spans="1:10" x14ac:dyDescent="0.2">
      <c r="A152" s="12" t="s">
        <v>1</v>
      </c>
      <c r="B152" s="13"/>
      <c r="C152" s="14" t="s">
        <v>36</v>
      </c>
      <c r="D152" s="13"/>
      <c r="E152" s="362" t="s">
        <v>1372</v>
      </c>
      <c r="F152" s="98"/>
      <c r="G152" s="363" t="s">
        <v>1343</v>
      </c>
      <c r="H152" s="430"/>
      <c r="I152" s="430"/>
      <c r="J152" s="430"/>
    </row>
    <row r="153" spans="1:10" x14ac:dyDescent="0.2">
      <c r="A153" s="17" t="s">
        <v>8</v>
      </c>
      <c r="B153" s="100"/>
      <c r="C153" s="19"/>
      <c r="D153" s="4"/>
      <c r="E153" s="918"/>
      <c r="F153" s="919"/>
      <c r="G153" s="20"/>
    </row>
    <row r="154" spans="1:10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10" x14ac:dyDescent="0.2">
      <c r="A155" s="6"/>
      <c r="B155" s="99"/>
      <c r="C155" s="8"/>
      <c r="D155" s="8"/>
      <c r="E155" s="920"/>
      <c r="F155" s="921"/>
      <c r="G155" s="25"/>
    </row>
    <row r="156" spans="1:10" ht="26.25" thickBot="1" x14ac:dyDescent="0.25">
      <c r="A156" s="207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  <c r="H156" s="249"/>
      <c r="I156" s="249"/>
      <c r="J156" s="249"/>
    </row>
    <row r="157" spans="1:10" ht="13.5" thickTop="1" x14ac:dyDescent="0.2">
      <c r="A157" s="29">
        <v>1</v>
      </c>
      <c r="B157" s="101"/>
      <c r="C157" s="371" t="s">
        <v>149</v>
      </c>
      <c r="D157" s="376" t="s">
        <v>1373</v>
      </c>
      <c r="E157" s="108">
        <v>85</v>
      </c>
      <c r="F157" s="69">
        <v>200</v>
      </c>
      <c r="G157" s="256">
        <f>F157*E157</f>
        <v>17000</v>
      </c>
      <c r="H157" s="355"/>
      <c r="I157" s="355"/>
      <c r="J157" s="355"/>
    </row>
    <row r="158" spans="1:10" x14ac:dyDescent="0.2">
      <c r="A158" s="29"/>
      <c r="B158" s="101"/>
      <c r="C158" s="371"/>
      <c r="D158" s="370" t="s">
        <v>978</v>
      </c>
      <c r="E158" s="108"/>
      <c r="F158" s="69"/>
      <c r="G158" s="35"/>
      <c r="H158" s="212"/>
      <c r="I158" s="212"/>
      <c r="J158" s="212"/>
    </row>
    <row r="159" spans="1:10" x14ac:dyDescent="0.2">
      <c r="A159" s="29">
        <v>2</v>
      </c>
      <c r="B159" s="101"/>
      <c r="C159" s="371" t="s">
        <v>149</v>
      </c>
      <c r="D159" s="370" t="s">
        <v>339</v>
      </c>
      <c r="E159" s="108">
        <v>85</v>
      </c>
      <c r="F159" s="263">
        <v>350</v>
      </c>
      <c r="G159" s="35">
        <f>F159*E159</f>
        <v>29750</v>
      </c>
      <c r="H159" s="212"/>
      <c r="I159" s="212"/>
      <c r="J159" s="212"/>
    </row>
    <row r="160" spans="1:10" x14ac:dyDescent="0.2">
      <c r="A160" s="29"/>
      <c r="B160" s="101"/>
      <c r="C160" s="371"/>
      <c r="D160" s="370" t="s">
        <v>301</v>
      </c>
      <c r="E160" s="108"/>
      <c r="F160" s="69"/>
      <c r="G160" s="35"/>
      <c r="H160" s="212"/>
      <c r="I160" s="212"/>
      <c r="J160" s="212"/>
    </row>
    <row r="161" spans="1:10" x14ac:dyDescent="0.2">
      <c r="A161" s="29"/>
      <c r="B161" s="105"/>
      <c r="C161" s="371"/>
      <c r="D161" s="376"/>
      <c r="E161" s="102"/>
      <c r="F161" s="69"/>
      <c r="G161" s="35"/>
      <c r="H161" s="212"/>
      <c r="I161" s="212"/>
      <c r="J161" s="212"/>
    </row>
    <row r="162" spans="1:10" x14ac:dyDescent="0.2">
      <c r="A162" s="29"/>
      <c r="B162" s="105"/>
      <c r="C162" s="41"/>
      <c r="D162" s="376"/>
      <c r="E162" s="102"/>
      <c r="F162" s="69"/>
      <c r="G162" s="35"/>
      <c r="H162" s="212"/>
      <c r="I162" s="212"/>
      <c r="J162" s="212"/>
    </row>
    <row r="163" spans="1:10" x14ac:dyDescent="0.2">
      <c r="A163" s="29"/>
      <c r="B163" s="151"/>
      <c r="C163" s="385"/>
      <c r="D163" s="376"/>
      <c r="E163" s="108"/>
      <c r="F163" s="264"/>
      <c r="G163" s="35"/>
      <c r="H163" s="212"/>
      <c r="I163" s="212"/>
      <c r="J163" s="212"/>
    </row>
    <row r="164" spans="1:10" x14ac:dyDescent="0.2">
      <c r="A164" s="29"/>
      <c r="B164" s="151"/>
      <c r="C164" s="119"/>
      <c r="D164" s="383"/>
      <c r="E164" s="108"/>
      <c r="F164" s="264"/>
      <c r="G164" s="35"/>
      <c r="H164" s="212"/>
      <c r="I164" s="212"/>
      <c r="J164" s="212"/>
    </row>
    <row r="165" spans="1:10" x14ac:dyDescent="0.2">
      <c r="A165" s="29"/>
      <c r="B165" s="101"/>
      <c r="C165" s="41"/>
      <c r="D165" s="144"/>
      <c r="E165" s="104"/>
      <c r="F165" s="69"/>
      <c r="G165" s="35"/>
      <c r="H165" s="212"/>
      <c r="I165" s="212"/>
      <c r="J165" s="212"/>
    </row>
    <row r="166" spans="1:10" x14ac:dyDescent="0.2">
      <c r="A166" s="29"/>
      <c r="B166" s="106"/>
      <c r="C166" s="41"/>
      <c r="D166" s="136"/>
      <c r="E166" s="104"/>
      <c r="F166" s="69"/>
      <c r="G166" s="35"/>
      <c r="H166" s="212"/>
      <c r="I166" s="212"/>
      <c r="J166" s="212"/>
    </row>
    <row r="167" spans="1:10" x14ac:dyDescent="0.2">
      <c r="A167" s="29"/>
      <c r="B167" s="105"/>
      <c r="C167" s="41"/>
      <c r="D167" s="376" t="s">
        <v>8</v>
      </c>
      <c r="E167" s="108"/>
      <c r="F167" s="265"/>
      <c r="G167" s="35"/>
      <c r="H167" s="212"/>
      <c r="I167" s="212"/>
      <c r="J167" s="212"/>
    </row>
    <row r="168" spans="1:10" x14ac:dyDescent="0.2">
      <c r="A168" s="29"/>
      <c r="B168" s="107"/>
      <c r="C168" s="41"/>
      <c r="D168" s="136"/>
      <c r="E168" s="153"/>
      <c r="F168" s="69"/>
      <c r="G168" s="35"/>
      <c r="H168" s="212"/>
      <c r="I168" s="212"/>
      <c r="J168" s="212"/>
    </row>
    <row r="169" spans="1:10" x14ac:dyDescent="0.2">
      <c r="A169" s="29"/>
      <c r="B169" s="107"/>
      <c r="C169" s="41"/>
      <c r="D169" s="67"/>
      <c r="E169" s="153"/>
      <c r="F169" s="69"/>
      <c r="G169" s="35"/>
      <c r="H169" s="212"/>
      <c r="I169" s="212"/>
      <c r="J169" s="212"/>
    </row>
    <row r="170" spans="1:10" x14ac:dyDescent="0.2">
      <c r="A170" s="29"/>
      <c r="B170" s="101"/>
      <c r="C170" s="41"/>
      <c r="D170" s="67"/>
      <c r="E170" s="108"/>
      <c r="F170" s="69"/>
      <c r="G170" s="35"/>
      <c r="H170" s="212"/>
      <c r="I170" s="212"/>
      <c r="J170" s="212"/>
    </row>
    <row r="171" spans="1:10" x14ac:dyDescent="0.2">
      <c r="A171" s="29"/>
      <c r="B171" s="101"/>
      <c r="C171" s="41"/>
      <c r="D171" s="144"/>
      <c r="E171" s="153"/>
      <c r="F171" s="69"/>
      <c r="G171" s="35"/>
      <c r="H171" s="212"/>
      <c r="I171" s="212"/>
      <c r="J171" s="212"/>
    </row>
    <row r="172" spans="1:10" x14ac:dyDescent="0.2">
      <c r="A172" s="29"/>
      <c r="B172" s="106"/>
      <c r="C172" s="41"/>
      <c r="D172" s="384" t="s">
        <v>8</v>
      </c>
      <c r="E172" s="104"/>
      <c r="F172" s="266"/>
      <c r="G172" s="35"/>
      <c r="H172" s="212"/>
      <c r="I172" s="212"/>
      <c r="J172" s="212"/>
    </row>
    <row r="173" spans="1:10" x14ac:dyDescent="0.2">
      <c r="A173" s="29"/>
      <c r="B173" s="105"/>
      <c r="C173" s="41"/>
      <c r="D173" s="130"/>
      <c r="E173" s="104"/>
      <c r="F173" s="266"/>
      <c r="G173" s="35"/>
      <c r="H173" s="212"/>
      <c r="I173" s="212"/>
      <c r="J173" s="212"/>
    </row>
    <row r="174" spans="1:10" x14ac:dyDescent="0.2">
      <c r="A174" s="29"/>
      <c r="B174" s="105"/>
      <c r="C174" s="41"/>
      <c r="D174" s="67"/>
      <c r="E174" s="104"/>
      <c r="F174" s="266"/>
      <c r="G174" s="35"/>
      <c r="H174" s="212"/>
      <c r="I174" s="212"/>
      <c r="J174" s="212"/>
    </row>
    <row r="175" spans="1:10" x14ac:dyDescent="0.2">
      <c r="A175" s="29"/>
      <c r="B175" s="101"/>
      <c r="C175" s="41"/>
      <c r="D175" s="67"/>
      <c r="E175" s="104"/>
      <c r="F175" s="266"/>
      <c r="G175" s="35"/>
      <c r="H175" s="212"/>
      <c r="I175" s="212"/>
      <c r="J175" s="212"/>
    </row>
    <row r="176" spans="1:10" x14ac:dyDescent="0.2">
      <c r="A176" s="29"/>
      <c r="B176" s="101"/>
      <c r="C176" s="41"/>
      <c r="D176" s="136"/>
      <c r="E176" s="104"/>
      <c r="F176" s="266"/>
      <c r="G176" s="35"/>
      <c r="H176" s="212"/>
      <c r="I176" s="212"/>
      <c r="J176" s="212"/>
    </row>
    <row r="177" spans="1:10" x14ac:dyDescent="0.2">
      <c r="A177" s="29"/>
      <c r="B177" s="101"/>
      <c r="C177" s="41"/>
      <c r="D177" s="136"/>
      <c r="E177" s="104"/>
      <c r="F177" s="266"/>
      <c r="G177" s="35"/>
      <c r="H177" s="212"/>
      <c r="I177" s="212"/>
      <c r="J177" s="212"/>
    </row>
    <row r="178" spans="1:10" x14ac:dyDescent="0.2">
      <c r="A178" s="29"/>
      <c r="B178" s="101"/>
      <c r="C178" s="41"/>
      <c r="D178" s="67"/>
      <c r="E178" s="104"/>
      <c r="F178" s="266"/>
      <c r="G178" s="35"/>
      <c r="H178" s="212"/>
      <c r="I178" s="212"/>
      <c r="J178" s="212"/>
    </row>
    <row r="179" spans="1:10" x14ac:dyDescent="0.2">
      <c r="A179" s="29"/>
      <c r="B179" s="101"/>
      <c r="C179" s="41"/>
      <c r="D179" s="67"/>
      <c r="E179" s="104"/>
      <c r="F179" s="266"/>
      <c r="G179" s="35"/>
      <c r="H179" s="212"/>
      <c r="I179" s="212"/>
      <c r="J179" s="212"/>
    </row>
    <row r="180" spans="1:10" x14ac:dyDescent="0.2">
      <c r="A180" s="29"/>
      <c r="B180" s="101"/>
      <c r="C180" s="41"/>
      <c r="D180" s="67"/>
      <c r="E180" s="104"/>
      <c r="F180" s="266"/>
      <c r="G180" s="35"/>
      <c r="H180" s="212"/>
      <c r="I180" s="212"/>
      <c r="J180" s="212"/>
    </row>
    <row r="181" spans="1:10" x14ac:dyDescent="0.2">
      <c r="A181" s="29"/>
      <c r="B181" s="101"/>
      <c r="C181" s="41"/>
      <c r="D181" s="67"/>
      <c r="E181" s="104"/>
      <c r="F181" s="266"/>
      <c r="G181" s="35"/>
      <c r="H181" s="212"/>
      <c r="I181" s="212"/>
      <c r="J181" s="212"/>
    </row>
    <row r="182" spans="1:10" x14ac:dyDescent="0.2">
      <c r="A182" s="29"/>
      <c r="B182" s="101"/>
      <c r="C182" s="41"/>
      <c r="D182" s="67" t="s">
        <v>150</v>
      </c>
      <c r="E182" s="104"/>
      <c r="F182" s="266"/>
      <c r="G182" s="35"/>
      <c r="H182" s="212"/>
      <c r="I182" s="212"/>
      <c r="J182" s="212"/>
    </row>
    <row r="183" spans="1:10" x14ac:dyDescent="0.2">
      <c r="A183" s="29"/>
      <c r="B183" s="101"/>
      <c r="C183" s="41"/>
      <c r="D183" s="136"/>
      <c r="E183" s="108"/>
      <c r="F183" s="69"/>
      <c r="G183" s="35"/>
      <c r="H183" s="212"/>
      <c r="I183" s="212"/>
      <c r="J183" s="212"/>
    </row>
    <row r="184" spans="1:10" x14ac:dyDescent="0.2">
      <c r="A184" s="29"/>
      <c r="B184" s="101"/>
      <c r="C184" s="41"/>
      <c r="D184" s="144"/>
      <c r="E184" s="153"/>
      <c r="F184" s="69"/>
      <c r="G184" s="35"/>
      <c r="H184" s="212"/>
      <c r="I184" s="212"/>
      <c r="J184" s="212"/>
    </row>
    <row r="185" spans="1:10" x14ac:dyDescent="0.2">
      <c r="A185" s="29"/>
      <c r="B185" s="101"/>
      <c r="C185" s="41"/>
      <c r="D185" s="130"/>
      <c r="E185" s="102"/>
      <c r="F185" s="69"/>
      <c r="G185" s="35"/>
      <c r="H185" s="212"/>
      <c r="I185" s="212"/>
      <c r="J185" s="212"/>
    </row>
    <row r="186" spans="1:10" x14ac:dyDescent="0.2">
      <c r="A186" s="29"/>
      <c r="B186" s="101"/>
      <c r="C186" s="31"/>
      <c r="D186" s="130"/>
      <c r="E186" s="131"/>
      <c r="F186" s="267"/>
      <c r="G186" s="35"/>
      <c r="H186" s="212"/>
      <c r="I186" s="212"/>
      <c r="J186" s="212"/>
    </row>
    <row r="187" spans="1:10" x14ac:dyDescent="0.2">
      <c r="A187" s="29"/>
      <c r="B187" s="101"/>
      <c r="C187" s="41"/>
      <c r="D187" s="118"/>
      <c r="E187" s="108"/>
      <c r="F187" s="263"/>
      <c r="G187" s="35"/>
      <c r="H187" s="212"/>
      <c r="I187" s="212"/>
      <c r="J187" s="212"/>
    </row>
    <row r="188" spans="1:10" x14ac:dyDescent="0.2">
      <c r="A188" s="29"/>
      <c r="B188" s="101"/>
      <c r="C188" s="41"/>
      <c r="D188" s="144"/>
      <c r="E188" s="108"/>
      <c r="F188" s="263"/>
      <c r="G188" s="35"/>
      <c r="H188" s="212"/>
      <c r="I188" s="212"/>
      <c r="J188" s="212"/>
    </row>
    <row r="189" spans="1:10" x14ac:dyDescent="0.2">
      <c r="A189" s="29"/>
      <c r="B189" s="101"/>
      <c r="C189" s="41"/>
      <c r="D189" s="144"/>
      <c r="E189" s="108"/>
      <c r="F189" s="149"/>
      <c r="G189" s="35"/>
      <c r="H189" s="212"/>
      <c r="I189" s="212"/>
      <c r="J189" s="212"/>
    </row>
    <row r="190" spans="1:10" x14ac:dyDescent="0.2">
      <c r="A190" s="61"/>
      <c r="B190" s="101"/>
      <c r="C190" s="41"/>
      <c r="D190" s="144"/>
      <c r="E190" s="108"/>
      <c r="F190" s="149"/>
      <c r="G190" s="71"/>
      <c r="H190" s="212"/>
      <c r="I190" s="212"/>
      <c r="J190" s="212"/>
    </row>
    <row r="191" spans="1:10" ht="13.5" thickBot="1" x14ac:dyDescent="0.25">
      <c r="A191" s="209"/>
      <c r="B191" s="132"/>
      <c r="C191" s="115"/>
      <c r="D191" s="115"/>
      <c r="E191" s="132"/>
      <c r="F191" s="49" t="s">
        <v>15</v>
      </c>
      <c r="G191" s="210">
        <f>SUM(G157:G190)</f>
        <v>46750</v>
      </c>
      <c r="H191" s="243"/>
      <c r="I191" s="243"/>
      <c r="J191" s="243"/>
    </row>
    <row r="192" spans="1:10" ht="13.5" thickTop="1" x14ac:dyDescent="0.2">
      <c r="A192" s="875" t="s">
        <v>1375</v>
      </c>
      <c r="B192" s="899"/>
      <c r="C192" s="899"/>
      <c r="D192" s="899"/>
      <c r="E192" s="899"/>
      <c r="F192" s="899"/>
      <c r="G192" s="900"/>
      <c r="H192" s="22"/>
      <c r="I192" s="22"/>
      <c r="J192" s="22"/>
    </row>
    <row r="193" spans="1:10" ht="13.5" thickBot="1" x14ac:dyDescent="0.25">
      <c r="A193" s="52"/>
      <c r="B193" s="103"/>
      <c r="C193" s="374" t="s">
        <v>1374</v>
      </c>
      <c r="D193" s="54"/>
      <c r="E193" s="103"/>
      <c r="F193" s="55"/>
      <c r="G193" s="56"/>
    </row>
    <row r="194" spans="1:10" ht="13.5" thickTop="1" x14ac:dyDescent="0.2">
      <c r="A194" s="906"/>
      <c r="B194" s="907"/>
      <c r="C194" s="907"/>
      <c r="D194" s="57" t="s">
        <v>11</v>
      </c>
      <c r="E194" s="908" t="s">
        <v>12</v>
      </c>
      <c r="F194" s="908"/>
      <c r="G194" s="909"/>
      <c r="H194" s="4"/>
      <c r="I194" s="4"/>
      <c r="J194" s="4"/>
    </row>
    <row r="195" spans="1:10" x14ac:dyDescent="0.2">
      <c r="A195" s="910" t="s">
        <v>17</v>
      </c>
      <c r="B195" s="911"/>
      <c r="C195" s="911"/>
      <c r="D195" s="39"/>
      <c r="E195" s="912"/>
      <c r="F195" s="913"/>
      <c r="G195" s="914"/>
      <c r="H195" s="176"/>
      <c r="I195" s="176"/>
      <c r="J195" s="176"/>
    </row>
    <row r="196" spans="1:10" x14ac:dyDescent="0.2">
      <c r="A196" s="910" t="s">
        <v>38</v>
      </c>
      <c r="B196" s="911"/>
      <c r="C196" s="911"/>
      <c r="D196" s="73" t="s">
        <v>891</v>
      </c>
      <c r="E196" s="868" t="s">
        <v>142</v>
      </c>
      <c r="F196" s="868"/>
      <c r="G196" s="869"/>
      <c r="H196" s="1"/>
      <c r="I196" s="1"/>
      <c r="J196" s="1"/>
    </row>
    <row r="197" spans="1:10" ht="13.5" thickBot="1" x14ac:dyDescent="0.25">
      <c r="A197" s="901" t="s">
        <v>39</v>
      </c>
      <c r="B197" s="902"/>
      <c r="C197" s="902"/>
      <c r="D197" s="91" t="s">
        <v>892</v>
      </c>
      <c r="E197" s="904" t="s">
        <v>0</v>
      </c>
      <c r="F197" s="904"/>
      <c r="G197" s="905"/>
      <c r="H197" s="4"/>
      <c r="I197" s="4"/>
      <c r="J197" s="4"/>
    </row>
    <row r="198" spans="1:10" ht="16.5" x14ac:dyDescent="0.25">
      <c r="A198" s="885" t="s">
        <v>29</v>
      </c>
      <c r="B198" s="886"/>
      <c r="C198" s="886"/>
      <c r="D198" s="886"/>
      <c r="E198" s="886"/>
      <c r="F198" s="886"/>
      <c r="G198" s="887"/>
      <c r="H198" s="247"/>
      <c r="I198" s="247"/>
      <c r="J198" s="247"/>
    </row>
    <row r="199" spans="1:10" x14ac:dyDescent="0.2">
      <c r="A199" s="888" t="s">
        <v>48</v>
      </c>
      <c r="B199" s="889"/>
      <c r="C199" s="889"/>
      <c r="D199" s="889"/>
      <c r="E199" s="889"/>
      <c r="F199" s="889"/>
      <c r="G199" s="890"/>
      <c r="H199" s="246"/>
      <c r="I199" s="246"/>
      <c r="J199" s="246"/>
    </row>
    <row r="200" spans="1:10" x14ac:dyDescent="0.2">
      <c r="A200" s="915" t="s">
        <v>49</v>
      </c>
      <c r="B200" s="916"/>
      <c r="C200" s="916"/>
      <c r="D200" s="916"/>
      <c r="E200" s="916"/>
      <c r="F200" s="916"/>
      <c r="G200" s="917"/>
      <c r="H200" s="4"/>
      <c r="I200" s="4"/>
      <c r="J200" s="4"/>
    </row>
    <row r="201" spans="1:10" x14ac:dyDescent="0.2">
      <c r="A201" s="6"/>
      <c r="B201" s="99"/>
      <c r="C201" s="8"/>
      <c r="D201" s="9"/>
      <c r="E201" s="99"/>
      <c r="F201" s="10"/>
      <c r="G201" s="11" t="s">
        <v>20</v>
      </c>
      <c r="H201" s="248"/>
      <c r="I201" s="248"/>
      <c r="J201" s="248"/>
    </row>
    <row r="202" spans="1:10" x14ac:dyDescent="0.2">
      <c r="A202" s="12" t="s">
        <v>1</v>
      </c>
      <c r="B202" s="13"/>
      <c r="C202" s="14" t="s">
        <v>36</v>
      </c>
      <c r="D202" s="13"/>
      <c r="E202" s="362" t="s">
        <v>1366</v>
      </c>
      <c r="F202" s="98"/>
      <c r="G202" s="363" t="s">
        <v>1349</v>
      </c>
      <c r="H202" s="430"/>
      <c r="I202" s="430"/>
      <c r="J202" s="430"/>
    </row>
    <row r="203" spans="1:10" x14ac:dyDescent="0.2">
      <c r="A203" s="17" t="s">
        <v>8</v>
      </c>
      <c r="B203" s="100"/>
      <c r="C203" s="19"/>
      <c r="D203" s="4"/>
      <c r="E203" s="918"/>
      <c r="F203" s="919"/>
      <c r="G203" s="20"/>
    </row>
    <row r="204" spans="1:10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10" x14ac:dyDescent="0.2">
      <c r="A205" s="6"/>
      <c r="B205" s="99"/>
      <c r="C205" s="8"/>
      <c r="D205" s="8"/>
      <c r="E205" s="920"/>
      <c r="F205" s="921"/>
      <c r="G205" s="25"/>
    </row>
    <row r="206" spans="1:10" ht="26.25" thickBot="1" x14ac:dyDescent="0.25">
      <c r="A206" s="207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  <c r="H206" s="249"/>
      <c r="I206" s="249"/>
      <c r="J206" s="249"/>
    </row>
    <row r="207" spans="1:10" ht="13.5" thickTop="1" x14ac:dyDescent="0.2">
      <c r="A207" s="29">
        <v>1</v>
      </c>
      <c r="B207" s="101"/>
      <c r="C207" s="371" t="s">
        <v>149</v>
      </c>
      <c r="D207" s="370" t="s">
        <v>1380</v>
      </c>
      <c r="E207" s="108">
        <v>40</v>
      </c>
      <c r="F207" s="149">
        <v>200</v>
      </c>
      <c r="G207" s="35">
        <f>F207*E207</f>
        <v>8000</v>
      </c>
      <c r="H207" s="212"/>
      <c r="I207" s="212"/>
      <c r="J207" s="212"/>
    </row>
    <row r="208" spans="1:10" x14ac:dyDescent="0.2">
      <c r="A208" s="29"/>
      <c r="B208" s="101"/>
      <c r="C208" s="371"/>
      <c r="D208" s="370" t="s">
        <v>888</v>
      </c>
      <c r="E208" s="108"/>
      <c r="F208" s="128"/>
      <c r="G208" s="372"/>
      <c r="H208" s="438"/>
      <c r="I208" s="438"/>
      <c r="J208" s="438"/>
    </row>
    <row r="209" spans="1:10" x14ac:dyDescent="0.2">
      <c r="A209" s="29">
        <v>2</v>
      </c>
      <c r="B209" s="105"/>
      <c r="C209" s="371" t="s">
        <v>149</v>
      </c>
      <c r="D209" s="376" t="s">
        <v>339</v>
      </c>
      <c r="E209" s="102">
        <v>40</v>
      </c>
      <c r="F209" s="128">
        <v>350</v>
      </c>
      <c r="G209" s="35">
        <f>F209*E209</f>
        <v>14000</v>
      </c>
      <c r="H209" s="212"/>
      <c r="I209" s="212"/>
      <c r="J209" s="212"/>
    </row>
    <row r="210" spans="1:10" x14ac:dyDescent="0.2">
      <c r="A210" s="29"/>
      <c r="B210" s="105"/>
      <c r="C210" s="371"/>
      <c r="D210" s="376" t="s">
        <v>338</v>
      </c>
      <c r="E210" s="102"/>
      <c r="F210" s="128"/>
      <c r="G210" s="35"/>
      <c r="H210" s="212"/>
      <c r="I210" s="212"/>
      <c r="J210" s="212"/>
    </row>
    <row r="211" spans="1:10" x14ac:dyDescent="0.2">
      <c r="A211" s="29"/>
      <c r="B211" s="105"/>
      <c r="C211" s="371"/>
      <c r="D211" s="376"/>
      <c r="E211" s="102"/>
      <c r="F211" s="128"/>
      <c r="G211" s="372"/>
      <c r="H211" s="438"/>
      <c r="I211" s="438"/>
      <c r="J211" s="438"/>
    </row>
    <row r="212" spans="1:10" x14ac:dyDescent="0.2">
      <c r="A212" s="29"/>
      <c r="B212" s="105"/>
      <c r="C212" s="41"/>
      <c r="D212" s="376"/>
      <c r="E212" s="102"/>
      <c r="F212" s="69"/>
      <c r="G212" s="35"/>
      <c r="H212" s="212"/>
      <c r="I212" s="212"/>
      <c r="J212" s="212"/>
    </row>
    <row r="213" spans="1:10" x14ac:dyDescent="0.2">
      <c r="A213" s="29"/>
      <c r="B213" s="151"/>
      <c r="C213" s="385"/>
      <c r="D213" s="376"/>
      <c r="E213" s="108"/>
      <c r="F213" s="264"/>
      <c r="G213" s="35"/>
      <c r="H213" s="212"/>
      <c r="I213" s="212"/>
      <c r="J213" s="212"/>
    </row>
    <row r="214" spans="1:10" x14ac:dyDescent="0.2">
      <c r="A214" s="29"/>
      <c r="B214" s="151"/>
      <c r="C214" s="119"/>
      <c r="D214" s="383"/>
      <c r="E214" s="108"/>
      <c r="F214" s="264"/>
      <c r="G214" s="35"/>
      <c r="H214" s="212"/>
      <c r="I214" s="212"/>
      <c r="J214" s="212"/>
    </row>
    <row r="215" spans="1:10" x14ac:dyDescent="0.2">
      <c r="A215" s="29"/>
      <c r="B215" s="101"/>
      <c r="C215" s="41"/>
      <c r="D215" s="144"/>
      <c r="E215" s="104"/>
      <c r="F215" s="69"/>
      <c r="G215" s="35"/>
      <c r="H215" s="212"/>
      <c r="I215" s="212"/>
      <c r="J215" s="212"/>
    </row>
    <row r="216" spans="1:10" x14ac:dyDescent="0.2">
      <c r="A216" s="29"/>
      <c r="B216" s="106"/>
      <c r="C216" s="41"/>
      <c r="D216" s="136"/>
      <c r="E216" s="104"/>
      <c r="F216" s="69"/>
      <c r="G216" s="35"/>
      <c r="H216" s="212"/>
      <c r="I216" s="212"/>
      <c r="J216" s="212"/>
    </row>
    <row r="217" spans="1:10" x14ac:dyDescent="0.2">
      <c r="A217" s="29"/>
      <c r="B217" s="105"/>
      <c r="C217" s="41"/>
      <c r="D217" s="376" t="s">
        <v>8</v>
      </c>
      <c r="E217" s="108"/>
      <c r="F217" s="265"/>
      <c r="G217" s="35"/>
      <c r="H217" s="212"/>
      <c r="I217" s="212"/>
      <c r="J217" s="212"/>
    </row>
    <row r="218" spans="1:10" x14ac:dyDescent="0.2">
      <c r="A218" s="29"/>
      <c r="B218" s="107"/>
      <c r="C218" s="41"/>
      <c r="D218" s="136"/>
      <c r="E218" s="153"/>
      <c r="F218" s="69"/>
      <c r="G218" s="35"/>
      <c r="H218" s="212"/>
      <c r="I218" s="212"/>
      <c r="J218" s="212"/>
    </row>
    <row r="219" spans="1:10" x14ac:dyDescent="0.2">
      <c r="A219" s="29"/>
      <c r="B219" s="107"/>
      <c r="C219" s="41"/>
      <c r="D219" s="67"/>
      <c r="E219" s="153"/>
      <c r="F219" s="69"/>
      <c r="G219" s="35"/>
      <c r="H219" s="212"/>
      <c r="I219" s="212"/>
      <c r="J219" s="212"/>
    </row>
    <row r="220" spans="1:10" x14ac:dyDescent="0.2">
      <c r="A220" s="29"/>
      <c r="B220" s="101"/>
      <c r="C220" s="41"/>
      <c r="D220" s="67"/>
      <c r="E220" s="108"/>
      <c r="F220" s="69"/>
      <c r="G220" s="35"/>
      <c r="H220" s="212"/>
      <c r="I220" s="212"/>
      <c r="J220" s="212"/>
    </row>
    <row r="221" spans="1:10" x14ac:dyDescent="0.2">
      <c r="A221" s="29"/>
      <c r="B221" s="101"/>
      <c r="C221" s="41"/>
      <c r="D221" s="144"/>
      <c r="E221" s="153"/>
      <c r="F221" s="69"/>
      <c r="G221" s="35"/>
      <c r="H221" s="212"/>
      <c r="I221" s="212"/>
      <c r="J221" s="212"/>
    </row>
    <row r="222" spans="1:10" x14ac:dyDescent="0.2">
      <c r="A222" s="29"/>
      <c r="B222" s="106"/>
      <c r="C222" s="41"/>
      <c r="D222" s="384" t="s">
        <v>8</v>
      </c>
      <c r="E222" s="104"/>
      <c r="F222" s="266"/>
      <c r="G222" s="35"/>
      <c r="H222" s="212"/>
      <c r="I222" s="212"/>
      <c r="J222" s="212"/>
    </row>
    <row r="223" spans="1:10" x14ac:dyDescent="0.2">
      <c r="A223" s="29"/>
      <c r="B223" s="105"/>
      <c r="C223" s="41"/>
      <c r="D223" s="130"/>
      <c r="E223" s="104"/>
      <c r="F223" s="266"/>
      <c r="G223" s="35"/>
      <c r="H223" s="212"/>
      <c r="I223" s="212"/>
      <c r="J223" s="212"/>
    </row>
    <row r="224" spans="1:10" x14ac:dyDescent="0.2">
      <c r="A224" s="29"/>
      <c r="B224" s="105"/>
      <c r="C224" s="41"/>
      <c r="D224" s="67"/>
      <c r="E224" s="104"/>
      <c r="F224" s="266"/>
      <c r="G224" s="35"/>
      <c r="H224" s="212"/>
      <c r="I224" s="212"/>
      <c r="J224" s="212"/>
    </row>
    <row r="225" spans="1:10" x14ac:dyDescent="0.2">
      <c r="A225" s="29"/>
      <c r="B225" s="101"/>
      <c r="C225" s="41"/>
      <c r="D225" s="67"/>
      <c r="E225" s="104"/>
      <c r="F225" s="266"/>
      <c r="G225" s="35"/>
      <c r="H225" s="212"/>
      <c r="I225" s="212"/>
      <c r="J225" s="212"/>
    </row>
    <row r="226" spans="1:10" x14ac:dyDescent="0.2">
      <c r="A226" s="29"/>
      <c r="B226" s="101"/>
      <c r="C226" s="41"/>
      <c r="D226" s="136"/>
      <c r="E226" s="104"/>
      <c r="F226" s="266"/>
      <c r="G226" s="35"/>
      <c r="H226" s="212"/>
      <c r="I226" s="212"/>
      <c r="J226" s="212"/>
    </row>
    <row r="227" spans="1:10" x14ac:dyDescent="0.2">
      <c r="A227" s="29"/>
      <c r="B227" s="101"/>
      <c r="C227" s="41"/>
      <c r="D227" s="136"/>
      <c r="E227" s="104"/>
      <c r="F227" s="266"/>
      <c r="G227" s="35"/>
      <c r="H227" s="212"/>
      <c r="I227" s="212"/>
      <c r="J227" s="212"/>
    </row>
    <row r="228" spans="1:10" x14ac:dyDescent="0.2">
      <c r="A228" s="29"/>
      <c r="B228" s="101"/>
      <c r="C228" s="41"/>
      <c r="D228" s="67"/>
      <c r="E228" s="104"/>
      <c r="F228" s="266"/>
      <c r="G228" s="35"/>
      <c r="H228" s="212"/>
      <c r="I228" s="212"/>
      <c r="J228" s="212"/>
    </row>
    <row r="229" spans="1:10" x14ac:dyDescent="0.2">
      <c r="A229" s="29"/>
      <c r="B229" s="101"/>
      <c r="C229" s="41"/>
      <c r="D229" s="67"/>
      <c r="E229" s="104"/>
      <c r="F229" s="266"/>
      <c r="G229" s="35"/>
      <c r="H229" s="212"/>
      <c r="I229" s="212"/>
      <c r="J229" s="212"/>
    </row>
    <row r="230" spans="1:10" x14ac:dyDescent="0.2">
      <c r="A230" s="29"/>
      <c r="B230" s="101"/>
      <c r="C230" s="41"/>
      <c r="D230" s="67"/>
      <c r="E230" s="104"/>
      <c r="F230" s="266"/>
      <c r="G230" s="35"/>
      <c r="H230" s="212"/>
      <c r="I230" s="212"/>
      <c r="J230" s="212"/>
    </row>
    <row r="231" spans="1:10" x14ac:dyDescent="0.2">
      <c r="A231" s="29"/>
      <c r="B231" s="101"/>
      <c r="C231" s="41"/>
      <c r="D231" s="67"/>
      <c r="E231" s="104"/>
      <c r="F231" s="266"/>
      <c r="G231" s="35"/>
      <c r="H231" s="212"/>
      <c r="I231" s="212"/>
      <c r="J231" s="212"/>
    </row>
    <row r="232" spans="1:10" x14ac:dyDescent="0.2">
      <c r="A232" s="29"/>
      <c r="B232" s="101"/>
      <c r="C232" s="41"/>
      <c r="D232" s="67" t="s">
        <v>150</v>
      </c>
      <c r="E232" s="104"/>
      <c r="F232" s="266"/>
      <c r="G232" s="35"/>
      <c r="H232" s="212"/>
      <c r="I232" s="212"/>
      <c r="J232" s="212"/>
    </row>
    <row r="233" spans="1:10" x14ac:dyDescent="0.2">
      <c r="A233" s="29"/>
      <c r="B233" s="101"/>
      <c r="C233" s="41"/>
      <c r="D233" s="136"/>
      <c r="E233" s="108"/>
      <c r="F233" s="69"/>
      <c r="G233" s="35"/>
      <c r="H233" s="212"/>
      <c r="I233" s="212"/>
      <c r="J233" s="212"/>
    </row>
    <row r="234" spans="1:10" x14ac:dyDescent="0.2">
      <c r="A234" s="29"/>
      <c r="B234" s="101"/>
      <c r="C234" s="41"/>
      <c r="D234" s="144"/>
      <c r="E234" s="153"/>
      <c r="F234" s="69"/>
      <c r="G234" s="35"/>
      <c r="H234" s="212"/>
      <c r="I234" s="212"/>
      <c r="J234" s="212"/>
    </row>
    <row r="235" spans="1:10" x14ac:dyDescent="0.2">
      <c r="A235" s="29"/>
      <c r="B235" s="101"/>
      <c r="C235" s="41"/>
      <c r="D235" s="130"/>
      <c r="E235" s="102"/>
      <c r="F235" s="69"/>
      <c r="G235" s="35"/>
      <c r="H235" s="212"/>
      <c r="I235" s="212"/>
      <c r="J235" s="212"/>
    </row>
    <row r="236" spans="1:10" x14ac:dyDescent="0.2">
      <c r="A236" s="29"/>
      <c r="B236" s="101"/>
      <c r="C236" s="31"/>
      <c r="D236" s="130"/>
      <c r="E236" s="131"/>
      <c r="F236" s="267"/>
      <c r="G236" s="35"/>
      <c r="H236" s="212"/>
      <c r="I236" s="212"/>
      <c r="J236" s="212"/>
    </row>
    <row r="237" spans="1:10" x14ac:dyDescent="0.2">
      <c r="A237" s="29"/>
      <c r="B237" s="101"/>
      <c r="C237" s="41"/>
      <c r="D237" s="118"/>
      <c r="E237" s="108"/>
      <c r="F237" s="263"/>
      <c r="G237" s="35"/>
      <c r="H237" s="212"/>
      <c r="I237" s="212"/>
      <c r="J237" s="212"/>
    </row>
    <row r="238" spans="1:10" x14ac:dyDescent="0.2">
      <c r="A238" s="29"/>
      <c r="B238" s="101"/>
      <c r="C238" s="41"/>
      <c r="D238" s="144"/>
      <c r="E238" s="108"/>
      <c r="F238" s="263"/>
      <c r="G238" s="35"/>
      <c r="H238" s="212"/>
      <c r="I238" s="212"/>
      <c r="J238" s="212"/>
    </row>
    <row r="239" spans="1:10" x14ac:dyDescent="0.2">
      <c r="A239" s="29"/>
      <c r="B239" s="101"/>
      <c r="C239" s="41"/>
      <c r="D239" s="144"/>
      <c r="E239" s="108"/>
      <c r="F239" s="149"/>
      <c r="G239" s="35"/>
      <c r="H239" s="212"/>
      <c r="I239" s="212"/>
      <c r="J239" s="212"/>
    </row>
    <row r="240" spans="1:10" x14ac:dyDescent="0.2">
      <c r="A240" s="61"/>
      <c r="B240" s="101"/>
      <c r="C240" s="41"/>
      <c r="D240" s="144"/>
      <c r="E240" s="108"/>
      <c r="F240" s="149"/>
      <c r="G240" s="71"/>
      <c r="H240" s="212"/>
      <c r="I240" s="212"/>
      <c r="J240" s="212"/>
    </row>
    <row r="241" spans="1:10" ht="13.5" thickBot="1" x14ac:dyDescent="0.25">
      <c r="A241" s="209"/>
      <c r="B241" s="132"/>
      <c r="C241" s="115"/>
      <c r="D241" s="115"/>
      <c r="E241" s="132"/>
      <c r="F241" s="49" t="s">
        <v>15</v>
      </c>
      <c r="G241" s="210">
        <f>SUM(G207:G240)</f>
        <v>22000</v>
      </c>
      <c r="H241" s="243"/>
      <c r="I241" s="243"/>
      <c r="J241" s="243"/>
    </row>
    <row r="242" spans="1:10" ht="13.5" thickTop="1" x14ac:dyDescent="0.2">
      <c r="A242" s="875" t="s">
        <v>1367</v>
      </c>
      <c r="B242" s="899"/>
      <c r="C242" s="899"/>
      <c r="D242" s="899"/>
      <c r="E242" s="899"/>
      <c r="F242" s="899"/>
      <c r="G242" s="900"/>
      <c r="H242" s="22"/>
      <c r="I242" s="22"/>
      <c r="J242" s="22"/>
    </row>
    <row r="243" spans="1:10" ht="13.5" thickBot="1" x14ac:dyDescent="0.25">
      <c r="A243" s="52"/>
      <c r="B243" s="103"/>
      <c r="C243" s="374" t="s">
        <v>1368</v>
      </c>
      <c r="D243" s="54"/>
      <c r="E243" s="103"/>
      <c r="F243" s="55"/>
      <c r="G243" s="56"/>
    </row>
    <row r="244" spans="1:10" ht="13.5" thickTop="1" x14ac:dyDescent="0.2">
      <c r="A244" s="906"/>
      <c r="B244" s="907"/>
      <c r="C244" s="907"/>
      <c r="D244" s="57" t="s">
        <v>11</v>
      </c>
      <c r="E244" s="908" t="s">
        <v>12</v>
      </c>
      <c r="F244" s="908"/>
      <c r="G244" s="909"/>
      <c r="H244" s="4"/>
      <c r="I244" s="4"/>
      <c r="J244" s="4"/>
    </row>
    <row r="245" spans="1:10" x14ac:dyDescent="0.2">
      <c r="A245" s="910" t="s">
        <v>17</v>
      </c>
      <c r="B245" s="911"/>
      <c r="C245" s="911"/>
      <c r="D245" s="39"/>
      <c r="E245" s="912"/>
      <c r="F245" s="913"/>
      <c r="G245" s="914"/>
      <c r="H245" s="176"/>
      <c r="I245" s="176"/>
      <c r="J245" s="176"/>
    </row>
    <row r="246" spans="1:10" x14ac:dyDescent="0.2">
      <c r="A246" s="910" t="s">
        <v>38</v>
      </c>
      <c r="B246" s="911"/>
      <c r="C246" s="911"/>
      <c r="D246" s="73" t="s">
        <v>891</v>
      </c>
      <c r="E246" s="868" t="s">
        <v>142</v>
      </c>
      <c r="F246" s="868"/>
      <c r="G246" s="869"/>
      <c r="H246" s="1"/>
      <c r="I246" s="1"/>
      <c r="J246" s="1"/>
    </row>
    <row r="247" spans="1:10" ht="13.5" thickBot="1" x14ac:dyDescent="0.25">
      <c r="A247" s="901" t="s">
        <v>39</v>
      </c>
      <c r="B247" s="902"/>
      <c r="C247" s="902"/>
      <c r="D247" s="91" t="s">
        <v>892</v>
      </c>
      <c r="E247" s="904" t="s">
        <v>0</v>
      </c>
      <c r="F247" s="904"/>
      <c r="G247" s="905"/>
      <c r="H247" s="4"/>
      <c r="I247" s="4"/>
      <c r="J247" s="4"/>
    </row>
    <row r="248" spans="1:10" ht="16.5" x14ac:dyDescent="0.25">
      <c r="A248" s="885" t="s">
        <v>29</v>
      </c>
      <c r="B248" s="886"/>
      <c r="C248" s="886"/>
      <c r="D248" s="886"/>
      <c r="E248" s="886"/>
      <c r="F248" s="886"/>
      <c r="G248" s="887"/>
      <c r="H248" s="247"/>
      <c r="I248" s="247"/>
      <c r="J248" s="247"/>
    </row>
    <row r="249" spans="1:10" x14ac:dyDescent="0.2">
      <c r="A249" s="888" t="s">
        <v>48</v>
      </c>
      <c r="B249" s="889"/>
      <c r="C249" s="889"/>
      <c r="D249" s="889"/>
      <c r="E249" s="889"/>
      <c r="F249" s="889"/>
      <c r="G249" s="890"/>
      <c r="H249" s="246"/>
      <c r="I249" s="246"/>
      <c r="J249" s="246"/>
    </row>
    <row r="250" spans="1:10" x14ac:dyDescent="0.2">
      <c r="A250" s="915" t="s">
        <v>49</v>
      </c>
      <c r="B250" s="916"/>
      <c r="C250" s="916"/>
      <c r="D250" s="916"/>
      <c r="E250" s="916"/>
      <c r="F250" s="916"/>
      <c r="G250" s="917"/>
      <c r="H250" s="4"/>
      <c r="I250" s="4"/>
      <c r="J250" s="4"/>
    </row>
    <row r="251" spans="1:10" x14ac:dyDescent="0.2">
      <c r="A251" s="6"/>
      <c r="B251" s="99"/>
      <c r="C251" s="8"/>
      <c r="D251" s="9"/>
      <c r="E251" s="99"/>
      <c r="F251" s="10"/>
      <c r="G251" s="11" t="s">
        <v>20</v>
      </c>
      <c r="H251" s="248"/>
      <c r="I251" s="248"/>
      <c r="J251" s="248"/>
    </row>
    <row r="252" spans="1:10" x14ac:dyDescent="0.2">
      <c r="A252" s="12" t="s">
        <v>1</v>
      </c>
      <c r="B252" s="13"/>
      <c r="C252" s="14" t="s">
        <v>36</v>
      </c>
      <c r="D252" s="13"/>
      <c r="E252" s="362" t="s">
        <v>1443</v>
      </c>
      <c r="F252" s="98"/>
      <c r="G252" s="363" t="s">
        <v>1391</v>
      </c>
      <c r="H252" s="430"/>
      <c r="I252" s="430"/>
      <c r="J252" s="430"/>
    </row>
    <row r="253" spans="1:10" x14ac:dyDescent="0.2">
      <c r="A253" s="17" t="s">
        <v>8</v>
      </c>
      <c r="B253" s="100"/>
      <c r="C253" s="19"/>
      <c r="D253" s="4"/>
      <c r="E253" s="918"/>
      <c r="F253" s="919"/>
      <c r="G253" s="20"/>
    </row>
    <row r="254" spans="1:10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10" x14ac:dyDescent="0.2">
      <c r="A255" s="6"/>
      <c r="B255" s="99"/>
      <c r="C255" s="8"/>
      <c r="D255" s="8"/>
      <c r="E255" s="920"/>
      <c r="F255" s="921"/>
      <c r="G255" s="25"/>
    </row>
    <row r="256" spans="1:10" ht="26.25" thickBot="1" x14ac:dyDescent="0.25">
      <c r="A256" s="207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  <c r="H256" s="249"/>
      <c r="I256" s="249"/>
      <c r="J256" s="249"/>
    </row>
    <row r="257" spans="1:10" ht="13.5" thickTop="1" x14ac:dyDescent="0.2">
      <c r="A257" s="29"/>
      <c r="B257" s="101"/>
      <c r="C257" s="371"/>
      <c r="D257" s="359" t="s">
        <v>1430</v>
      </c>
      <c r="E257" s="108"/>
      <c r="F257" s="149"/>
      <c r="G257" s="35"/>
      <c r="H257" s="212"/>
      <c r="I257" s="212"/>
      <c r="J257" s="212"/>
    </row>
    <row r="258" spans="1:10" x14ac:dyDescent="0.2">
      <c r="A258" s="29">
        <v>1</v>
      </c>
      <c r="B258" s="101"/>
      <c r="C258" s="371" t="s">
        <v>149</v>
      </c>
      <c r="D258" s="370" t="s">
        <v>1451</v>
      </c>
      <c r="E258" s="108">
        <v>15</v>
      </c>
      <c r="F258" s="128">
        <v>200</v>
      </c>
      <c r="G258" s="372">
        <f>F258*E258</f>
        <v>3000</v>
      </c>
      <c r="H258" s="438"/>
      <c r="I258" s="438"/>
      <c r="J258" s="438"/>
    </row>
    <row r="259" spans="1:10" x14ac:dyDescent="0.2">
      <c r="A259" s="29"/>
      <c r="B259" s="105"/>
      <c r="C259" s="371"/>
      <c r="D259" s="376" t="s">
        <v>338</v>
      </c>
      <c r="E259" s="102"/>
      <c r="F259" s="128"/>
      <c r="G259" s="372" t="s">
        <v>8</v>
      </c>
      <c r="H259" s="438"/>
      <c r="I259" s="438"/>
      <c r="J259" s="438"/>
    </row>
    <row r="260" spans="1:10" x14ac:dyDescent="0.2">
      <c r="A260" s="29">
        <v>2</v>
      </c>
      <c r="B260" s="105"/>
      <c r="C260" s="371" t="s">
        <v>149</v>
      </c>
      <c r="D260" s="376" t="s">
        <v>339</v>
      </c>
      <c r="E260" s="102">
        <v>15</v>
      </c>
      <c r="F260" s="128">
        <v>350</v>
      </c>
      <c r="G260" s="372">
        <f t="shared" ref="G260:G289" si="0">F260*E260</f>
        <v>5250</v>
      </c>
      <c r="H260" s="438"/>
      <c r="I260" s="438"/>
      <c r="J260" s="438"/>
    </row>
    <row r="261" spans="1:10" x14ac:dyDescent="0.2">
      <c r="A261" s="29"/>
      <c r="B261" s="105"/>
      <c r="C261" s="371"/>
      <c r="D261" s="376" t="s">
        <v>301</v>
      </c>
      <c r="E261" s="102"/>
      <c r="F261" s="128"/>
      <c r="G261" s="372" t="s">
        <v>8</v>
      </c>
      <c r="H261" s="438"/>
      <c r="I261" s="438"/>
      <c r="J261" s="438"/>
    </row>
    <row r="262" spans="1:10" x14ac:dyDescent="0.2">
      <c r="A262" s="29">
        <v>3</v>
      </c>
      <c r="B262" s="105"/>
      <c r="C262" s="371" t="s">
        <v>149</v>
      </c>
      <c r="D262" s="376" t="s">
        <v>1419</v>
      </c>
      <c r="E262" s="102">
        <v>15</v>
      </c>
      <c r="F262" s="69">
        <v>200</v>
      </c>
      <c r="G262" s="372">
        <f t="shared" si="0"/>
        <v>3000</v>
      </c>
      <c r="H262" s="438"/>
      <c r="I262" s="438"/>
      <c r="J262" s="438"/>
    </row>
    <row r="263" spans="1:10" x14ac:dyDescent="0.2">
      <c r="A263" s="29"/>
      <c r="B263" s="151"/>
      <c r="C263" s="385"/>
      <c r="D263" s="376" t="s">
        <v>1420</v>
      </c>
      <c r="E263" s="108"/>
      <c r="F263" s="264"/>
      <c r="G263" s="372" t="s">
        <v>8</v>
      </c>
      <c r="H263" s="438"/>
      <c r="I263" s="438"/>
      <c r="J263" s="438"/>
    </row>
    <row r="264" spans="1:10" x14ac:dyDescent="0.2">
      <c r="A264" s="29"/>
      <c r="B264" s="151"/>
      <c r="C264" s="119"/>
      <c r="D264" s="358" t="s">
        <v>1431</v>
      </c>
      <c r="E264" s="108"/>
      <c r="F264" s="264"/>
      <c r="G264" s="372" t="s">
        <v>8</v>
      </c>
      <c r="H264" s="438"/>
      <c r="I264" s="438"/>
      <c r="J264" s="438"/>
    </row>
    <row r="265" spans="1:10" x14ac:dyDescent="0.2">
      <c r="A265" s="29">
        <v>4</v>
      </c>
      <c r="B265" s="101"/>
      <c r="C265" s="371" t="s">
        <v>149</v>
      </c>
      <c r="D265" s="383" t="s">
        <v>1421</v>
      </c>
      <c r="E265" s="104">
        <v>15</v>
      </c>
      <c r="F265" s="69">
        <v>200</v>
      </c>
      <c r="G265" s="372">
        <f t="shared" si="0"/>
        <v>3000</v>
      </c>
      <c r="H265" s="438"/>
      <c r="I265" s="438"/>
      <c r="J265" s="438"/>
    </row>
    <row r="266" spans="1:10" x14ac:dyDescent="0.2">
      <c r="A266" s="29"/>
      <c r="B266" s="106"/>
      <c r="C266" s="41"/>
      <c r="D266" s="376" t="s">
        <v>301</v>
      </c>
      <c r="E266" s="104"/>
      <c r="F266" s="69"/>
      <c r="G266" s="372" t="s">
        <v>8</v>
      </c>
      <c r="H266" s="438"/>
      <c r="I266" s="438"/>
      <c r="J266" s="438"/>
    </row>
    <row r="267" spans="1:10" x14ac:dyDescent="0.2">
      <c r="A267" s="29">
        <v>5</v>
      </c>
      <c r="B267" s="105"/>
      <c r="C267" s="371" t="s">
        <v>149</v>
      </c>
      <c r="D267" s="376" t="s">
        <v>339</v>
      </c>
      <c r="E267" s="108">
        <v>15</v>
      </c>
      <c r="F267" s="265">
        <v>350</v>
      </c>
      <c r="G267" s="372">
        <f t="shared" si="0"/>
        <v>5250</v>
      </c>
      <c r="H267" s="438"/>
      <c r="I267" s="438"/>
      <c r="J267" s="438"/>
    </row>
    <row r="268" spans="1:10" x14ac:dyDescent="0.2">
      <c r="A268" s="29"/>
      <c r="B268" s="107"/>
      <c r="C268" s="41"/>
      <c r="D268" s="376" t="s">
        <v>301</v>
      </c>
      <c r="E268" s="153"/>
      <c r="F268" s="69"/>
      <c r="G268" s="372" t="s">
        <v>8</v>
      </c>
      <c r="H268" s="438"/>
      <c r="I268" s="438"/>
      <c r="J268" s="438"/>
    </row>
    <row r="269" spans="1:10" x14ac:dyDescent="0.2">
      <c r="A269" s="29">
        <v>6</v>
      </c>
      <c r="B269" s="107"/>
      <c r="C269" s="371" t="s">
        <v>149</v>
      </c>
      <c r="D269" s="384" t="s">
        <v>1422</v>
      </c>
      <c r="E269" s="153">
        <v>15</v>
      </c>
      <c r="F269" s="69">
        <v>200</v>
      </c>
      <c r="G269" s="372">
        <f t="shared" si="0"/>
        <v>3000</v>
      </c>
      <c r="H269" s="438"/>
      <c r="I269" s="438"/>
      <c r="J269" s="438"/>
    </row>
    <row r="270" spans="1:10" x14ac:dyDescent="0.2">
      <c r="A270" s="29"/>
      <c r="B270" s="101"/>
      <c r="C270" s="41"/>
      <c r="D270" s="384" t="s">
        <v>1423</v>
      </c>
      <c r="E270" s="108"/>
      <c r="F270" s="451" t="s">
        <v>8</v>
      </c>
      <c r="G270" s="372" t="s">
        <v>8</v>
      </c>
      <c r="H270" s="438"/>
      <c r="I270" s="438"/>
      <c r="J270" s="438"/>
    </row>
    <row r="271" spans="1:10" x14ac:dyDescent="0.2">
      <c r="A271" s="29"/>
      <c r="B271" s="101"/>
      <c r="C271" s="41"/>
      <c r="D271" s="358" t="s">
        <v>1432</v>
      </c>
      <c r="E271" s="153"/>
      <c r="F271" s="69"/>
      <c r="G271" s="372"/>
      <c r="H271" s="438"/>
      <c r="I271" s="438"/>
      <c r="J271" s="438"/>
    </row>
    <row r="272" spans="1:10" x14ac:dyDescent="0.2">
      <c r="A272" s="29">
        <v>7</v>
      </c>
      <c r="B272" s="106"/>
      <c r="C272" s="371" t="s">
        <v>149</v>
      </c>
      <c r="D272" s="384" t="s">
        <v>1424</v>
      </c>
      <c r="E272" s="104">
        <v>15</v>
      </c>
      <c r="F272" s="266">
        <v>200</v>
      </c>
      <c r="G272" s="372">
        <f t="shared" si="0"/>
        <v>3000</v>
      </c>
      <c r="H272" s="438"/>
      <c r="I272" s="438"/>
      <c r="J272" s="438"/>
    </row>
    <row r="273" spans="1:10" x14ac:dyDescent="0.2">
      <c r="A273" s="29"/>
      <c r="B273" s="105"/>
      <c r="C273" s="41"/>
      <c r="D273" s="419" t="s">
        <v>1420</v>
      </c>
      <c r="E273" s="104"/>
      <c r="F273" s="266"/>
      <c r="G273" s="372" t="s">
        <v>8</v>
      </c>
      <c r="H273" s="438"/>
      <c r="I273" s="438"/>
      <c r="J273" s="438"/>
    </row>
    <row r="274" spans="1:10" x14ac:dyDescent="0.2">
      <c r="A274" s="29">
        <v>8</v>
      </c>
      <c r="B274" s="105"/>
      <c r="C274" s="371" t="s">
        <v>149</v>
      </c>
      <c r="D274" s="384" t="s">
        <v>339</v>
      </c>
      <c r="E274" s="104">
        <v>15</v>
      </c>
      <c r="F274" s="266">
        <v>350</v>
      </c>
      <c r="G274" s="372">
        <f t="shared" si="0"/>
        <v>5250</v>
      </c>
      <c r="H274" s="438"/>
      <c r="I274" s="438"/>
      <c r="J274" s="438"/>
    </row>
    <row r="275" spans="1:10" x14ac:dyDescent="0.2">
      <c r="A275" s="29"/>
      <c r="B275" s="101"/>
      <c r="C275" s="41"/>
      <c r="D275" s="384" t="s">
        <v>301</v>
      </c>
      <c r="E275" s="104"/>
      <c r="F275" s="266"/>
      <c r="G275" s="372" t="s">
        <v>8</v>
      </c>
      <c r="H275" s="438"/>
      <c r="I275" s="438"/>
      <c r="J275" s="438"/>
    </row>
    <row r="276" spans="1:10" x14ac:dyDescent="0.2">
      <c r="A276" s="29">
        <v>9</v>
      </c>
      <c r="B276" s="101"/>
      <c r="C276" s="371" t="s">
        <v>149</v>
      </c>
      <c r="D276" s="376" t="s">
        <v>1452</v>
      </c>
      <c r="E276" s="104">
        <v>15</v>
      </c>
      <c r="F276" s="266">
        <v>200</v>
      </c>
      <c r="G276" s="372">
        <f t="shared" si="0"/>
        <v>3000</v>
      </c>
      <c r="H276" s="438"/>
      <c r="I276" s="438"/>
      <c r="J276" s="438"/>
    </row>
    <row r="277" spans="1:10" x14ac:dyDescent="0.2">
      <c r="A277" s="29"/>
      <c r="B277" s="101"/>
      <c r="C277" s="41"/>
      <c r="D277" s="376" t="s">
        <v>888</v>
      </c>
      <c r="E277" s="104"/>
      <c r="F277" s="266"/>
      <c r="G277" s="372" t="s">
        <v>8</v>
      </c>
      <c r="H277" s="438"/>
      <c r="I277" s="438"/>
      <c r="J277" s="438"/>
    </row>
    <row r="278" spans="1:10" x14ac:dyDescent="0.2">
      <c r="A278" s="29"/>
      <c r="B278" s="101"/>
      <c r="C278" s="41"/>
      <c r="D278" s="444" t="s">
        <v>1433</v>
      </c>
      <c r="E278" s="104"/>
      <c r="F278" s="266"/>
      <c r="G278" s="372" t="s">
        <v>8</v>
      </c>
      <c r="H278" s="438"/>
      <c r="I278" s="438"/>
      <c r="J278" s="438"/>
    </row>
    <row r="279" spans="1:10" x14ac:dyDescent="0.2">
      <c r="A279" s="29">
        <v>10</v>
      </c>
      <c r="B279" s="101"/>
      <c r="C279" s="371" t="s">
        <v>149</v>
      </c>
      <c r="D279" s="384" t="s">
        <v>1425</v>
      </c>
      <c r="E279" s="104">
        <v>15</v>
      </c>
      <c r="F279" s="266">
        <v>200</v>
      </c>
      <c r="G279" s="372">
        <f t="shared" si="0"/>
        <v>3000</v>
      </c>
      <c r="H279" s="438"/>
      <c r="I279" s="438"/>
      <c r="J279" s="438"/>
    </row>
    <row r="280" spans="1:10" x14ac:dyDescent="0.2">
      <c r="A280" s="29"/>
      <c r="B280" s="101"/>
      <c r="C280" s="41"/>
      <c r="D280" s="384" t="s">
        <v>1426</v>
      </c>
      <c r="E280" s="104"/>
      <c r="F280" s="266"/>
      <c r="G280" s="372" t="s">
        <v>8</v>
      </c>
      <c r="H280" s="438"/>
      <c r="I280" s="438"/>
      <c r="J280" s="438"/>
    </row>
    <row r="281" spans="1:10" x14ac:dyDescent="0.2">
      <c r="A281" s="29">
        <v>11</v>
      </c>
      <c r="B281" s="101"/>
      <c r="C281" s="371" t="s">
        <v>149</v>
      </c>
      <c r="D281" s="384" t="s">
        <v>339</v>
      </c>
      <c r="E281" s="104">
        <v>15</v>
      </c>
      <c r="F281" s="266">
        <v>350</v>
      </c>
      <c r="G281" s="372">
        <f t="shared" si="0"/>
        <v>5250</v>
      </c>
      <c r="H281" s="438"/>
      <c r="I281" s="438"/>
      <c r="J281" s="438"/>
    </row>
    <row r="282" spans="1:10" x14ac:dyDescent="0.2">
      <c r="A282" s="29"/>
      <c r="B282" s="101"/>
      <c r="C282" s="41"/>
      <c r="D282" s="384" t="s">
        <v>301</v>
      </c>
      <c r="E282" s="104"/>
      <c r="F282" s="266"/>
      <c r="G282" s="372" t="s">
        <v>8</v>
      </c>
      <c r="H282" s="438"/>
      <c r="I282" s="438"/>
      <c r="J282" s="438"/>
    </row>
    <row r="283" spans="1:10" x14ac:dyDescent="0.2">
      <c r="A283" s="29">
        <v>12</v>
      </c>
      <c r="B283" s="101"/>
      <c r="C283" s="371" t="s">
        <v>149</v>
      </c>
      <c r="D283" s="376" t="s">
        <v>1427</v>
      </c>
      <c r="E283" s="108">
        <v>15</v>
      </c>
      <c r="F283" s="69">
        <v>200</v>
      </c>
      <c r="G283" s="372">
        <f t="shared" si="0"/>
        <v>3000</v>
      </c>
      <c r="H283" s="438"/>
      <c r="I283" s="438"/>
      <c r="J283" s="438"/>
    </row>
    <row r="284" spans="1:10" x14ac:dyDescent="0.2">
      <c r="A284" s="29"/>
      <c r="B284" s="101"/>
      <c r="C284" s="41"/>
      <c r="D284" s="358" t="s">
        <v>1434</v>
      </c>
      <c r="E284" s="153"/>
      <c r="F284" s="69"/>
      <c r="G284" s="372" t="s">
        <v>8</v>
      </c>
      <c r="H284" s="438"/>
      <c r="I284" s="438"/>
      <c r="J284" s="438"/>
    </row>
    <row r="285" spans="1:10" x14ac:dyDescent="0.2">
      <c r="A285" s="29">
        <v>13</v>
      </c>
      <c r="B285" s="101"/>
      <c r="C285" s="371" t="s">
        <v>149</v>
      </c>
      <c r="D285" s="419" t="s">
        <v>1428</v>
      </c>
      <c r="E285" s="102">
        <v>15</v>
      </c>
      <c r="F285" s="69">
        <v>200</v>
      </c>
      <c r="G285" s="372">
        <f t="shared" si="0"/>
        <v>3000</v>
      </c>
      <c r="H285" s="438"/>
      <c r="I285" s="438"/>
      <c r="J285" s="438"/>
    </row>
    <row r="286" spans="1:10" x14ac:dyDescent="0.2">
      <c r="A286" s="29"/>
      <c r="B286" s="101"/>
      <c r="C286" s="31"/>
      <c r="D286" s="419" t="s">
        <v>888</v>
      </c>
      <c r="E286" s="131"/>
      <c r="F286" s="267"/>
      <c r="G286" s="372" t="s">
        <v>8</v>
      </c>
      <c r="H286" s="438"/>
      <c r="I286" s="438"/>
      <c r="J286" s="438"/>
    </row>
    <row r="287" spans="1:10" x14ac:dyDescent="0.2">
      <c r="A287" s="29">
        <v>14</v>
      </c>
      <c r="B287" s="101"/>
      <c r="C287" s="371" t="s">
        <v>149</v>
      </c>
      <c r="D287" s="425" t="s">
        <v>339</v>
      </c>
      <c r="E287" s="108">
        <v>15</v>
      </c>
      <c r="F287" s="263">
        <v>350</v>
      </c>
      <c r="G287" s="372">
        <f t="shared" si="0"/>
        <v>5250</v>
      </c>
      <c r="H287" s="438"/>
      <c r="I287" s="438"/>
      <c r="J287" s="438"/>
    </row>
    <row r="288" spans="1:10" x14ac:dyDescent="0.2">
      <c r="A288" s="29"/>
      <c r="B288" s="101"/>
      <c r="C288" s="41"/>
      <c r="D288" s="383" t="s">
        <v>301</v>
      </c>
      <c r="E288" s="108"/>
      <c r="F288" s="263"/>
      <c r="G288" s="372" t="s">
        <v>8</v>
      </c>
      <c r="H288" s="438"/>
      <c r="I288" s="438"/>
      <c r="J288" s="438"/>
    </row>
    <row r="289" spans="1:10" x14ac:dyDescent="0.2">
      <c r="A289" s="29">
        <v>15</v>
      </c>
      <c r="B289" s="101"/>
      <c r="C289" s="371" t="s">
        <v>149</v>
      </c>
      <c r="D289" s="383" t="s">
        <v>1429</v>
      </c>
      <c r="E289" s="108">
        <v>15</v>
      </c>
      <c r="F289" s="149">
        <v>200</v>
      </c>
      <c r="G289" s="372">
        <f t="shared" si="0"/>
        <v>3000</v>
      </c>
      <c r="H289" s="438"/>
      <c r="I289" s="438"/>
      <c r="J289" s="438"/>
    </row>
    <row r="290" spans="1:10" x14ac:dyDescent="0.2">
      <c r="A290" s="61"/>
      <c r="B290" s="101"/>
      <c r="C290" s="41"/>
      <c r="D290" s="383" t="s">
        <v>301</v>
      </c>
      <c r="E290" s="108"/>
      <c r="F290" s="149"/>
      <c r="G290" s="372" t="s">
        <v>8</v>
      </c>
      <c r="H290" s="438"/>
      <c r="I290" s="438"/>
      <c r="J290" s="438"/>
    </row>
    <row r="291" spans="1:10" ht="13.5" thickBot="1" x14ac:dyDescent="0.25">
      <c r="A291" s="209"/>
      <c r="B291" s="132"/>
      <c r="C291" s="115"/>
      <c r="D291" s="115"/>
      <c r="E291" s="132"/>
      <c r="F291" s="49" t="s">
        <v>15</v>
      </c>
      <c r="G291" s="210">
        <f>SUM(G258:G290)</f>
        <v>56250</v>
      </c>
      <c r="H291" s="243"/>
      <c r="I291" s="243"/>
      <c r="J291" s="243"/>
    </row>
    <row r="292" spans="1:10" ht="13.5" thickTop="1" x14ac:dyDescent="0.2">
      <c r="A292" s="875" t="s">
        <v>1435</v>
      </c>
      <c r="B292" s="899"/>
      <c r="C292" s="899"/>
      <c r="D292" s="899"/>
      <c r="E292" s="899"/>
      <c r="F292" s="899"/>
      <c r="G292" s="900"/>
      <c r="H292" s="22"/>
      <c r="I292" s="22"/>
      <c r="J292" s="22"/>
    </row>
    <row r="293" spans="1:10" ht="13.5" thickBot="1" x14ac:dyDescent="0.25">
      <c r="A293" s="52"/>
      <c r="B293" s="103"/>
      <c r="C293" s="374"/>
      <c r="D293" s="54"/>
      <c r="E293" s="103"/>
      <c r="F293" s="55"/>
      <c r="G293" s="56"/>
    </row>
    <row r="294" spans="1:10" ht="13.5" thickTop="1" x14ac:dyDescent="0.2">
      <c r="A294" s="906"/>
      <c r="B294" s="907"/>
      <c r="C294" s="907"/>
      <c r="D294" s="57" t="s">
        <v>11</v>
      </c>
      <c r="E294" s="908" t="s">
        <v>12</v>
      </c>
      <c r="F294" s="908"/>
      <c r="G294" s="909"/>
      <c r="H294" s="4"/>
      <c r="I294" s="4"/>
      <c r="J294" s="4"/>
    </row>
    <row r="295" spans="1:10" x14ac:dyDescent="0.2">
      <c r="A295" s="910" t="s">
        <v>17</v>
      </c>
      <c r="B295" s="911"/>
      <c r="C295" s="911"/>
      <c r="D295" s="39"/>
      <c r="E295" s="912"/>
      <c r="F295" s="913"/>
      <c r="G295" s="914"/>
      <c r="H295" s="176"/>
      <c r="I295" s="176"/>
      <c r="J295" s="176"/>
    </row>
    <row r="296" spans="1:10" x14ac:dyDescent="0.2">
      <c r="A296" s="910" t="s">
        <v>38</v>
      </c>
      <c r="B296" s="911"/>
      <c r="C296" s="911"/>
      <c r="D296" s="73" t="s">
        <v>891</v>
      </c>
      <c r="E296" s="868" t="s">
        <v>142</v>
      </c>
      <c r="F296" s="868"/>
      <c r="G296" s="869"/>
      <c r="H296" s="1"/>
      <c r="I296" s="1"/>
      <c r="J296" s="1"/>
    </row>
    <row r="297" spans="1:10" ht="13.5" thickBot="1" x14ac:dyDescent="0.25">
      <c r="A297" s="901" t="s">
        <v>39</v>
      </c>
      <c r="B297" s="902"/>
      <c r="C297" s="902"/>
      <c r="D297" s="91" t="s">
        <v>892</v>
      </c>
      <c r="E297" s="904" t="s">
        <v>0</v>
      </c>
      <c r="F297" s="904"/>
      <c r="G297" s="905"/>
      <c r="H297" s="4"/>
      <c r="I297" s="4"/>
      <c r="J297" s="4"/>
    </row>
    <row r="298" spans="1:10" ht="16.5" x14ac:dyDescent="0.25">
      <c r="A298" s="885" t="s">
        <v>29</v>
      </c>
      <c r="B298" s="886"/>
      <c r="C298" s="886"/>
      <c r="D298" s="886"/>
      <c r="E298" s="886"/>
      <c r="F298" s="886"/>
      <c r="G298" s="887"/>
      <c r="H298" s="247"/>
      <c r="I298" s="247"/>
      <c r="J298" s="247"/>
    </row>
    <row r="299" spans="1:10" x14ac:dyDescent="0.2">
      <c r="A299" s="888" t="s">
        <v>48</v>
      </c>
      <c r="B299" s="889"/>
      <c r="C299" s="889"/>
      <c r="D299" s="889"/>
      <c r="E299" s="889"/>
      <c r="F299" s="889"/>
      <c r="G299" s="890"/>
      <c r="H299" s="246"/>
      <c r="I299" s="246"/>
      <c r="J299" s="246"/>
    </row>
    <row r="300" spans="1:10" x14ac:dyDescent="0.2">
      <c r="A300" s="915" t="s">
        <v>49</v>
      </c>
      <c r="B300" s="916"/>
      <c r="C300" s="916"/>
      <c r="D300" s="916"/>
      <c r="E300" s="916"/>
      <c r="F300" s="916"/>
      <c r="G300" s="917"/>
      <c r="H300" s="4"/>
      <c r="I300" s="4"/>
      <c r="J300" s="4"/>
    </row>
    <row r="301" spans="1:10" x14ac:dyDescent="0.2">
      <c r="A301" s="6"/>
      <c r="B301" s="99"/>
      <c r="C301" s="8"/>
      <c r="D301" s="9"/>
      <c r="E301" s="99"/>
      <c r="F301" s="10"/>
      <c r="G301" s="11" t="s">
        <v>20</v>
      </c>
      <c r="H301" s="248"/>
      <c r="I301" s="248"/>
      <c r="J301" s="248"/>
    </row>
    <row r="302" spans="1:10" x14ac:dyDescent="0.2">
      <c r="A302" s="12" t="s">
        <v>1</v>
      </c>
      <c r="B302" s="13"/>
      <c r="C302" s="14" t="s">
        <v>36</v>
      </c>
      <c r="D302" s="13"/>
      <c r="E302" s="362" t="s">
        <v>1613</v>
      </c>
      <c r="F302" s="98"/>
      <c r="G302" s="363" t="s">
        <v>1527</v>
      </c>
      <c r="H302" s="430"/>
      <c r="I302" s="430"/>
      <c r="J302" s="430"/>
    </row>
    <row r="303" spans="1:10" x14ac:dyDescent="0.2">
      <c r="A303" s="17" t="s">
        <v>8</v>
      </c>
      <c r="B303" s="100"/>
      <c r="C303" s="19"/>
      <c r="D303" s="4"/>
      <c r="E303" s="918"/>
      <c r="F303" s="919"/>
      <c r="G303" s="20"/>
    </row>
    <row r="304" spans="1:10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10" x14ac:dyDescent="0.2">
      <c r="A305" s="6"/>
      <c r="B305" s="99"/>
      <c r="C305" s="8"/>
      <c r="D305" s="8"/>
      <c r="E305" s="920"/>
      <c r="F305" s="921"/>
      <c r="G305" s="25"/>
    </row>
    <row r="306" spans="1:10" ht="26.25" thickBot="1" x14ac:dyDescent="0.25">
      <c r="A306" s="207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  <c r="H306" s="249"/>
      <c r="I306" s="249"/>
      <c r="J306" s="249"/>
    </row>
    <row r="307" spans="1:10" ht="13.5" thickTop="1" x14ac:dyDescent="0.2">
      <c r="A307" s="29">
        <v>1</v>
      </c>
      <c r="B307" s="101"/>
      <c r="C307" s="371" t="s">
        <v>149</v>
      </c>
      <c r="D307" s="370" t="s">
        <v>1528</v>
      </c>
      <c r="E307" s="108">
        <v>25</v>
      </c>
      <c r="F307" s="149">
        <v>200</v>
      </c>
      <c r="G307" s="35">
        <f>F307*E307</f>
        <v>5000</v>
      </c>
      <c r="H307" s="212"/>
      <c r="I307" s="212"/>
      <c r="J307" s="212"/>
    </row>
    <row r="308" spans="1:10" x14ac:dyDescent="0.2">
      <c r="A308" s="29"/>
      <c r="B308" s="101"/>
      <c r="C308" s="371"/>
      <c r="D308" s="370" t="s">
        <v>1529</v>
      </c>
      <c r="E308" s="108"/>
      <c r="F308" s="128"/>
      <c r="G308" s="372"/>
      <c r="H308" s="438"/>
      <c r="I308" s="438"/>
      <c r="J308" s="438"/>
    </row>
    <row r="309" spans="1:10" x14ac:dyDescent="0.2">
      <c r="A309" s="29">
        <v>2</v>
      </c>
      <c r="B309" s="105"/>
      <c r="C309" s="371" t="s">
        <v>149</v>
      </c>
      <c r="D309" s="376" t="s">
        <v>339</v>
      </c>
      <c r="E309" s="102">
        <v>25</v>
      </c>
      <c r="F309" s="128">
        <v>350</v>
      </c>
      <c r="G309" s="372">
        <f>F309*E309</f>
        <v>8750</v>
      </c>
      <c r="H309" s="438"/>
      <c r="I309" s="438"/>
      <c r="J309" s="438"/>
    </row>
    <row r="310" spans="1:10" x14ac:dyDescent="0.2">
      <c r="A310" s="29"/>
      <c r="B310" s="105"/>
      <c r="C310" s="371"/>
      <c r="D310" s="376" t="s">
        <v>301</v>
      </c>
      <c r="E310" s="102"/>
      <c r="F310" s="128"/>
      <c r="G310" s="372"/>
      <c r="H310" s="438"/>
      <c r="I310" s="438"/>
      <c r="J310" s="438"/>
    </row>
    <row r="311" spans="1:10" x14ac:dyDescent="0.2">
      <c r="A311" s="29"/>
      <c r="B311" s="105"/>
      <c r="C311" s="371"/>
      <c r="D311" s="376"/>
      <c r="E311" s="102"/>
      <c r="F311" s="128"/>
      <c r="G311" s="372"/>
      <c r="H311" s="438"/>
      <c r="I311" s="438"/>
      <c r="J311" s="438"/>
    </row>
    <row r="312" spans="1:10" x14ac:dyDescent="0.2">
      <c r="A312" s="29"/>
      <c r="B312" s="105"/>
      <c r="C312" s="371"/>
      <c r="D312" s="376"/>
      <c r="E312" s="102"/>
      <c r="F312" s="69"/>
      <c r="G312" s="372"/>
      <c r="H312" s="438"/>
      <c r="I312" s="438"/>
      <c r="J312" s="438"/>
    </row>
    <row r="313" spans="1:10" x14ac:dyDescent="0.2">
      <c r="A313" s="29"/>
      <c r="B313" s="151"/>
      <c r="C313" s="385"/>
      <c r="D313" s="376"/>
      <c r="E313" s="108"/>
      <c r="F313" s="264"/>
      <c r="G313" s="372"/>
      <c r="H313" s="438"/>
      <c r="I313" s="438"/>
      <c r="J313" s="438"/>
    </row>
    <row r="314" spans="1:10" x14ac:dyDescent="0.2">
      <c r="A314" s="29"/>
      <c r="B314" s="151"/>
      <c r="C314" s="119"/>
      <c r="D314" s="358"/>
      <c r="E314" s="108"/>
      <c r="F314" s="264"/>
      <c r="G314" s="372"/>
      <c r="H314" s="438"/>
      <c r="I314" s="438"/>
      <c r="J314" s="438"/>
    </row>
    <row r="315" spans="1:10" x14ac:dyDescent="0.2">
      <c r="A315" s="29"/>
      <c r="B315" s="101"/>
      <c r="C315" s="371"/>
      <c r="D315" s="383"/>
      <c r="E315" s="104"/>
      <c r="F315" s="69"/>
      <c r="G315" s="372"/>
      <c r="H315" s="438"/>
      <c r="I315" s="438"/>
      <c r="J315" s="438"/>
    </row>
    <row r="316" spans="1:10" x14ac:dyDescent="0.2">
      <c r="A316" s="29"/>
      <c r="B316" s="106"/>
      <c r="C316" s="41"/>
      <c r="D316" s="376"/>
      <c r="E316" s="104"/>
      <c r="F316" s="69"/>
      <c r="G316" s="372"/>
      <c r="H316" s="438"/>
      <c r="I316" s="438"/>
      <c r="J316" s="438"/>
    </row>
    <row r="317" spans="1:10" x14ac:dyDescent="0.2">
      <c r="A317" s="29"/>
      <c r="B317" s="105"/>
      <c r="C317" s="371"/>
      <c r="D317" s="376"/>
      <c r="E317" s="108"/>
      <c r="F317" s="265"/>
      <c r="G317" s="372"/>
      <c r="H317" s="438"/>
      <c r="I317" s="438"/>
      <c r="J317" s="438"/>
    </row>
    <row r="318" spans="1:10" x14ac:dyDescent="0.2">
      <c r="A318" s="29"/>
      <c r="B318" s="107"/>
      <c r="C318" s="41"/>
      <c r="D318" s="376"/>
      <c r="E318" s="153"/>
      <c r="F318" s="69"/>
      <c r="G318" s="372"/>
      <c r="H318" s="438"/>
      <c r="I318" s="438"/>
      <c r="J318" s="438"/>
    </row>
    <row r="319" spans="1:10" x14ac:dyDescent="0.2">
      <c r="A319" s="29"/>
      <c r="B319" s="107"/>
      <c r="C319" s="371"/>
      <c r="D319" s="384"/>
      <c r="E319" s="153"/>
      <c r="F319" s="69"/>
      <c r="G319" s="372"/>
      <c r="H319" s="438"/>
      <c r="I319" s="438"/>
      <c r="J319" s="438"/>
    </row>
    <row r="320" spans="1:10" x14ac:dyDescent="0.2">
      <c r="A320" s="29"/>
      <c r="B320" s="101"/>
      <c r="C320" s="41"/>
      <c r="D320" s="384"/>
      <c r="E320" s="108"/>
      <c r="F320" s="451"/>
      <c r="G320" s="372"/>
      <c r="H320" s="438"/>
      <c r="I320" s="438"/>
      <c r="J320" s="438"/>
    </row>
    <row r="321" spans="1:10" x14ac:dyDescent="0.2">
      <c r="A321" s="29"/>
      <c r="B321" s="101"/>
      <c r="C321" s="41"/>
      <c r="D321" s="358"/>
      <c r="E321" s="153"/>
      <c r="F321" s="69"/>
      <c r="G321" s="372"/>
      <c r="H321" s="438"/>
      <c r="I321" s="438"/>
      <c r="J321" s="438"/>
    </row>
    <row r="322" spans="1:10" x14ac:dyDescent="0.2">
      <c r="A322" s="29"/>
      <c r="B322" s="106"/>
      <c r="C322" s="371"/>
      <c r="D322" s="384"/>
      <c r="E322" s="104"/>
      <c r="F322" s="266"/>
      <c r="G322" s="372"/>
      <c r="H322" s="438"/>
      <c r="I322" s="438"/>
      <c r="J322" s="438"/>
    </row>
    <row r="323" spans="1:10" x14ac:dyDescent="0.2">
      <c r="A323" s="29"/>
      <c r="B323" s="105"/>
      <c r="C323" s="41"/>
      <c r="D323" s="419"/>
      <c r="E323" s="104"/>
      <c r="F323" s="266"/>
      <c r="G323" s="372"/>
      <c r="H323" s="438"/>
      <c r="I323" s="438"/>
      <c r="J323" s="438"/>
    </row>
    <row r="324" spans="1:10" x14ac:dyDescent="0.2">
      <c r="A324" s="29"/>
      <c r="B324" s="105"/>
      <c r="C324" s="371"/>
      <c r="D324" s="384"/>
      <c r="E324" s="104"/>
      <c r="F324" s="266"/>
      <c r="G324" s="372"/>
      <c r="H324" s="438"/>
      <c r="I324" s="438"/>
      <c r="J324" s="438"/>
    </row>
    <row r="325" spans="1:10" x14ac:dyDescent="0.2">
      <c r="A325" s="29"/>
      <c r="B325" s="101"/>
      <c r="C325" s="41"/>
      <c r="D325" s="384"/>
      <c r="E325" s="104"/>
      <c r="F325" s="266"/>
      <c r="G325" s="372"/>
      <c r="H325" s="438"/>
      <c r="I325" s="438"/>
      <c r="J325" s="438"/>
    </row>
    <row r="326" spans="1:10" x14ac:dyDescent="0.2">
      <c r="A326" s="29"/>
      <c r="B326" s="101"/>
      <c r="C326" s="371"/>
      <c r="D326" s="376"/>
      <c r="E326" s="104"/>
      <c r="F326" s="266"/>
      <c r="G326" s="372"/>
      <c r="H326" s="438"/>
      <c r="I326" s="438"/>
      <c r="J326" s="438"/>
    </row>
    <row r="327" spans="1:10" x14ac:dyDescent="0.2">
      <c r="A327" s="29"/>
      <c r="B327" s="101"/>
      <c r="C327" s="41"/>
      <c r="D327" s="376"/>
      <c r="E327" s="104"/>
      <c r="F327" s="266"/>
      <c r="G327" s="372"/>
      <c r="H327" s="438"/>
      <c r="I327" s="438"/>
      <c r="J327" s="438"/>
    </row>
    <row r="328" spans="1:10" x14ac:dyDescent="0.2">
      <c r="A328" s="29"/>
      <c r="B328" s="101"/>
      <c r="C328" s="41"/>
      <c r="D328" s="444"/>
      <c r="E328" s="104"/>
      <c r="F328" s="266"/>
      <c r="G328" s="372"/>
      <c r="H328" s="438"/>
      <c r="I328" s="438"/>
      <c r="J328" s="438"/>
    </row>
    <row r="329" spans="1:10" x14ac:dyDescent="0.2">
      <c r="A329" s="29"/>
      <c r="B329" s="101"/>
      <c r="C329" s="371"/>
      <c r="D329" s="384"/>
      <c r="E329" s="104"/>
      <c r="F329" s="266"/>
      <c r="G329" s="372"/>
      <c r="H329" s="438"/>
      <c r="I329" s="438"/>
      <c r="J329" s="438"/>
    </row>
    <row r="330" spans="1:10" x14ac:dyDescent="0.2">
      <c r="A330" s="29"/>
      <c r="B330" s="101"/>
      <c r="C330" s="41"/>
      <c r="D330" s="384"/>
      <c r="E330" s="104"/>
      <c r="F330" s="266"/>
      <c r="G330" s="372"/>
      <c r="H330" s="438"/>
      <c r="I330" s="438"/>
      <c r="J330" s="438"/>
    </row>
    <row r="331" spans="1:10" x14ac:dyDescent="0.2">
      <c r="A331" s="29"/>
      <c r="B331" s="101"/>
      <c r="C331" s="371"/>
      <c r="D331" s="384"/>
      <c r="E331" s="104"/>
      <c r="F331" s="266"/>
      <c r="G331" s="372"/>
      <c r="H331" s="438"/>
      <c r="I331" s="438"/>
      <c r="J331" s="438"/>
    </row>
    <row r="332" spans="1:10" x14ac:dyDescent="0.2">
      <c r="A332" s="29"/>
      <c r="B332" s="101"/>
      <c r="C332" s="41"/>
      <c r="D332" s="384"/>
      <c r="E332" s="104"/>
      <c r="F332" s="266"/>
      <c r="G332" s="372"/>
      <c r="H332" s="438"/>
      <c r="I332" s="438"/>
      <c r="J332" s="438"/>
    </row>
    <row r="333" spans="1:10" x14ac:dyDescent="0.2">
      <c r="A333" s="29"/>
      <c r="B333" s="101"/>
      <c r="C333" s="371"/>
      <c r="D333" s="376"/>
      <c r="E333" s="108"/>
      <c r="F333" s="69"/>
      <c r="G333" s="372"/>
      <c r="H333" s="438"/>
      <c r="I333" s="438"/>
      <c r="J333" s="438"/>
    </row>
    <row r="334" spans="1:10" x14ac:dyDescent="0.2">
      <c r="A334" s="29"/>
      <c r="B334" s="101"/>
      <c r="C334" s="41"/>
      <c r="D334" s="358"/>
      <c r="E334" s="153"/>
      <c r="F334" s="69"/>
      <c r="G334" s="372"/>
      <c r="H334" s="438"/>
      <c r="I334" s="438"/>
      <c r="J334" s="438"/>
    </row>
    <row r="335" spans="1:10" x14ac:dyDescent="0.2">
      <c r="A335" s="29"/>
      <c r="B335" s="101"/>
      <c r="C335" s="371"/>
      <c r="D335" s="419"/>
      <c r="E335" s="102"/>
      <c r="F335" s="69"/>
      <c r="G335" s="372"/>
      <c r="H335" s="438"/>
      <c r="I335" s="438"/>
      <c r="J335" s="438"/>
    </row>
    <row r="336" spans="1:10" x14ac:dyDescent="0.2">
      <c r="A336" s="29"/>
      <c r="B336" s="101"/>
      <c r="C336" s="31"/>
      <c r="D336" s="419"/>
      <c r="E336" s="131"/>
      <c r="F336" s="267"/>
      <c r="G336" s="372"/>
      <c r="H336" s="438"/>
      <c r="I336" s="438"/>
      <c r="J336" s="438"/>
    </row>
    <row r="337" spans="1:10" x14ac:dyDescent="0.2">
      <c r="A337" s="29"/>
      <c r="B337" s="101"/>
      <c r="C337" s="371"/>
      <c r="D337" s="425"/>
      <c r="E337" s="108"/>
      <c r="F337" s="263"/>
      <c r="G337" s="372"/>
      <c r="H337" s="438"/>
      <c r="I337" s="438"/>
      <c r="J337" s="438"/>
    </row>
    <row r="338" spans="1:10" x14ac:dyDescent="0.2">
      <c r="A338" s="29"/>
      <c r="B338" s="101"/>
      <c r="C338" s="41"/>
      <c r="D338" s="383"/>
      <c r="E338" s="108"/>
      <c r="F338" s="263"/>
      <c r="G338" s="372"/>
      <c r="H338" s="438"/>
      <c r="I338" s="438"/>
      <c r="J338" s="438"/>
    </row>
    <row r="339" spans="1:10" x14ac:dyDescent="0.2">
      <c r="A339" s="29"/>
      <c r="B339" s="101"/>
      <c r="C339" s="371"/>
      <c r="D339" s="383"/>
      <c r="E339" s="108"/>
      <c r="F339" s="149"/>
      <c r="G339" s="372"/>
      <c r="H339" s="438"/>
      <c r="I339" s="438"/>
      <c r="J339" s="438"/>
    </row>
    <row r="340" spans="1:10" x14ac:dyDescent="0.2">
      <c r="A340" s="61"/>
      <c r="B340" s="101"/>
      <c r="C340" s="41"/>
      <c r="D340" s="383"/>
      <c r="E340" s="108"/>
      <c r="F340" s="149"/>
      <c r="G340" s="372"/>
      <c r="H340" s="438"/>
      <c r="I340" s="438"/>
      <c r="J340" s="438"/>
    </row>
    <row r="341" spans="1:10" ht="13.5" thickBot="1" x14ac:dyDescent="0.25">
      <c r="A341" s="209"/>
      <c r="B341" s="132"/>
      <c r="C341" s="115"/>
      <c r="D341" s="115"/>
      <c r="E341" s="132"/>
      <c r="F341" s="49" t="s">
        <v>15</v>
      </c>
      <c r="G341" s="210">
        <f>SUM(G307:G340)</f>
        <v>13750</v>
      </c>
      <c r="H341" s="243"/>
      <c r="I341" s="243"/>
      <c r="J341" s="243"/>
    </row>
    <row r="342" spans="1:10" ht="13.5" thickTop="1" x14ac:dyDescent="0.2">
      <c r="A342" s="875" t="s">
        <v>1530</v>
      </c>
      <c r="B342" s="899"/>
      <c r="C342" s="899"/>
      <c r="D342" s="899"/>
      <c r="E342" s="899"/>
      <c r="F342" s="899"/>
      <c r="G342" s="900"/>
      <c r="H342" s="22"/>
      <c r="I342" s="22"/>
      <c r="J342" s="22"/>
    </row>
    <row r="343" spans="1:10" ht="13.5" thickBot="1" x14ac:dyDescent="0.25">
      <c r="A343" s="52"/>
      <c r="B343" s="103"/>
      <c r="C343" s="374" t="s">
        <v>1531</v>
      </c>
      <c r="D343" s="54"/>
      <c r="E343" s="103"/>
      <c r="F343" s="55"/>
      <c r="G343" s="56"/>
    </row>
    <row r="344" spans="1:10" ht="13.5" thickTop="1" x14ac:dyDescent="0.2">
      <c r="A344" s="906"/>
      <c r="B344" s="907"/>
      <c r="C344" s="907"/>
      <c r="D344" s="57" t="s">
        <v>11</v>
      </c>
      <c r="E344" s="908" t="s">
        <v>12</v>
      </c>
      <c r="F344" s="908"/>
      <c r="G344" s="909"/>
      <c r="H344" s="4"/>
      <c r="I344" s="4"/>
      <c r="J344" s="4"/>
    </row>
    <row r="345" spans="1:10" x14ac:dyDescent="0.2">
      <c r="A345" s="910" t="s">
        <v>17</v>
      </c>
      <c r="B345" s="911"/>
      <c r="C345" s="911"/>
      <c r="D345" s="39"/>
      <c r="E345" s="912"/>
      <c r="F345" s="913"/>
      <c r="G345" s="914"/>
      <c r="H345" s="176"/>
      <c r="I345" s="176"/>
      <c r="J345" s="176"/>
    </row>
    <row r="346" spans="1:10" x14ac:dyDescent="0.2">
      <c r="A346" s="910" t="s">
        <v>38</v>
      </c>
      <c r="B346" s="911"/>
      <c r="C346" s="911"/>
      <c r="D346" s="73" t="s">
        <v>891</v>
      </c>
      <c r="E346" s="868" t="s">
        <v>142</v>
      </c>
      <c r="F346" s="868"/>
      <c r="G346" s="869"/>
      <c r="H346" s="1"/>
      <c r="I346" s="1"/>
      <c r="J346" s="1"/>
    </row>
    <row r="347" spans="1:10" ht="13.5" thickBot="1" x14ac:dyDescent="0.25">
      <c r="A347" s="901" t="s">
        <v>39</v>
      </c>
      <c r="B347" s="902"/>
      <c r="C347" s="902"/>
      <c r="D347" s="91" t="s">
        <v>892</v>
      </c>
      <c r="E347" s="904" t="s">
        <v>0</v>
      </c>
      <c r="F347" s="904"/>
      <c r="G347" s="905"/>
      <c r="H347" s="4"/>
      <c r="I347" s="4"/>
      <c r="J347" s="4"/>
    </row>
    <row r="348" spans="1:10" ht="16.5" x14ac:dyDescent="0.25">
      <c r="A348" s="885" t="s">
        <v>29</v>
      </c>
      <c r="B348" s="886"/>
      <c r="C348" s="886"/>
      <c r="D348" s="886"/>
      <c r="E348" s="886"/>
      <c r="F348" s="886"/>
      <c r="G348" s="887"/>
      <c r="H348" s="247"/>
      <c r="I348" s="247"/>
      <c r="J348" s="247"/>
    </row>
    <row r="349" spans="1:10" x14ac:dyDescent="0.2">
      <c r="A349" s="888" t="s">
        <v>48</v>
      </c>
      <c r="B349" s="889"/>
      <c r="C349" s="889"/>
      <c r="D349" s="889"/>
      <c r="E349" s="889"/>
      <c r="F349" s="889"/>
      <c r="G349" s="890"/>
      <c r="H349" s="246"/>
      <c r="I349" s="246"/>
      <c r="J349" s="246"/>
    </row>
    <row r="350" spans="1:10" x14ac:dyDescent="0.2">
      <c r="A350" s="915" t="s">
        <v>49</v>
      </c>
      <c r="B350" s="916"/>
      <c r="C350" s="916"/>
      <c r="D350" s="916"/>
      <c r="E350" s="916"/>
      <c r="F350" s="916"/>
      <c r="G350" s="917"/>
      <c r="H350" s="4"/>
      <c r="I350" s="4"/>
      <c r="J350" s="4"/>
    </row>
    <row r="351" spans="1:10" x14ac:dyDescent="0.2">
      <c r="A351" s="6"/>
      <c r="B351" s="99"/>
      <c r="C351" s="8"/>
      <c r="D351" s="9"/>
      <c r="E351" s="99"/>
      <c r="F351" s="10"/>
      <c r="G351" s="11" t="s">
        <v>20</v>
      </c>
      <c r="H351" s="248"/>
      <c r="I351" s="248"/>
      <c r="J351" s="248"/>
    </row>
    <row r="352" spans="1:10" x14ac:dyDescent="0.2">
      <c r="A352" s="12" t="s">
        <v>1</v>
      </c>
      <c r="B352" s="13"/>
      <c r="C352" s="14" t="s">
        <v>36</v>
      </c>
      <c r="D352" s="13"/>
      <c r="E352" s="362" t="s">
        <v>1614</v>
      </c>
      <c r="F352" s="98"/>
      <c r="G352" s="363" t="s">
        <v>1527</v>
      </c>
      <c r="H352" s="430"/>
      <c r="I352" s="430"/>
      <c r="J352" s="430"/>
    </row>
    <row r="353" spans="1:10" x14ac:dyDescent="0.2">
      <c r="A353" s="17" t="s">
        <v>8</v>
      </c>
      <c r="B353" s="100"/>
      <c r="C353" s="19"/>
      <c r="D353" s="4"/>
      <c r="E353" s="918"/>
      <c r="F353" s="919"/>
      <c r="G353" s="20"/>
    </row>
    <row r="354" spans="1:10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10" x14ac:dyDescent="0.2">
      <c r="A355" s="6"/>
      <c r="B355" s="99"/>
      <c r="C355" s="8"/>
      <c r="D355" s="8"/>
      <c r="E355" s="920"/>
      <c r="F355" s="921"/>
      <c r="G355" s="25"/>
    </row>
    <row r="356" spans="1:10" ht="26.25" thickBot="1" x14ac:dyDescent="0.25">
      <c r="A356" s="207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  <c r="H356" s="249"/>
      <c r="I356" s="249"/>
      <c r="J356" s="249"/>
    </row>
    <row r="357" spans="1:10" ht="13.5" thickTop="1" x14ac:dyDescent="0.2">
      <c r="A357" s="29">
        <v>1</v>
      </c>
      <c r="B357" s="101"/>
      <c r="C357" s="371" t="s">
        <v>149</v>
      </c>
      <c r="D357" s="370" t="s">
        <v>1532</v>
      </c>
      <c r="E357" s="108">
        <v>20</v>
      </c>
      <c r="F357" s="149">
        <v>200</v>
      </c>
      <c r="G357" s="35">
        <f>F357*E357</f>
        <v>4000</v>
      </c>
      <c r="H357" s="212"/>
      <c r="I357" s="212"/>
      <c r="J357" s="212"/>
    </row>
    <row r="358" spans="1:10" x14ac:dyDescent="0.2">
      <c r="A358" s="29">
        <v>2</v>
      </c>
      <c r="B358" s="105"/>
      <c r="C358" s="371" t="s">
        <v>149</v>
      </c>
      <c r="D358" s="376" t="s">
        <v>339</v>
      </c>
      <c r="E358" s="102">
        <v>20</v>
      </c>
      <c r="F358" s="128">
        <v>350</v>
      </c>
      <c r="G358" s="372">
        <f>F358*E358</f>
        <v>7000</v>
      </c>
      <c r="H358" s="438"/>
      <c r="I358" s="438"/>
      <c r="J358" s="438"/>
    </row>
    <row r="359" spans="1:10" x14ac:dyDescent="0.2">
      <c r="A359" s="29"/>
      <c r="B359" s="105"/>
      <c r="C359" s="371"/>
      <c r="D359" s="376" t="s">
        <v>301</v>
      </c>
      <c r="E359" s="102"/>
      <c r="F359" s="128"/>
      <c r="G359" s="372"/>
      <c r="H359" s="438"/>
      <c r="I359" s="438"/>
      <c r="J359" s="438"/>
    </row>
    <row r="360" spans="1:10" x14ac:dyDescent="0.2">
      <c r="A360" s="29"/>
      <c r="B360" s="105"/>
      <c r="C360" s="371"/>
      <c r="D360" s="376"/>
      <c r="E360" s="102"/>
      <c r="F360" s="128"/>
      <c r="G360" s="372"/>
      <c r="H360" s="438"/>
      <c r="I360" s="438"/>
      <c r="J360" s="438"/>
    </row>
    <row r="361" spans="1:10" x14ac:dyDescent="0.2">
      <c r="A361" s="29"/>
      <c r="B361" s="105"/>
      <c r="C361" s="371"/>
      <c r="D361" s="376"/>
      <c r="E361" s="102"/>
      <c r="F361" s="128"/>
      <c r="G361" s="372"/>
      <c r="H361" s="438"/>
      <c r="I361" s="438"/>
      <c r="J361" s="438"/>
    </row>
    <row r="362" spans="1:10" x14ac:dyDescent="0.2">
      <c r="A362" s="29"/>
      <c r="B362" s="105"/>
      <c r="C362" s="371"/>
      <c r="D362" s="376"/>
      <c r="E362" s="102"/>
      <c r="F362" s="69"/>
      <c r="G362" s="372"/>
      <c r="H362" s="438"/>
      <c r="I362" s="438"/>
      <c r="J362" s="438"/>
    </row>
    <row r="363" spans="1:10" x14ac:dyDescent="0.2">
      <c r="A363" s="29"/>
      <c r="B363" s="151"/>
      <c r="C363" s="385"/>
      <c r="D363" s="376"/>
      <c r="E363" s="108"/>
      <c r="F363" s="264"/>
      <c r="G363" s="372"/>
      <c r="H363" s="438"/>
      <c r="I363" s="438"/>
      <c r="J363" s="438"/>
    </row>
    <row r="364" spans="1:10" x14ac:dyDescent="0.2">
      <c r="A364" s="29"/>
      <c r="B364" s="151"/>
      <c r="C364" s="119"/>
      <c r="D364" s="358"/>
      <c r="E364" s="108"/>
      <c r="F364" s="264"/>
      <c r="G364" s="372"/>
      <c r="H364" s="438"/>
      <c r="I364" s="438"/>
      <c r="J364" s="438"/>
    </row>
    <row r="365" spans="1:10" x14ac:dyDescent="0.2">
      <c r="A365" s="29"/>
      <c r="B365" s="101"/>
      <c r="C365" s="371"/>
      <c r="D365" s="383"/>
      <c r="E365" s="104"/>
      <c r="F365" s="69"/>
      <c r="G365" s="372"/>
      <c r="H365" s="438"/>
      <c r="I365" s="438"/>
      <c r="J365" s="438"/>
    </row>
    <row r="366" spans="1:10" x14ac:dyDescent="0.2">
      <c r="A366" s="29"/>
      <c r="B366" s="106"/>
      <c r="C366" s="41"/>
      <c r="D366" s="376"/>
      <c r="E366" s="104"/>
      <c r="F366" s="69"/>
      <c r="G366" s="372"/>
      <c r="H366" s="438"/>
      <c r="I366" s="438"/>
      <c r="J366" s="438"/>
    </row>
    <row r="367" spans="1:10" x14ac:dyDescent="0.2">
      <c r="A367" s="29"/>
      <c r="B367" s="105"/>
      <c r="C367" s="371"/>
      <c r="D367" s="376"/>
      <c r="E367" s="108"/>
      <c r="F367" s="265"/>
      <c r="G367" s="372"/>
      <c r="H367" s="438"/>
      <c r="I367" s="438"/>
      <c r="J367" s="438"/>
    </row>
    <row r="368" spans="1:10" x14ac:dyDescent="0.2">
      <c r="A368" s="29"/>
      <c r="B368" s="107"/>
      <c r="C368" s="41"/>
      <c r="D368" s="376"/>
      <c r="E368" s="153"/>
      <c r="F368" s="69"/>
      <c r="G368" s="372"/>
      <c r="H368" s="438"/>
      <c r="I368" s="438"/>
      <c r="J368" s="438"/>
    </row>
    <row r="369" spans="1:10" x14ac:dyDescent="0.2">
      <c r="A369" s="29"/>
      <c r="B369" s="107"/>
      <c r="C369" s="371"/>
      <c r="D369" s="384"/>
      <c r="E369" s="153"/>
      <c r="F369" s="69"/>
      <c r="G369" s="372"/>
      <c r="H369" s="438"/>
      <c r="I369" s="438"/>
      <c r="J369" s="438"/>
    </row>
    <row r="370" spans="1:10" x14ac:dyDescent="0.2">
      <c r="A370" s="29"/>
      <c r="B370" s="101"/>
      <c r="C370" s="41"/>
      <c r="D370" s="384"/>
      <c r="E370" s="108"/>
      <c r="F370" s="451"/>
      <c r="G370" s="372"/>
      <c r="H370" s="438"/>
      <c r="I370" s="438"/>
      <c r="J370" s="438"/>
    </row>
    <row r="371" spans="1:10" x14ac:dyDescent="0.2">
      <c r="A371" s="29"/>
      <c r="B371" s="101"/>
      <c r="C371" s="41"/>
      <c r="D371" s="358"/>
      <c r="E371" s="153"/>
      <c r="F371" s="69"/>
      <c r="G371" s="372"/>
      <c r="H371" s="438"/>
      <c r="I371" s="438"/>
      <c r="J371" s="438"/>
    </row>
    <row r="372" spans="1:10" x14ac:dyDescent="0.2">
      <c r="A372" s="29"/>
      <c r="B372" s="106"/>
      <c r="C372" s="371"/>
      <c r="D372" s="384"/>
      <c r="E372" s="104"/>
      <c r="F372" s="266"/>
      <c r="G372" s="372"/>
      <c r="H372" s="438"/>
      <c r="I372" s="438"/>
      <c r="J372" s="438"/>
    </row>
    <row r="373" spans="1:10" x14ac:dyDescent="0.2">
      <c r="A373" s="29"/>
      <c r="B373" s="105"/>
      <c r="C373" s="41"/>
      <c r="D373" s="419"/>
      <c r="E373" s="104"/>
      <c r="F373" s="266"/>
      <c r="G373" s="372"/>
      <c r="H373" s="438"/>
      <c r="I373" s="438"/>
      <c r="J373" s="438"/>
    </row>
    <row r="374" spans="1:10" x14ac:dyDescent="0.2">
      <c r="A374" s="29"/>
      <c r="B374" s="105"/>
      <c r="C374" s="371"/>
      <c r="D374" s="384"/>
      <c r="E374" s="104"/>
      <c r="F374" s="266"/>
      <c r="G374" s="372"/>
      <c r="H374" s="438"/>
      <c r="I374" s="438"/>
      <c r="J374" s="438"/>
    </row>
    <row r="375" spans="1:10" x14ac:dyDescent="0.2">
      <c r="A375" s="29"/>
      <c r="B375" s="101"/>
      <c r="C375" s="41"/>
      <c r="D375" s="384"/>
      <c r="E375" s="104"/>
      <c r="F375" s="266"/>
      <c r="G375" s="372"/>
      <c r="H375" s="438"/>
      <c r="I375" s="438"/>
      <c r="J375" s="438"/>
    </row>
    <row r="376" spans="1:10" x14ac:dyDescent="0.2">
      <c r="A376" s="29"/>
      <c r="B376" s="101"/>
      <c r="C376" s="371"/>
      <c r="D376" s="376"/>
      <c r="E376" s="104"/>
      <c r="F376" s="266"/>
      <c r="G376" s="372"/>
      <c r="H376" s="438"/>
      <c r="I376" s="438"/>
      <c r="J376" s="438"/>
    </row>
    <row r="377" spans="1:10" x14ac:dyDescent="0.2">
      <c r="A377" s="29"/>
      <c r="B377" s="101"/>
      <c r="C377" s="41"/>
      <c r="D377" s="376"/>
      <c r="E377" s="104"/>
      <c r="F377" s="266"/>
      <c r="G377" s="372"/>
      <c r="H377" s="438"/>
      <c r="I377" s="438"/>
      <c r="J377" s="438"/>
    </row>
    <row r="378" spans="1:10" x14ac:dyDescent="0.2">
      <c r="A378" s="29"/>
      <c r="B378" s="101"/>
      <c r="C378" s="41"/>
      <c r="D378" s="444"/>
      <c r="E378" s="104"/>
      <c r="F378" s="266"/>
      <c r="G378" s="372"/>
      <c r="H378" s="438"/>
      <c r="I378" s="438"/>
      <c r="J378" s="438"/>
    </row>
    <row r="379" spans="1:10" x14ac:dyDescent="0.2">
      <c r="A379" s="29"/>
      <c r="B379" s="101"/>
      <c r="C379" s="371"/>
      <c r="D379" s="384"/>
      <c r="E379" s="104"/>
      <c r="F379" s="266"/>
      <c r="G379" s="372"/>
      <c r="H379" s="438"/>
      <c r="I379" s="438"/>
      <c r="J379" s="438"/>
    </row>
    <row r="380" spans="1:10" x14ac:dyDescent="0.2">
      <c r="A380" s="29"/>
      <c r="B380" s="101"/>
      <c r="C380" s="41"/>
      <c r="D380" s="384"/>
      <c r="E380" s="104"/>
      <c r="F380" s="266"/>
      <c r="G380" s="372"/>
      <c r="H380" s="438"/>
      <c r="I380" s="438"/>
      <c r="J380" s="438"/>
    </row>
    <row r="381" spans="1:10" x14ac:dyDescent="0.2">
      <c r="A381" s="29"/>
      <c r="B381" s="101"/>
      <c r="C381" s="371"/>
      <c r="D381" s="384"/>
      <c r="E381" s="104"/>
      <c r="F381" s="266"/>
      <c r="G381" s="372"/>
      <c r="H381" s="438"/>
      <c r="I381" s="438"/>
      <c r="J381" s="438"/>
    </row>
    <row r="382" spans="1:10" x14ac:dyDescent="0.2">
      <c r="A382" s="29"/>
      <c r="B382" s="101"/>
      <c r="C382" s="41"/>
      <c r="D382" s="384"/>
      <c r="E382" s="104"/>
      <c r="F382" s="266"/>
      <c r="G382" s="372"/>
      <c r="H382" s="438"/>
      <c r="I382" s="438"/>
      <c r="J382" s="438"/>
    </row>
    <row r="383" spans="1:10" x14ac:dyDescent="0.2">
      <c r="A383" s="29"/>
      <c r="B383" s="101"/>
      <c r="C383" s="371"/>
      <c r="D383" s="376"/>
      <c r="E383" s="108"/>
      <c r="F383" s="69"/>
      <c r="G383" s="372"/>
      <c r="H383" s="438"/>
      <c r="I383" s="438"/>
      <c r="J383" s="438"/>
    </row>
    <row r="384" spans="1:10" x14ac:dyDescent="0.2">
      <c r="A384" s="29"/>
      <c r="B384" s="101"/>
      <c r="C384" s="41"/>
      <c r="D384" s="358"/>
      <c r="E384" s="153"/>
      <c r="F384" s="69"/>
      <c r="G384" s="372"/>
      <c r="H384" s="438"/>
      <c r="I384" s="438"/>
      <c r="J384" s="438"/>
    </row>
    <row r="385" spans="1:10" x14ac:dyDescent="0.2">
      <c r="A385" s="29"/>
      <c r="B385" s="101"/>
      <c r="C385" s="371"/>
      <c r="D385" s="419"/>
      <c r="E385" s="102"/>
      <c r="F385" s="69"/>
      <c r="G385" s="372"/>
      <c r="H385" s="438"/>
      <c r="I385" s="438"/>
      <c r="J385" s="438"/>
    </row>
    <row r="386" spans="1:10" x14ac:dyDescent="0.2">
      <c r="A386" s="29"/>
      <c r="B386" s="101"/>
      <c r="C386" s="31"/>
      <c r="D386" s="419"/>
      <c r="E386" s="131"/>
      <c r="F386" s="267"/>
      <c r="G386" s="372"/>
      <c r="H386" s="438"/>
      <c r="I386" s="438"/>
      <c r="J386" s="438"/>
    </row>
    <row r="387" spans="1:10" x14ac:dyDescent="0.2">
      <c r="A387" s="29"/>
      <c r="B387" s="101"/>
      <c r="C387" s="371"/>
      <c r="D387" s="425"/>
      <c r="E387" s="108"/>
      <c r="F387" s="263"/>
      <c r="G387" s="372"/>
      <c r="H387" s="438"/>
      <c r="I387" s="438"/>
      <c r="J387" s="438"/>
    </row>
    <row r="388" spans="1:10" x14ac:dyDescent="0.2">
      <c r="A388" s="29"/>
      <c r="B388" s="101"/>
      <c r="C388" s="41"/>
      <c r="D388" s="383"/>
      <c r="E388" s="108"/>
      <c r="F388" s="263"/>
      <c r="G388" s="372"/>
      <c r="H388" s="438"/>
      <c r="I388" s="438"/>
      <c r="J388" s="438"/>
    </row>
    <row r="389" spans="1:10" x14ac:dyDescent="0.2">
      <c r="A389" s="29"/>
      <c r="B389" s="101"/>
      <c r="C389" s="371"/>
      <c r="D389" s="383"/>
      <c r="E389" s="108"/>
      <c r="F389" s="149"/>
      <c r="G389" s="372"/>
      <c r="H389" s="438"/>
      <c r="I389" s="438"/>
      <c r="J389" s="438"/>
    </row>
    <row r="390" spans="1:10" x14ac:dyDescent="0.2">
      <c r="A390" s="61"/>
      <c r="B390" s="101"/>
      <c r="C390" s="41"/>
      <c r="D390" s="383"/>
      <c r="E390" s="108"/>
      <c r="F390" s="149"/>
      <c r="G390" s="372"/>
      <c r="H390" s="438"/>
      <c r="I390" s="438"/>
      <c r="J390" s="438"/>
    </row>
    <row r="391" spans="1:10" ht="13.5" thickBot="1" x14ac:dyDescent="0.25">
      <c r="A391" s="209"/>
      <c r="B391" s="132"/>
      <c r="C391" s="115"/>
      <c r="D391" s="115"/>
      <c r="E391" s="132"/>
      <c r="F391" s="49" t="s">
        <v>15</v>
      </c>
      <c r="G391" s="210">
        <f>SUM(G357:G390)</f>
        <v>11000</v>
      </c>
      <c r="H391" s="243"/>
      <c r="I391" s="243"/>
      <c r="J391" s="243"/>
    </row>
    <row r="392" spans="1:10" ht="13.5" thickTop="1" x14ac:dyDescent="0.2">
      <c r="A392" s="875" t="s">
        <v>1533</v>
      </c>
      <c r="B392" s="899"/>
      <c r="C392" s="899"/>
      <c r="D392" s="899"/>
      <c r="E392" s="899"/>
      <c r="F392" s="899"/>
      <c r="G392" s="900"/>
      <c r="H392" s="22"/>
      <c r="I392" s="22"/>
      <c r="J392" s="22"/>
    </row>
    <row r="393" spans="1:10" ht="13.5" thickBot="1" x14ac:dyDescent="0.25">
      <c r="A393" s="52"/>
      <c r="B393" s="103"/>
      <c r="C393" s="374" t="s">
        <v>1534</v>
      </c>
      <c r="D393" s="54"/>
      <c r="E393" s="103"/>
      <c r="F393" s="55"/>
      <c r="G393" s="56"/>
    </row>
    <row r="394" spans="1:10" ht="13.5" thickTop="1" x14ac:dyDescent="0.2">
      <c r="A394" s="906"/>
      <c r="B394" s="907"/>
      <c r="C394" s="907"/>
      <c r="D394" s="57" t="s">
        <v>11</v>
      </c>
      <c r="E394" s="908" t="s">
        <v>12</v>
      </c>
      <c r="F394" s="908"/>
      <c r="G394" s="909"/>
      <c r="H394" s="4"/>
      <c r="I394" s="4"/>
      <c r="J394" s="4"/>
    </row>
    <row r="395" spans="1:10" x14ac:dyDescent="0.2">
      <c r="A395" s="910" t="s">
        <v>17</v>
      </c>
      <c r="B395" s="911"/>
      <c r="C395" s="911"/>
      <c r="D395" s="39"/>
      <c r="E395" s="912"/>
      <c r="F395" s="913"/>
      <c r="G395" s="914"/>
      <c r="H395" s="176"/>
      <c r="I395" s="176"/>
      <c r="J395" s="176"/>
    </row>
    <row r="396" spans="1:10" x14ac:dyDescent="0.2">
      <c r="A396" s="910" t="s">
        <v>38</v>
      </c>
      <c r="B396" s="911"/>
      <c r="C396" s="911"/>
      <c r="D396" s="73" t="s">
        <v>891</v>
      </c>
      <c r="E396" s="868" t="s">
        <v>142</v>
      </c>
      <c r="F396" s="868"/>
      <c r="G396" s="869"/>
      <c r="H396" s="1"/>
      <c r="I396" s="1"/>
      <c r="J396" s="1"/>
    </row>
    <row r="397" spans="1:10" ht="13.5" thickBot="1" x14ac:dyDescent="0.25">
      <c r="A397" s="901" t="s">
        <v>39</v>
      </c>
      <c r="B397" s="902"/>
      <c r="C397" s="902"/>
      <c r="D397" s="91" t="s">
        <v>892</v>
      </c>
      <c r="E397" s="904" t="s">
        <v>0</v>
      </c>
      <c r="F397" s="904"/>
      <c r="G397" s="905"/>
      <c r="H397" s="4"/>
      <c r="I397" s="4"/>
      <c r="J397" s="4"/>
    </row>
    <row r="398" spans="1:10" ht="16.5" x14ac:dyDescent="0.25">
      <c r="A398" s="885" t="s">
        <v>29</v>
      </c>
      <c r="B398" s="886"/>
      <c r="C398" s="886"/>
      <c r="D398" s="886"/>
      <c r="E398" s="886"/>
      <c r="F398" s="886"/>
      <c r="G398" s="887"/>
      <c r="H398" s="247"/>
      <c r="I398" s="247"/>
      <c r="J398" s="247"/>
    </row>
    <row r="399" spans="1:10" x14ac:dyDescent="0.2">
      <c r="A399" s="888" t="s">
        <v>48</v>
      </c>
      <c r="B399" s="889"/>
      <c r="C399" s="889"/>
      <c r="D399" s="889"/>
      <c r="E399" s="889"/>
      <c r="F399" s="889"/>
      <c r="G399" s="890"/>
      <c r="H399" s="246"/>
      <c r="I399" s="246"/>
      <c r="J399" s="246"/>
    </row>
    <row r="400" spans="1:10" x14ac:dyDescent="0.2">
      <c r="A400" s="915" t="s">
        <v>49</v>
      </c>
      <c r="B400" s="916"/>
      <c r="C400" s="916"/>
      <c r="D400" s="916"/>
      <c r="E400" s="916"/>
      <c r="F400" s="916"/>
      <c r="G400" s="917"/>
      <c r="H400" s="4"/>
      <c r="I400" s="4"/>
      <c r="J400" s="4"/>
    </row>
    <row r="401" spans="1:10" x14ac:dyDescent="0.2">
      <c r="A401" s="6"/>
      <c r="B401" s="99"/>
      <c r="C401" s="8"/>
      <c r="D401" s="9"/>
      <c r="E401" s="99"/>
      <c r="F401" s="10"/>
      <c r="G401" s="11" t="s">
        <v>20</v>
      </c>
      <c r="H401" s="248"/>
      <c r="I401" s="248"/>
      <c r="J401" s="248"/>
    </row>
    <row r="402" spans="1:10" x14ac:dyDescent="0.2">
      <c r="A402" s="12" t="s">
        <v>1</v>
      </c>
      <c r="B402" s="13"/>
      <c r="C402" s="14" t="s">
        <v>36</v>
      </c>
      <c r="D402" s="13"/>
      <c r="E402" s="362" t="s">
        <v>1616</v>
      </c>
      <c r="F402" s="98"/>
      <c r="G402" s="363" t="s">
        <v>1527</v>
      </c>
      <c r="H402" s="430"/>
      <c r="I402" s="430"/>
      <c r="J402" s="430"/>
    </row>
    <row r="403" spans="1:10" x14ac:dyDescent="0.2">
      <c r="A403" s="17" t="s">
        <v>8</v>
      </c>
      <c r="B403" s="100"/>
      <c r="C403" s="19"/>
      <c r="D403" s="4"/>
      <c r="E403" s="918"/>
      <c r="F403" s="919"/>
      <c r="G403" s="20"/>
    </row>
    <row r="404" spans="1:10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10" x14ac:dyDescent="0.2">
      <c r="A405" s="6"/>
      <c r="B405" s="99"/>
      <c r="C405" s="8"/>
      <c r="D405" s="8"/>
      <c r="E405" s="920"/>
      <c r="F405" s="921"/>
      <c r="G405" s="25"/>
    </row>
    <row r="406" spans="1:10" ht="26.25" thickBot="1" x14ac:dyDescent="0.25">
      <c r="A406" s="207" t="s">
        <v>47</v>
      </c>
      <c r="B406" s="28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  <c r="H406" s="249"/>
      <c r="I406" s="249"/>
      <c r="J406" s="249"/>
    </row>
    <row r="407" spans="1:10" ht="13.5" thickTop="1" x14ac:dyDescent="0.2">
      <c r="A407" s="29">
        <v>1</v>
      </c>
      <c r="B407" s="101"/>
      <c r="C407" s="371" t="s">
        <v>149</v>
      </c>
      <c r="D407" s="370" t="s">
        <v>1539</v>
      </c>
      <c r="E407" s="108">
        <v>80</v>
      </c>
      <c r="F407" s="149">
        <v>200</v>
      </c>
      <c r="G407" s="35">
        <f>F407*E407</f>
        <v>16000</v>
      </c>
      <c r="H407" s="212"/>
      <c r="I407" s="212"/>
      <c r="J407" s="212"/>
    </row>
    <row r="408" spans="1:10" x14ac:dyDescent="0.2">
      <c r="A408" s="29"/>
      <c r="B408" s="101"/>
      <c r="C408" s="371"/>
      <c r="D408" s="370" t="s">
        <v>338</v>
      </c>
      <c r="E408" s="108"/>
      <c r="F408" s="149"/>
      <c r="G408" s="35"/>
      <c r="H408" s="212"/>
      <c r="I408" s="212"/>
      <c r="J408" s="212"/>
    </row>
    <row r="409" spans="1:10" x14ac:dyDescent="0.2">
      <c r="A409" s="29">
        <v>2</v>
      </c>
      <c r="B409" s="105"/>
      <c r="C409" s="371" t="s">
        <v>149</v>
      </c>
      <c r="D409" s="376" t="s">
        <v>339</v>
      </c>
      <c r="E409" s="102">
        <v>80</v>
      </c>
      <c r="F409" s="128">
        <v>350</v>
      </c>
      <c r="G409" s="372">
        <f>F409*E409</f>
        <v>28000</v>
      </c>
      <c r="H409" s="438"/>
      <c r="I409" s="438"/>
      <c r="J409" s="438"/>
    </row>
    <row r="410" spans="1:10" x14ac:dyDescent="0.2">
      <c r="A410" s="29"/>
      <c r="B410" s="105"/>
      <c r="C410" s="371"/>
      <c r="D410" s="376" t="s">
        <v>301</v>
      </c>
      <c r="E410" s="102"/>
      <c r="F410" s="128"/>
      <c r="G410" s="372"/>
      <c r="H410" s="438"/>
      <c r="I410" s="438"/>
      <c r="J410" s="438"/>
    </row>
    <row r="411" spans="1:10" x14ac:dyDescent="0.2">
      <c r="A411" s="29"/>
      <c r="B411" s="105"/>
      <c r="C411" s="371"/>
      <c r="D411" s="376"/>
      <c r="E411" s="102"/>
      <c r="F411" s="128"/>
      <c r="G411" s="372"/>
      <c r="H411" s="438"/>
      <c r="I411" s="438"/>
      <c r="J411" s="438"/>
    </row>
    <row r="412" spans="1:10" x14ac:dyDescent="0.2">
      <c r="A412" s="29"/>
      <c r="B412" s="105"/>
      <c r="C412" s="371"/>
      <c r="D412" s="376"/>
      <c r="E412" s="102"/>
      <c r="F412" s="128"/>
      <c r="G412" s="372"/>
      <c r="H412" s="438"/>
      <c r="I412" s="438"/>
      <c r="J412" s="438"/>
    </row>
    <row r="413" spans="1:10" x14ac:dyDescent="0.2">
      <c r="A413" s="29"/>
      <c r="B413" s="151"/>
      <c r="C413" s="385"/>
      <c r="D413" s="376"/>
      <c r="E413" s="108"/>
      <c r="F413" s="264"/>
      <c r="G413" s="372"/>
      <c r="H413" s="438"/>
      <c r="I413" s="438"/>
      <c r="J413" s="438"/>
    </row>
    <row r="414" spans="1:10" x14ac:dyDescent="0.2">
      <c r="A414" s="29"/>
      <c r="B414" s="151"/>
      <c r="C414" s="119"/>
      <c r="D414" s="358"/>
      <c r="E414" s="108"/>
      <c r="F414" s="264"/>
      <c r="G414" s="372"/>
      <c r="H414" s="438"/>
      <c r="I414" s="438"/>
      <c r="J414" s="438"/>
    </row>
    <row r="415" spans="1:10" x14ac:dyDescent="0.2">
      <c r="A415" s="29"/>
      <c r="B415" s="101"/>
      <c r="C415" s="371"/>
      <c r="D415" s="383"/>
      <c r="E415" s="104"/>
      <c r="F415" s="69"/>
      <c r="G415" s="372"/>
      <c r="H415" s="438"/>
      <c r="I415" s="438"/>
      <c r="J415" s="438"/>
    </row>
    <row r="416" spans="1:10" x14ac:dyDescent="0.2">
      <c r="A416" s="29"/>
      <c r="B416" s="106"/>
      <c r="C416" s="41"/>
      <c r="D416" s="376"/>
      <c r="E416" s="104"/>
      <c r="F416" s="69"/>
      <c r="G416" s="372"/>
      <c r="H416" s="438"/>
      <c r="I416" s="438"/>
      <c r="J416" s="438"/>
    </row>
    <row r="417" spans="1:10" x14ac:dyDescent="0.2">
      <c r="A417" s="29"/>
      <c r="B417" s="105"/>
      <c r="C417" s="371"/>
      <c r="D417" s="376"/>
      <c r="E417" s="108"/>
      <c r="F417" s="265"/>
      <c r="G417" s="372"/>
      <c r="H417" s="438"/>
      <c r="I417" s="438"/>
      <c r="J417" s="438"/>
    </row>
    <row r="418" spans="1:10" x14ac:dyDescent="0.2">
      <c r="A418" s="29"/>
      <c r="B418" s="107"/>
      <c r="C418" s="41"/>
      <c r="D418" s="376"/>
      <c r="E418" s="153"/>
      <c r="F418" s="69"/>
      <c r="G418" s="372"/>
      <c r="H418" s="438"/>
      <c r="I418" s="438"/>
      <c r="J418" s="438"/>
    </row>
    <row r="419" spans="1:10" x14ac:dyDescent="0.2">
      <c r="A419" s="29"/>
      <c r="B419" s="107"/>
      <c r="C419" s="371"/>
      <c r="D419" s="384"/>
      <c r="E419" s="153"/>
      <c r="F419" s="69"/>
      <c r="G419" s="372"/>
      <c r="H419" s="438"/>
      <c r="I419" s="438"/>
      <c r="J419" s="438"/>
    </row>
    <row r="420" spans="1:10" x14ac:dyDescent="0.2">
      <c r="A420" s="29"/>
      <c r="B420" s="101"/>
      <c r="C420" s="41"/>
      <c r="D420" s="384"/>
      <c r="E420" s="108"/>
      <c r="F420" s="451"/>
      <c r="G420" s="372"/>
      <c r="H420" s="438"/>
      <c r="I420" s="438"/>
      <c r="J420" s="438"/>
    </row>
    <row r="421" spans="1:10" x14ac:dyDescent="0.2">
      <c r="A421" s="29"/>
      <c r="B421" s="101"/>
      <c r="C421" s="41"/>
      <c r="D421" s="358"/>
      <c r="E421" s="153"/>
      <c r="F421" s="69"/>
      <c r="G421" s="372"/>
      <c r="H421" s="438"/>
      <c r="I421" s="438"/>
      <c r="J421" s="438"/>
    </row>
    <row r="422" spans="1:10" x14ac:dyDescent="0.2">
      <c r="A422" s="29"/>
      <c r="B422" s="106"/>
      <c r="C422" s="371"/>
      <c r="D422" s="384"/>
      <c r="E422" s="104"/>
      <c r="F422" s="266"/>
      <c r="G422" s="372"/>
      <c r="H422" s="438"/>
      <c r="I422" s="438"/>
      <c r="J422" s="438"/>
    </row>
    <row r="423" spans="1:10" x14ac:dyDescent="0.2">
      <c r="A423" s="29"/>
      <c r="B423" s="105"/>
      <c r="C423" s="41"/>
      <c r="D423" s="419"/>
      <c r="E423" s="104"/>
      <c r="F423" s="266"/>
      <c r="G423" s="372"/>
      <c r="H423" s="438"/>
      <c r="I423" s="438"/>
      <c r="J423" s="438"/>
    </row>
    <row r="424" spans="1:10" x14ac:dyDescent="0.2">
      <c r="A424" s="29"/>
      <c r="B424" s="105"/>
      <c r="C424" s="371"/>
      <c r="D424" s="384"/>
      <c r="E424" s="104"/>
      <c r="F424" s="266"/>
      <c r="G424" s="372"/>
      <c r="H424" s="438"/>
      <c r="I424" s="438"/>
      <c r="J424" s="438"/>
    </row>
    <row r="425" spans="1:10" x14ac:dyDescent="0.2">
      <c r="A425" s="29"/>
      <c r="B425" s="101"/>
      <c r="C425" s="41"/>
      <c r="D425" s="384"/>
      <c r="E425" s="104"/>
      <c r="F425" s="266"/>
      <c r="G425" s="372"/>
      <c r="H425" s="438"/>
      <c r="I425" s="438"/>
      <c r="J425" s="438"/>
    </row>
    <row r="426" spans="1:10" x14ac:dyDescent="0.2">
      <c r="A426" s="29"/>
      <c r="B426" s="101"/>
      <c r="C426" s="371"/>
      <c r="D426" s="376"/>
      <c r="E426" s="104"/>
      <c r="F426" s="266"/>
      <c r="G426" s="372"/>
      <c r="H426" s="438"/>
      <c r="I426" s="438"/>
      <c r="J426" s="438"/>
    </row>
    <row r="427" spans="1:10" x14ac:dyDescent="0.2">
      <c r="A427" s="29"/>
      <c r="B427" s="101"/>
      <c r="C427" s="41"/>
      <c r="D427" s="376"/>
      <c r="E427" s="104"/>
      <c r="F427" s="266"/>
      <c r="G427" s="372"/>
      <c r="H427" s="438"/>
      <c r="I427" s="438"/>
      <c r="J427" s="438"/>
    </row>
    <row r="428" spans="1:10" x14ac:dyDescent="0.2">
      <c r="A428" s="29"/>
      <c r="B428" s="101"/>
      <c r="C428" s="41"/>
      <c r="D428" s="444"/>
      <c r="E428" s="104"/>
      <c r="F428" s="266"/>
      <c r="G428" s="372"/>
      <c r="H428" s="438"/>
      <c r="I428" s="438"/>
      <c r="J428" s="438"/>
    </row>
    <row r="429" spans="1:10" x14ac:dyDescent="0.2">
      <c r="A429" s="29"/>
      <c r="B429" s="101"/>
      <c r="C429" s="371"/>
      <c r="D429" s="384"/>
      <c r="E429" s="104"/>
      <c r="F429" s="266"/>
      <c r="G429" s="372"/>
      <c r="H429" s="438"/>
      <c r="I429" s="438"/>
      <c r="J429" s="438"/>
    </row>
    <row r="430" spans="1:10" x14ac:dyDescent="0.2">
      <c r="A430" s="29"/>
      <c r="B430" s="101"/>
      <c r="C430" s="41"/>
      <c r="D430" s="384"/>
      <c r="E430" s="104"/>
      <c r="F430" s="266"/>
      <c r="G430" s="372"/>
      <c r="H430" s="438"/>
      <c r="I430" s="438"/>
      <c r="J430" s="438"/>
    </row>
    <row r="431" spans="1:10" x14ac:dyDescent="0.2">
      <c r="A431" s="29"/>
      <c r="B431" s="101"/>
      <c r="C431" s="371"/>
      <c r="D431" s="384"/>
      <c r="E431" s="104"/>
      <c r="F431" s="266"/>
      <c r="G431" s="372"/>
      <c r="H431" s="438"/>
      <c r="I431" s="438"/>
      <c r="J431" s="438"/>
    </row>
    <row r="432" spans="1:10" x14ac:dyDescent="0.2">
      <c r="A432" s="29"/>
      <c r="B432" s="101"/>
      <c r="C432" s="41"/>
      <c r="D432" s="384"/>
      <c r="E432" s="104"/>
      <c r="F432" s="266"/>
      <c r="G432" s="372"/>
      <c r="H432" s="438"/>
      <c r="I432" s="438"/>
      <c r="J432" s="438"/>
    </row>
    <row r="433" spans="1:10" x14ac:dyDescent="0.2">
      <c r="A433" s="29"/>
      <c r="B433" s="101"/>
      <c r="C433" s="371"/>
      <c r="D433" s="376"/>
      <c r="E433" s="108"/>
      <c r="F433" s="69"/>
      <c r="G433" s="372"/>
      <c r="H433" s="438"/>
      <c r="I433" s="438"/>
      <c r="J433" s="438"/>
    </row>
    <row r="434" spans="1:10" x14ac:dyDescent="0.2">
      <c r="A434" s="29"/>
      <c r="B434" s="101"/>
      <c r="C434" s="41"/>
      <c r="D434" s="358"/>
      <c r="E434" s="153"/>
      <c r="F434" s="69"/>
      <c r="G434" s="372"/>
      <c r="H434" s="438"/>
      <c r="I434" s="438"/>
      <c r="J434" s="438"/>
    </row>
    <row r="435" spans="1:10" x14ac:dyDescent="0.2">
      <c r="A435" s="29"/>
      <c r="B435" s="101"/>
      <c r="C435" s="371"/>
      <c r="D435" s="419"/>
      <c r="E435" s="102"/>
      <c r="F435" s="69"/>
      <c r="G435" s="372"/>
      <c r="H435" s="438"/>
      <c r="I435" s="438"/>
      <c r="J435" s="438"/>
    </row>
    <row r="436" spans="1:10" x14ac:dyDescent="0.2">
      <c r="A436" s="29"/>
      <c r="B436" s="101"/>
      <c r="C436" s="31"/>
      <c r="D436" s="419"/>
      <c r="E436" s="131"/>
      <c r="F436" s="267"/>
      <c r="G436" s="372"/>
      <c r="H436" s="438"/>
      <c r="I436" s="438"/>
      <c r="J436" s="438"/>
    </row>
    <row r="437" spans="1:10" x14ac:dyDescent="0.2">
      <c r="A437" s="29"/>
      <c r="B437" s="101"/>
      <c r="C437" s="371"/>
      <c r="D437" s="425"/>
      <c r="E437" s="108"/>
      <c r="F437" s="263"/>
      <c r="G437" s="372"/>
      <c r="H437" s="438"/>
      <c r="I437" s="438"/>
      <c r="J437" s="438"/>
    </row>
    <row r="438" spans="1:10" x14ac:dyDescent="0.2">
      <c r="A438" s="29"/>
      <c r="B438" s="101"/>
      <c r="C438" s="41"/>
      <c r="D438" s="383"/>
      <c r="E438" s="108"/>
      <c r="F438" s="263"/>
      <c r="G438" s="372"/>
      <c r="H438" s="438"/>
      <c r="I438" s="438"/>
      <c r="J438" s="438"/>
    </row>
    <row r="439" spans="1:10" x14ac:dyDescent="0.2">
      <c r="A439" s="29"/>
      <c r="B439" s="101"/>
      <c r="C439" s="371"/>
      <c r="D439" s="383"/>
      <c r="E439" s="108"/>
      <c r="F439" s="149"/>
      <c r="G439" s="372"/>
      <c r="H439" s="438"/>
      <c r="I439" s="438"/>
      <c r="J439" s="438"/>
    </row>
    <row r="440" spans="1:10" x14ac:dyDescent="0.2">
      <c r="A440" s="61"/>
      <c r="B440" s="101"/>
      <c r="C440" s="41"/>
      <c r="D440" s="383"/>
      <c r="E440" s="108"/>
      <c r="F440" s="149"/>
      <c r="G440" s="372"/>
      <c r="H440" s="438"/>
      <c r="I440" s="438"/>
      <c r="J440" s="438"/>
    </row>
    <row r="441" spans="1:10" ht="13.5" thickBot="1" x14ac:dyDescent="0.25">
      <c r="A441" s="209"/>
      <c r="B441" s="132"/>
      <c r="C441" s="115"/>
      <c r="D441" s="115"/>
      <c r="E441" s="132"/>
      <c r="F441" s="49" t="s">
        <v>15</v>
      </c>
      <c r="G441" s="210">
        <f>SUM(G407:G440)</f>
        <v>44000</v>
      </c>
      <c r="H441" s="243"/>
      <c r="I441" s="243"/>
      <c r="J441" s="243"/>
    </row>
    <row r="442" spans="1:10" ht="13.5" thickTop="1" x14ac:dyDescent="0.2">
      <c r="A442" s="875" t="s">
        <v>1540</v>
      </c>
      <c r="B442" s="899"/>
      <c r="C442" s="899"/>
      <c r="D442" s="899"/>
      <c r="E442" s="899"/>
      <c r="F442" s="899"/>
      <c r="G442" s="900"/>
      <c r="H442" s="22"/>
      <c r="I442" s="22"/>
      <c r="J442" s="22"/>
    </row>
    <row r="443" spans="1:10" ht="13.5" thickBot="1" x14ac:dyDescent="0.25">
      <c r="A443" s="52"/>
      <c r="B443" s="103"/>
      <c r="C443" s="374" t="s">
        <v>1541</v>
      </c>
      <c r="D443" s="54"/>
      <c r="E443" s="103"/>
      <c r="F443" s="55"/>
      <c r="G443" s="56"/>
    </row>
    <row r="444" spans="1:10" ht="13.5" thickTop="1" x14ac:dyDescent="0.2">
      <c r="A444" s="906"/>
      <c r="B444" s="907"/>
      <c r="C444" s="907"/>
      <c r="D444" s="57" t="s">
        <v>11</v>
      </c>
      <c r="E444" s="908" t="s">
        <v>12</v>
      </c>
      <c r="F444" s="908"/>
      <c r="G444" s="909"/>
      <c r="H444" s="4"/>
      <c r="I444" s="4"/>
      <c r="J444" s="4"/>
    </row>
    <row r="445" spans="1:10" x14ac:dyDescent="0.2">
      <c r="A445" s="910" t="s">
        <v>17</v>
      </c>
      <c r="B445" s="911"/>
      <c r="C445" s="911"/>
      <c r="D445" s="39"/>
      <c r="E445" s="912"/>
      <c r="F445" s="913"/>
      <c r="G445" s="914"/>
      <c r="H445" s="176"/>
      <c r="I445" s="176"/>
      <c r="J445" s="176"/>
    </row>
    <row r="446" spans="1:10" x14ac:dyDescent="0.2">
      <c r="A446" s="910" t="s">
        <v>38</v>
      </c>
      <c r="B446" s="911"/>
      <c r="C446" s="911"/>
      <c r="D446" s="73" t="s">
        <v>891</v>
      </c>
      <c r="E446" s="868" t="s">
        <v>142</v>
      </c>
      <c r="F446" s="868"/>
      <c r="G446" s="869"/>
      <c r="H446" s="1"/>
      <c r="I446" s="1"/>
      <c r="J446" s="1"/>
    </row>
    <row r="447" spans="1:10" ht="13.5" thickBot="1" x14ac:dyDescent="0.25">
      <c r="A447" s="901" t="s">
        <v>39</v>
      </c>
      <c r="B447" s="902"/>
      <c r="C447" s="902"/>
      <c r="D447" s="91" t="s">
        <v>892</v>
      </c>
      <c r="E447" s="904" t="s">
        <v>0</v>
      </c>
      <c r="F447" s="904"/>
      <c r="G447" s="905"/>
      <c r="H447" s="4"/>
      <c r="I447" s="4"/>
      <c r="J447" s="4"/>
    </row>
    <row r="448" spans="1:10" ht="16.5" x14ac:dyDescent="0.25">
      <c r="A448" s="885" t="s">
        <v>29</v>
      </c>
      <c r="B448" s="886"/>
      <c r="C448" s="886"/>
      <c r="D448" s="886"/>
      <c r="E448" s="886"/>
      <c r="F448" s="886"/>
      <c r="G448" s="887"/>
      <c r="H448" s="247"/>
      <c r="I448" s="247"/>
      <c r="J448" s="247"/>
    </row>
    <row r="449" spans="1:10" x14ac:dyDescent="0.2">
      <c r="A449" s="888" t="s">
        <v>48</v>
      </c>
      <c r="B449" s="889"/>
      <c r="C449" s="889"/>
      <c r="D449" s="889"/>
      <c r="E449" s="889"/>
      <c r="F449" s="889"/>
      <c r="G449" s="890"/>
      <c r="H449" s="246"/>
      <c r="I449" s="246"/>
      <c r="J449" s="246"/>
    </row>
    <row r="450" spans="1:10" x14ac:dyDescent="0.2">
      <c r="A450" s="915" t="s">
        <v>49</v>
      </c>
      <c r="B450" s="916"/>
      <c r="C450" s="916"/>
      <c r="D450" s="916"/>
      <c r="E450" s="916"/>
      <c r="F450" s="916"/>
      <c r="G450" s="917"/>
      <c r="H450" s="4"/>
      <c r="I450" s="4"/>
      <c r="J450" s="4"/>
    </row>
    <row r="451" spans="1:10" x14ac:dyDescent="0.2">
      <c r="A451" s="6"/>
      <c r="B451" s="99"/>
      <c r="C451" s="8"/>
      <c r="D451" s="9"/>
      <c r="E451" s="99"/>
      <c r="F451" s="10"/>
      <c r="G451" s="11" t="s">
        <v>20</v>
      </c>
      <c r="H451" s="248"/>
      <c r="I451" s="248"/>
      <c r="J451" s="248"/>
    </row>
    <row r="452" spans="1:10" x14ac:dyDescent="0.2">
      <c r="A452" s="12" t="s">
        <v>1</v>
      </c>
      <c r="B452" s="13"/>
      <c r="C452" s="14" t="s">
        <v>36</v>
      </c>
      <c r="D452" s="13"/>
      <c r="E452" s="362" t="s">
        <v>1792</v>
      </c>
      <c r="F452" s="98"/>
      <c r="G452" s="363" t="s">
        <v>1781</v>
      </c>
      <c r="H452" s="430"/>
      <c r="I452" s="430"/>
      <c r="J452" s="430"/>
    </row>
    <row r="453" spans="1:10" x14ac:dyDescent="0.2">
      <c r="A453" s="17" t="s">
        <v>8</v>
      </c>
      <c r="B453" s="100"/>
      <c r="C453" s="19"/>
      <c r="D453" s="4"/>
      <c r="E453" s="918"/>
      <c r="F453" s="919"/>
      <c r="G453" s="20"/>
    </row>
    <row r="454" spans="1:10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10" x14ac:dyDescent="0.2">
      <c r="A455" s="6"/>
      <c r="B455" s="99"/>
      <c r="C455" s="8"/>
      <c r="D455" s="8"/>
      <c r="E455" s="920"/>
      <c r="F455" s="921"/>
      <c r="G455" s="25"/>
    </row>
    <row r="456" spans="1:10" ht="26.25" thickBot="1" x14ac:dyDescent="0.25">
      <c r="A456" s="207" t="s">
        <v>47</v>
      </c>
      <c r="B456" s="28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  <c r="H456" s="249"/>
      <c r="I456" s="249"/>
      <c r="J456" s="249"/>
    </row>
    <row r="457" spans="1:10" ht="13.5" thickTop="1" x14ac:dyDescent="0.2">
      <c r="A457" s="29">
        <v>1</v>
      </c>
      <c r="B457" s="101"/>
      <c r="C457" s="371" t="s">
        <v>149</v>
      </c>
      <c r="D457" s="370" t="s">
        <v>1574</v>
      </c>
      <c r="E457" s="108">
        <v>40</v>
      </c>
      <c r="F457" s="149">
        <v>200</v>
      </c>
      <c r="G457" s="35">
        <f>F457*E457</f>
        <v>8000</v>
      </c>
      <c r="H457" s="212"/>
      <c r="I457" s="212"/>
      <c r="J457" s="212"/>
    </row>
    <row r="458" spans="1:10" x14ac:dyDescent="0.2">
      <c r="A458" s="29">
        <v>2</v>
      </c>
      <c r="B458" s="105"/>
      <c r="C458" s="371" t="s">
        <v>149</v>
      </c>
      <c r="D458" s="376" t="s">
        <v>339</v>
      </c>
      <c r="E458" s="102">
        <v>40</v>
      </c>
      <c r="F458" s="128">
        <v>350</v>
      </c>
      <c r="G458" s="372">
        <f>F458*E458</f>
        <v>14000</v>
      </c>
      <c r="H458" s="438"/>
      <c r="I458" s="438"/>
      <c r="J458" s="438"/>
    </row>
    <row r="459" spans="1:10" x14ac:dyDescent="0.2">
      <c r="A459" s="29"/>
      <c r="B459" s="105"/>
      <c r="C459" s="371"/>
      <c r="D459" s="376" t="s">
        <v>301</v>
      </c>
      <c r="E459" s="102"/>
      <c r="F459" s="128"/>
      <c r="G459" s="372"/>
      <c r="H459" s="438"/>
      <c r="I459" s="438"/>
      <c r="J459" s="438"/>
    </row>
    <row r="460" spans="1:10" x14ac:dyDescent="0.2">
      <c r="A460" s="29"/>
      <c r="B460" s="105"/>
      <c r="C460" s="371"/>
      <c r="D460" s="376"/>
      <c r="E460" s="102"/>
      <c r="F460" s="128"/>
      <c r="G460" s="372"/>
      <c r="H460" s="438"/>
      <c r="I460" s="438"/>
      <c r="J460" s="438"/>
    </row>
    <row r="461" spans="1:10" x14ac:dyDescent="0.2">
      <c r="A461" s="29"/>
      <c r="B461" s="105"/>
      <c r="C461" s="371"/>
      <c r="D461" s="376"/>
      <c r="E461" s="102"/>
      <c r="F461" s="128"/>
      <c r="G461" s="372"/>
      <c r="H461" s="438"/>
      <c r="I461" s="438"/>
      <c r="J461" s="438"/>
    </row>
    <row r="462" spans="1:10" x14ac:dyDescent="0.2">
      <c r="A462" s="29"/>
      <c r="B462" s="151"/>
      <c r="C462" s="385"/>
      <c r="D462" s="376"/>
      <c r="E462" s="108"/>
      <c r="F462" s="264"/>
      <c r="G462" s="372"/>
      <c r="H462" s="438"/>
      <c r="I462" s="438"/>
      <c r="J462" s="438"/>
    </row>
    <row r="463" spans="1:10" x14ac:dyDescent="0.2">
      <c r="A463" s="29"/>
      <c r="B463" s="151"/>
      <c r="C463" s="119"/>
      <c r="D463" s="358"/>
      <c r="E463" s="108"/>
      <c r="F463" s="264"/>
      <c r="G463" s="372"/>
      <c r="H463" s="438"/>
      <c r="I463" s="438"/>
      <c r="J463" s="438"/>
    </row>
    <row r="464" spans="1:10" x14ac:dyDescent="0.2">
      <c r="A464" s="29"/>
      <c r="B464" s="101"/>
      <c r="C464" s="371"/>
      <c r="D464" s="383"/>
      <c r="E464" s="104"/>
      <c r="F464" s="69"/>
      <c r="G464" s="372"/>
      <c r="H464" s="438"/>
      <c r="I464" s="438"/>
      <c r="J464" s="438"/>
    </row>
    <row r="465" spans="1:10" x14ac:dyDescent="0.2">
      <c r="A465" s="29"/>
      <c r="B465" s="106"/>
      <c r="C465" s="41"/>
      <c r="D465" s="376"/>
      <c r="E465" s="104"/>
      <c r="F465" s="69"/>
      <c r="G465" s="372"/>
      <c r="H465" s="438"/>
      <c r="I465" s="438"/>
      <c r="J465" s="438"/>
    </row>
    <row r="466" spans="1:10" x14ac:dyDescent="0.2">
      <c r="A466" s="29"/>
      <c r="B466" s="105"/>
      <c r="C466" s="371"/>
      <c r="D466" s="376"/>
      <c r="E466" s="108"/>
      <c r="F466" s="265"/>
      <c r="G466" s="372"/>
      <c r="H466" s="438"/>
      <c r="I466" s="438"/>
      <c r="J466" s="438"/>
    </row>
    <row r="467" spans="1:10" x14ac:dyDescent="0.2">
      <c r="A467" s="29"/>
      <c r="B467" s="107"/>
      <c r="C467" s="41"/>
      <c r="D467" s="376"/>
      <c r="E467" s="153"/>
      <c r="F467" s="69"/>
      <c r="G467" s="372"/>
      <c r="H467" s="438"/>
      <c r="I467" s="438"/>
      <c r="J467" s="438"/>
    </row>
    <row r="468" spans="1:10" x14ac:dyDescent="0.2">
      <c r="A468" s="29"/>
      <c r="B468" s="107"/>
      <c r="C468" s="371"/>
      <c r="D468" s="384"/>
      <c r="E468" s="153"/>
      <c r="F468" s="69"/>
      <c r="G468" s="372"/>
      <c r="H468" s="438"/>
      <c r="I468" s="438"/>
      <c r="J468" s="438"/>
    </row>
    <row r="469" spans="1:10" x14ac:dyDescent="0.2">
      <c r="A469" s="29"/>
      <c r="B469" s="101"/>
      <c r="C469" s="41"/>
      <c r="D469" s="384"/>
      <c r="E469" s="108"/>
      <c r="F469" s="451"/>
      <c r="G469" s="372"/>
      <c r="H469" s="438"/>
      <c r="I469" s="438"/>
      <c r="J469" s="438"/>
    </row>
    <row r="470" spans="1:10" x14ac:dyDescent="0.2">
      <c r="A470" s="29"/>
      <c r="B470" s="101"/>
      <c r="C470" s="41"/>
      <c r="D470" s="358"/>
      <c r="E470" s="153"/>
      <c r="F470" s="69"/>
      <c r="G470" s="372"/>
      <c r="H470" s="438"/>
      <c r="I470" s="438"/>
      <c r="J470" s="438"/>
    </row>
    <row r="471" spans="1:10" x14ac:dyDescent="0.2">
      <c r="A471" s="29"/>
      <c r="B471" s="106"/>
      <c r="C471" s="371"/>
      <c r="D471" s="384"/>
      <c r="E471" s="104"/>
      <c r="F471" s="266"/>
      <c r="G471" s="372"/>
      <c r="H471" s="438"/>
      <c r="I471" s="438"/>
      <c r="J471" s="438"/>
    </row>
    <row r="472" spans="1:10" x14ac:dyDescent="0.2">
      <c r="A472" s="29"/>
      <c r="B472" s="105"/>
      <c r="C472" s="41"/>
      <c r="D472" s="419"/>
      <c r="E472" s="104"/>
      <c r="F472" s="266"/>
      <c r="G472" s="372"/>
      <c r="H472" s="438"/>
      <c r="I472" s="438"/>
      <c r="J472" s="438"/>
    </row>
    <row r="473" spans="1:10" x14ac:dyDescent="0.2">
      <c r="A473" s="29"/>
      <c r="B473" s="105"/>
      <c r="C473" s="371"/>
      <c r="D473" s="384"/>
      <c r="E473" s="104"/>
      <c r="F473" s="266"/>
      <c r="G473" s="372"/>
      <c r="H473" s="438"/>
      <c r="I473" s="438"/>
      <c r="J473" s="438"/>
    </row>
    <row r="474" spans="1:10" x14ac:dyDescent="0.2">
      <c r="A474" s="29"/>
      <c r="B474" s="101"/>
      <c r="C474" s="41"/>
      <c r="D474" s="384"/>
      <c r="E474" s="104"/>
      <c r="F474" s="266"/>
      <c r="G474" s="372"/>
      <c r="H474" s="438"/>
      <c r="I474" s="438"/>
      <c r="J474" s="438"/>
    </row>
    <row r="475" spans="1:10" x14ac:dyDescent="0.2">
      <c r="A475" s="29"/>
      <c r="B475" s="101"/>
      <c r="C475" s="371"/>
      <c r="D475" s="376"/>
      <c r="E475" s="104"/>
      <c r="F475" s="266"/>
      <c r="G475" s="372"/>
      <c r="H475" s="438"/>
      <c r="I475" s="438"/>
      <c r="J475" s="438"/>
    </row>
    <row r="476" spans="1:10" x14ac:dyDescent="0.2">
      <c r="A476" s="29"/>
      <c r="B476" s="101"/>
      <c r="C476" s="41"/>
      <c r="D476" s="376"/>
      <c r="E476" s="104"/>
      <c r="F476" s="266"/>
      <c r="G476" s="372"/>
      <c r="H476" s="438"/>
      <c r="I476" s="438"/>
      <c r="J476" s="438"/>
    </row>
    <row r="477" spans="1:10" x14ac:dyDescent="0.2">
      <c r="A477" s="29"/>
      <c r="B477" s="101"/>
      <c r="C477" s="41"/>
      <c r="D477" s="444"/>
      <c r="E477" s="104"/>
      <c r="F477" s="266"/>
      <c r="G477" s="372"/>
      <c r="H477" s="438"/>
      <c r="I477" s="438"/>
      <c r="J477" s="438"/>
    </row>
    <row r="478" spans="1:10" x14ac:dyDescent="0.2">
      <c r="A478" s="29"/>
      <c r="B478" s="101"/>
      <c r="C478" s="371"/>
      <c r="D478" s="384"/>
      <c r="E478" s="104"/>
      <c r="F478" s="266"/>
      <c r="G478" s="372"/>
      <c r="H478" s="438"/>
      <c r="I478" s="438"/>
      <c r="J478" s="438"/>
    </row>
    <row r="479" spans="1:10" x14ac:dyDescent="0.2">
      <c r="A479" s="29"/>
      <c r="B479" s="101"/>
      <c r="C479" s="41"/>
      <c r="D479" s="384"/>
      <c r="E479" s="104"/>
      <c r="F479" s="266"/>
      <c r="G479" s="372"/>
      <c r="H479" s="438"/>
      <c r="I479" s="438"/>
      <c r="J479" s="438"/>
    </row>
    <row r="480" spans="1:10" x14ac:dyDescent="0.2">
      <c r="A480" s="29"/>
      <c r="B480" s="101"/>
      <c r="C480" s="371"/>
      <c r="D480" s="384"/>
      <c r="E480" s="104"/>
      <c r="F480" s="266"/>
      <c r="G480" s="372"/>
      <c r="H480" s="438"/>
      <c r="I480" s="438"/>
      <c r="J480" s="438"/>
    </row>
    <row r="481" spans="1:10" x14ac:dyDescent="0.2">
      <c r="A481" s="29"/>
      <c r="B481" s="101"/>
      <c r="C481" s="41"/>
      <c r="D481" s="384"/>
      <c r="E481" s="104"/>
      <c r="F481" s="266"/>
      <c r="G481" s="372"/>
      <c r="H481" s="438"/>
      <c r="I481" s="438"/>
      <c r="J481" s="438"/>
    </row>
    <row r="482" spans="1:10" x14ac:dyDescent="0.2">
      <c r="A482" s="29"/>
      <c r="B482" s="101"/>
      <c r="C482" s="371"/>
      <c r="D482" s="376"/>
      <c r="E482" s="108"/>
      <c r="F482" s="69"/>
      <c r="G482" s="372"/>
      <c r="H482" s="438"/>
      <c r="I482" s="438"/>
      <c r="J482" s="438"/>
    </row>
    <row r="483" spans="1:10" x14ac:dyDescent="0.2">
      <c r="A483" s="29"/>
      <c r="B483" s="101"/>
      <c r="C483" s="41"/>
      <c r="D483" s="358"/>
      <c r="E483" s="153"/>
      <c r="F483" s="69"/>
      <c r="G483" s="372"/>
      <c r="H483" s="438"/>
      <c r="I483" s="438"/>
      <c r="J483" s="438"/>
    </row>
    <row r="484" spans="1:10" x14ac:dyDescent="0.2">
      <c r="A484" s="29"/>
      <c r="B484" s="101"/>
      <c r="C484" s="371"/>
      <c r="D484" s="419"/>
      <c r="E484" s="102"/>
      <c r="F484" s="69"/>
      <c r="G484" s="372"/>
      <c r="H484" s="438"/>
      <c r="I484" s="438"/>
      <c r="J484" s="438"/>
    </row>
    <row r="485" spans="1:10" x14ac:dyDescent="0.2">
      <c r="A485" s="29"/>
      <c r="B485" s="101"/>
      <c r="C485" s="31"/>
      <c r="D485" s="419"/>
      <c r="E485" s="131"/>
      <c r="F485" s="267"/>
      <c r="G485" s="372"/>
      <c r="H485" s="438"/>
      <c r="I485" s="438"/>
      <c r="J485" s="438"/>
    </row>
    <row r="486" spans="1:10" x14ac:dyDescent="0.2">
      <c r="A486" s="29"/>
      <c r="B486" s="101"/>
      <c r="C486" s="371"/>
      <c r="D486" s="425"/>
      <c r="E486" s="108"/>
      <c r="F486" s="263"/>
      <c r="G486" s="372"/>
      <c r="H486" s="438"/>
      <c r="I486" s="438"/>
      <c r="J486" s="438"/>
    </row>
    <row r="487" spans="1:10" x14ac:dyDescent="0.2">
      <c r="A487" s="29"/>
      <c r="B487" s="101"/>
      <c r="C487" s="41"/>
      <c r="D487" s="383"/>
      <c r="E487" s="108"/>
      <c r="F487" s="263"/>
      <c r="G487" s="372"/>
      <c r="H487" s="438"/>
      <c r="I487" s="438"/>
      <c r="J487" s="438"/>
    </row>
    <row r="488" spans="1:10" x14ac:dyDescent="0.2">
      <c r="A488" s="29"/>
      <c r="B488" s="101"/>
      <c r="C488" s="371"/>
      <c r="D488" s="383"/>
      <c r="E488" s="108"/>
      <c r="F488" s="149"/>
      <c r="G488" s="372"/>
      <c r="H488" s="438"/>
      <c r="I488" s="438"/>
      <c r="J488" s="438"/>
    </row>
    <row r="489" spans="1:10" x14ac:dyDescent="0.2">
      <c r="A489" s="61"/>
      <c r="B489" s="101"/>
      <c r="C489" s="41"/>
      <c r="D489" s="383"/>
      <c r="E489" s="108"/>
      <c r="F489" s="149"/>
      <c r="G489" s="372"/>
      <c r="H489" s="438"/>
      <c r="I489" s="438"/>
      <c r="J489" s="438"/>
    </row>
    <row r="490" spans="1:10" ht="13.5" thickBot="1" x14ac:dyDescent="0.25">
      <c r="A490" s="209"/>
      <c r="B490" s="132"/>
      <c r="C490" s="115"/>
      <c r="D490" s="115"/>
      <c r="E490" s="132"/>
      <c r="F490" s="49" t="s">
        <v>15</v>
      </c>
      <c r="G490" s="210">
        <f>SUM(G457:G489)</f>
        <v>22000</v>
      </c>
      <c r="H490" s="243"/>
      <c r="I490" s="243"/>
      <c r="J490" s="243"/>
    </row>
    <row r="491" spans="1:10" ht="13.5" thickTop="1" x14ac:dyDescent="0.2">
      <c r="A491" s="875" t="s">
        <v>1575</v>
      </c>
      <c r="B491" s="899"/>
      <c r="C491" s="899"/>
      <c r="D491" s="899"/>
      <c r="E491" s="899"/>
      <c r="F491" s="899"/>
      <c r="G491" s="900"/>
      <c r="H491" s="22"/>
      <c r="I491" s="22"/>
      <c r="J491" s="22"/>
    </row>
    <row r="492" spans="1:10" ht="13.5" thickBot="1" x14ac:dyDescent="0.25">
      <c r="A492" s="52"/>
      <c r="B492" s="103"/>
      <c r="C492" s="374" t="s">
        <v>1576</v>
      </c>
      <c r="D492" s="54"/>
      <c r="E492" s="103"/>
      <c r="F492" s="55"/>
      <c r="G492" s="56"/>
    </row>
    <row r="493" spans="1:10" ht="13.5" thickTop="1" x14ac:dyDescent="0.2">
      <c r="A493" s="906"/>
      <c r="B493" s="907"/>
      <c r="C493" s="907"/>
      <c r="D493" s="57" t="s">
        <v>11</v>
      </c>
      <c r="E493" s="908" t="s">
        <v>12</v>
      </c>
      <c r="F493" s="908"/>
      <c r="G493" s="909"/>
      <c r="H493" s="4"/>
      <c r="I493" s="4"/>
      <c r="J493" s="4"/>
    </row>
    <row r="494" spans="1:10" x14ac:dyDescent="0.2">
      <c r="A494" s="910" t="s">
        <v>17</v>
      </c>
      <c r="B494" s="911"/>
      <c r="C494" s="911"/>
      <c r="D494" s="39"/>
      <c r="E494" s="912"/>
      <c r="F494" s="913"/>
      <c r="G494" s="914"/>
      <c r="H494" s="176"/>
      <c r="I494" s="176"/>
      <c r="J494" s="176"/>
    </row>
    <row r="495" spans="1:10" x14ac:dyDescent="0.2">
      <c r="A495" s="910" t="s">
        <v>38</v>
      </c>
      <c r="B495" s="911"/>
      <c r="C495" s="911"/>
      <c r="D495" s="73" t="s">
        <v>891</v>
      </c>
      <c r="E495" s="868" t="s">
        <v>142</v>
      </c>
      <c r="F495" s="868"/>
      <c r="G495" s="869"/>
      <c r="H495" s="1"/>
      <c r="I495" s="1"/>
      <c r="J495" s="1"/>
    </row>
    <row r="496" spans="1:10" ht="13.5" thickBot="1" x14ac:dyDescent="0.25">
      <c r="A496" s="901" t="s">
        <v>39</v>
      </c>
      <c r="B496" s="902"/>
      <c r="C496" s="902"/>
      <c r="D496" s="91" t="s">
        <v>892</v>
      </c>
      <c r="E496" s="904" t="s">
        <v>0</v>
      </c>
      <c r="F496" s="904"/>
      <c r="G496" s="905"/>
      <c r="H496" s="4"/>
      <c r="I496" s="4"/>
      <c r="J496" s="4"/>
    </row>
    <row r="497" spans="1:10" ht="16.5" x14ac:dyDescent="0.25">
      <c r="A497" s="885" t="s">
        <v>29</v>
      </c>
      <c r="B497" s="886"/>
      <c r="C497" s="886"/>
      <c r="D497" s="886"/>
      <c r="E497" s="886"/>
      <c r="F497" s="886"/>
      <c r="G497" s="887"/>
      <c r="H497" s="247"/>
      <c r="I497" s="247"/>
      <c r="J497" s="247"/>
    </row>
    <row r="498" spans="1:10" x14ac:dyDescent="0.2">
      <c r="A498" s="888" t="s">
        <v>48</v>
      </c>
      <c r="B498" s="889"/>
      <c r="C498" s="889"/>
      <c r="D498" s="889"/>
      <c r="E498" s="889"/>
      <c r="F498" s="889"/>
      <c r="G498" s="890"/>
      <c r="H498" s="246"/>
      <c r="I498" s="246"/>
      <c r="J498" s="246"/>
    </row>
    <row r="499" spans="1:10" x14ac:dyDescent="0.2">
      <c r="A499" s="915" t="s">
        <v>49</v>
      </c>
      <c r="B499" s="916"/>
      <c r="C499" s="916"/>
      <c r="D499" s="916"/>
      <c r="E499" s="916"/>
      <c r="F499" s="916"/>
      <c r="G499" s="917"/>
      <c r="H499" s="4"/>
      <c r="I499" s="4"/>
      <c r="J499" s="4"/>
    </row>
    <row r="500" spans="1:10" x14ac:dyDescent="0.2">
      <c r="A500" s="6"/>
      <c r="B500" s="99"/>
      <c r="C500" s="8"/>
      <c r="D500" s="9"/>
      <c r="E500" s="99"/>
      <c r="F500" s="10"/>
      <c r="G500" s="11" t="s">
        <v>20</v>
      </c>
      <c r="H500" s="248"/>
      <c r="I500" s="248"/>
      <c r="J500" s="248"/>
    </row>
    <row r="501" spans="1:10" x14ac:dyDescent="0.2">
      <c r="A501" s="12" t="s">
        <v>1</v>
      </c>
      <c r="B501" s="13"/>
      <c r="C501" s="14" t="s">
        <v>36</v>
      </c>
      <c r="D501" s="13"/>
      <c r="E501" s="362" t="s">
        <v>1793</v>
      </c>
      <c r="F501" s="98"/>
      <c r="G501" s="363" t="s">
        <v>1781</v>
      </c>
      <c r="H501" s="430"/>
      <c r="I501" s="430"/>
      <c r="J501" s="430"/>
    </row>
    <row r="502" spans="1:10" x14ac:dyDescent="0.2">
      <c r="A502" s="17" t="s">
        <v>8</v>
      </c>
      <c r="B502" s="100"/>
      <c r="C502" s="19"/>
      <c r="D502" s="4"/>
      <c r="E502" s="918"/>
      <c r="F502" s="919"/>
      <c r="G502" s="20"/>
    </row>
    <row r="503" spans="1:10" x14ac:dyDescent="0.2">
      <c r="A503" s="21" t="s">
        <v>37</v>
      </c>
      <c r="B503" s="22"/>
      <c r="C503" s="22"/>
      <c r="D503" s="22"/>
      <c r="E503" s="23" t="s">
        <v>46</v>
      </c>
      <c r="F503" s="24"/>
      <c r="G503" s="20" t="s">
        <v>50</v>
      </c>
    </row>
    <row r="504" spans="1:10" x14ac:dyDescent="0.2">
      <c r="A504" s="6"/>
      <c r="B504" s="99"/>
      <c r="C504" s="8"/>
      <c r="D504" s="8"/>
      <c r="E504" s="920"/>
      <c r="F504" s="921"/>
      <c r="G504" s="25"/>
    </row>
    <row r="505" spans="1:10" ht="26.25" thickBot="1" x14ac:dyDescent="0.25">
      <c r="A505" s="207" t="s">
        <v>47</v>
      </c>
      <c r="B505" s="28" t="s">
        <v>23</v>
      </c>
      <c r="C505" s="28" t="s">
        <v>34</v>
      </c>
      <c r="D505" s="110" t="s">
        <v>53</v>
      </c>
      <c r="E505" s="114" t="s">
        <v>54</v>
      </c>
      <c r="F505" s="111" t="s">
        <v>55</v>
      </c>
      <c r="G505" s="112" t="s">
        <v>35</v>
      </c>
      <c r="H505" s="249"/>
      <c r="I505" s="249"/>
      <c r="J505" s="249"/>
    </row>
    <row r="506" spans="1:10" ht="13.5" thickTop="1" x14ac:dyDescent="0.2">
      <c r="A506" s="29">
        <v>1</v>
      </c>
      <c r="B506" s="101"/>
      <c r="C506" s="371" t="s">
        <v>149</v>
      </c>
      <c r="D506" s="370" t="s">
        <v>1275</v>
      </c>
      <c r="E506" s="108">
        <v>50</v>
      </c>
      <c r="F506" s="149">
        <v>200</v>
      </c>
      <c r="G506" s="35">
        <f>F506*E506</f>
        <v>10000</v>
      </c>
      <c r="H506" s="212"/>
      <c r="I506" s="212"/>
      <c r="J506" s="212"/>
    </row>
    <row r="507" spans="1:10" x14ac:dyDescent="0.2">
      <c r="A507" s="29"/>
      <c r="B507" s="101"/>
      <c r="C507" s="371"/>
      <c r="D507" s="370" t="s">
        <v>1423</v>
      </c>
      <c r="E507" s="108"/>
      <c r="F507" s="149"/>
      <c r="G507" s="35"/>
      <c r="H507" s="212"/>
      <c r="I507" s="212"/>
      <c r="J507" s="212"/>
    </row>
    <row r="508" spans="1:10" x14ac:dyDescent="0.2">
      <c r="A508" s="29">
        <v>2</v>
      </c>
      <c r="B508" s="105"/>
      <c r="C508" s="371" t="s">
        <v>149</v>
      </c>
      <c r="D508" s="376" t="s">
        <v>339</v>
      </c>
      <c r="E508" s="102">
        <v>50</v>
      </c>
      <c r="F508" s="128">
        <v>350</v>
      </c>
      <c r="G508" s="372">
        <f>F508*E508</f>
        <v>17500</v>
      </c>
      <c r="H508" s="438"/>
      <c r="I508" s="438"/>
      <c r="J508" s="438"/>
    </row>
    <row r="509" spans="1:10" x14ac:dyDescent="0.2">
      <c r="A509" s="29"/>
      <c r="B509" s="105"/>
      <c r="C509" s="371"/>
      <c r="D509" s="376" t="s">
        <v>301</v>
      </c>
      <c r="E509" s="102"/>
      <c r="F509" s="128"/>
      <c r="G509" s="372"/>
      <c r="H509" s="438"/>
      <c r="I509" s="438"/>
      <c r="J509" s="438"/>
    </row>
    <row r="510" spans="1:10" x14ac:dyDescent="0.2">
      <c r="A510" s="29"/>
      <c r="B510" s="105"/>
      <c r="C510" s="371"/>
      <c r="D510" s="376"/>
      <c r="E510" s="102"/>
      <c r="F510" s="128"/>
      <c r="G510" s="372"/>
      <c r="H510" s="438"/>
      <c r="I510" s="438"/>
      <c r="J510" s="438"/>
    </row>
    <row r="511" spans="1:10" x14ac:dyDescent="0.2">
      <c r="A511" s="29"/>
      <c r="B511" s="105"/>
      <c r="C511" s="371"/>
      <c r="D511" s="376"/>
      <c r="E511" s="102"/>
      <c r="F511" s="128"/>
      <c r="G511" s="372"/>
      <c r="H511" s="438"/>
      <c r="I511" s="438"/>
      <c r="J511" s="438"/>
    </row>
    <row r="512" spans="1:10" x14ac:dyDescent="0.2">
      <c r="A512" s="29"/>
      <c r="B512" s="151"/>
      <c r="C512" s="119"/>
      <c r="D512" s="358"/>
      <c r="E512" s="108"/>
      <c r="F512" s="264"/>
      <c r="G512" s="372"/>
      <c r="H512" s="438"/>
      <c r="I512" s="438"/>
      <c r="J512" s="438"/>
    </row>
    <row r="513" spans="1:10" x14ac:dyDescent="0.2">
      <c r="A513" s="29"/>
      <c r="B513" s="101"/>
      <c r="C513" s="371"/>
      <c r="D513" s="383"/>
      <c r="E513" s="104"/>
      <c r="F513" s="69"/>
      <c r="G513" s="372"/>
      <c r="H513" s="438"/>
      <c r="I513" s="438"/>
      <c r="J513" s="438"/>
    </row>
    <row r="514" spans="1:10" x14ac:dyDescent="0.2">
      <c r="A514" s="29"/>
      <c r="B514" s="106"/>
      <c r="C514" s="41"/>
      <c r="D514" s="376"/>
      <c r="E514" s="104"/>
      <c r="F514" s="69"/>
      <c r="G514" s="372"/>
      <c r="H514" s="438"/>
      <c r="I514" s="438"/>
      <c r="J514" s="438"/>
    </row>
    <row r="515" spans="1:10" x14ac:dyDescent="0.2">
      <c r="A515" s="29"/>
      <c r="B515" s="105"/>
      <c r="C515" s="371"/>
      <c r="D515" s="376"/>
      <c r="E515" s="108"/>
      <c r="F515" s="265"/>
      <c r="G515" s="372"/>
      <c r="H515" s="438"/>
      <c r="I515" s="438"/>
      <c r="J515" s="438"/>
    </row>
    <row r="516" spans="1:10" x14ac:dyDescent="0.2">
      <c r="A516" s="29"/>
      <c r="B516" s="107"/>
      <c r="C516" s="41"/>
      <c r="D516" s="376"/>
      <c r="E516" s="153"/>
      <c r="F516" s="69"/>
      <c r="G516" s="372"/>
      <c r="H516" s="438"/>
      <c r="I516" s="438"/>
      <c r="J516" s="438"/>
    </row>
    <row r="517" spans="1:10" x14ac:dyDescent="0.2">
      <c r="A517" s="29"/>
      <c r="B517" s="107"/>
      <c r="C517" s="371"/>
      <c r="D517" s="384"/>
      <c r="E517" s="153"/>
      <c r="F517" s="69"/>
      <c r="G517" s="372"/>
      <c r="H517" s="438"/>
      <c r="I517" s="438"/>
      <c r="J517" s="438"/>
    </row>
    <row r="518" spans="1:10" x14ac:dyDescent="0.2">
      <c r="A518" s="29"/>
      <c r="B518" s="101"/>
      <c r="C518" s="41"/>
      <c r="D518" s="384"/>
      <c r="E518" s="108"/>
      <c r="F518" s="451"/>
      <c r="G518" s="372"/>
      <c r="H518" s="438"/>
      <c r="I518" s="438"/>
      <c r="J518" s="438"/>
    </row>
    <row r="519" spans="1:10" x14ac:dyDescent="0.2">
      <c r="A519" s="29"/>
      <c r="B519" s="101"/>
      <c r="C519" s="41"/>
      <c r="D519" s="358"/>
      <c r="E519" s="153"/>
      <c r="F519" s="69"/>
      <c r="G519" s="372"/>
      <c r="H519" s="438"/>
      <c r="I519" s="438"/>
      <c r="J519" s="438"/>
    </row>
    <row r="520" spans="1:10" x14ac:dyDescent="0.2">
      <c r="A520" s="29"/>
      <c r="B520" s="106"/>
      <c r="C520" s="371"/>
      <c r="D520" s="384"/>
      <c r="E520" s="104"/>
      <c r="F520" s="266"/>
      <c r="G520" s="372"/>
      <c r="H520" s="438"/>
      <c r="I520" s="438"/>
      <c r="J520" s="438"/>
    </row>
    <row r="521" spans="1:10" x14ac:dyDescent="0.2">
      <c r="A521" s="29"/>
      <c r="B521" s="105"/>
      <c r="C521" s="41"/>
      <c r="D521" s="419"/>
      <c r="E521" s="104"/>
      <c r="F521" s="266"/>
      <c r="G521" s="372"/>
      <c r="H521" s="438"/>
      <c r="I521" s="438"/>
      <c r="J521" s="438"/>
    </row>
    <row r="522" spans="1:10" x14ac:dyDescent="0.2">
      <c r="A522" s="29"/>
      <c r="B522" s="105"/>
      <c r="C522" s="371"/>
      <c r="D522" s="384"/>
      <c r="E522" s="104"/>
      <c r="F522" s="266"/>
      <c r="G522" s="372"/>
      <c r="H522" s="438"/>
      <c r="I522" s="438"/>
      <c r="J522" s="438"/>
    </row>
    <row r="523" spans="1:10" x14ac:dyDescent="0.2">
      <c r="A523" s="29"/>
      <c r="B523" s="101"/>
      <c r="C523" s="41"/>
      <c r="D523" s="384"/>
      <c r="E523" s="104"/>
      <c r="F523" s="266"/>
      <c r="G523" s="372"/>
      <c r="H523" s="438"/>
      <c r="I523" s="438"/>
      <c r="J523" s="438"/>
    </row>
    <row r="524" spans="1:10" x14ac:dyDescent="0.2">
      <c r="A524" s="29"/>
      <c r="B524" s="101"/>
      <c r="C524" s="371"/>
      <c r="D524" s="376"/>
      <c r="E524" s="104"/>
      <c r="F524" s="266"/>
      <c r="G524" s="372"/>
      <c r="H524" s="438"/>
      <c r="I524" s="438"/>
      <c r="J524" s="438"/>
    </row>
    <row r="525" spans="1:10" x14ac:dyDescent="0.2">
      <c r="A525" s="29"/>
      <c r="B525" s="101"/>
      <c r="C525" s="41"/>
      <c r="D525" s="376"/>
      <c r="E525" s="104"/>
      <c r="F525" s="266"/>
      <c r="G525" s="372"/>
      <c r="H525" s="438"/>
      <c r="I525" s="438"/>
      <c r="J525" s="438"/>
    </row>
    <row r="526" spans="1:10" x14ac:dyDescent="0.2">
      <c r="A526" s="29"/>
      <c r="B526" s="101"/>
      <c r="C526" s="41"/>
      <c r="D526" s="444"/>
      <c r="E526" s="104"/>
      <c r="F526" s="266"/>
      <c r="G526" s="372"/>
      <c r="H526" s="438"/>
      <c r="I526" s="438"/>
      <c r="J526" s="438"/>
    </row>
    <row r="527" spans="1:10" x14ac:dyDescent="0.2">
      <c r="A527" s="29"/>
      <c r="B527" s="101"/>
      <c r="C527" s="371"/>
      <c r="D527" s="384"/>
      <c r="E527" s="104"/>
      <c r="F527" s="266"/>
      <c r="G527" s="372"/>
      <c r="H527" s="438"/>
      <c r="I527" s="438"/>
      <c r="J527" s="438"/>
    </row>
    <row r="528" spans="1:10" x14ac:dyDescent="0.2">
      <c r="A528" s="29"/>
      <c r="B528" s="101"/>
      <c r="C528" s="41"/>
      <c r="D528" s="384"/>
      <c r="E528" s="104"/>
      <c r="F528" s="266"/>
      <c r="G528" s="372"/>
      <c r="H528" s="438"/>
      <c r="I528" s="438"/>
      <c r="J528" s="438"/>
    </row>
    <row r="529" spans="1:10" x14ac:dyDescent="0.2">
      <c r="A529" s="29"/>
      <c r="B529" s="101"/>
      <c r="C529" s="371"/>
      <c r="D529" s="384"/>
      <c r="E529" s="104"/>
      <c r="F529" s="266"/>
      <c r="G529" s="372"/>
      <c r="H529" s="438"/>
      <c r="I529" s="438"/>
      <c r="J529" s="438"/>
    </row>
    <row r="530" spans="1:10" x14ac:dyDescent="0.2">
      <c r="A530" s="29"/>
      <c r="B530" s="101"/>
      <c r="C530" s="41"/>
      <c r="D530" s="384"/>
      <c r="E530" s="104"/>
      <c r="F530" s="266"/>
      <c r="G530" s="372"/>
      <c r="H530" s="438"/>
      <c r="I530" s="438"/>
      <c r="J530" s="438"/>
    </row>
    <row r="531" spans="1:10" x14ac:dyDescent="0.2">
      <c r="A531" s="29"/>
      <c r="B531" s="101"/>
      <c r="C531" s="371"/>
      <c r="D531" s="376"/>
      <c r="E531" s="108"/>
      <c r="F531" s="69"/>
      <c r="G531" s="372"/>
      <c r="H531" s="438"/>
      <c r="I531" s="438"/>
      <c r="J531" s="438"/>
    </row>
    <row r="532" spans="1:10" x14ac:dyDescent="0.2">
      <c r="A532" s="29"/>
      <c r="B532" s="101"/>
      <c r="C532" s="41"/>
      <c r="D532" s="358"/>
      <c r="E532" s="153"/>
      <c r="F532" s="69"/>
      <c r="G532" s="372"/>
      <c r="H532" s="438"/>
      <c r="I532" s="438"/>
      <c r="J532" s="438"/>
    </row>
    <row r="533" spans="1:10" x14ac:dyDescent="0.2">
      <c r="A533" s="29"/>
      <c r="B533" s="101"/>
      <c r="C533" s="371"/>
      <c r="D533" s="419"/>
      <c r="E533" s="102"/>
      <c r="F533" s="69"/>
      <c r="G533" s="372"/>
      <c r="H533" s="438"/>
      <c r="I533" s="438"/>
      <c r="J533" s="438"/>
    </row>
    <row r="534" spans="1:10" x14ac:dyDescent="0.2">
      <c r="A534" s="29"/>
      <c r="B534" s="101"/>
      <c r="C534" s="31"/>
      <c r="D534" s="419"/>
      <c r="E534" s="131"/>
      <c r="F534" s="267"/>
      <c r="G534" s="372"/>
      <c r="H534" s="438"/>
      <c r="I534" s="438"/>
      <c r="J534" s="438"/>
    </row>
    <row r="535" spans="1:10" x14ac:dyDescent="0.2">
      <c r="A535" s="29"/>
      <c r="B535" s="101"/>
      <c r="C535" s="371"/>
      <c r="D535" s="425"/>
      <c r="E535" s="108"/>
      <c r="F535" s="263"/>
      <c r="G535" s="372"/>
      <c r="H535" s="438"/>
      <c r="I535" s="438"/>
      <c r="J535" s="438"/>
    </row>
    <row r="536" spans="1:10" x14ac:dyDescent="0.2">
      <c r="A536" s="29"/>
      <c r="B536" s="101"/>
      <c r="C536" s="41"/>
      <c r="D536" s="383"/>
      <c r="E536" s="108"/>
      <c r="F536" s="263"/>
      <c r="G536" s="372"/>
      <c r="H536" s="438"/>
      <c r="I536" s="438"/>
      <c r="J536" s="438"/>
    </row>
    <row r="537" spans="1:10" x14ac:dyDescent="0.2">
      <c r="A537" s="29"/>
      <c r="B537" s="101"/>
      <c r="C537" s="371"/>
      <c r="D537" s="383"/>
      <c r="E537" s="108"/>
      <c r="F537" s="149"/>
      <c r="G537" s="372"/>
      <c r="H537" s="438"/>
      <c r="I537" s="438"/>
      <c r="J537" s="438"/>
    </row>
    <row r="538" spans="1:10" x14ac:dyDescent="0.2">
      <c r="A538" s="61"/>
      <c r="B538" s="101"/>
      <c r="C538" s="41"/>
      <c r="D538" s="383"/>
      <c r="E538" s="108"/>
      <c r="F538" s="149"/>
      <c r="G538" s="372"/>
      <c r="H538" s="438"/>
      <c r="I538" s="438"/>
      <c r="J538" s="438"/>
    </row>
    <row r="539" spans="1:10" ht="13.5" thickBot="1" x14ac:dyDescent="0.25">
      <c r="A539" s="209"/>
      <c r="B539" s="132"/>
      <c r="C539" s="115"/>
      <c r="D539" s="115"/>
      <c r="E539" s="132"/>
      <c r="F539" s="49" t="s">
        <v>15</v>
      </c>
      <c r="G539" s="210">
        <f>SUM(G506:G538)</f>
        <v>27500</v>
      </c>
      <c r="H539" s="243"/>
      <c r="I539" s="243"/>
      <c r="J539" s="243"/>
    </row>
    <row r="540" spans="1:10" ht="13.5" thickTop="1" x14ac:dyDescent="0.2">
      <c r="A540" s="875" t="s">
        <v>1577</v>
      </c>
      <c r="B540" s="899"/>
      <c r="C540" s="899"/>
      <c r="D540" s="899"/>
      <c r="E540" s="899"/>
      <c r="F540" s="899"/>
      <c r="G540" s="900"/>
      <c r="H540" s="22"/>
      <c r="I540" s="22"/>
      <c r="J540" s="22"/>
    </row>
    <row r="541" spans="1:10" ht="13.5" thickBot="1" x14ac:dyDescent="0.25">
      <c r="A541" s="52"/>
      <c r="B541" s="103"/>
      <c r="C541" s="374" t="s">
        <v>1578</v>
      </c>
      <c r="D541" s="54"/>
      <c r="E541" s="103"/>
      <c r="F541" s="55"/>
      <c r="G541" s="56"/>
    </row>
    <row r="542" spans="1:10" ht="13.5" thickTop="1" x14ac:dyDescent="0.2">
      <c r="A542" s="906"/>
      <c r="B542" s="907"/>
      <c r="C542" s="907"/>
      <c r="D542" s="57" t="s">
        <v>11</v>
      </c>
      <c r="E542" s="908" t="s">
        <v>12</v>
      </c>
      <c r="F542" s="908"/>
      <c r="G542" s="909"/>
      <c r="H542" s="4"/>
      <c r="I542" s="4"/>
      <c r="J542" s="4"/>
    </row>
    <row r="543" spans="1:10" x14ac:dyDescent="0.2">
      <c r="A543" s="910" t="s">
        <v>17</v>
      </c>
      <c r="B543" s="911"/>
      <c r="C543" s="911"/>
      <c r="D543" s="39"/>
      <c r="E543" s="912"/>
      <c r="F543" s="913"/>
      <c r="G543" s="914"/>
      <c r="H543" s="176"/>
      <c r="I543" s="176"/>
      <c r="J543" s="176"/>
    </row>
    <row r="544" spans="1:10" x14ac:dyDescent="0.2">
      <c r="A544" s="910" t="s">
        <v>38</v>
      </c>
      <c r="B544" s="911"/>
      <c r="C544" s="911"/>
      <c r="D544" s="73" t="s">
        <v>891</v>
      </c>
      <c r="E544" s="868" t="s">
        <v>142</v>
      </c>
      <c r="F544" s="868"/>
      <c r="G544" s="869"/>
      <c r="H544" s="1"/>
      <c r="I544" s="1"/>
      <c r="J544" s="1"/>
    </row>
    <row r="545" spans="1:10" ht="13.5" thickBot="1" x14ac:dyDescent="0.25">
      <c r="A545" s="901" t="s">
        <v>39</v>
      </c>
      <c r="B545" s="902"/>
      <c r="C545" s="902"/>
      <c r="D545" s="91" t="s">
        <v>892</v>
      </c>
      <c r="E545" s="904" t="s">
        <v>0</v>
      </c>
      <c r="F545" s="904"/>
      <c r="G545" s="905"/>
      <c r="H545" s="4"/>
      <c r="I545" s="4"/>
      <c r="J545" s="4"/>
    </row>
    <row r="546" spans="1:10" ht="16.5" x14ac:dyDescent="0.25">
      <c r="A546" s="885" t="s">
        <v>29</v>
      </c>
      <c r="B546" s="886"/>
      <c r="C546" s="886"/>
      <c r="D546" s="886"/>
      <c r="E546" s="886"/>
      <c r="F546" s="886"/>
      <c r="G546" s="887"/>
      <c r="H546" s="247"/>
      <c r="I546" s="247"/>
      <c r="J546" s="247"/>
    </row>
    <row r="547" spans="1:10" x14ac:dyDescent="0.2">
      <c r="A547" s="888" t="s">
        <v>48</v>
      </c>
      <c r="B547" s="889"/>
      <c r="C547" s="889"/>
      <c r="D547" s="889"/>
      <c r="E547" s="889"/>
      <c r="F547" s="889"/>
      <c r="G547" s="890"/>
      <c r="H547" s="246"/>
      <c r="I547" s="246"/>
      <c r="J547" s="246"/>
    </row>
    <row r="548" spans="1:10" x14ac:dyDescent="0.2">
      <c r="A548" s="915" t="s">
        <v>49</v>
      </c>
      <c r="B548" s="916"/>
      <c r="C548" s="916"/>
      <c r="D548" s="916"/>
      <c r="E548" s="916"/>
      <c r="F548" s="916"/>
      <c r="G548" s="917"/>
      <c r="H548" s="4"/>
      <c r="I548" s="4"/>
      <c r="J548" s="4"/>
    </row>
    <row r="549" spans="1:10" x14ac:dyDescent="0.2">
      <c r="A549" s="6"/>
      <c r="B549" s="99"/>
      <c r="C549" s="8"/>
      <c r="D549" s="9"/>
      <c r="E549" s="99"/>
      <c r="F549" s="10"/>
      <c r="G549" s="11" t="s">
        <v>20</v>
      </c>
      <c r="H549" s="248"/>
      <c r="I549" s="248"/>
      <c r="J549" s="248"/>
    </row>
    <row r="550" spans="1:10" x14ac:dyDescent="0.2">
      <c r="A550" s="12" t="s">
        <v>1</v>
      </c>
      <c r="B550" s="13"/>
      <c r="C550" s="14" t="s">
        <v>36</v>
      </c>
      <c r="D550" s="13"/>
      <c r="E550" s="362" t="s">
        <v>1796</v>
      </c>
      <c r="F550" s="98"/>
      <c r="G550" s="363" t="s">
        <v>1781</v>
      </c>
      <c r="H550" s="430"/>
      <c r="I550" s="430"/>
      <c r="J550" s="430"/>
    </row>
    <row r="551" spans="1:10" x14ac:dyDescent="0.2">
      <c r="A551" s="17" t="s">
        <v>8</v>
      </c>
      <c r="B551" s="100"/>
      <c r="C551" s="19"/>
      <c r="D551" s="4"/>
      <c r="E551" s="918"/>
      <c r="F551" s="919"/>
      <c r="G551" s="20"/>
    </row>
    <row r="552" spans="1:10" x14ac:dyDescent="0.2">
      <c r="A552" s="21" t="s">
        <v>37</v>
      </c>
      <c r="B552" s="22"/>
      <c r="C552" s="22"/>
      <c r="D552" s="22"/>
      <c r="E552" s="23" t="s">
        <v>46</v>
      </c>
      <c r="F552" s="24"/>
      <c r="G552" s="20" t="s">
        <v>50</v>
      </c>
    </row>
    <row r="553" spans="1:10" x14ac:dyDescent="0.2">
      <c r="A553" s="6"/>
      <c r="B553" s="99"/>
      <c r="C553" s="8"/>
      <c r="D553" s="8"/>
      <c r="E553" s="920"/>
      <c r="F553" s="921"/>
      <c r="G553" s="25"/>
    </row>
    <row r="554" spans="1:10" ht="26.25" thickBot="1" x14ac:dyDescent="0.25">
      <c r="A554" s="207" t="s">
        <v>47</v>
      </c>
      <c r="B554" s="28" t="s">
        <v>23</v>
      </c>
      <c r="C554" s="28" t="s">
        <v>34</v>
      </c>
      <c r="D554" s="110" t="s">
        <v>53</v>
      </c>
      <c r="E554" s="114" t="s">
        <v>54</v>
      </c>
      <c r="F554" s="111" t="s">
        <v>55</v>
      </c>
      <c r="G554" s="112" t="s">
        <v>35</v>
      </c>
      <c r="H554" s="249"/>
      <c r="I554" s="249"/>
      <c r="J554" s="249"/>
    </row>
    <row r="555" spans="1:10" ht="13.5" thickTop="1" x14ac:dyDescent="0.2">
      <c r="A555" s="29">
        <v>1</v>
      </c>
      <c r="B555" s="101"/>
      <c r="C555" s="371" t="s">
        <v>149</v>
      </c>
      <c r="D555" s="370" t="s">
        <v>1416</v>
      </c>
      <c r="E555" s="108">
        <v>25</v>
      </c>
      <c r="F555" s="149">
        <v>200</v>
      </c>
      <c r="G555" s="35">
        <f>F555*E555</f>
        <v>5000</v>
      </c>
      <c r="H555" s="212"/>
      <c r="I555" s="212"/>
      <c r="J555" s="212"/>
    </row>
    <row r="556" spans="1:10" x14ac:dyDescent="0.2">
      <c r="A556" s="29"/>
      <c r="B556" s="101"/>
      <c r="C556" s="371"/>
      <c r="D556" s="370" t="s">
        <v>978</v>
      </c>
      <c r="E556" s="108"/>
      <c r="F556" s="149"/>
      <c r="G556" s="35"/>
      <c r="H556" s="212"/>
      <c r="I556" s="212"/>
      <c r="J556" s="212"/>
    </row>
    <row r="557" spans="1:10" x14ac:dyDescent="0.2">
      <c r="A557" s="29">
        <v>2</v>
      </c>
      <c r="B557" s="105"/>
      <c r="C557" s="371" t="s">
        <v>149</v>
      </c>
      <c r="D557" s="376" t="s">
        <v>339</v>
      </c>
      <c r="E557" s="102">
        <v>25</v>
      </c>
      <c r="F557" s="128">
        <v>350</v>
      </c>
      <c r="G557" s="372">
        <f>F557*E557</f>
        <v>8750</v>
      </c>
      <c r="H557" s="438"/>
      <c r="I557" s="438"/>
      <c r="J557" s="438"/>
    </row>
    <row r="558" spans="1:10" x14ac:dyDescent="0.2">
      <c r="A558" s="29"/>
      <c r="B558" s="105"/>
      <c r="C558" s="371"/>
      <c r="D558" s="376" t="s">
        <v>301</v>
      </c>
      <c r="E558" s="102"/>
      <c r="F558" s="128"/>
      <c r="G558" s="372"/>
      <c r="H558" s="438"/>
      <c r="I558" s="438"/>
      <c r="J558" s="438"/>
    </row>
    <row r="559" spans="1:10" x14ac:dyDescent="0.2">
      <c r="A559" s="29"/>
      <c r="B559" s="105"/>
      <c r="C559" s="371"/>
      <c r="D559" s="376"/>
      <c r="E559" s="102"/>
      <c r="F559" s="128"/>
      <c r="G559" s="372"/>
      <c r="H559" s="438"/>
      <c r="I559" s="438"/>
      <c r="J559" s="438"/>
    </row>
    <row r="560" spans="1:10" x14ac:dyDescent="0.2">
      <c r="A560" s="29"/>
      <c r="B560" s="105"/>
      <c r="C560" s="371"/>
      <c r="D560" s="376"/>
      <c r="E560" s="102"/>
      <c r="F560" s="128"/>
      <c r="G560" s="372"/>
      <c r="H560" s="438"/>
      <c r="I560" s="438"/>
      <c r="J560" s="438"/>
    </row>
    <row r="561" spans="1:10" x14ac:dyDescent="0.2">
      <c r="A561" s="29"/>
      <c r="B561" s="151"/>
      <c r="C561" s="119"/>
      <c r="D561" s="358"/>
      <c r="E561" s="108"/>
      <c r="F561" s="264"/>
      <c r="G561" s="372"/>
      <c r="H561" s="438"/>
      <c r="I561" s="438"/>
      <c r="J561" s="438"/>
    </row>
    <row r="562" spans="1:10" x14ac:dyDescent="0.2">
      <c r="A562" s="29"/>
      <c r="B562" s="101"/>
      <c r="C562" s="371"/>
      <c r="D562" s="383"/>
      <c r="E562" s="104"/>
      <c r="F562" s="69"/>
      <c r="G562" s="372"/>
      <c r="H562" s="438"/>
      <c r="I562" s="438"/>
      <c r="J562" s="438"/>
    </row>
    <row r="563" spans="1:10" x14ac:dyDescent="0.2">
      <c r="A563" s="29"/>
      <c r="B563" s="106"/>
      <c r="C563" s="41"/>
      <c r="D563" s="376"/>
      <c r="E563" s="104"/>
      <c r="F563" s="69"/>
      <c r="G563" s="372"/>
      <c r="H563" s="438"/>
      <c r="I563" s="438"/>
      <c r="J563" s="438"/>
    </row>
    <row r="564" spans="1:10" x14ac:dyDescent="0.2">
      <c r="A564" s="29"/>
      <c r="B564" s="105"/>
      <c r="C564" s="371"/>
      <c r="D564" s="376"/>
      <c r="E564" s="108"/>
      <c r="F564" s="265"/>
      <c r="G564" s="372"/>
      <c r="H564" s="438"/>
      <c r="I564" s="438"/>
      <c r="J564" s="438"/>
    </row>
    <row r="565" spans="1:10" x14ac:dyDescent="0.2">
      <c r="A565" s="29"/>
      <c r="B565" s="107"/>
      <c r="C565" s="41"/>
      <c r="D565" s="376"/>
      <c r="E565" s="153"/>
      <c r="F565" s="69"/>
      <c r="G565" s="372"/>
      <c r="H565" s="438"/>
      <c r="I565" s="438"/>
      <c r="J565" s="438"/>
    </row>
    <row r="566" spans="1:10" x14ac:dyDescent="0.2">
      <c r="A566" s="29"/>
      <c r="B566" s="107"/>
      <c r="C566" s="371"/>
      <c r="D566" s="384"/>
      <c r="E566" s="153"/>
      <c r="F566" s="69"/>
      <c r="G566" s="372"/>
      <c r="H566" s="438"/>
      <c r="I566" s="438"/>
      <c r="J566" s="438"/>
    </row>
    <row r="567" spans="1:10" x14ac:dyDescent="0.2">
      <c r="A567" s="29"/>
      <c r="B567" s="101"/>
      <c r="C567" s="41"/>
      <c r="D567" s="384"/>
      <c r="E567" s="108"/>
      <c r="F567" s="451"/>
      <c r="G567" s="372"/>
      <c r="H567" s="438"/>
      <c r="I567" s="438"/>
      <c r="J567" s="438"/>
    </row>
    <row r="568" spans="1:10" x14ac:dyDescent="0.2">
      <c r="A568" s="29"/>
      <c r="B568" s="101"/>
      <c r="C568" s="41"/>
      <c r="D568" s="358"/>
      <c r="E568" s="153"/>
      <c r="F568" s="69"/>
      <c r="G568" s="372"/>
      <c r="H568" s="438"/>
      <c r="I568" s="438"/>
      <c r="J568" s="438"/>
    </row>
    <row r="569" spans="1:10" x14ac:dyDescent="0.2">
      <c r="A569" s="29"/>
      <c r="B569" s="106"/>
      <c r="C569" s="371"/>
      <c r="D569" s="384"/>
      <c r="E569" s="104"/>
      <c r="F569" s="266"/>
      <c r="G569" s="372"/>
      <c r="H569" s="438"/>
      <c r="I569" s="438"/>
      <c r="J569" s="438"/>
    </row>
    <row r="570" spans="1:10" x14ac:dyDescent="0.2">
      <c r="A570" s="29"/>
      <c r="B570" s="105"/>
      <c r="C570" s="41"/>
      <c r="D570" s="419"/>
      <c r="E570" s="104"/>
      <c r="F570" s="266"/>
      <c r="G570" s="372"/>
      <c r="H570" s="438"/>
      <c r="I570" s="438"/>
      <c r="J570" s="438"/>
    </row>
    <row r="571" spans="1:10" x14ac:dyDescent="0.2">
      <c r="A571" s="29"/>
      <c r="B571" s="105"/>
      <c r="C571" s="371"/>
      <c r="D571" s="384"/>
      <c r="E571" s="104"/>
      <c r="F571" s="266"/>
      <c r="G571" s="372"/>
      <c r="H571" s="438"/>
      <c r="I571" s="438"/>
      <c r="J571" s="438"/>
    </row>
    <row r="572" spans="1:10" x14ac:dyDescent="0.2">
      <c r="A572" s="29"/>
      <c r="B572" s="101"/>
      <c r="C572" s="41"/>
      <c r="D572" s="384"/>
      <c r="E572" s="104"/>
      <c r="F572" s="266"/>
      <c r="G572" s="372"/>
      <c r="H572" s="438"/>
      <c r="I572" s="438"/>
      <c r="J572" s="438"/>
    </row>
    <row r="573" spans="1:10" x14ac:dyDescent="0.2">
      <c r="A573" s="29"/>
      <c r="B573" s="101"/>
      <c r="C573" s="371"/>
      <c r="D573" s="376"/>
      <c r="E573" s="104"/>
      <c r="F573" s="266"/>
      <c r="G573" s="372"/>
      <c r="H573" s="438"/>
      <c r="I573" s="438"/>
      <c r="J573" s="438"/>
    </row>
    <row r="574" spans="1:10" x14ac:dyDescent="0.2">
      <c r="A574" s="29"/>
      <c r="B574" s="101"/>
      <c r="C574" s="41"/>
      <c r="D574" s="376"/>
      <c r="E574" s="104"/>
      <c r="F574" s="266"/>
      <c r="G574" s="372"/>
      <c r="H574" s="438"/>
      <c r="I574" s="438"/>
      <c r="J574" s="438"/>
    </row>
    <row r="575" spans="1:10" x14ac:dyDescent="0.2">
      <c r="A575" s="29"/>
      <c r="B575" s="101"/>
      <c r="C575" s="41"/>
      <c r="D575" s="444"/>
      <c r="E575" s="104"/>
      <c r="F575" s="266"/>
      <c r="G575" s="372"/>
      <c r="H575" s="438"/>
      <c r="I575" s="438"/>
      <c r="J575" s="438"/>
    </row>
    <row r="576" spans="1:10" x14ac:dyDescent="0.2">
      <c r="A576" s="29"/>
      <c r="B576" s="101"/>
      <c r="C576" s="371"/>
      <c r="D576" s="384"/>
      <c r="E576" s="104"/>
      <c r="F576" s="266"/>
      <c r="G576" s="372"/>
      <c r="H576" s="438"/>
      <c r="I576" s="438"/>
      <c r="J576" s="438"/>
    </row>
    <row r="577" spans="1:10" x14ac:dyDescent="0.2">
      <c r="A577" s="29"/>
      <c r="B577" s="101"/>
      <c r="C577" s="41"/>
      <c r="D577" s="384"/>
      <c r="E577" s="104"/>
      <c r="F577" s="266"/>
      <c r="G577" s="372"/>
      <c r="H577" s="438"/>
      <c r="I577" s="438"/>
      <c r="J577" s="438"/>
    </row>
    <row r="578" spans="1:10" x14ac:dyDescent="0.2">
      <c r="A578" s="29"/>
      <c r="B578" s="101"/>
      <c r="C578" s="371"/>
      <c r="D578" s="384"/>
      <c r="E578" s="104"/>
      <c r="F578" s="266"/>
      <c r="G578" s="372"/>
      <c r="H578" s="438"/>
      <c r="I578" s="438"/>
      <c r="J578" s="438"/>
    </row>
    <row r="579" spans="1:10" x14ac:dyDescent="0.2">
      <c r="A579" s="29"/>
      <c r="B579" s="101"/>
      <c r="C579" s="41"/>
      <c r="D579" s="384"/>
      <c r="E579" s="104"/>
      <c r="F579" s="266"/>
      <c r="G579" s="372"/>
      <c r="H579" s="438"/>
      <c r="I579" s="438"/>
      <c r="J579" s="438"/>
    </row>
    <row r="580" spans="1:10" x14ac:dyDescent="0.2">
      <c r="A580" s="29"/>
      <c r="B580" s="101"/>
      <c r="C580" s="371"/>
      <c r="D580" s="376"/>
      <c r="E580" s="108"/>
      <c r="F580" s="69"/>
      <c r="G580" s="372"/>
      <c r="H580" s="438"/>
      <c r="I580" s="438"/>
      <c r="J580" s="438"/>
    </row>
    <row r="581" spans="1:10" x14ac:dyDescent="0.2">
      <c r="A581" s="29"/>
      <c r="B581" s="101"/>
      <c r="C581" s="41"/>
      <c r="D581" s="358"/>
      <c r="E581" s="153"/>
      <c r="F581" s="69"/>
      <c r="G581" s="372"/>
      <c r="H581" s="438"/>
      <c r="I581" s="438"/>
      <c r="J581" s="438"/>
    </row>
    <row r="582" spans="1:10" x14ac:dyDescent="0.2">
      <c r="A582" s="29"/>
      <c r="B582" s="101"/>
      <c r="C582" s="371"/>
      <c r="D582" s="419"/>
      <c r="E582" s="102"/>
      <c r="F582" s="69"/>
      <c r="G582" s="372"/>
      <c r="H582" s="438"/>
      <c r="I582" s="438"/>
      <c r="J582" s="438"/>
    </row>
    <row r="583" spans="1:10" x14ac:dyDescent="0.2">
      <c r="A583" s="29"/>
      <c r="B583" s="101"/>
      <c r="C583" s="31"/>
      <c r="D583" s="419"/>
      <c r="E583" s="131"/>
      <c r="F583" s="267"/>
      <c r="G583" s="372"/>
      <c r="H583" s="438"/>
      <c r="I583" s="438"/>
      <c r="J583" s="438"/>
    </row>
    <row r="584" spans="1:10" x14ac:dyDescent="0.2">
      <c r="A584" s="29"/>
      <c r="B584" s="101"/>
      <c r="C584" s="371"/>
      <c r="D584" s="425"/>
      <c r="E584" s="108"/>
      <c r="F584" s="263"/>
      <c r="G584" s="372"/>
      <c r="H584" s="438"/>
      <c r="I584" s="438"/>
      <c r="J584" s="438"/>
    </row>
    <row r="585" spans="1:10" x14ac:dyDescent="0.2">
      <c r="A585" s="29"/>
      <c r="B585" s="101"/>
      <c r="C585" s="41"/>
      <c r="D585" s="383"/>
      <c r="E585" s="108"/>
      <c r="F585" s="263"/>
      <c r="G585" s="372"/>
      <c r="H585" s="438"/>
      <c r="I585" s="438"/>
      <c r="J585" s="438"/>
    </row>
    <row r="586" spans="1:10" x14ac:dyDescent="0.2">
      <c r="A586" s="29"/>
      <c r="B586" s="101"/>
      <c r="C586" s="371"/>
      <c r="D586" s="383"/>
      <c r="E586" s="108"/>
      <c r="F586" s="149"/>
      <c r="G586" s="372"/>
      <c r="H586" s="438"/>
      <c r="I586" s="438"/>
      <c r="J586" s="438"/>
    </row>
    <row r="587" spans="1:10" x14ac:dyDescent="0.2">
      <c r="A587" s="61"/>
      <c r="B587" s="101"/>
      <c r="C587" s="41"/>
      <c r="D587" s="383"/>
      <c r="E587" s="108"/>
      <c r="F587" s="149"/>
      <c r="G587" s="372"/>
      <c r="H587" s="438"/>
      <c r="I587" s="438"/>
      <c r="J587" s="438"/>
    </row>
    <row r="588" spans="1:10" ht="13.5" thickBot="1" x14ac:dyDescent="0.25">
      <c r="A588" s="209"/>
      <c r="B588" s="132"/>
      <c r="C588" s="115"/>
      <c r="D588" s="115"/>
      <c r="E588" s="132"/>
      <c r="F588" s="49" t="s">
        <v>15</v>
      </c>
      <c r="G588" s="210">
        <f>SUM(G555:G587)</f>
        <v>13750</v>
      </c>
      <c r="H588" s="243"/>
      <c r="I588" s="243"/>
      <c r="J588" s="243"/>
    </row>
    <row r="589" spans="1:10" ht="13.5" thickTop="1" x14ac:dyDescent="0.2">
      <c r="A589" s="875" t="s">
        <v>1585</v>
      </c>
      <c r="B589" s="899"/>
      <c r="C589" s="899"/>
      <c r="D589" s="899"/>
      <c r="E589" s="899"/>
      <c r="F589" s="899"/>
      <c r="G589" s="900"/>
      <c r="H589" s="22"/>
      <c r="I589" s="22"/>
      <c r="J589" s="22"/>
    </row>
    <row r="590" spans="1:10" ht="13.5" thickBot="1" x14ac:dyDescent="0.25">
      <c r="A590" s="52"/>
      <c r="B590" s="103"/>
      <c r="C590" s="374" t="s">
        <v>8</v>
      </c>
      <c r="D590" s="54"/>
      <c r="E590" s="103"/>
      <c r="F590" s="55"/>
      <c r="G590" s="56"/>
    </row>
    <row r="591" spans="1:10" ht="13.5" thickTop="1" x14ac:dyDescent="0.2">
      <c r="A591" s="906"/>
      <c r="B591" s="907"/>
      <c r="C591" s="907"/>
      <c r="D591" s="57" t="s">
        <v>11</v>
      </c>
      <c r="E591" s="908" t="s">
        <v>12</v>
      </c>
      <c r="F591" s="908"/>
      <c r="G591" s="909"/>
      <c r="H591" s="4"/>
      <c r="I591" s="4"/>
      <c r="J591" s="4"/>
    </row>
    <row r="592" spans="1:10" x14ac:dyDescent="0.2">
      <c r="A592" s="910" t="s">
        <v>17</v>
      </c>
      <c r="B592" s="911"/>
      <c r="C592" s="911"/>
      <c r="D592" s="39"/>
      <c r="E592" s="912"/>
      <c r="F592" s="913"/>
      <c r="G592" s="914"/>
      <c r="H592" s="176"/>
      <c r="I592" s="176"/>
      <c r="J592" s="176"/>
    </row>
    <row r="593" spans="1:10" x14ac:dyDescent="0.2">
      <c r="A593" s="910" t="s">
        <v>38</v>
      </c>
      <c r="B593" s="911"/>
      <c r="C593" s="911"/>
      <c r="D593" s="73" t="s">
        <v>891</v>
      </c>
      <c r="E593" s="868" t="s">
        <v>142</v>
      </c>
      <c r="F593" s="868"/>
      <c r="G593" s="869"/>
      <c r="H593" s="1"/>
      <c r="I593" s="1"/>
      <c r="J593" s="1"/>
    </row>
    <row r="594" spans="1:10" ht="13.5" thickBot="1" x14ac:dyDescent="0.25">
      <c r="A594" s="901" t="s">
        <v>39</v>
      </c>
      <c r="B594" s="902"/>
      <c r="C594" s="902"/>
      <c r="D594" s="91" t="s">
        <v>892</v>
      </c>
      <c r="E594" s="904" t="s">
        <v>0</v>
      </c>
      <c r="F594" s="904"/>
      <c r="G594" s="905"/>
      <c r="H594" s="4"/>
      <c r="I594" s="4"/>
      <c r="J594" s="4"/>
    </row>
    <row r="595" spans="1:10" ht="16.5" x14ac:dyDescent="0.25">
      <c r="A595" s="885" t="s">
        <v>29</v>
      </c>
      <c r="B595" s="886"/>
      <c r="C595" s="886"/>
      <c r="D595" s="886"/>
      <c r="E595" s="886"/>
      <c r="F595" s="886"/>
      <c r="G595" s="887"/>
      <c r="H595" s="247"/>
      <c r="I595" s="247"/>
      <c r="J595" s="247"/>
    </row>
    <row r="596" spans="1:10" x14ac:dyDescent="0.2">
      <c r="A596" s="888" t="s">
        <v>48</v>
      </c>
      <c r="B596" s="889"/>
      <c r="C596" s="889"/>
      <c r="D596" s="889"/>
      <c r="E596" s="889"/>
      <c r="F596" s="889"/>
      <c r="G596" s="890"/>
      <c r="H596" s="246"/>
      <c r="I596" s="246"/>
      <c r="J596" s="246"/>
    </row>
    <row r="597" spans="1:10" x14ac:dyDescent="0.2">
      <c r="A597" s="915" t="s">
        <v>49</v>
      </c>
      <c r="B597" s="916"/>
      <c r="C597" s="916"/>
      <c r="D597" s="916"/>
      <c r="E597" s="916"/>
      <c r="F597" s="916"/>
      <c r="G597" s="917"/>
      <c r="H597" s="4"/>
      <c r="I597" s="4"/>
      <c r="J597" s="4"/>
    </row>
    <row r="598" spans="1:10" x14ac:dyDescent="0.2">
      <c r="A598" s="6"/>
      <c r="B598" s="99"/>
      <c r="C598" s="8"/>
      <c r="D598" s="9"/>
      <c r="E598" s="99"/>
      <c r="F598" s="10"/>
      <c r="G598" s="11" t="s">
        <v>20</v>
      </c>
      <c r="H598" s="248"/>
      <c r="I598" s="248"/>
      <c r="J598" s="248"/>
    </row>
    <row r="599" spans="1:10" x14ac:dyDescent="0.2">
      <c r="A599" s="12" t="s">
        <v>1</v>
      </c>
      <c r="B599" s="13"/>
      <c r="C599" s="14" t="s">
        <v>36</v>
      </c>
      <c r="D599" s="13"/>
      <c r="E599" s="362" t="s">
        <v>1644</v>
      </c>
      <c r="F599" s="98"/>
      <c r="G599" s="363" t="s">
        <v>1642</v>
      </c>
      <c r="H599" s="430"/>
      <c r="I599" s="430"/>
      <c r="J599" s="430"/>
    </row>
    <row r="600" spans="1:10" x14ac:dyDescent="0.2">
      <c r="A600" s="17" t="s">
        <v>8</v>
      </c>
      <c r="B600" s="100"/>
      <c r="C600" s="19"/>
      <c r="D600" s="4"/>
      <c r="E600" s="918"/>
      <c r="F600" s="919"/>
      <c r="G600" s="20"/>
    </row>
    <row r="601" spans="1:10" x14ac:dyDescent="0.2">
      <c r="A601" s="21" t="s">
        <v>37</v>
      </c>
      <c r="B601" s="22"/>
      <c r="C601" s="22"/>
      <c r="D601" s="22"/>
      <c r="E601" s="23" t="s">
        <v>46</v>
      </c>
      <c r="F601" s="24"/>
      <c r="G601" s="20" t="s">
        <v>50</v>
      </c>
    </row>
    <row r="602" spans="1:10" x14ac:dyDescent="0.2">
      <c r="A602" s="6"/>
      <c r="B602" s="99"/>
      <c r="C602" s="8"/>
      <c r="D602" s="8"/>
      <c r="E602" s="920"/>
      <c r="F602" s="921"/>
      <c r="G602" s="25"/>
    </row>
    <row r="603" spans="1:10" ht="26.25" thickBot="1" x14ac:dyDescent="0.25">
      <c r="A603" s="207" t="s">
        <v>47</v>
      </c>
      <c r="B603" s="28" t="s">
        <v>23</v>
      </c>
      <c r="C603" s="28" t="s">
        <v>34</v>
      </c>
      <c r="D603" s="110" t="s">
        <v>53</v>
      </c>
      <c r="E603" s="114" t="s">
        <v>54</v>
      </c>
      <c r="F603" s="111" t="s">
        <v>55</v>
      </c>
      <c r="G603" s="112" t="s">
        <v>35</v>
      </c>
      <c r="H603" s="249"/>
      <c r="I603" s="249"/>
      <c r="J603" s="249"/>
    </row>
    <row r="604" spans="1:10" ht="13.5" thickTop="1" x14ac:dyDescent="0.2">
      <c r="A604" s="29">
        <v>1</v>
      </c>
      <c r="B604" s="101"/>
      <c r="C604" s="371" t="s">
        <v>177</v>
      </c>
      <c r="D604" s="461" t="s">
        <v>1641</v>
      </c>
      <c r="E604" s="108">
        <v>20</v>
      </c>
      <c r="F604" s="149">
        <v>200</v>
      </c>
      <c r="G604" s="35">
        <f>F604*E604</f>
        <v>4000</v>
      </c>
      <c r="H604" s="212"/>
      <c r="I604" s="212"/>
      <c r="J604" s="212"/>
    </row>
    <row r="605" spans="1:10" x14ac:dyDescent="0.2">
      <c r="A605" s="29">
        <f>A604+1</f>
        <v>2</v>
      </c>
      <c r="B605" s="101"/>
      <c r="C605" s="371" t="s">
        <v>153</v>
      </c>
      <c r="D605" s="253" t="s">
        <v>1587</v>
      </c>
      <c r="E605" s="108">
        <v>50</v>
      </c>
      <c r="F605" s="149">
        <v>395</v>
      </c>
      <c r="G605" s="35">
        <f t="shared" ref="G605:G626" si="1">F605*E605</f>
        <v>19750</v>
      </c>
      <c r="H605" s="212"/>
      <c r="I605" s="212"/>
      <c r="J605" s="212"/>
    </row>
    <row r="606" spans="1:10" x14ac:dyDescent="0.2">
      <c r="A606" s="29">
        <f t="shared" ref="A606:A626" si="2">A605+1</f>
        <v>3</v>
      </c>
      <c r="B606" s="105"/>
      <c r="C606" s="371" t="s">
        <v>153</v>
      </c>
      <c r="D606" s="383" t="s">
        <v>1588</v>
      </c>
      <c r="E606" s="102">
        <v>27</v>
      </c>
      <c r="F606" s="128">
        <v>414</v>
      </c>
      <c r="G606" s="35">
        <f t="shared" si="1"/>
        <v>11178</v>
      </c>
      <c r="H606" s="212"/>
      <c r="I606" s="212"/>
      <c r="J606" s="212"/>
    </row>
    <row r="607" spans="1:10" x14ac:dyDescent="0.2">
      <c r="A607" s="29">
        <f t="shared" si="2"/>
        <v>4</v>
      </c>
      <c r="B607" s="105"/>
      <c r="C607" s="371" t="s">
        <v>153</v>
      </c>
      <c r="D607" s="383" t="s">
        <v>1589</v>
      </c>
      <c r="E607" s="102">
        <v>18</v>
      </c>
      <c r="F607" s="128">
        <v>427</v>
      </c>
      <c r="G607" s="35">
        <f t="shared" si="1"/>
        <v>7686</v>
      </c>
      <c r="H607" s="212"/>
      <c r="I607" s="212"/>
      <c r="J607" s="212"/>
    </row>
    <row r="608" spans="1:10" x14ac:dyDescent="0.2">
      <c r="A608" s="29">
        <f t="shared" si="2"/>
        <v>5</v>
      </c>
      <c r="B608" s="105"/>
      <c r="C608" s="371" t="s">
        <v>153</v>
      </c>
      <c r="D608" s="383" t="s">
        <v>1590</v>
      </c>
      <c r="E608" s="102">
        <v>18</v>
      </c>
      <c r="F608" s="128">
        <v>427</v>
      </c>
      <c r="G608" s="35">
        <f t="shared" si="1"/>
        <v>7686</v>
      </c>
      <c r="H608" s="212"/>
      <c r="I608" s="212"/>
      <c r="J608" s="212"/>
    </row>
    <row r="609" spans="1:10" x14ac:dyDescent="0.2">
      <c r="A609" s="29">
        <f t="shared" si="2"/>
        <v>6</v>
      </c>
      <c r="B609" s="105"/>
      <c r="C609" s="371" t="s">
        <v>153</v>
      </c>
      <c r="D609" s="383" t="s">
        <v>1591</v>
      </c>
      <c r="E609" s="102">
        <v>18</v>
      </c>
      <c r="F609" s="128">
        <v>427</v>
      </c>
      <c r="G609" s="35">
        <f t="shared" si="1"/>
        <v>7686</v>
      </c>
      <c r="H609" s="212"/>
      <c r="I609" s="212"/>
      <c r="J609" s="212"/>
    </row>
    <row r="610" spans="1:10" x14ac:dyDescent="0.2">
      <c r="A610" s="29">
        <f t="shared" si="2"/>
        <v>7</v>
      </c>
      <c r="B610" s="151"/>
      <c r="C610" s="371" t="s">
        <v>153</v>
      </c>
      <c r="D610" s="383" t="s">
        <v>1592</v>
      </c>
      <c r="E610" s="108">
        <v>50</v>
      </c>
      <c r="F610" s="264">
        <v>42</v>
      </c>
      <c r="G610" s="35">
        <f t="shared" si="1"/>
        <v>2100</v>
      </c>
      <c r="H610" s="212"/>
      <c r="I610" s="212"/>
      <c r="J610" s="212"/>
    </row>
    <row r="611" spans="1:10" x14ac:dyDescent="0.2">
      <c r="A611" s="29">
        <f t="shared" si="2"/>
        <v>8</v>
      </c>
      <c r="B611" s="101"/>
      <c r="C611" s="371" t="s">
        <v>153</v>
      </c>
      <c r="D611" s="383" t="s">
        <v>1593</v>
      </c>
      <c r="E611" s="104">
        <v>50</v>
      </c>
      <c r="F611" s="69">
        <v>42</v>
      </c>
      <c r="G611" s="35">
        <f t="shared" si="1"/>
        <v>2100</v>
      </c>
      <c r="H611" s="212"/>
      <c r="I611" s="212"/>
      <c r="J611" s="212"/>
    </row>
    <row r="612" spans="1:10" x14ac:dyDescent="0.2">
      <c r="A612" s="29">
        <f t="shared" si="2"/>
        <v>9</v>
      </c>
      <c r="B612" s="106"/>
      <c r="C612" s="371" t="s">
        <v>153</v>
      </c>
      <c r="D612" s="383" t="s">
        <v>1594</v>
      </c>
      <c r="E612" s="104">
        <v>50</v>
      </c>
      <c r="F612" s="69">
        <v>42</v>
      </c>
      <c r="G612" s="35">
        <f t="shared" si="1"/>
        <v>2100</v>
      </c>
      <c r="H612" s="212"/>
      <c r="I612" s="212"/>
      <c r="J612" s="212"/>
    </row>
    <row r="613" spans="1:10" x14ac:dyDescent="0.2">
      <c r="A613" s="29">
        <f t="shared" si="2"/>
        <v>10</v>
      </c>
      <c r="B613" s="105"/>
      <c r="C613" s="371" t="s">
        <v>153</v>
      </c>
      <c r="D613" s="383" t="s">
        <v>1595</v>
      </c>
      <c r="E613" s="108">
        <v>50</v>
      </c>
      <c r="F613" s="265">
        <v>42</v>
      </c>
      <c r="G613" s="35">
        <f t="shared" si="1"/>
        <v>2100</v>
      </c>
      <c r="H613" s="212"/>
      <c r="I613" s="212"/>
      <c r="J613" s="212"/>
    </row>
    <row r="614" spans="1:10" x14ac:dyDescent="0.2">
      <c r="A614" s="29">
        <f t="shared" si="2"/>
        <v>11</v>
      </c>
      <c r="B614" s="107"/>
      <c r="C614" s="371" t="s">
        <v>153</v>
      </c>
      <c r="D614" s="383" t="s">
        <v>1596</v>
      </c>
      <c r="E614" s="206">
        <v>1000</v>
      </c>
      <c r="F614" s="69">
        <v>9.5</v>
      </c>
      <c r="G614" s="35">
        <f t="shared" si="1"/>
        <v>9500</v>
      </c>
      <c r="H614" s="212"/>
      <c r="I614" s="212"/>
      <c r="J614" s="212"/>
    </row>
    <row r="615" spans="1:10" x14ac:dyDescent="0.2">
      <c r="A615" s="29">
        <f t="shared" si="2"/>
        <v>12</v>
      </c>
      <c r="B615" s="107"/>
      <c r="C615" s="371" t="s">
        <v>153</v>
      </c>
      <c r="D615" s="383" t="s">
        <v>1597</v>
      </c>
      <c r="E615" s="206">
        <v>1000</v>
      </c>
      <c r="F615" s="69">
        <v>7</v>
      </c>
      <c r="G615" s="35">
        <f t="shared" si="1"/>
        <v>7000</v>
      </c>
      <c r="H615" s="212"/>
      <c r="I615" s="212"/>
      <c r="J615" s="212"/>
    </row>
    <row r="616" spans="1:10" x14ac:dyDescent="0.2">
      <c r="A616" s="29">
        <f t="shared" si="2"/>
        <v>13</v>
      </c>
      <c r="B616" s="101"/>
      <c r="C616" s="371" t="s">
        <v>278</v>
      </c>
      <c r="D616" s="384" t="s">
        <v>1598</v>
      </c>
      <c r="E616" s="108">
        <v>300</v>
      </c>
      <c r="F616" s="451">
        <v>355</v>
      </c>
      <c r="G616" s="35">
        <f t="shared" si="1"/>
        <v>106500</v>
      </c>
      <c r="H616" s="212"/>
      <c r="I616" s="212"/>
      <c r="J616" s="212"/>
    </row>
    <row r="617" spans="1:10" x14ac:dyDescent="0.2">
      <c r="A617" s="29">
        <f t="shared" si="2"/>
        <v>14</v>
      </c>
      <c r="B617" s="101"/>
      <c r="C617" s="371" t="s">
        <v>278</v>
      </c>
      <c r="D617" s="383" t="s">
        <v>1599</v>
      </c>
      <c r="E617" s="153">
        <v>150</v>
      </c>
      <c r="F617" s="69">
        <v>300</v>
      </c>
      <c r="G617" s="35">
        <f t="shared" si="1"/>
        <v>45000</v>
      </c>
      <c r="H617" s="212"/>
      <c r="I617" s="212"/>
      <c r="J617" s="212"/>
    </row>
    <row r="618" spans="1:10" x14ac:dyDescent="0.2">
      <c r="A618" s="29">
        <f t="shared" si="2"/>
        <v>15</v>
      </c>
      <c r="B618" s="106"/>
      <c r="C618" s="371" t="s">
        <v>153</v>
      </c>
      <c r="D618" s="384" t="s">
        <v>1600</v>
      </c>
      <c r="E618" s="104">
        <v>500</v>
      </c>
      <c r="F618" s="266">
        <v>6</v>
      </c>
      <c r="G618" s="35">
        <f t="shared" si="1"/>
        <v>3000</v>
      </c>
      <c r="H618" s="212"/>
      <c r="I618" s="212"/>
      <c r="J618" s="212"/>
    </row>
    <row r="619" spans="1:10" x14ac:dyDescent="0.2">
      <c r="A619" s="29">
        <f t="shared" si="2"/>
        <v>16</v>
      </c>
      <c r="B619" s="105"/>
      <c r="C619" s="371" t="s">
        <v>153</v>
      </c>
      <c r="D619" s="419" t="s">
        <v>1601</v>
      </c>
      <c r="E619" s="104">
        <v>500</v>
      </c>
      <c r="F619" s="266">
        <v>5</v>
      </c>
      <c r="G619" s="35">
        <f t="shared" si="1"/>
        <v>2500</v>
      </c>
      <c r="H619" s="212"/>
      <c r="I619" s="212"/>
      <c r="J619" s="212"/>
    </row>
    <row r="620" spans="1:10" x14ac:dyDescent="0.2">
      <c r="A620" s="29">
        <f t="shared" si="2"/>
        <v>17</v>
      </c>
      <c r="B620" s="105"/>
      <c r="C620" s="371" t="s">
        <v>177</v>
      </c>
      <c r="D620" s="384" t="s">
        <v>1602</v>
      </c>
      <c r="E620" s="104">
        <v>18</v>
      </c>
      <c r="F620" s="266">
        <v>163</v>
      </c>
      <c r="G620" s="35">
        <f t="shared" si="1"/>
        <v>2934</v>
      </c>
      <c r="H620" s="212"/>
      <c r="I620" s="212"/>
      <c r="J620" s="212"/>
    </row>
    <row r="621" spans="1:10" x14ac:dyDescent="0.2">
      <c r="A621" s="29">
        <f t="shared" si="2"/>
        <v>18</v>
      </c>
      <c r="B621" s="101"/>
      <c r="C621" s="371" t="s">
        <v>177</v>
      </c>
      <c r="D621" s="384" t="s">
        <v>1603</v>
      </c>
      <c r="E621" s="104">
        <v>20</v>
      </c>
      <c r="F621" s="266">
        <v>38</v>
      </c>
      <c r="G621" s="35">
        <f t="shared" si="1"/>
        <v>760</v>
      </c>
      <c r="H621" s="212"/>
      <c r="I621" s="212"/>
      <c r="J621" s="212"/>
    </row>
    <row r="622" spans="1:10" x14ac:dyDescent="0.2">
      <c r="A622" s="29">
        <f t="shared" si="2"/>
        <v>19</v>
      </c>
      <c r="B622" s="101"/>
      <c r="C622" s="371" t="s">
        <v>153</v>
      </c>
      <c r="D622" s="376" t="s">
        <v>1604</v>
      </c>
      <c r="E622" s="104">
        <v>5</v>
      </c>
      <c r="F622" s="266">
        <v>3870</v>
      </c>
      <c r="G622" s="35">
        <f t="shared" si="1"/>
        <v>19350</v>
      </c>
      <c r="H622" s="212"/>
      <c r="I622" s="212"/>
      <c r="J622" s="212"/>
    </row>
    <row r="623" spans="1:10" x14ac:dyDescent="0.2">
      <c r="A623" s="29">
        <f t="shared" si="2"/>
        <v>20</v>
      </c>
      <c r="B623" s="101"/>
      <c r="C623" s="371" t="s">
        <v>153</v>
      </c>
      <c r="D623" s="376" t="s">
        <v>1605</v>
      </c>
      <c r="E623" s="104">
        <v>10</v>
      </c>
      <c r="F623" s="266">
        <v>2255</v>
      </c>
      <c r="G623" s="35">
        <f t="shared" si="1"/>
        <v>22550</v>
      </c>
      <c r="H623" s="212"/>
      <c r="I623" s="212"/>
      <c r="J623" s="212"/>
    </row>
    <row r="624" spans="1:10" x14ac:dyDescent="0.2">
      <c r="A624" s="29">
        <f t="shared" si="2"/>
        <v>21</v>
      </c>
      <c r="B624" s="101"/>
      <c r="C624" s="371" t="s">
        <v>153</v>
      </c>
      <c r="D624" s="384" t="s">
        <v>1606</v>
      </c>
      <c r="E624" s="104">
        <v>8</v>
      </c>
      <c r="F624" s="266">
        <v>835</v>
      </c>
      <c r="G624" s="35">
        <f t="shared" si="1"/>
        <v>6680</v>
      </c>
      <c r="H624" s="212"/>
      <c r="I624" s="212"/>
      <c r="J624" s="212"/>
    </row>
    <row r="625" spans="1:10" x14ac:dyDescent="0.2">
      <c r="A625" s="29">
        <f t="shared" si="2"/>
        <v>22</v>
      </c>
      <c r="B625" s="101"/>
      <c r="C625" s="371" t="s">
        <v>149</v>
      </c>
      <c r="D625" s="384" t="s">
        <v>1607</v>
      </c>
      <c r="E625" s="104">
        <v>20</v>
      </c>
      <c r="F625" s="266">
        <v>72</v>
      </c>
      <c r="G625" s="35">
        <f t="shared" si="1"/>
        <v>1440</v>
      </c>
      <c r="H625" s="212"/>
      <c r="I625" s="212"/>
      <c r="J625" s="212"/>
    </row>
    <row r="626" spans="1:10" x14ac:dyDescent="0.2">
      <c r="A626" s="29">
        <f t="shared" si="2"/>
        <v>23</v>
      </c>
      <c r="B626" s="101"/>
      <c r="C626" s="371" t="s">
        <v>153</v>
      </c>
      <c r="D626" s="384" t="s">
        <v>1608</v>
      </c>
      <c r="E626" s="104">
        <v>20</v>
      </c>
      <c r="F626" s="266">
        <v>201.5</v>
      </c>
      <c r="G626" s="35">
        <f t="shared" si="1"/>
        <v>4030</v>
      </c>
      <c r="H626" s="212"/>
      <c r="I626" s="212"/>
      <c r="J626" s="212"/>
    </row>
    <row r="627" spans="1:10" x14ac:dyDescent="0.2">
      <c r="A627" s="29"/>
      <c r="B627" s="101"/>
      <c r="C627" s="371"/>
      <c r="D627" s="384"/>
      <c r="E627" s="104"/>
      <c r="F627" s="266"/>
      <c r="G627" s="372"/>
      <c r="H627" s="438"/>
      <c r="I627" s="438"/>
      <c r="J627" s="438"/>
    </row>
    <row r="628" spans="1:10" x14ac:dyDescent="0.2">
      <c r="A628" s="29"/>
      <c r="B628" s="101"/>
      <c r="C628" s="41"/>
      <c r="D628" s="384"/>
      <c r="E628" s="104"/>
      <c r="F628" s="266"/>
      <c r="G628" s="372"/>
      <c r="H628" s="438"/>
      <c r="I628" s="438"/>
      <c r="J628" s="438"/>
    </row>
    <row r="629" spans="1:10" x14ac:dyDescent="0.2">
      <c r="A629" s="29"/>
      <c r="B629" s="101"/>
      <c r="C629" s="371"/>
      <c r="D629" s="376" t="s">
        <v>150</v>
      </c>
      <c r="E629" s="108"/>
      <c r="F629" s="69"/>
      <c r="G629" s="372"/>
      <c r="H629" s="438"/>
      <c r="I629" s="438"/>
      <c r="J629" s="438"/>
    </row>
    <row r="630" spans="1:10" x14ac:dyDescent="0.2">
      <c r="A630" s="29"/>
      <c r="B630" s="101"/>
      <c r="C630" s="41"/>
      <c r="D630" s="358"/>
      <c r="E630" s="153"/>
      <c r="F630" s="69"/>
      <c r="G630" s="372"/>
      <c r="H630" s="438"/>
      <c r="I630" s="438"/>
      <c r="J630" s="438"/>
    </row>
    <row r="631" spans="1:10" x14ac:dyDescent="0.2">
      <c r="A631" s="29"/>
      <c r="B631" s="101"/>
      <c r="C631" s="371"/>
      <c r="D631" s="419"/>
      <c r="E631" s="102"/>
      <c r="F631" s="69"/>
      <c r="G631" s="372"/>
      <c r="H631" s="438"/>
      <c r="I631" s="438"/>
      <c r="J631" s="438"/>
    </row>
    <row r="632" spans="1:10" x14ac:dyDescent="0.2">
      <c r="A632" s="29"/>
      <c r="B632" s="101"/>
      <c r="C632" s="31"/>
      <c r="D632" s="419"/>
      <c r="E632" s="131"/>
      <c r="F632" s="267"/>
      <c r="G632" s="372"/>
      <c r="H632" s="438"/>
      <c r="I632" s="438"/>
      <c r="J632" s="438"/>
    </row>
    <row r="633" spans="1:10" x14ac:dyDescent="0.2">
      <c r="A633" s="29"/>
      <c r="B633" s="101"/>
      <c r="C633" s="371"/>
      <c r="D633" s="425"/>
      <c r="E633" s="108"/>
      <c r="F633" s="263"/>
      <c r="G633" s="372"/>
      <c r="H633" s="438"/>
      <c r="I633" s="438"/>
      <c r="J633" s="438"/>
    </row>
    <row r="634" spans="1:10" x14ac:dyDescent="0.2">
      <c r="A634" s="29"/>
      <c r="B634" s="101"/>
      <c r="C634" s="41"/>
      <c r="D634" s="383"/>
      <c r="E634" s="108"/>
      <c r="F634" s="263"/>
      <c r="G634" s="372"/>
      <c r="H634" s="438"/>
      <c r="I634" s="438"/>
      <c r="J634" s="438"/>
    </row>
    <row r="635" spans="1:10" x14ac:dyDescent="0.2">
      <c r="A635" s="29"/>
      <c r="B635" s="101"/>
      <c r="C635" s="371"/>
      <c r="D635" s="383"/>
      <c r="E635" s="108"/>
      <c r="F635" s="149"/>
      <c r="G635" s="372"/>
      <c r="H635" s="438"/>
      <c r="I635" s="438"/>
      <c r="J635" s="438"/>
    </row>
    <row r="636" spans="1:10" x14ac:dyDescent="0.2">
      <c r="A636" s="61"/>
      <c r="B636" s="101"/>
      <c r="C636" s="41"/>
      <c r="D636" s="383"/>
      <c r="E636" s="108"/>
      <c r="F636" s="149"/>
      <c r="G636" s="372"/>
      <c r="H636" s="438"/>
      <c r="I636" s="438"/>
      <c r="J636" s="438"/>
    </row>
    <row r="637" spans="1:10" ht="13.5" thickBot="1" x14ac:dyDescent="0.25">
      <c r="A637" s="209"/>
      <c r="B637" s="132"/>
      <c r="C637" s="115"/>
      <c r="D637" s="115"/>
      <c r="E637" s="132"/>
      <c r="F637" s="49" t="s">
        <v>15</v>
      </c>
      <c r="G637" s="210">
        <f>SUM(G604:G636)</f>
        <v>297630</v>
      </c>
      <c r="H637" s="243"/>
      <c r="I637" s="243"/>
      <c r="J637" s="243"/>
    </row>
    <row r="638" spans="1:10" ht="13.5" thickTop="1" x14ac:dyDescent="0.2">
      <c r="A638" s="875" t="s">
        <v>1640</v>
      </c>
      <c r="B638" s="899"/>
      <c r="C638" s="899"/>
      <c r="D638" s="899"/>
      <c r="E638" s="899"/>
      <c r="F638" s="899"/>
      <c r="G638" s="900"/>
      <c r="H638" s="22"/>
      <c r="I638" s="22"/>
      <c r="J638" s="22"/>
    </row>
    <row r="639" spans="1:10" ht="13.5" thickBot="1" x14ac:dyDescent="0.25">
      <c r="A639" s="52"/>
      <c r="B639" s="103"/>
      <c r="C639" s="374" t="s">
        <v>8</v>
      </c>
      <c r="D639" s="54"/>
      <c r="E639" s="103"/>
      <c r="F639" s="55"/>
      <c r="G639" s="56"/>
    </row>
    <row r="640" spans="1:10" ht="13.5" thickTop="1" x14ac:dyDescent="0.2">
      <c r="A640" s="906"/>
      <c r="B640" s="907"/>
      <c r="C640" s="907"/>
      <c r="D640" s="57" t="s">
        <v>11</v>
      </c>
      <c r="E640" s="908" t="s">
        <v>12</v>
      </c>
      <c r="F640" s="908"/>
      <c r="G640" s="909"/>
      <c r="H640" s="4"/>
      <c r="I640" s="4"/>
      <c r="J640" s="4"/>
    </row>
    <row r="641" spans="1:10" x14ac:dyDescent="0.2">
      <c r="A641" s="910" t="s">
        <v>17</v>
      </c>
      <c r="B641" s="911"/>
      <c r="C641" s="911"/>
      <c r="D641" s="39"/>
      <c r="E641" s="912"/>
      <c r="F641" s="913"/>
      <c r="G641" s="914"/>
      <c r="H641" s="176"/>
      <c r="I641" s="176"/>
      <c r="J641" s="176"/>
    </row>
    <row r="642" spans="1:10" x14ac:dyDescent="0.2">
      <c r="A642" s="910" t="s">
        <v>38</v>
      </c>
      <c r="B642" s="911"/>
      <c r="C642" s="911"/>
      <c r="D642" s="73" t="s">
        <v>891</v>
      </c>
      <c r="E642" s="868" t="s">
        <v>142</v>
      </c>
      <c r="F642" s="868"/>
      <c r="G642" s="869"/>
      <c r="H642" s="1"/>
      <c r="I642" s="1"/>
      <c r="J642" s="1"/>
    </row>
    <row r="643" spans="1:10" ht="13.5" thickBot="1" x14ac:dyDescent="0.25">
      <c r="A643" s="901" t="s">
        <v>39</v>
      </c>
      <c r="B643" s="902"/>
      <c r="C643" s="902"/>
      <c r="D643" s="91" t="s">
        <v>892</v>
      </c>
      <c r="E643" s="904" t="s">
        <v>0</v>
      </c>
      <c r="F643" s="904"/>
      <c r="G643" s="905"/>
      <c r="H643" s="4"/>
      <c r="I643" s="4"/>
      <c r="J643" s="4"/>
    </row>
    <row r="644" spans="1:10" ht="16.5" x14ac:dyDescent="0.25">
      <c r="A644" s="885" t="s">
        <v>29</v>
      </c>
      <c r="B644" s="886"/>
      <c r="C644" s="886"/>
      <c r="D644" s="886"/>
      <c r="E644" s="886"/>
      <c r="F644" s="886"/>
      <c r="G644" s="887"/>
      <c r="H644" s="247"/>
      <c r="I644" s="247"/>
      <c r="J644" s="247"/>
    </row>
    <row r="645" spans="1:10" x14ac:dyDescent="0.2">
      <c r="A645" s="888" t="s">
        <v>48</v>
      </c>
      <c r="B645" s="889"/>
      <c r="C645" s="889"/>
      <c r="D645" s="889"/>
      <c r="E645" s="889"/>
      <c r="F645" s="889"/>
      <c r="G645" s="890"/>
      <c r="H645" s="246"/>
      <c r="I645" s="246"/>
      <c r="J645" s="246"/>
    </row>
    <row r="646" spans="1:10" x14ac:dyDescent="0.2">
      <c r="A646" s="915" t="s">
        <v>49</v>
      </c>
      <c r="B646" s="916"/>
      <c r="C646" s="916"/>
      <c r="D646" s="916"/>
      <c r="E646" s="916"/>
      <c r="F646" s="916"/>
      <c r="G646" s="917"/>
      <c r="H646" s="4"/>
      <c r="I646" s="4"/>
      <c r="J646" s="4"/>
    </row>
    <row r="647" spans="1:10" x14ac:dyDescent="0.2">
      <c r="A647" s="6"/>
      <c r="B647" s="99"/>
      <c r="C647" s="8"/>
      <c r="D647" s="9"/>
      <c r="E647" s="99"/>
      <c r="F647" s="10"/>
      <c r="G647" s="11" t="s">
        <v>20</v>
      </c>
      <c r="H647" s="248"/>
      <c r="I647" s="248"/>
      <c r="J647" s="248"/>
    </row>
    <row r="648" spans="1:10" x14ac:dyDescent="0.2">
      <c r="A648" s="12" t="s">
        <v>1</v>
      </c>
      <c r="B648" s="13"/>
      <c r="C648" s="14" t="s">
        <v>36</v>
      </c>
      <c r="D648" s="13"/>
      <c r="E648" s="362" t="s">
        <v>1802</v>
      </c>
      <c r="F648" s="98"/>
      <c r="G648" s="363" t="s">
        <v>1781</v>
      </c>
      <c r="H648" s="430"/>
      <c r="I648" s="430"/>
      <c r="J648" s="430"/>
    </row>
    <row r="649" spans="1:10" x14ac:dyDescent="0.2">
      <c r="A649" s="17" t="s">
        <v>8</v>
      </c>
      <c r="B649" s="100"/>
      <c r="C649" s="19"/>
      <c r="D649" s="4"/>
      <c r="E649" s="918"/>
      <c r="F649" s="919"/>
      <c r="G649" s="20"/>
    </row>
    <row r="650" spans="1:10" x14ac:dyDescent="0.2">
      <c r="A650" s="21" t="s">
        <v>37</v>
      </c>
      <c r="B650" s="22"/>
      <c r="C650" s="22"/>
      <c r="D650" s="22"/>
      <c r="E650" s="23" t="s">
        <v>46</v>
      </c>
      <c r="F650" s="24"/>
      <c r="G650" s="20" t="s">
        <v>50</v>
      </c>
    </row>
    <row r="651" spans="1:10" x14ac:dyDescent="0.2">
      <c r="A651" s="6"/>
      <c r="B651" s="99"/>
      <c r="C651" s="8"/>
      <c r="D651" s="8"/>
      <c r="E651" s="920"/>
      <c r="F651" s="921"/>
      <c r="G651" s="25"/>
    </row>
    <row r="652" spans="1:10" ht="26.25" thickBot="1" x14ac:dyDescent="0.25">
      <c r="A652" s="207" t="s">
        <v>47</v>
      </c>
      <c r="B652" s="28" t="s">
        <v>23</v>
      </c>
      <c r="C652" s="28" t="s">
        <v>34</v>
      </c>
      <c r="D652" s="110" t="s">
        <v>53</v>
      </c>
      <c r="E652" s="114" t="s">
        <v>54</v>
      </c>
      <c r="F652" s="111" t="s">
        <v>55</v>
      </c>
      <c r="G652" s="112" t="s">
        <v>35</v>
      </c>
      <c r="H652" s="249"/>
      <c r="I652" s="249"/>
      <c r="J652" s="249"/>
    </row>
    <row r="653" spans="1:10" ht="13.5" thickTop="1" x14ac:dyDescent="0.2">
      <c r="A653" s="29">
        <v>1</v>
      </c>
      <c r="B653" s="101"/>
      <c r="C653" s="371" t="s">
        <v>149</v>
      </c>
      <c r="D653" s="370" t="s">
        <v>1416</v>
      </c>
      <c r="E653" s="108">
        <v>50</v>
      </c>
      <c r="F653" s="149">
        <v>200</v>
      </c>
      <c r="G653" s="35">
        <f>F653*E653</f>
        <v>10000</v>
      </c>
      <c r="H653" s="212"/>
      <c r="I653" s="212"/>
      <c r="J653" s="212"/>
    </row>
    <row r="654" spans="1:10" x14ac:dyDescent="0.2">
      <c r="A654" s="29"/>
      <c r="B654" s="101"/>
      <c r="C654" s="371"/>
      <c r="D654" s="370" t="s">
        <v>978</v>
      </c>
      <c r="E654" s="108"/>
      <c r="F654" s="149"/>
      <c r="G654" s="35"/>
      <c r="H654" s="212"/>
      <c r="I654" s="212"/>
      <c r="J654" s="212"/>
    </row>
    <row r="655" spans="1:10" x14ac:dyDescent="0.2">
      <c r="A655" s="29">
        <v>2</v>
      </c>
      <c r="B655" s="105"/>
      <c r="C655" s="371" t="s">
        <v>149</v>
      </c>
      <c r="D655" s="376" t="s">
        <v>339</v>
      </c>
      <c r="E655" s="102">
        <v>50</v>
      </c>
      <c r="F655" s="128">
        <v>350</v>
      </c>
      <c r="G655" s="372">
        <f>F655*E655</f>
        <v>17500</v>
      </c>
      <c r="H655" s="438"/>
      <c r="I655" s="438"/>
      <c r="J655" s="438"/>
    </row>
    <row r="656" spans="1:10" x14ac:dyDescent="0.2">
      <c r="A656" s="29"/>
      <c r="B656" s="105"/>
      <c r="C656" s="371"/>
      <c r="D656" s="376" t="s">
        <v>301</v>
      </c>
      <c r="E656" s="102"/>
      <c r="F656" s="128"/>
      <c r="G656" s="372"/>
      <c r="H656" s="438"/>
      <c r="I656" s="438"/>
      <c r="J656" s="438"/>
    </row>
    <row r="657" spans="1:10" x14ac:dyDescent="0.2">
      <c r="A657" s="29"/>
      <c r="B657" s="105"/>
      <c r="C657" s="371"/>
      <c r="D657" s="376"/>
      <c r="E657" s="102"/>
      <c r="F657" s="128"/>
      <c r="G657" s="372"/>
      <c r="H657" s="438"/>
      <c r="I657" s="438"/>
      <c r="J657" s="438"/>
    </row>
    <row r="658" spans="1:10" x14ac:dyDescent="0.2">
      <c r="A658" s="29"/>
      <c r="B658" s="105"/>
      <c r="C658" s="371"/>
      <c r="D658" s="376"/>
      <c r="E658" s="102"/>
      <c r="F658" s="128"/>
      <c r="G658" s="372"/>
      <c r="H658" s="438"/>
      <c r="I658" s="438"/>
      <c r="J658" s="438"/>
    </row>
    <row r="659" spans="1:10" x14ac:dyDescent="0.2">
      <c r="A659" s="29"/>
      <c r="B659" s="151"/>
      <c r="C659" s="119"/>
      <c r="D659" s="358"/>
      <c r="E659" s="108"/>
      <c r="F659" s="264"/>
      <c r="G659" s="372"/>
      <c r="H659" s="438"/>
      <c r="I659" s="438"/>
      <c r="J659" s="438"/>
    </row>
    <row r="660" spans="1:10" x14ac:dyDescent="0.2">
      <c r="A660" s="29"/>
      <c r="B660" s="101"/>
      <c r="C660" s="371"/>
      <c r="D660" s="383"/>
      <c r="E660" s="104"/>
      <c r="F660" s="69"/>
      <c r="G660" s="372"/>
      <c r="H660" s="438"/>
      <c r="I660" s="438"/>
      <c r="J660" s="438"/>
    </row>
    <row r="661" spans="1:10" x14ac:dyDescent="0.2">
      <c r="A661" s="29"/>
      <c r="B661" s="106"/>
      <c r="C661" s="41"/>
      <c r="D661" s="376"/>
      <c r="E661" s="104"/>
      <c r="F661" s="69"/>
      <c r="G661" s="372"/>
      <c r="H661" s="438"/>
      <c r="I661" s="438"/>
      <c r="J661" s="438"/>
    </row>
    <row r="662" spans="1:10" x14ac:dyDescent="0.2">
      <c r="A662" s="29"/>
      <c r="B662" s="105"/>
      <c r="C662" s="371"/>
      <c r="D662" s="376"/>
      <c r="E662" s="108"/>
      <c r="F662" s="265"/>
      <c r="G662" s="372"/>
      <c r="H662" s="438"/>
      <c r="I662" s="438"/>
      <c r="J662" s="438"/>
    </row>
    <row r="663" spans="1:10" x14ac:dyDescent="0.2">
      <c r="A663" s="29"/>
      <c r="B663" s="107"/>
      <c r="C663" s="41"/>
      <c r="D663" s="376"/>
      <c r="E663" s="153"/>
      <c r="F663" s="69"/>
      <c r="G663" s="372"/>
      <c r="H663" s="438"/>
      <c r="I663" s="438"/>
      <c r="J663" s="438"/>
    </row>
    <row r="664" spans="1:10" x14ac:dyDescent="0.2">
      <c r="A664" s="29"/>
      <c r="B664" s="107"/>
      <c r="C664" s="371"/>
      <c r="D664" s="384"/>
      <c r="E664" s="153"/>
      <c r="F664" s="69"/>
      <c r="G664" s="372"/>
      <c r="H664" s="438"/>
      <c r="I664" s="438"/>
      <c r="J664" s="438"/>
    </row>
    <row r="665" spans="1:10" x14ac:dyDescent="0.2">
      <c r="A665" s="29"/>
      <c r="B665" s="101"/>
      <c r="C665" s="41"/>
      <c r="D665" s="384"/>
      <c r="E665" s="108"/>
      <c r="F665" s="451"/>
      <c r="G665" s="372"/>
      <c r="H665" s="438"/>
      <c r="I665" s="438"/>
      <c r="J665" s="438"/>
    </row>
    <row r="666" spans="1:10" x14ac:dyDescent="0.2">
      <c r="A666" s="29"/>
      <c r="B666" s="101"/>
      <c r="C666" s="41"/>
      <c r="D666" s="358"/>
      <c r="E666" s="153"/>
      <c r="F666" s="69"/>
      <c r="G666" s="372"/>
      <c r="H666" s="438"/>
      <c r="I666" s="438"/>
      <c r="J666" s="438"/>
    </row>
    <row r="667" spans="1:10" x14ac:dyDescent="0.2">
      <c r="A667" s="29"/>
      <c r="B667" s="106"/>
      <c r="C667" s="371"/>
      <c r="D667" s="384"/>
      <c r="E667" s="104"/>
      <c r="F667" s="266"/>
      <c r="G667" s="372"/>
      <c r="H667" s="438"/>
      <c r="I667" s="438"/>
      <c r="J667" s="438"/>
    </row>
    <row r="668" spans="1:10" x14ac:dyDescent="0.2">
      <c r="A668" s="29"/>
      <c r="B668" s="105"/>
      <c r="C668" s="41"/>
      <c r="D668" s="419"/>
      <c r="E668" s="104"/>
      <c r="F668" s="266"/>
      <c r="G668" s="372"/>
      <c r="H668" s="438"/>
      <c r="I668" s="438"/>
      <c r="J668" s="438"/>
    </row>
    <row r="669" spans="1:10" x14ac:dyDescent="0.2">
      <c r="A669" s="29"/>
      <c r="B669" s="105"/>
      <c r="C669" s="371"/>
      <c r="D669" s="384"/>
      <c r="E669" s="104"/>
      <c r="F669" s="266"/>
      <c r="G669" s="372"/>
      <c r="H669" s="438"/>
      <c r="I669" s="438"/>
      <c r="J669" s="438"/>
    </row>
    <row r="670" spans="1:10" x14ac:dyDescent="0.2">
      <c r="A670" s="29"/>
      <c r="B670" s="101"/>
      <c r="C670" s="41"/>
      <c r="D670" s="384"/>
      <c r="E670" s="104"/>
      <c r="F670" s="266"/>
      <c r="G670" s="372"/>
      <c r="H670" s="438"/>
      <c r="I670" s="438"/>
      <c r="J670" s="438"/>
    </row>
    <row r="671" spans="1:10" x14ac:dyDescent="0.2">
      <c r="A671" s="29"/>
      <c r="B671" s="101"/>
      <c r="C671" s="371"/>
      <c r="D671" s="376"/>
      <c r="E671" s="104"/>
      <c r="F671" s="266"/>
      <c r="G671" s="372"/>
      <c r="H671" s="438"/>
      <c r="I671" s="438"/>
      <c r="J671" s="438"/>
    </row>
    <row r="672" spans="1:10" x14ac:dyDescent="0.2">
      <c r="A672" s="29"/>
      <c r="B672" s="101"/>
      <c r="C672" s="41"/>
      <c r="D672" s="376"/>
      <c r="E672" s="104"/>
      <c r="F672" s="266"/>
      <c r="G672" s="372"/>
      <c r="H672" s="438"/>
      <c r="I672" s="438"/>
      <c r="J672" s="438"/>
    </row>
    <row r="673" spans="1:10" x14ac:dyDescent="0.2">
      <c r="A673" s="29"/>
      <c r="B673" s="101"/>
      <c r="C673" s="41"/>
      <c r="D673" s="444"/>
      <c r="E673" s="104"/>
      <c r="F673" s="266"/>
      <c r="G673" s="372"/>
      <c r="H673" s="438"/>
      <c r="I673" s="438"/>
      <c r="J673" s="438"/>
    </row>
    <row r="674" spans="1:10" x14ac:dyDescent="0.2">
      <c r="A674" s="29"/>
      <c r="B674" s="101"/>
      <c r="C674" s="371"/>
      <c r="D674" s="384"/>
      <c r="E674" s="104"/>
      <c r="F674" s="266"/>
      <c r="G674" s="372"/>
      <c r="H674" s="438"/>
      <c r="I674" s="438"/>
      <c r="J674" s="438"/>
    </row>
    <row r="675" spans="1:10" x14ac:dyDescent="0.2">
      <c r="A675" s="29"/>
      <c r="B675" s="101"/>
      <c r="C675" s="41"/>
      <c r="D675" s="384"/>
      <c r="E675" s="104"/>
      <c r="F675" s="266"/>
      <c r="G675" s="372"/>
      <c r="H675" s="438"/>
      <c r="I675" s="438"/>
      <c r="J675" s="438"/>
    </row>
    <row r="676" spans="1:10" x14ac:dyDescent="0.2">
      <c r="A676" s="29"/>
      <c r="B676" s="101"/>
      <c r="C676" s="371"/>
      <c r="D676" s="384"/>
      <c r="E676" s="104"/>
      <c r="F676" s="266"/>
      <c r="G676" s="372"/>
      <c r="H676" s="438"/>
      <c r="I676" s="438"/>
      <c r="J676" s="438"/>
    </row>
    <row r="677" spans="1:10" x14ac:dyDescent="0.2">
      <c r="A677" s="29"/>
      <c r="B677" s="101"/>
      <c r="C677" s="41"/>
      <c r="D677" s="384"/>
      <c r="E677" s="104"/>
      <c r="F677" s="266"/>
      <c r="G677" s="372"/>
      <c r="H677" s="438"/>
      <c r="I677" s="438"/>
      <c r="J677" s="438"/>
    </row>
    <row r="678" spans="1:10" x14ac:dyDescent="0.2">
      <c r="A678" s="29"/>
      <c r="B678" s="101"/>
      <c r="C678" s="371"/>
      <c r="D678" s="376"/>
      <c r="E678" s="108"/>
      <c r="F678" s="69"/>
      <c r="G678" s="372"/>
      <c r="H678" s="438"/>
      <c r="I678" s="438"/>
      <c r="J678" s="438"/>
    </row>
    <row r="679" spans="1:10" x14ac:dyDescent="0.2">
      <c r="A679" s="29"/>
      <c r="B679" s="101"/>
      <c r="C679" s="41"/>
      <c r="D679" s="358"/>
      <c r="E679" s="153"/>
      <c r="F679" s="69"/>
      <c r="G679" s="372"/>
      <c r="H679" s="438"/>
      <c r="I679" s="438"/>
      <c r="J679" s="438"/>
    </row>
    <row r="680" spans="1:10" x14ac:dyDescent="0.2">
      <c r="A680" s="29"/>
      <c r="B680" s="101"/>
      <c r="C680" s="371"/>
      <c r="D680" s="419"/>
      <c r="E680" s="102"/>
      <c r="F680" s="69"/>
      <c r="G680" s="372"/>
      <c r="H680" s="438"/>
      <c r="I680" s="438"/>
      <c r="J680" s="438"/>
    </row>
    <row r="681" spans="1:10" x14ac:dyDescent="0.2">
      <c r="A681" s="29"/>
      <c r="B681" s="101"/>
      <c r="C681" s="31"/>
      <c r="D681" s="419"/>
      <c r="E681" s="131"/>
      <c r="F681" s="267"/>
      <c r="G681" s="372"/>
      <c r="H681" s="438"/>
      <c r="I681" s="438"/>
      <c r="J681" s="438"/>
    </row>
    <row r="682" spans="1:10" x14ac:dyDescent="0.2">
      <c r="A682" s="29"/>
      <c r="B682" s="101"/>
      <c r="C682" s="371"/>
      <c r="D682" s="425"/>
      <c r="E682" s="108"/>
      <c r="F682" s="263"/>
      <c r="G682" s="372"/>
      <c r="H682" s="438"/>
      <c r="I682" s="438"/>
      <c r="J682" s="438"/>
    </row>
    <row r="683" spans="1:10" x14ac:dyDescent="0.2">
      <c r="A683" s="29"/>
      <c r="B683" s="101"/>
      <c r="C683" s="41"/>
      <c r="D683" s="383"/>
      <c r="E683" s="108"/>
      <c r="F683" s="263"/>
      <c r="G683" s="372"/>
      <c r="H683" s="438"/>
      <c r="I683" s="438"/>
      <c r="J683" s="438"/>
    </row>
    <row r="684" spans="1:10" x14ac:dyDescent="0.2">
      <c r="A684" s="29"/>
      <c r="B684" s="101"/>
      <c r="C684" s="371"/>
      <c r="D684" s="383"/>
      <c r="E684" s="108"/>
      <c r="F684" s="149"/>
      <c r="G684" s="372"/>
      <c r="H684" s="438"/>
      <c r="I684" s="438"/>
      <c r="J684" s="438"/>
    </row>
    <row r="685" spans="1:10" x14ac:dyDescent="0.2">
      <c r="A685" s="61"/>
      <c r="B685" s="101"/>
      <c r="C685" s="41"/>
      <c r="D685" s="383"/>
      <c r="E685" s="108"/>
      <c r="F685" s="149"/>
      <c r="G685" s="372"/>
      <c r="H685" s="438"/>
      <c r="I685" s="438"/>
      <c r="J685" s="438"/>
    </row>
    <row r="686" spans="1:10" ht="13.5" thickBot="1" x14ac:dyDescent="0.25">
      <c r="A686" s="209"/>
      <c r="B686" s="132"/>
      <c r="C686" s="115"/>
      <c r="D686" s="115"/>
      <c r="E686" s="132"/>
      <c r="F686" s="49" t="s">
        <v>15</v>
      </c>
      <c r="G686" s="210">
        <f>SUM(G653:G685)</f>
        <v>27500</v>
      </c>
      <c r="H686" s="243"/>
      <c r="I686" s="243"/>
      <c r="J686" s="243"/>
    </row>
    <row r="687" spans="1:10" ht="13.5" thickTop="1" x14ac:dyDescent="0.2">
      <c r="A687" s="875" t="s">
        <v>1661</v>
      </c>
      <c r="B687" s="899"/>
      <c r="C687" s="899"/>
      <c r="D687" s="899"/>
      <c r="E687" s="899"/>
      <c r="F687" s="899"/>
      <c r="G687" s="900"/>
      <c r="H687" s="22"/>
      <c r="I687" s="22"/>
      <c r="J687" s="22"/>
    </row>
    <row r="688" spans="1:10" ht="13.5" thickBot="1" x14ac:dyDescent="0.25">
      <c r="A688" s="52"/>
      <c r="B688" s="103"/>
      <c r="C688" s="374" t="s">
        <v>8</v>
      </c>
      <c r="D688" s="54"/>
      <c r="E688" s="103"/>
      <c r="F688" s="55"/>
      <c r="G688" s="56"/>
    </row>
    <row r="689" spans="1:10" ht="13.5" thickTop="1" x14ac:dyDescent="0.2">
      <c r="A689" s="906"/>
      <c r="B689" s="907"/>
      <c r="C689" s="907"/>
      <c r="D689" s="57" t="s">
        <v>11</v>
      </c>
      <c r="E689" s="908" t="s">
        <v>12</v>
      </c>
      <c r="F689" s="908"/>
      <c r="G689" s="909"/>
      <c r="H689" s="4"/>
      <c r="I689" s="4"/>
      <c r="J689" s="4"/>
    </row>
    <row r="690" spans="1:10" x14ac:dyDescent="0.2">
      <c r="A690" s="910" t="s">
        <v>17</v>
      </c>
      <c r="B690" s="911"/>
      <c r="C690" s="911"/>
      <c r="D690" s="39"/>
      <c r="E690" s="912"/>
      <c r="F690" s="913"/>
      <c r="G690" s="914"/>
      <c r="H690" s="176"/>
      <c r="I690" s="176"/>
      <c r="J690" s="176"/>
    </row>
    <row r="691" spans="1:10" x14ac:dyDescent="0.2">
      <c r="A691" s="910" t="s">
        <v>38</v>
      </c>
      <c r="B691" s="911"/>
      <c r="C691" s="911"/>
      <c r="D691" s="73" t="s">
        <v>891</v>
      </c>
      <c r="E691" s="868" t="s">
        <v>142</v>
      </c>
      <c r="F691" s="868"/>
      <c r="G691" s="869"/>
      <c r="H691" s="1"/>
      <c r="I691" s="1"/>
      <c r="J691" s="1"/>
    </row>
    <row r="692" spans="1:10" ht="13.5" thickBot="1" x14ac:dyDescent="0.25">
      <c r="A692" s="901" t="s">
        <v>39</v>
      </c>
      <c r="B692" s="902"/>
      <c r="C692" s="902"/>
      <c r="D692" s="91" t="s">
        <v>892</v>
      </c>
      <c r="E692" s="904" t="s">
        <v>0</v>
      </c>
      <c r="F692" s="904"/>
      <c r="G692" s="905"/>
      <c r="H692" s="4"/>
      <c r="I692" s="4"/>
      <c r="J692" s="4"/>
    </row>
    <row r="693" spans="1:10" ht="16.5" x14ac:dyDescent="0.25">
      <c r="A693" s="885" t="s">
        <v>29</v>
      </c>
      <c r="B693" s="886"/>
      <c r="C693" s="886"/>
      <c r="D693" s="886"/>
      <c r="E693" s="886"/>
      <c r="F693" s="886"/>
      <c r="G693" s="887"/>
      <c r="H693" s="247"/>
      <c r="I693" s="247"/>
      <c r="J693" s="247"/>
    </row>
    <row r="694" spans="1:10" x14ac:dyDescent="0.2">
      <c r="A694" s="888" t="s">
        <v>48</v>
      </c>
      <c r="B694" s="889"/>
      <c r="C694" s="889"/>
      <c r="D694" s="889"/>
      <c r="E694" s="889"/>
      <c r="F694" s="889"/>
      <c r="G694" s="890"/>
      <c r="H694" s="246"/>
      <c r="I694" s="246"/>
      <c r="J694" s="246"/>
    </row>
    <row r="695" spans="1:10" x14ac:dyDescent="0.2">
      <c r="A695" s="915" t="s">
        <v>49</v>
      </c>
      <c r="B695" s="916"/>
      <c r="C695" s="916"/>
      <c r="D695" s="916"/>
      <c r="E695" s="916"/>
      <c r="F695" s="916"/>
      <c r="G695" s="917"/>
      <c r="H695" s="4"/>
      <c r="I695" s="4"/>
      <c r="J695" s="4"/>
    </row>
    <row r="696" spans="1:10" x14ac:dyDescent="0.2">
      <c r="A696" s="6"/>
      <c r="B696" s="99"/>
      <c r="C696" s="8"/>
      <c r="D696" s="9"/>
      <c r="E696" s="99"/>
      <c r="F696" s="10"/>
      <c r="G696" s="11" t="s">
        <v>20</v>
      </c>
      <c r="H696" s="248"/>
      <c r="I696" s="248"/>
      <c r="J696" s="248"/>
    </row>
    <row r="697" spans="1:10" x14ac:dyDescent="0.2">
      <c r="A697" s="12" t="s">
        <v>1</v>
      </c>
      <c r="B697" s="13"/>
      <c r="C697" s="14" t="s">
        <v>36</v>
      </c>
      <c r="D697" s="13"/>
      <c r="E697" s="362" t="s">
        <v>1803</v>
      </c>
      <c r="F697" s="98"/>
      <c r="G697" s="363" t="s">
        <v>1781</v>
      </c>
      <c r="H697" s="430"/>
      <c r="I697" s="430"/>
      <c r="J697" s="430"/>
    </row>
    <row r="698" spans="1:10" x14ac:dyDescent="0.2">
      <c r="A698" s="17" t="s">
        <v>8</v>
      </c>
      <c r="B698" s="100"/>
      <c r="C698" s="19"/>
      <c r="D698" s="4"/>
      <c r="E698" s="918"/>
      <c r="F698" s="919"/>
      <c r="G698" s="20"/>
    </row>
    <row r="699" spans="1:10" x14ac:dyDescent="0.2">
      <c r="A699" s="21" t="s">
        <v>37</v>
      </c>
      <c r="B699" s="22"/>
      <c r="C699" s="22"/>
      <c r="D699" s="22"/>
      <c r="E699" s="23" t="s">
        <v>46</v>
      </c>
      <c r="F699" s="24"/>
      <c r="G699" s="20" t="s">
        <v>50</v>
      </c>
    </row>
    <row r="700" spans="1:10" x14ac:dyDescent="0.2">
      <c r="A700" s="6"/>
      <c r="B700" s="99"/>
      <c r="C700" s="8"/>
      <c r="D700" s="8"/>
      <c r="E700" s="920"/>
      <c r="F700" s="921"/>
      <c r="G700" s="25"/>
    </row>
    <row r="701" spans="1:10" ht="26.25" thickBot="1" x14ac:dyDescent="0.25">
      <c r="A701" s="207" t="s">
        <v>47</v>
      </c>
      <c r="B701" s="28" t="s">
        <v>23</v>
      </c>
      <c r="C701" s="28" t="s">
        <v>34</v>
      </c>
      <c r="D701" s="110" t="s">
        <v>53</v>
      </c>
      <c r="E701" s="114" t="s">
        <v>54</v>
      </c>
      <c r="F701" s="111" t="s">
        <v>55</v>
      </c>
      <c r="G701" s="112" t="s">
        <v>35</v>
      </c>
      <c r="H701" s="249"/>
      <c r="I701" s="249"/>
      <c r="J701" s="249"/>
    </row>
    <row r="702" spans="1:10" ht="13.5" thickTop="1" x14ac:dyDescent="0.2">
      <c r="A702" s="29">
        <v>1</v>
      </c>
      <c r="B702" s="101"/>
      <c r="C702" s="371" t="s">
        <v>149</v>
      </c>
      <c r="D702" s="370" t="s">
        <v>1662</v>
      </c>
      <c r="E702" s="108">
        <v>40</v>
      </c>
      <c r="F702" s="149">
        <v>200</v>
      </c>
      <c r="G702" s="35">
        <f>F702*E702</f>
        <v>8000</v>
      </c>
      <c r="H702" s="212"/>
      <c r="I702" s="212"/>
      <c r="J702" s="212"/>
    </row>
    <row r="703" spans="1:10" x14ac:dyDescent="0.2">
      <c r="A703" s="29"/>
      <c r="B703" s="101"/>
      <c r="C703" s="371"/>
      <c r="D703" s="370" t="s">
        <v>1423</v>
      </c>
      <c r="E703" s="108"/>
      <c r="F703" s="149"/>
      <c r="G703" s="35"/>
      <c r="H703" s="212"/>
      <c r="I703" s="212"/>
      <c r="J703" s="212"/>
    </row>
    <row r="704" spans="1:10" x14ac:dyDescent="0.2">
      <c r="A704" s="29">
        <v>2</v>
      </c>
      <c r="B704" s="105"/>
      <c r="C704" s="371" t="s">
        <v>149</v>
      </c>
      <c r="D704" s="376" t="s">
        <v>339</v>
      </c>
      <c r="E704" s="102">
        <v>40</v>
      </c>
      <c r="F704" s="128">
        <v>350</v>
      </c>
      <c r="G704" s="372">
        <f>F704*E704</f>
        <v>14000</v>
      </c>
      <c r="H704" s="438"/>
      <c r="I704" s="438"/>
      <c r="J704" s="438"/>
    </row>
    <row r="705" spans="1:10" x14ac:dyDescent="0.2">
      <c r="A705" s="29"/>
      <c r="B705" s="105"/>
      <c r="C705" s="371"/>
      <c r="D705" s="376" t="s">
        <v>301</v>
      </c>
      <c r="E705" s="102"/>
      <c r="F705" s="128"/>
      <c r="G705" s="372"/>
      <c r="H705" s="438"/>
      <c r="I705" s="438"/>
      <c r="J705" s="438"/>
    </row>
    <row r="706" spans="1:10" x14ac:dyDescent="0.2">
      <c r="A706" s="29"/>
      <c r="B706" s="105"/>
      <c r="C706" s="371"/>
      <c r="D706" s="376"/>
      <c r="E706" s="102"/>
      <c r="F706" s="128"/>
      <c r="G706" s="372"/>
      <c r="H706" s="438"/>
      <c r="I706" s="438"/>
      <c r="J706" s="438"/>
    </row>
    <row r="707" spans="1:10" x14ac:dyDescent="0.2">
      <c r="A707" s="29"/>
      <c r="B707" s="105"/>
      <c r="C707" s="371"/>
      <c r="D707" s="376"/>
      <c r="E707" s="102"/>
      <c r="F707" s="128"/>
      <c r="G707" s="372"/>
      <c r="H707" s="438"/>
      <c r="I707" s="438"/>
      <c r="J707" s="438"/>
    </row>
    <row r="708" spans="1:10" x14ac:dyDescent="0.2">
      <c r="A708" s="29"/>
      <c r="B708" s="151"/>
      <c r="C708" s="119"/>
      <c r="D708" s="358"/>
      <c r="E708" s="108"/>
      <c r="F708" s="264"/>
      <c r="G708" s="372"/>
      <c r="H708" s="438"/>
      <c r="I708" s="438"/>
      <c r="J708" s="438"/>
    </row>
    <row r="709" spans="1:10" x14ac:dyDescent="0.2">
      <c r="A709" s="29"/>
      <c r="B709" s="101"/>
      <c r="C709" s="371"/>
      <c r="D709" s="383"/>
      <c r="E709" s="104"/>
      <c r="F709" s="69"/>
      <c r="G709" s="372"/>
      <c r="H709" s="438"/>
      <c r="I709" s="438"/>
      <c r="J709" s="438"/>
    </row>
    <row r="710" spans="1:10" x14ac:dyDescent="0.2">
      <c r="A710" s="29"/>
      <c r="B710" s="106"/>
      <c r="C710" s="41"/>
      <c r="D710" s="376"/>
      <c r="E710" s="104"/>
      <c r="F710" s="69"/>
      <c r="G710" s="372"/>
      <c r="H710" s="438"/>
      <c r="I710" s="438"/>
      <c r="J710" s="438"/>
    </row>
    <row r="711" spans="1:10" x14ac:dyDescent="0.2">
      <c r="A711" s="29"/>
      <c r="B711" s="105"/>
      <c r="C711" s="371"/>
      <c r="D711" s="376"/>
      <c r="E711" s="108"/>
      <c r="F711" s="265"/>
      <c r="G711" s="372"/>
      <c r="H711" s="438"/>
      <c r="I711" s="438"/>
      <c r="J711" s="438"/>
    </row>
    <row r="712" spans="1:10" x14ac:dyDescent="0.2">
      <c r="A712" s="29"/>
      <c r="B712" s="107"/>
      <c r="C712" s="41"/>
      <c r="D712" s="376"/>
      <c r="E712" s="153"/>
      <c r="F712" s="69"/>
      <c r="G712" s="372"/>
      <c r="H712" s="438"/>
      <c r="I712" s="438"/>
      <c r="J712" s="438"/>
    </row>
    <row r="713" spans="1:10" x14ac:dyDescent="0.2">
      <c r="A713" s="29"/>
      <c r="B713" s="107"/>
      <c r="C713" s="371"/>
      <c r="D713" s="384"/>
      <c r="E713" s="153"/>
      <c r="F713" s="69"/>
      <c r="G713" s="372"/>
      <c r="H713" s="438"/>
      <c r="I713" s="438"/>
      <c r="J713" s="438"/>
    </row>
    <row r="714" spans="1:10" x14ac:dyDescent="0.2">
      <c r="A714" s="29"/>
      <c r="B714" s="101"/>
      <c r="C714" s="41"/>
      <c r="D714" s="384"/>
      <c r="E714" s="108"/>
      <c r="F714" s="451"/>
      <c r="G714" s="372"/>
      <c r="H714" s="438"/>
      <c r="I714" s="438"/>
      <c r="J714" s="438"/>
    </row>
    <row r="715" spans="1:10" x14ac:dyDescent="0.2">
      <c r="A715" s="29"/>
      <c r="B715" s="101"/>
      <c r="C715" s="41"/>
      <c r="D715" s="358"/>
      <c r="E715" s="153"/>
      <c r="F715" s="69"/>
      <c r="G715" s="372"/>
      <c r="H715" s="438"/>
      <c r="I715" s="438"/>
      <c r="J715" s="438"/>
    </row>
    <row r="716" spans="1:10" x14ac:dyDescent="0.2">
      <c r="A716" s="29"/>
      <c r="B716" s="106"/>
      <c r="C716" s="371"/>
      <c r="D716" s="384"/>
      <c r="E716" s="104"/>
      <c r="F716" s="266"/>
      <c r="G716" s="372"/>
      <c r="H716" s="438"/>
      <c r="I716" s="438"/>
      <c r="J716" s="438"/>
    </row>
    <row r="717" spans="1:10" x14ac:dyDescent="0.2">
      <c r="A717" s="29"/>
      <c r="B717" s="105"/>
      <c r="C717" s="41"/>
      <c r="D717" s="419"/>
      <c r="E717" s="104"/>
      <c r="F717" s="266"/>
      <c r="G717" s="372"/>
      <c r="H717" s="438"/>
      <c r="I717" s="438"/>
      <c r="J717" s="438"/>
    </row>
    <row r="718" spans="1:10" x14ac:dyDescent="0.2">
      <c r="A718" s="29"/>
      <c r="B718" s="105"/>
      <c r="C718" s="371"/>
      <c r="D718" s="384"/>
      <c r="E718" s="104"/>
      <c r="F718" s="266"/>
      <c r="G718" s="372"/>
      <c r="H718" s="438"/>
      <c r="I718" s="438"/>
      <c r="J718" s="438"/>
    </row>
    <row r="719" spans="1:10" x14ac:dyDescent="0.2">
      <c r="A719" s="29"/>
      <c r="B719" s="101"/>
      <c r="C719" s="41"/>
      <c r="D719" s="384"/>
      <c r="E719" s="104"/>
      <c r="F719" s="266"/>
      <c r="G719" s="372"/>
      <c r="H719" s="438"/>
      <c r="I719" s="438"/>
      <c r="J719" s="438"/>
    </row>
    <row r="720" spans="1:10" x14ac:dyDescent="0.2">
      <c r="A720" s="29"/>
      <c r="B720" s="101"/>
      <c r="C720" s="371"/>
      <c r="D720" s="376"/>
      <c r="E720" s="104"/>
      <c r="F720" s="266"/>
      <c r="G720" s="372"/>
      <c r="H720" s="438"/>
      <c r="I720" s="438"/>
      <c r="J720" s="438"/>
    </row>
    <row r="721" spans="1:10" x14ac:dyDescent="0.2">
      <c r="A721" s="29"/>
      <c r="B721" s="101"/>
      <c r="C721" s="41"/>
      <c r="D721" s="376"/>
      <c r="E721" s="104"/>
      <c r="F721" s="266"/>
      <c r="G721" s="372"/>
      <c r="H721" s="438"/>
      <c r="I721" s="438"/>
      <c r="J721" s="438"/>
    </row>
    <row r="722" spans="1:10" x14ac:dyDescent="0.2">
      <c r="A722" s="29"/>
      <c r="B722" s="101"/>
      <c r="C722" s="41"/>
      <c r="D722" s="444"/>
      <c r="E722" s="104"/>
      <c r="F722" s="266"/>
      <c r="G722" s="372"/>
      <c r="H722" s="438"/>
      <c r="I722" s="438"/>
      <c r="J722" s="438"/>
    </row>
    <row r="723" spans="1:10" x14ac:dyDescent="0.2">
      <c r="A723" s="29"/>
      <c r="B723" s="101"/>
      <c r="C723" s="371"/>
      <c r="D723" s="384"/>
      <c r="E723" s="104"/>
      <c r="F723" s="266"/>
      <c r="G723" s="372"/>
      <c r="H723" s="438"/>
      <c r="I723" s="438"/>
      <c r="J723" s="438"/>
    </row>
    <row r="724" spans="1:10" x14ac:dyDescent="0.2">
      <c r="A724" s="29"/>
      <c r="B724" s="101"/>
      <c r="C724" s="41"/>
      <c r="D724" s="384"/>
      <c r="E724" s="104"/>
      <c r="F724" s="266"/>
      <c r="G724" s="372"/>
      <c r="H724" s="438"/>
      <c r="I724" s="438"/>
      <c r="J724" s="438"/>
    </row>
    <row r="725" spans="1:10" x14ac:dyDescent="0.2">
      <c r="A725" s="29"/>
      <c r="B725" s="101"/>
      <c r="C725" s="371"/>
      <c r="D725" s="384"/>
      <c r="E725" s="104"/>
      <c r="F725" s="266"/>
      <c r="G725" s="372"/>
      <c r="H725" s="438"/>
      <c r="I725" s="438"/>
      <c r="J725" s="438"/>
    </row>
    <row r="726" spans="1:10" x14ac:dyDescent="0.2">
      <c r="A726" s="29"/>
      <c r="B726" s="101"/>
      <c r="C726" s="41"/>
      <c r="D726" s="384"/>
      <c r="E726" s="104"/>
      <c r="F726" s="266"/>
      <c r="G726" s="372"/>
      <c r="H726" s="438"/>
      <c r="I726" s="438"/>
      <c r="J726" s="438"/>
    </row>
    <row r="727" spans="1:10" x14ac:dyDescent="0.2">
      <c r="A727" s="29"/>
      <c r="B727" s="101"/>
      <c r="C727" s="371"/>
      <c r="D727" s="376"/>
      <c r="E727" s="108"/>
      <c r="F727" s="69"/>
      <c r="G727" s="372"/>
      <c r="H727" s="438"/>
      <c r="I727" s="438"/>
      <c r="J727" s="438"/>
    </row>
    <row r="728" spans="1:10" x14ac:dyDescent="0.2">
      <c r="A728" s="29"/>
      <c r="B728" s="101"/>
      <c r="C728" s="41"/>
      <c r="D728" s="358"/>
      <c r="E728" s="153"/>
      <c r="F728" s="69"/>
      <c r="G728" s="372"/>
      <c r="H728" s="438"/>
      <c r="I728" s="438"/>
      <c r="J728" s="438"/>
    </row>
    <row r="729" spans="1:10" x14ac:dyDescent="0.2">
      <c r="A729" s="29"/>
      <c r="B729" s="101"/>
      <c r="C729" s="371"/>
      <c r="D729" s="419"/>
      <c r="E729" s="102"/>
      <c r="F729" s="69"/>
      <c r="G729" s="372"/>
      <c r="H729" s="438"/>
      <c r="I729" s="438"/>
      <c r="J729" s="438"/>
    </row>
    <row r="730" spans="1:10" x14ac:dyDescent="0.2">
      <c r="A730" s="29"/>
      <c r="B730" s="101"/>
      <c r="C730" s="31"/>
      <c r="D730" s="419"/>
      <c r="E730" s="131"/>
      <c r="F730" s="267"/>
      <c r="G730" s="372"/>
      <c r="H730" s="438"/>
      <c r="I730" s="438"/>
      <c r="J730" s="438"/>
    </row>
    <row r="731" spans="1:10" x14ac:dyDescent="0.2">
      <c r="A731" s="29"/>
      <c r="B731" s="101"/>
      <c r="C731" s="371"/>
      <c r="D731" s="425"/>
      <c r="E731" s="108"/>
      <c r="F731" s="263"/>
      <c r="G731" s="372"/>
      <c r="H731" s="438"/>
      <c r="I731" s="438"/>
      <c r="J731" s="438"/>
    </row>
    <row r="732" spans="1:10" x14ac:dyDescent="0.2">
      <c r="A732" s="29"/>
      <c r="B732" s="101"/>
      <c r="C732" s="41"/>
      <c r="D732" s="383"/>
      <c r="E732" s="108"/>
      <c r="F732" s="263"/>
      <c r="G732" s="372"/>
      <c r="H732" s="438"/>
      <c r="I732" s="438"/>
      <c r="J732" s="438"/>
    </row>
    <row r="733" spans="1:10" x14ac:dyDescent="0.2">
      <c r="A733" s="29"/>
      <c r="B733" s="101"/>
      <c r="C733" s="371"/>
      <c r="D733" s="383"/>
      <c r="E733" s="108"/>
      <c r="F733" s="149"/>
      <c r="G733" s="372"/>
      <c r="H733" s="438"/>
      <c r="I733" s="438"/>
      <c r="J733" s="438"/>
    </row>
    <row r="734" spans="1:10" x14ac:dyDescent="0.2">
      <c r="A734" s="61"/>
      <c r="B734" s="101"/>
      <c r="C734" s="41"/>
      <c r="D734" s="383"/>
      <c r="E734" s="108"/>
      <c r="F734" s="149"/>
      <c r="G734" s="372"/>
      <c r="H734" s="438"/>
      <c r="I734" s="438"/>
      <c r="J734" s="438"/>
    </row>
    <row r="735" spans="1:10" ht="13.5" thickBot="1" x14ac:dyDescent="0.25">
      <c r="A735" s="209"/>
      <c r="B735" s="132"/>
      <c r="C735" s="115"/>
      <c r="D735" s="115"/>
      <c r="E735" s="132"/>
      <c r="F735" s="49" t="s">
        <v>15</v>
      </c>
      <c r="G735" s="210">
        <f>SUM(G702:G734)</f>
        <v>22000</v>
      </c>
      <c r="H735" s="243"/>
      <c r="I735" s="243"/>
      <c r="J735" s="243"/>
    </row>
    <row r="736" spans="1:10" ht="13.5" thickTop="1" x14ac:dyDescent="0.2">
      <c r="A736" s="875" t="s">
        <v>1663</v>
      </c>
      <c r="B736" s="899"/>
      <c r="C736" s="899"/>
      <c r="D736" s="899"/>
      <c r="E736" s="899"/>
      <c r="F736" s="899"/>
      <c r="G736" s="900"/>
      <c r="H736" s="22"/>
      <c r="I736" s="22"/>
      <c r="J736" s="22"/>
    </row>
    <row r="737" spans="1:10" ht="13.5" thickBot="1" x14ac:dyDescent="0.25">
      <c r="A737" s="52"/>
      <c r="B737" s="103"/>
      <c r="C737" s="374" t="s">
        <v>8</v>
      </c>
      <c r="D737" s="54"/>
      <c r="E737" s="103"/>
      <c r="F737" s="55"/>
      <c r="G737" s="56"/>
    </row>
    <row r="738" spans="1:10" ht="13.5" thickTop="1" x14ac:dyDescent="0.2">
      <c r="A738" s="906"/>
      <c r="B738" s="907"/>
      <c r="C738" s="907"/>
      <c r="D738" s="57" t="s">
        <v>11</v>
      </c>
      <c r="E738" s="908" t="s">
        <v>12</v>
      </c>
      <c r="F738" s="908"/>
      <c r="G738" s="909"/>
      <c r="H738" s="4"/>
      <c r="I738" s="4"/>
      <c r="J738" s="4"/>
    </row>
    <row r="739" spans="1:10" x14ac:dyDescent="0.2">
      <c r="A739" s="910" t="s">
        <v>17</v>
      </c>
      <c r="B739" s="911"/>
      <c r="C739" s="911"/>
      <c r="D739" s="39"/>
      <c r="E739" s="912"/>
      <c r="F739" s="913"/>
      <c r="G739" s="914"/>
      <c r="H739" s="176"/>
      <c r="I739" s="176"/>
      <c r="J739" s="176"/>
    </row>
    <row r="740" spans="1:10" x14ac:dyDescent="0.2">
      <c r="A740" s="910" t="s">
        <v>38</v>
      </c>
      <c r="B740" s="911"/>
      <c r="C740" s="911"/>
      <c r="D740" s="73" t="s">
        <v>891</v>
      </c>
      <c r="E740" s="868" t="s">
        <v>142</v>
      </c>
      <c r="F740" s="868"/>
      <c r="G740" s="869"/>
      <c r="H740" s="1"/>
      <c r="I740" s="1"/>
      <c r="J740" s="1"/>
    </row>
    <row r="741" spans="1:10" ht="13.5" thickBot="1" x14ac:dyDescent="0.25">
      <c r="A741" s="901" t="s">
        <v>39</v>
      </c>
      <c r="B741" s="902"/>
      <c r="C741" s="902"/>
      <c r="D741" s="91" t="s">
        <v>892</v>
      </c>
      <c r="E741" s="904" t="s">
        <v>0</v>
      </c>
      <c r="F741" s="904"/>
      <c r="G741" s="905"/>
      <c r="H741" s="4"/>
      <c r="I741" s="4"/>
      <c r="J741" s="4"/>
    </row>
    <row r="742" spans="1:10" ht="16.5" x14ac:dyDescent="0.25">
      <c r="A742" s="885" t="s">
        <v>29</v>
      </c>
      <c r="B742" s="886"/>
      <c r="C742" s="886"/>
      <c r="D742" s="886"/>
      <c r="E742" s="886"/>
      <c r="F742" s="886"/>
      <c r="G742" s="887"/>
      <c r="H742" s="247"/>
      <c r="I742" s="247"/>
      <c r="J742" s="247"/>
    </row>
    <row r="743" spans="1:10" x14ac:dyDescent="0.2">
      <c r="A743" s="888" t="s">
        <v>48</v>
      </c>
      <c r="B743" s="889"/>
      <c r="C743" s="889"/>
      <c r="D743" s="889"/>
      <c r="E743" s="889"/>
      <c r="F743" s="889"/>
      <c r="G743" s="890"/>
      <c r="H743" s="246"/>
      <c r="I743" s="246"/>
      <c r="J743" s="246"/>
    </row>
    <row r="744" spans="1:10" x14ac:dyDescent="0.2">
      <c r="A744" s="915" t="s">
        <v>49</v>
      </c>
      <c r="B744" s="916"/>
      <c r="C744" s="916"/>
      <c r="D744" s="916"/>
      <c r="E744" s="916"/>
      <c r="F744" s="916"/>
      <c r="G744" s="917"/>
      <c r="H744" s="4"/>
      <c r="I744" s="4"/>
      <c r="J744" s="4"/>
    </row>
    <row r="745" spans="1:10" x14ac:dyDescent="0.2">
      <c r="A745" s="6"/>
      <c r="B745" s="99"/>
      <c r="C745" s="8"/>
      <c r="D745" s="9"/>
      <c r="E745" s="99"/>
      <c r="F745" s="10"/>
      <c r="G745" s="11" t="s">
        <v>20</v>
      </c>
      <c r="H745" s="248"/>
      <c r="I745" s="248"/>
      <c r="J745" s="248"/>
    </row>
    <row r="746" spans="1:10" x14ac:dyDescent="0.2">
      <c r="A746" s="12" t="s">
        <v>1</v>
      </c>
      <c r="B746" s="13"/>
      <c r="C746" s="14" t="s">
        <v>36</v>
      </c>
      <c r="D746" s="13"/>
      <c r="E746" s="362" t="s">
        <v>1808</v>
      </c>
      <c r="F746" s="98"/>
      <c r="G746" s="363" t="s">
        <v>1781</v>
      </c>
      <c r="H746" s="430"/>
      <c r="I746" s="430"/>
      <c r="J746" s="430"/>
    </row>
    <row r="747" spans="1:10" x14ac:dyDescent="0.2">
      <c r="A747" s="17" t="s">
        <v>8</v>
      </c>
      <c r="B747" s="100"/>
      <c r="C747" s="19"/>
      <c r="D747" s="4"/>
      <c r="E747" s="918"/>
      <c r="F747" s="919"/>
      <c r="G747" s="20"/>
    </row>
    <row r="748" spans="1:10" x14ac:dyDescent="0.2">
      <c r="A748" s="21" t="s">
        <v>37</v>
      </c>
      <c r="B748" s="22"/>
      <c r="C748" s="22"/>
      <c r="D748" s="22"/>
      <c r="E748" s="23" t="s">
        <v>46</v>
      </c>
      <c r="F748" s="24"/>
      <c r="G748" s="20" t="s">
        <v>50</v>
      </c>
    </row>
    <row r="749" spans="1:10" x14ac:dyDescent="0.2">
      <c r="A749" s="6"/>
      <c r="B749" s="99"/>
      <c r="C749" s="8"/>
      <c r="D749" s="8"/>
      <c r="E749" s="920"/>
      <c r="F749" s="921"/>
      <c r="G749" s="25"/>
    </row>
    <row r="750" spans="1:10" ht="26.25" thickBot="1" x14ac:dyDescent="0.25">
      <c r="A750" s="207" t="s">
        <v>47</v>
      </c>
      <c r="B750" s="28" t="s">
        <v>23</v>
      </c>
      <c r="C750" s="28" t="s">
        <v>34</v>
      </c>
      <c r="D750" s="110" t="s">
        <v>53</v>
      </c>
      <c r="E750" s="114" t="s">
        <v>54</v>
      </c>
      <c r="F750" s="111" t="s">
        <v>55</v>
      </c>
      <c r="G750" s="112" t="s">
        <v>35</v>
      </c>
      <c r="H750" s="249"/>
      <c r="I750" s="249"/>
      <c r="J750" s="249"/>
    </row>
    <row r="751" spans="1:10" ht="13.5" thickTop="1" x14ac:dyDescent="0.2">
      <c r="A751" s="29">
        <v>1</v>
      </c>
      <c r="B751" s="101"/>
      <c r="C751" s="371" t="s">
        <v>149</v>
      </c>
      <c r="D751" s="370" t="s">
        <v>1672</v>
      </c>
      <c r="E751" s="108">
        <v>15</v>
      </c>
      <c r="F751" s="149">
        <v>200</v>
      </c>
      <c r="G751" s="35">
        <f>F751*E751</f>
        <v>3000</v>
      </c>
      <c r="H751" s="212"/>
      <c r="I751" s="212"/>
      <c r="J751" s="212"/>
    </row>
    <row r="752" spans="1:10" x14ac:dyDescent="0.2">
      <c r="A752" s="29"/>
      <c r="B752" s="101"/>
      <c r="C752" s="371"/>
      <c r="D752" s="370" t="s">
        <v>888</v>
      </c>
      <c r="E752" s="108"/>
      <c r="F752" s="149"/>
      <c r="G752" s="35"/>
      <c r="H752" s="212"/>
      <c r="I752" s="212"/>
      <c r="J752" s="212"/>
    </row>
    <row r="753" spans="1:10" x14ac:dyDescent="0.2">
      <c r="A753" s="29">
        <v>2</v>
      </c>
      <c r="B753" s="105"/>
      <c r="C753" s="371" t="s">
        <v>149</v>
      </c>
      <c r="D753" s="376" t="s">
        <v>339</v>
      </c>
      <c r="E753" s="102">
        <v>15</v>
      </c>
      <c r="F753" s="128">
        <v>350</v>
      </c>
      <c r="G753" s="372">
        <f>F753*E753</f>
        <v>5250</v>
      </c>
      <c r="H753" s="438"/>
      <c r="I753" s="438"/>
      <c r="J753" s="438"/>
    </row>
    <row r="754" spans="1:10" x14ac:dyDescent="0.2">
      <c r="A754" s="29"/>
      <c r="B754" s="105"/>
      <c r="C754" s="371"/>
      <c r="D754" s="376" t="s">
        <v>301</v>
      </c>
      <c r="E754" s="102"/>
      <c r="F754" s="128"/>
      <c r="G754" s="372"/>
      <c r="H754" s="438"/>
      <c r="I754" s="438"/>
      <c r="J754" s="438"/>
    </row>
    <row r="755" spans="1:10" x14ac:dyDescent="0.2">
      <c r="A755" s="29">
        <v>3</v>
      </c>
      <c r="B755" s="105"/>
      <c r="C755" s="371" t="s">
        <v>149</v>
      </c>
      <c r="D755" s="376" t="s">
        <v>1673</v>
      </c>
      <c r="E755" s="102">
        <v>15</v>
      </c>
      <c r="F755" s="128">
        <v>200</v>
      </c>
      <c r="G755" s="372">
        <f>F755*E755</f>
        <v>3000</v>
      </c>
      <c r="H755" s="438"/>
      <c r="I755" s="438"/>
      <c r="J755" s="438"/>
    </row>
    <row r="756" spans="1:10" x14ac:dyDescent="0.2">
      <c r="A756" s="29"/>
      <c r="B756" s="105"/>
      <c r="C756" s="371"/>
      <c r="D756" s="376"/>
      <c r="E756" s="102"/>
      <c r="F756" s="128"/>
      <c r="G756" s="372"/>
      <c r="H756" s="438"/>
      <c r="I756" s="438"/>
      <c r="J756" s="438"/>
    </row>
    <row r="757" spans="1:10" x14ac:dyDescent="0.2">
      <c r="A757" s="29"/>
      <c r="B757" s="151"/>
      <c r="C757" s="119"/>
      <c r="D757" s="358"/>
      <c r="E757" s="108"/>
      <c r="F757" s="264"/>
      <c r="G757" s="372"/>
      <c r="H757" s="438"/>
      <c r="I757" s="438"/>
      <c r="J757" s="438"/>
    </row>
    <row r="758" spans="1:10" x14ac:dyDescent="0.2">
      <c r="A758" s="29"/>
      <c r="B758" s="101"/>
      <c r="C758" s="371"/>
      <c r="D758" s="383"/>
      <c r="E758" s="104"/>
      <c r="F758" s="69"/>
      <c r="G758" s="372"/>
      <c r="H758" s="438"/>
      <c r="I758" s="438"/>
      <c r="J758" s="438"/>
    </row>
    <row r="759" spans="1:10" x14ac:dyDescent="0.2">
      <c r="A759" s="29"/>
      <c r="B759" s="106"/>
      <c r="C759" s="41"/>
      <c r="D759" s="376"/>
      <c r="E759" s="104"/>
      <c r="F759" s="69"/>
      <c r="G759" s="372"/>
      <c r="H759" s="438"/>
      <c r="I759" s="438"/>
      <c r="J759" s="438"/>
    </row>
    <row r="760" spans="1:10" x14ac:dyDescent="0.2">
      <c r="A760" s="29"/>
      <c r="B760" s="105"/>
      <c r="C760" s="371"/>
      <c r="D760" s="376"/>
      <c r="E760" s="108"/>
      <c r="F760" s="265"/>
      <c r="G760" s="372"/>
      <c r="H760" s="438"/>
      <c r="I760" s="438"/>
      <c r="J760" s="438"/>
    </row>
    <row r="761" spans="1:10" x14ac:dyDescent="0.2">
      <c r="A761" s="29"/>
      <c r="B761" s="107"/>
      <c r="C761" s="41"/>
      <c r="D761" s="376"/>
      <c r="E761" s="153"/>
      <c r="F761" s="69"/>
      <c r="G761" s="372"/>
      <c r="H761" s="438"/>
      <c r="I761" s="438"/>
      <c r="J761" s="438"/>
    </row>
    <row r="762" spans="1:10" x14ac:dyDescent="0.2">
      <c r="A762" s="29"/>
      <c r="B762" s="107"/>
      <c r="C762" s="371"/>
      <c r="D762" s="384"/>
      <c r="E762" s="153"/>
      <c r="F762" s="69"/>
      <c r="G762" s="372"/>
      <c r="H762" s="438"/>
      <c r="I762" s="438"/>
      <c r="J762" s="438"/>
    </row>
    <row r="763" spans="1:10" x14ac:dyDescent="0.2">
      <c r="A763" s="29"/>
      <c r="B763" s="101"/>
      <c r="C763" s="41"/>
      <c r="D763" s="384"/>
      <c r="E763" s="108"/>
      <c r="F763" s="451"/>
      <c r="G763" s="372"/>
      <c r="H763" s="438"/>
      <c r="I763" s="438"/>
      <c r="J763" s="438"/>
    </row>
    <row r="764" spans="1:10" x14ac:dyDescent="0.2">
      <c r="A764" s="29"/>
      <c r="B764" s="101"/>
      <c r="C764" s="41"/>
      <c r="D764" s="358"/>
      <c r="E764" s="153"/>
      <c r="F764" s="69"/>
      <c r="G764" s="372"/>
      <c r="H764" s="438"/>
      <c r="I764" s="438"/>
      <c r="J764" s="438"/>
    </row>
    <row r="765" spans="1:10" x14ac:dyDescent="0.2">
      <c r="A765" s="29"/>
      <c r="B765" s="106"/>
      <c r="C765" s="371"/>
      <c r="D765" s="384"/>
      <c r="E765" s="104"/>
      <c r="F765" s="266"/>
      <c r="G765" s="372"/>
      <c r="H765" s="438"/>
      <c r="I765" s="438"/>
      <c r="J765" s="438"/>
    </row>
    <row r="766" spans="1:10" x14ac:dyDescent="0.2">
      <c r="A766" s="29"/>
      <c r="B766" s="105"/>
      <c r="C766" s="41"/>
      <c r="D766" s="419"/>
      <c r="E766" s="104"/>
      <c r="F766" s="266"/>
      <c r="G766" s="372"/>
      <c r="H766" s="438"/>
      <c r="I766" s="438"/>
      <c r="J766" s="438"/>
    </row>
    <row r="767" spans="1:10" x14ac:dyDescent="0.2">
      <c r="A767" s="29"/>
      <c r="B767" s="105"/>
      <c r="C767" s="371"/>
      <c r="D767" s="384"/>
      <c r="E767" s="104"/>
      <c r="F767" s="266"/>
      <c r="G767" s="372"/>
      <c r="H767" s="438"/>
      <c r="I767" s="438"/>
      <c r="J767" s="438"/>
    </row>
    <row r="768" spans="1:10" x14ac:dyDescent="0.2">
      <c r="A768" s="29"/>
      <c r="B768" s="101"/>
      <c r="C768" s="41"/>
      <c r="D768" s="384"/>
      <c r="E768" s="104"/>
      <c r="F768" s="266"/>
      <c r="G768" s="372"/>
      <c r="H768" s="438"/>
      <c r="I768" s="438"/>
      <c r="J768" s="438"/>
    </row>
    <row r="769" spans="1:10" x14ac:dyDescent="0.2">
      <c r="A769" s="29"/>
      <c r="B769" s="101"/>
      <c r="C769" s="371"/>
      <c r="D769" s="376"/>
      <c r="E769" s="104"/>
      <c r="F769" s="266"/>
      <c r="G769" s="372"/>
      <c r="H769" s="438"/>
      <c r="I769" s="438"/>
      <c r="J769" s="438"/>
    </row>
    <row r="770" spans="1:10" x14ac:dyDescent="0.2">
      <c r="A770" s="29"/>
      <c r="B770" s="101"/>
      <c r="C770" s="41"/>
      <c r="D770" s="376"/>
      <c r="E770" s="104"/>
      <c r="F770" s="266"/>
      <c r="G770" s="372"/>
      <c r="H770" s="438"/>
      <c r="I770" s="438"/>
      <c r="J770" s="438"/>
    </row>
    <row r="771" spans="1:10" x14ac:dyDescent="0.2">
      <c r="A771" s="29"/>
      <c r="B771" s="101"/>
      <c r="C771" s="41"/>
      <c r="D771" s="444"/>
      <c r="E771" s="104"/>
      <c r="F771" s="266"/>
      <c r="G771" s="372"/>
      <c r="H771" s="438"/>
      <c r="I771" s="438"/>
      <c r="J771" s="438"/>
    </row>
    <row r="772" spans="1:10" x14ac:dyDescent="0.2">
      <c r="A772" s="29"/>
      <c r="B772" s="101"/>
      <c r="C772" s="371"/>
      <c r="D772" s="384"/>
      <c r="E772" s="104"/>
      <c r="F772" s="266"/>
      <c r="G772" s="372"/>
      <c r="H772" s="438"/>
      <c r="I772" s="438"/>
      <c r="J772" s="438"/>
    </row>
    <row r="773" spans="1:10" x14ac:dyDescent="0.2">
      <c r="A773" s="29"/>
      <c r="B773" s="101"/>
      <c r="C773" s="41"/>
      <c r="D773" s="384"/>
      <c r="E773" s="104"/>
      <c r="F773" s="266"/>
      <c r="G773" s="372"/>
      <c r="H773" s="438"/>
      <c r="I773" s="438"/>
      <c r="J773" s="438"/>
    </row>
    <row r="774" spans="1:10" x14ac:dyDescent="0.2">
      <c r="A774" s="29"/>
      <c r="B774" s="101"/>
      <c r="C774" s="371"/>
      <c r="D774" s="384"/>
      <c r="E774" s="104"/>
      <c r="F774" s="266"/>
      <c r="G774" s="372"/>
      <c r="H774" s="438"/>
      <c r="I774" s="438"/>
      <c r="J774" s="438"/>
    </row>
    <row r="775" spans="1:10" x14ac:dyDescent="0.2">
      <c r="A775" s="29"/>
      <c r="B775" s="101"/>
      <c r="C775" s="41"/>
      <c r="D775" s="384"/>
      <c r="E775" s="104"/>
      <c r="F775" s="266"/>
      <c r="G775" s="372"/>
      <c r="H775" s="438"/>
      <c r="I775" s="438"/>
      <c r="J775" s="438"/>
    </row>
    <row r="776" spans="1:10" x14ac:dyDescent="0.2">
      <c r="A776" s="29"/>
      <c r="B776" s="101"/>
      <c r="C776" s="371"/>
      <c r="D776" s="376"/>
      <c r="E776" s="108"/>
      <c r="F776" s="69"/>
      <c r="G776" s="372"/>
      <c r="H776" s="438"/>
      <c r="I776" s="438"/>
      <c r="J776" s="438"/>
    </row>
    <row r="777" spans="1:10" x14ac:dyDescent="0.2">
      <c r="A777" s="29"/>
      <c r="B777" s="101"/>
      <c r="C777" s="41"/>
      <c r="D777" s="358"/>
      <c r="E777" s="153"/>
      <c r="F777" s="69"/>
      <c r="G777" s="372"/>
      <c r="H777" s="438"/>
      <c r="I777" s="438"/>
      <c r="J777" s="438"/>
    </row>
    <row r="778" spans="1:10" x14ac:dyDescent="0.2">
      <c r="A778" s="29"/>
      <c r="B778" s="101"/>
      <c r="C778" s="371"/>
      <c r="D778" s="419"/>
      <c r="E778" s="102"/>
      <c r="F778" s="69"/>
      <c r="G778" s="372"/>
      <c r="H778" s="438"/>
      <c r="I778" s="438"/>
      <c r="J778" s="438"/>
    </row>
    <row r="779" spans="1:10" x14ac:dyDescent="0.2">
      <c r="A779" s="29"/>
      <c r="B779" s="101"/>
      <c r="C779" s="31"/>
      <c r="D779" s="419"/>
      <c r="E779" s="131"/>
      <c r="F779" s="267"/>
      <c r="G779" s="372"/>
      <c r="H779" s="438"/>
      <c r="I779" s="438"/>
      <c r="J779" s="438"/>
    </row>
    <row r="780" spans="1:10" x14ac:dyDescent="0.2">
      <c r="A780" s="29"/>
      <c r="B780" s="101"/>
      <c r="C780" s="371"/>
      <c r="D780" s="425"/>
      <c r="E780" s="108"/>
      <c r="F780" s="263"/>
      <c r="G780" s="372"/>
      <c r="H780" s="438"/>
      <c r="I780" s="438"/>
      <c r="J780" s="438"/>
    </row>
    <row r="781" spans="1:10" x14ac:dyDescent="0.2">
      <c r="A781" s="29"/>
      <c r="B781" s="101"/>
      <c r="C781" s="41"/>
      <c r="D781" s="383"/>
      <c r="E781" s="108"/>
      <c r="F781" s="263"/>
      <c r="G781" s="372"/>
      <c r="H781" s="438"/>
      <c r="I781" s="438"/>
      <c r="J781" s="438"/>
    </row>
    <row r="782" spans="1:10" x14ac:dyDescent="0.2">
      <c r="A782" s="29"/>
      <c r="B782" s="101"/>
      <c r="C782" s="371"/>
      <c r="D782" s="383"/>
      <c r="E782" s="108"/>
      <c r="F782" s="149"/>
      <c r="G782" s="372"/>
      <c r="H782" s="438"/>
      <c r="I782" s="438"/>
      <c r="J782" s="438"/>
    </row>
    <row r="783" spans="1:10" x14ac:dyDescent="0.2">
      <c r="A783" s="61"/>
      <c r="B783" s="101"/>
      <c r="C783" s="41"/>
      <c r="D783" s="383"/>
      <c r="E783" s="108"/>
      <c r="F783" s="149"/>
      <c r="G783" s="372"/>
      <c r="H783" s="438"/>
      <c r="I783" s="438"/>
      <c r="J783" s="438"/>
    </row>
    <row r="784" spans="1:10" ht="13.5" thickBot="1" x14ac:dyDescent="0.25">
      <c r="A784" s="209"/>
      <c r="B784" s="132"/>
      <c r="C784" s="115"/>
      <c r="D784" s="115"/>
      <c r="E784" s="132"/>
      <c r="F784" s="49" t="s">
        <v>15</v>
      </c>
      <c r="G784" s="210">
        <f>SUM(G751:G783)</f>
        <v>11250</v>
      </c>
      <c r="H784" s="243"/>
      <c r="I784" s="243"/>
      <c r="J784" s="243"/>
    </row>
    <row r="785" spans="1:10" ht="13.5" thickTop="1" x14ac:dyDescent="0.2">
      <c r="A785" s="875" t="s">
        <v>1675</v>
      </c>
      <c r="B785" s="899"/>
      <c r="C785" s="899"/>
      <c r="D785" s="899"/>
      <c r="E785" s="899"/>
      <c r="F785" s="899"/>
      <c r="G785" s="900"/>
      <c r="H785" s="22"/>
      <c r="I785" s="22"/>
      <c r="J785" s="22"/>
    </row>
    <row r="786" spans="1:10" ht="13.5" thickBot="1" x14ac:dyDescent="0.25">
      <c r="A786" s="52"/>
      <c r="B786" s="103"/>
      <c r="C786" s="374" t="s">
        <v>1674</v>
      </c>
      <c r="D786" s="54"/>
      <c r="E786" s="103"/>
      <c r="F786" s="55"/>
      <c r="G786" s="56"/>
    </row>
    <row r="787" spans="1:10" ht="13.5" thickTop="1" x14ac:dyDescent="0.2">
      <c r="A787" s="906"/>
      <c r="B787" s="907"/>
      <c r="C787" s="907"/>
      <c r="D787" s="57" t="s">
        <v>11</v>
      </c>
      <c r="E787" s="908" t="s">
        <v>12</v>
      </c>
      <c r="F787" s="908"/>
      <c r="G787" s="909"/>
      <c r="H787" s="4"/>
      <c r="I787" s="4"/>
      <c r="J787" s="4"/>
    </row>
    <row r="788" spans="1:10" x14ac:dyDescent="0.2">
      <c r="A788" s="910" t="s">
        <v>17</v>
      </c>
      <c r="B788" s="911"/>
      <c r="C788" s="911"/>
      <c r="D788" s="39"/>
      <c r="E788" s="912"/>
      <c r="F788" s="913"/>
      <c r="G788" s="914"/>
      <c r="H788" s="176"/>
      <c r="I788" s="176"/>
      <c r="J788" s="176"/>
    </row>
    <row r="789" spans="1:10" x14ac:dyDescent="0.2">
      <c r="A789" s="910" t="s">
        <v>38</v>
      </c>
      <c r="B789" s="911"/>
      <c r="C789" s="911"/>
      <c r="D789" s="73" t="s">
        <v>891</v>
      </c>
      <c r="E789" s="868" t="s">
        <v>142</v>
      </c>
      <c r="F789" s="868"/>
      <c r="G789" s="869"/>
      <c r="H789" s="1"/>
      <c r="I789" s="1"/>
      <c r="J789" s="1"/>
    </row>
    <row r="790" spans="1:10" ht="13.5" thickBot="1" x14ac:dyDescent="0.25">
      <c r="A790" s="901" t="s">
        <v>39</v>
      </c>
      <c r="B790" s="902"/>
      <c r="C790" s="902"/>
      <c r="D790" s="91" t="s">
        <v>892</v>
      </c>
      <c r="E790" s="904" t="s">
        <v>0</v>
      </c>
      <c r="F790" s="904"/>
      <c r="G790" s="905"/>
      <c r="H790" s="4"/>
      <c r="I790" s="4"/>
      <c r="J790" s="4"/>
    </row>
    <row r="791" spans="1:10" ht="13.5" thickBot="1" x14ac:dyDescent="0.25"/>
    <row r="792" spans="1:10" ht="16.5" x14ac:dyDescent="0.25">
      <c r="A792" s="885" t="s">
        <v>29</v>
      </c>
      <c r="B792" s="886"/>
      <c r="C792" s="886"/>
      <c r="D792" s="886"/>
      <c r="E792" s="886"/>
      <c r="F792" s="886"/>
      <c r="G792" s="887"/>
      <c r="H792" s="247"/>
      <c r="I792" s="247"/>
      <c r="J792" s="247"/>
    </row>
    <row r="793" spans="1:10" x14ac:dyDescent="0.2">
      <c r="A793" s="888" t="s">
        <v>48</v>
      </c>
      <c r="B793" s="889"/>
      <c r="C793" s="889"/>
      <c r="D793" s="889"/>
      <c r="E793" s="889"/>
      <c r="F793" s="889"/>
      <c r="G793" s="890"/>
      <c r="H793" s="246"/>
      <c r="I793" s="246"/>
      <c r="J793" s="246"/>
    </row>
    <row r="794" spans="1:10" x14ac:dyDescent="0.2">
      <c r="A794" s="915" t="s">
        <v>49</v>
      </c>
      <c r="B794" s="916"/>
      <c r="C794" s="916"/>
      <c r="D794" s="916"/>
      <c r="E794" s="916"/>
      <c r="F794" s="916"/>
      <c r="G794" s="917"/>
      <c r="H794" s="4"/>
      <c r="I794" s="4"/>
      <c r="J794" s="4"/>
    </row>
    <row r="795" spans="1:10" x14ac:dyDescent="0.2">
      <c r="A795" s="6"/>
      <c r="B795" s="99"/>
      <c r="C795" s="8"/>
      <c r="D795" s="9"/>
      <c r="E795" s="99"/>
      <c r="F795" s="10"/>
      <c r="G795" s="11" t="s">
        <v>20</v>
      </c>
      <c r="H795" s="248"/>
      <c r="I795" s="248"/>
      <c r="J795" s="248"/>
    </row>
    <row r="796" spans="1:10" x14ac:dyDescent="0.2">
      <c r="A796" s="12" t="s">
        <v>1</v>
      </c>
      <c r="B796" s="13"/>
      <c r="C796" s="14" t="s">
        <v>36</v>
      </c>
      <c r="D796" s="13"/>
      <c r="E796" s="362" t="s">
        <v>1812</v>
      </c>
      <c r="F796" s="98"/>
      <c r="G796" s="363" t="s">
        <v>1781</v>
      </c>
      <c r="H796" s="430"/>
      <c r="I796" s="430"/>
      <c r="J796" s="430"/>
    </row>
    <row r="797" spans="1:10" x14ac:dyDescent="0.2">
      <c r="A797" s="17" t="s">
        <v>8</v>
      </c>
      <c r="B797" s="100"/>
      <c r="C797" s="19"/>
      <c r="D797" s="4"/>
      <c r="E797" s="918"/>
      <c r="F797" s="919"/>
      <c r="G797" s="20"/>
    </row>
    <row r="798" spans="1:10" x14ac:dyDescent="0.2">
      <c r="A798" s="21" t="s">
        <v>37</v>
      </c>
      <c r="B798" s="22"/>
      <c r="C798" s="22"/>
      <c r="D798" s="22"/>
      <c r="E798" s="23" t="s">
        <v>46</v>
      </c>
      <c r="F798" s="24"/>
      <c r="G798" s="20" t="s">
        <v>50</v>
      </c>
    </row>
    <row r="799" spans="1:10" x14ac:dyDescent="0.2">
      <c r="A799" s="6"/>
      <c r="B799" s="99"/>
      <c r="C799" s="8"/>
      <c r="D799" s="8"/>
      <c r="E799" s="920"/>
      <c r="F799" s="921"/>
      <c r="G799" s="25"/>
    </row>
    <row r="800" spans="1:10" ht="26.25" thickBot="1" x14ac:dyDescent="0.25">
      <c r="A800" s="207" t="s">
        <v>47</v>
      </c>
      <c r="B800" s="28" t="s">
        <v>23</v>
      </c>
      <c r="C800" s="28" t="s">
        <v>34</v>
      </c>
      <c r="D800" s="110" t="s">
        <v>53</v>
      </c>
      <c r="E800" s="114" t="s">
        <v>54</v>
      </c>
      <c r="F800" s="111" t="s">
        <v>55</v>
      </c>
      <c r="G800" s="112" t="s">
        <v>35</v>
      </c>
      <c r="H800" s="249"/>
      <c r="I800" s="249"/>
      <c r="J800" s="249"/>
    </row>
    <row r="801" spans="1:10" ht="13.5" thickTop="1" x14ac:dyDescent="0.2">
      <c r="A801" s="29">
        <v>1</v>
      </c>
      <c r="B801" s="101"/>
      <c r="C801" s="371" t="s">
        <v>149</v>
      </c>
      <c r="D801" s="370" t="s">
        <v>1683</v>
      </c>
      <c r="E801" s="108">
        <v>50</v>
      </c>
      <c r="F801" s="149">
        <v>200</v>
      </c>
      <c r="G801" s="35">
        <f>F801*E801</f>
        <v>10000</v>
      </c>
      <c r="H801" s="212"/>
      <c r="I801" s="212"/>
      <c r="J801" s="212"/>
    </row>
    <row r="802" spans="1:10" x14ac:dyDescent="0.2">
      <c r="A802" s="29"/>
      <c r="B802" s="101"/>
      <c r="C802" s="371"/>
      <c r="D802" s="370" t="s">
        <v>1423</v>
      </c>
      <c r="E802" s="108"/>
      <c r="F802" s="149"/>
      <c r="G802" s="35"/>
      <c r="H802" s="212"/>
      <c r="I802" s="212"/>
      <c r="J802" s="212"/>
    </row>
    <row r="803" spans="1:10" x14ac:dyDescent="0.2">
      <c r="A803" s="29">
        <v>2</v>
      </c>
      <c r="B803" s="105"/>
      <c r="C803" s="371" t="s">
        <v>149</v>
      </c>
      <c r="D803" s="376" t="s">
        <v>339</v>
      </c>
      <c r="E803" s="102">
        <v>50</v>
      </c>
      <c r="F803" s="128">
        <v>350</v>
      </c>
      <c r="G803" s="372">
        <f>F803*E803</f>
        <v>17500</v>
      </c>
      <c r="H803" s="438"/>
      <c r="I803" s="438"/>
      <c r="J803" s="438"/>
    </row>
    <row r="804" spans="1:10" x14ac:dyDescent="0.2">
      <c r="A804" s="29"/>
      <c r="B804" s="105"/>
      <c r="C804" s="371"/>
      <c r="D804" s="376" t="s">
        <v>301</v>
      </c>
      <c r="E804" s="102"/>
      <c r="F804" s="128"/>
      <c r="G804" s="372"/>
      <c r="H804" s="438"/>
      <c r="I804" s="438"/>
      <c r="J804" s="438"/>
    </row>
    <row r="805" spans="1:10" x14ac:dyDescent="0.2">
      <c r="A805" s="364" t="s">
        <v>8</v>
      </c>
      <c r="B805" s="105"/>
      <c r="C805" s="371" t="s">
        <v>8</v>
      </c>
      <c r="D805" s="376" t="s">
        <v>8</v>
      </c>
      <c r="E805" s="409" t="s">
        <v>8</v>
      </c>
      <c r="F805" s="403" t="s">
        <v>8</v>
      </c>
      <c r="G805" s="372" t="s">
        <v>8</v>
      </c>
      <c r="H805" s="438"/>
      <c r="I805" s="438"/>
      <c r="J805" s="438"/>
    </row>
    <row r="806" spans="1:10" x14ac:dyDescent="0.2">
      <c r="A806" s="29"/>
      <c r="B806" s="105"/>
      <c r="C806" s="371"/>
      <c r="D806" s="376"/>
      <c r="E806" s="102"/>
      <c r="F806" s="128"/>
      <c r="G806" s="372"/>
      <c r="H806" s="438"/>
      <c r="I806" s="438"/>
      <c r="J806" s="438"/>
    </row>
    <row r="807" spans="1:10" x14ac:dyDescent="0.2">
      <c r="A807" s="29"/>
      <c r="B807" s="151"/>
      <c r="C807" s="119"/>
      <c r="D807" s="358"/>
      <c r="E807" s="108"/>
      <c r="F807" s="264"/>
      <c r="G807" s="372"/>
      <c r="H807" s="438"/>
      <c r="I807" s="438"/>
      <c r="J807" s="438"/>
    </row>
    <row r="808" spans="1:10" x14ac:dyDescent="0.2">
      <c r="A808" s="29"/>
      <c r="B808" s="101"/>
      <c r="C808" s="371"/>
      <c r="D808" s="383"/>
      <c r="E808" s="104"/>
      <c r="F808" s="69"/>
      <c r="G808" s="372"/>
      <c r="H808" s="438"/>
      <c r="I808" s="438"/>
      <c r="J808" s="438"/>
    </row>
    <row r="809" spans="1:10" x14ac:dyDescent="0.2">
      <c r="A809" s="29"/>
      <c r="B809" s="106"/>
      <c r="C809" s="41"/>
      <c r="D809" s="376"/>
      <c r="E809" s="104"/>
      <c r="F809" s="69"/>
      <c r="G809" s="372"/>
      <c r="H809" s="438"/>
      <c r="I809" s="438"/>
      <c r="J809" s="438"/>
    </row>
    <row r="810" spans="1:10" x14ac:dyDescent="0.2">
      <c r="A810" s="29"/>
      <c r="B810" s="105"/>
      <c r="C810" s="371"/>
      <c r="D810" s="376"/>
      <c r="E810" s="108"/>
      <c r="F810" s="265"/>
      <c r="G810" s="372"/>
      <c r="H810" s="438"/>
      <c r="I810" s="438"/>
      <c r="J810" s="438"/>
    </row>
    <row r="811" spans="1:10" x14ac:dyDescent="0.2">
      <c r="A811" s="29"/>
      <c r="B811" s="107"/>
      <c r="C811" s="41"/>
      <c r="D811" s="376"/>
      <c r="E811" s="153"/>
      <c r="F811" s="69"/>
      <c r="G811" s="372"/>
      <c r="H811" s="438"/>
      <c r="I811" s="438"/>
      <c r="J811" s="438"/>
    </row>
    <row r="812" spans="1:10" x14ac:dyDescent="0.2">
      <c r="A812" s="29"/>
      <c r="B812" s="107"/>
      <c r="C812" s="371"/>
      <c r="D812" s="384"/>
      <c r="E812" s="153"/>
      <c r="F812" s="69"/>
      <c r="G812" s="372"/>
      <c r="H812" s="438"/>
      <c r="I812" s="438"/>
      <c r="J812" s="438"/>
    </row>
    <row r="813" spans="1:10" x14ac:dyDescent="0.2">
      <c r="A813" s="29"/>
      <c r="B813" s="101"/>
      <c r="C813" s="41"/>
      <c r="D813" s="384"/>
      <c r="E813" s="108"/>
      <c r="F813" s="451"/>
      <c r="G813" s="372"/>
      <c r="H813" s="438"/>
      <c r="I813" s="438"/>
      <c r="J813" s="438"/>
    </row>
    <row r="814" spans="1:10" x14ac:dyDescent="0.2">
      <c r="A814" s="29"/>
      <c r="B814" s="101"/>
      <c r="C814" s="41"/>
      <c r="D814" s="358"/>
      <c r="E814" s="153"/>
      <c r="F814" s="69"/>
      <c r="G814" s="372"/>
      <c r="H814" s="438"/>
      <c r="I814" s="438"/>
      <c r="J814" s="438"/>
    </row>
    <row r="815" spans="1:10" x14ac:dyDescent="0.2">
      <c r="A815" s="29"/>
      <c r="B815" s="106"/>
      <c r="C815" s="371"/>
      <c r="D815" s="384"/>
      <c r="E815" s="104"/>
      <c r="F815" s="266"/>
      <c r="G815" s="372"/>
      <c r="H815" s="438"/>
      <c r="I815" s="438"/>
      <c r="J815" s="438"/>
    </row>
    <row r="816" spans="1:10" x14ac:dyDescent="0.2">
      <c r="A816" s="29"/>
      <c r="B816" s="105"/>
      <c r="C816" s="41"/>
      <c r="D816" s="419"/>
      <c r="E816" s="104"/>
      <c r="F816" s="266"/>
      <c r="G816" s="372"/>
      <c r="H816" s="438"/>
      <c r="I816" s="438"/>
      <c r="J816" s="438"/>
    </row>
    <row r="817" spans="1:10" x14ac:dyDescent="0.2">
      <c r="A817" s="29"/>
      <c r="B817" s="105"/>
      <c r="C817" s="371"/>
      <c r="D817" s="384"/>
      <c r="E817" s="104"/>
      <c r="F817" s="266"/>
      <c r="G817" s="372"/>
      <c r="H817" s="438"/>
      <c r="I817" s="438"/>
      <c r="J817" s="438"/>
    </row>
    <row r="818" spans="1:10" x14ac:dyDescent="0.2">
      <c r="A818" s="29"/>
      <c r="B818" s="101"/>
      <c r="C818" s="41"/>
      <c r="D818" s="384"/>
      <c r="E818" s="104"/>
      <c r="F818" s="266"/>
      <c r="G818" s="372"/>
      <c r="H818" s="438"/>
      <c r="I818" s="438"/>
      <c r="J818" s="438"/>
    </row>
    <row r="819" spans="1:10" x14ac:dyDescent="0.2">
      <c r="A819" s="29"/>
      <c r="B819" s="101"/>
      <c r="C819" s="371"/>
      <c r="D819" s="376"/>
      <c r="E819" s="104"/>
      <c r="F819" s="266"/>
      <c r="G819" s="372"/>
      <c r="H819" s="438"/>
      <c r="I819" s="438"/>
      <c r="J819" s="438"/>
    </row>
    <row r="820" spans="1:10" x14ac:dyDescent="0.2">
      <c r="A820" s="29"/>
      <c r="B820" s="101"/>
      <c r="C820" s="41"/>
      <c r="D820" s="376"/>
      <c r="E820" s="104"/>
      <c r="F820" s="266"/>
      <c r="G820" s="372"/>
      <c r="H820" s="438"/>
      <c r="I820" s="438"/>
      <c r="J820" s="438"/>
    </row>
    <row r="821" spans="1:10" x14ac:dyDescent="0.2">
      <c r="A821" s="29"/>
      <c r="B821" s="101"/>
      <c r="C821" s="41"/>
      <c r="D821" s="444"/>
      <c r="E821" s="104"/>
      <c r="F821" s="266"/>
      <c r="G821" s="372"/>
      <c r="H821" s="438"/>
      <c r="I821" s="438"/>
      <c r="J821" s="438"/>
    </row>
    <row r="822" spans="1:10" x14ac:dyDescent="0.2">
      <c r="A822" s="29"/>
      <c r="B822" s="101"/>
      <c r="C822" s="371"/>
      <c r="D822" s="384"/>
      <c r="E822" s="104"/>
      <c r="F822" s="266"/>
      <c r="G822" s="372"/>
      <c r="H822" s="438"/>
      <c r="I822" s="438"/>
      <c r="J822" s="438"/>
    </row>
    <row r="823" spans="1:10" x14ac:dyDescent="0.2">
      <c r="A823" s="29"/>
      <c r="B823" s="101"/>
      <c r="C823" s="41"/>
      <c r="D823" s="384"/>
      <c r="E823" s="104"/>
      <c r="F823" s="266"/>
      <c r="G823" s="372"/>
      <c r="H823" s="438"/>
      <c r="I823" s="438"/>
      <c r="J823" s="438"/>
    </row>
    <row r="824" spans="1:10" x14ac:dyDescent="0.2">
      <c r="A824" s="29"/>
      <c r="B824" s="101"/>
      <c r="C824" s="371"/>
      <c r="D824" s="384"/>
      <c r="E824" s="104"/>
      <c r="F824" s="266"/>
      <c r="G824" s="372"/>
      <c r="H824" s="438"/>
      <c r="I824" s="438"/>
      <c r="J824" s="438"/>
    </row>
    <row r="825" spans="1:10" x14ac:dyDescent="0.2">
      <c r="A825" s="29"/>
      <c r="B825" s="101"/>
      <c r="C825" s="41"/>
      <c r="D825" s="384"/>
      <c r="E825" s="104"/>
      <c r="F825" s="266"/>
      <c r="G825" s="372"/>
      <c r="H825" s="438"/>
      <c r="I825" s="438"/>
      <c r="J825" s="438"/>
    </row>
    <row r="826" spans="1:10" x14ac:dyDescent="0.2">
      <c r="A826" s="29"/>
      <c r="B826" s="101"/>
      <c r="C826" s="371"/>
      <c r="D826" s="376"/>
      <c r="E826" s="108"/>
      <c r="F826" s="69"/>
      <c r="G826" s="372"/>
      <c r="H826" s="438"/>
      <c r="I826" s="438"/>
      <c r="J826" s="438"/>
    </row>
    <row r="827" spans="1:10" x14ac:dyDescent="0.2">
      <c r="A827" s="29"/>
      <c r="B827" s="101"/>
      <c r="C827" s="41"/>
      <c r="D827" s="358"/>
      <c r="E827" s="153"/>
      <c r="F827" s="69"/>
      <c r="G827" s="372"/>
      <c r="H827" s="438"/>
      <c r="I827" s="438"/>
      <c r="J827" s="438"/>
    </row>
    <row r="828" spans="1:10" x14ac:dyDescent="0.2">
      <c r="A828" s="29"/>
      <c r="B828" s="101"/>
      <c r="C828" s="371"/>
      <c r="D828" s="419"/>
      <c r="E828" s="102"/>
      <c r="F828" s="69"/>
      <c r="G828" s="372"/>
      <c r="H828" s="438"/>
      <c r="I828" s="438"/>
      <c r="J828" s="438"/>
    </row>
    <row r="829" spans="1:10" x14ac:dyDescent="0.2">
      <c r="A829" s="29"/>
      <c r="B829" s="101"/>
      <c r="C829" s="371"/>
      <c r="D829" s="419"/>
      <c r="E829" s="102"/>
      <c r="F829" s="69"/>
      <c r="G829" s="372"/>
      <c r="H829" s="438"/>
      <c r="I829" s="438"/>
      <c r="J829" s="438"/>
    </row>
    <row r="830" spans="1:10" x14ac:dyDescent="0.2">
      <c r="A830" s="29"/>
      <c r="B830" s="101"/>
      <c r="C830" s="31"/>
      <c r="D830" s="419"/>
      <c r="E830" s="131"/>
      <c r="F830" s="267"/>
      <c r="G830" s="372"/>
      <c r="H830" s="438"/>
      <c r="I830" s="438"/>
      <c r="J830" s="438"/>
    </row>
    <row r="831" spans="1:10" x14ac:dyDescent="0.2">
      <c r="A831" s="29"/>
      <c r="B831" s="101"/>
      <c r="C831" s="371"/>
      <c r="D831" s="425"/>
      <c r="E831" s="108"/>
      <c r="F831" s="263"/>
      <c r="G831" s="372"/>
      <c r="H831" s="438"/>
      <c r="I831" s="438"/>
      <c r="J831" s="438"/>
    </row>
    <row r="832" spans="1:10" x14ac:dyDescent="0.2">
      <c r="A832" s="29"/>
      <c r="B832" s="101"/>
      <c r="C832" s="41"/>
      <c r="D832" s="383"/>
      <c r="E832" s="108"/>
      <c r="F832" s="263"/>
      <c r="G832" s="372"/>
      <c r="H832" s="438"/>
      <c r="I832" s="438"/>
      <c r="J832" s="438"/>
    </row>
    <row r="833" spans="1:10" x14ac:dyDescent="0.2">
      <c r="A833" s="29"/>
      <c r="B833" s="101"/>
      <c r="C833" s="371"/>
      <c r="D833" s="383"/>
      <c r="E833" s="108"/>
      <c r="F833" s="149"/>
      <c r="G833" s="372"/>
      <c r="H833" s="438"/>
      <c r="I833" s="438"/>
      <c r="J833" s="438"/>
    </row>
    <row r="834" spans="1:10" x14ac:dyDescent="0.2">
      <c r="A834" s="61"/>
      <c r="B834" s="101"/>
      <c r="C834" s="41"/>
      <c r="D834" s="383"/>
      <c r="E834" s="108"/>
      <c r="F834" s="149"/>
      <c r="G834" s="372"/>
      <c r="H834" s="438"/>
      <c r="I834" s="438"/>
      <c r="J834" s="438"/>
    </row>
    <row r="835" spans="1:10" ht="13.5" thickBot="1" x14ac:dyDescent="0.25">
      <c r="A835" s="209"/>
      <c r="B835" s="132"/>
      <c r="C835" s="115"/>
      <c r="D835" s="115"/>
      <c r="E835" s="132"/>
      <c r="F835" s="49" t="s">
        <v>15</v>
      </c>
      <c r="G835" s="210">
        <f>SUM(G801:G834)</f>
        <v>27500</v>
      </c>
      <c r="H835" s="243"/>
      <c r="I835" s="243"/>
      <c r="J835" s="243"/>
    </row>
    <row r="836" spans="1:10" ht="13.5" thickTop="1" x14ac:dyDescent="0.2">
      <c r="A836" s="875" t="s">
        <v>1684</v>
      </c>
      <c r="B836" s="899"/>
      <c r="C836" s="899"/>
      <c r="D836" s="899"/>
      <c r="E836" s="899"/>
      <c r="F836" s="899"/>
      <c r="G836" s="900"/>
      <c r="H836" s="22"/>
      <c r="I836" s="22"/>
      <c r="J836" s="22"/>
    </row>
    <row r="837" spans="1:10" ht="13.5" thickBot="1" x14ac:dyDescent="0.25">
      <c r="A837" s="52"/>
      <c r="B837" s="103"/>
      <c r="C837" s="374" t="s">
        <v>1685</v>
      </c>
      <c r="D837" s="54"/>
      <c r="E837" s="103"/>
      <c r="F837" s="55"/>
      <c r="G837" s="56"/>
    </row>
    <row r="838" spans="1:10" ht="13.5" thickTop="1" x14ac:dyDescent="0.2">
      <c r="A838" s="906"/>
      <c r="B838" s="907"/>
      <c r="C838" s="907"/>
      <c r="D838" s="57" t="s">
        <v>11</v>
      </c>
      <c r="E838" s="908" t="s">
        <v>12</v>
      </c>
      <c r="F838" s="908"/>
      <c r="G838" s="909"/>
      <c r="H838" s="4"/>
      <c r="I838" s="4"/>
      <c r="J838" s="4"/>
    </row>
    <row r="839" spans="1:10" x14ac:dyDescent="0.2">
      <c r="A839" s="910" t="s">
        <v>17</v>
      </c>
      <c r="B839" s="911"/>
      <c r="C839" s="911"/>
      <c r="D839" s="39"/>
      <c r="E839" s="912"/>
      <c r="F839" s="913"/>
      <c r="G839" s="914"/>
      <c r="H839" s="176"/>
      <c r="I839" s="176"/>
      <c r="J839" s="176"/>
    </row>
    <row r="840" spans="1:10" x14ac:dyDescent="0.2">
      <c r="A840" s="910" t="s">
        <v>38</v>
      </c>
      <c r="B840" s="911"/>
      <c r="C840" s="911"/>
      <c r="D840" s="73" t="s">
        <v>891</v>
      </c>
      <c r="E840" s="868" t="s">
        <v>142</v>
      </c>
      <c r="F840" s="868"/>
      <c r="G840" s="869"/>
      <c r="H840" s="1"/>
      <c r="I840" s="1"/>
      <c r="J840" s="1"/>
    </row>
    <row r="841" spans="1:10" ht="13.5" thickBot="1" x14ac:dyDescent="0.25">
      <c r="A841" s="901" t="s">
        <v>39</v>
      </c>
      <c r="B841" s="902"/>
      <c r="C841" s="902"/>
      <c r="D841" s="91" t="s">
        <v>892</v>
      </c>
      <c r="E841" s="904" t="s">
        <v>0</v>
      </c>
      <c r="F841" s="904"/>
      <c r="G841" s="905"/>
      <c r="H841" s="4"/>
      <c r="I841" s="4"/>
      <c r="J841" s="4"/>
    </row>
    <row r="842" spans="1:10" ht="16.5" x14ac:dyDescent="0.25">
      <c r="A842" s="885" t="s">
        <v>29</v>
      </c>
      <c r="B842" s="886"/>
      <c r="C842" s="886"/>
      <c r="D842" s="886"/>
      <c r="E842" s="886"/>
      <c r="F842" s="886"/>
      <c r="G842" s="887"/>
      <c r="H842" s="247"/>
      <c r="I842" s="247"/>
      <c r="J842" s="247"/>
    </row>
    <row r="843" spans="1:10" x14ac:dyDescent="0.2">
      <c r="A843" s="888" t="s">
        <v>48</v>
      </c>
      <c r="B843" s="889"/>
      <c r="C843" s="889"/>
      <c r="D843" s="889"/>
      <c r="E843" s="889"/>
      <c r="F843" s="889"/>
      <c r="G843" s="890"/>
      <c r="H843" s="246"/>
      <c r="I843" s="246"/>
      <c r="J843" s="246"/>
    </row>
    <row r="844" spans="1:10" x14ac:dyDescent="0.2">
      <c r="A844" s="915" t="s">
        <v>49</v>
      </c>
      <c r="B844" s="916"/>
      <c r="C844" s="916"/>
      <c r="D844" s="916"/>
      <c r="E844" s="916"/>
      <c r="F844" s="916"/>
      <c r="G844" s="917"/>
      <c r="H844" s="4"/>
      <c r="I844" s="4"/>
      <c r="J844" s="4"/>
    </row>
    <row r="845" spans="1:10" x14ac:dyDescent="0.2">
      <c r="A845" s="6"/>
      <c r="B845" s="99"/>
      <c r="C845" s="8"/>
      <c r="D845" s="9"/>
      <c r="E845" s="99"/>
      <c r="F845" s="10"/>
      <c r="G845" s="11" t="s">
        <v>20</v>
      </c>
      <c r="H845" s="248"/>
      <c r="I845" s="248"/>
      <c r="J845" s="248"/>
    </row>
    <row r="846" spans="1:10" x14ac:dyDescent="0.2">
      <c r="A846" s="12" t="s">
        <v>1</v>
      </c>
      <c r="B846" s="13"/>
      <c r="C846" s="14" t="s">
        <v>36</v>
      </c>
      <c r="D846" s="13"/>
      <c r="E846" s="362" t="s">
        <v>1818</v>
      </c>
      <c r="F846" s="98"/>
      <c r="G846" s="363" t="s">
        <v>1781</v>
      </c>
      <c r="H846" s="430"/>
      <c r="I846" s="430"/>
      <c r="J846" s="430"/>
    </row>
    <row r="847" spans="1:10" x14ac:dyDescent="0.2">
      <c r="A847" s="17" t="s">
        <v>8</v>
      </c>
      <c r="B847" s="100"/>
      <c r="C847" s="19"/>
      <c r="D847" s="4"/>
      <c r="E847" s="918"/>
      <c r="F847" s="919"/>
      <c r="G847" s="20"/>
    </row>
    <row r="848" spans="1:10" x14ac:dyDescent="0.2">
      <c r="A848" s="21" t="s">
        <v>37</v>
      </c>
      <c r="B848" s="22"/>
      <c r="C848" s="22"/>
      <c r="D848" s="22"/>
      <c r="E848" s="23" t="s">
        <v>46</v>
      </c>
      <c r="F848" s="24"/>
      <c r="G848" s="20" t="s">
        <v>50</v>
      </c>
    </row>
    <row r="849" spans="1:10" x14ac:dyDescent="0.2">
      <c r="A849" s="6"/>
      <c r="B849" s="99"/>
      <c r="C849" s="8"/>
      <c r="D849" s="8"/>
      <c r="E849" s="920"/>
      <c r="F849" s="921"/>
      <c r="G849" s="25"/>
    </row>
    <row r="850" spans="1:10" ht="26.25" thickBot="1" x14ac:dyDescent="0.25">
      <c r="A850" s="207" t="s">
        <v>47</v>
      </c>
      <c r="B850" s="28" t="s">
        <v>23</v>
      </c>
      <c r="C850" s="28" t="s">
        <v>34</v>
      </c>
      <c r="D850" s="110" t="s">
        <v>53</v>
      </c>
      <c r="E850" s="114" t="s">
        <v>54</v>
      </c>
      <c r="F850" s="111" t="s">
        <v>55</v>
      </c>
      <c r="G850" s="112" t="s">
        <v>35</v>
      </c>
      <c r="H850" s="249"/>
      <c r="I850" s="249"/>
      <c r="J850" s="249"/>
    </row>
    <row r="851" spans="1:10" ht="13.5" thickTop="1" x14ac:dyDescent="0.2">
      <c r="A851" s="29">
        <v>1</v>
      </c>
      <c r="B851" s="101"/>
      <c r="C851" s="371" t="s">
        <v>149</v>
      </c>
      <c r="D851" s="370" t="s">
        <v>1688</v>
      </c>
      <c r="E851" s="108">
        <v>25</v>
      </c>
      <c r="F851" s="149">
        <v>200</v>
      </c>
      <c r="G851" s="35">
        <f>F851*E851</f>
        <v>5000</v>
      </c>
      <c r="H851" s="212"/>
      <c r="I851" s="212"/>
      <c r="J851" s="212"/>
    </row>
    <row r="852" spans="1:10" x14ac:dyDescent="0.2">
      <c r="A852" s="29"/>
      <c r="B852" s="101"/>
      <c r="C852" s="371"/>
      <c r="D852" s="370" t="s">
        <v>1689</v>
      </c>
      <c r="E852" s="108"/>
      <c r="F852" s="149"/>
      <c r="G852" s="35"/>
      <c r="H852" s="212"/>
      <c r="I852" s="212"/>
      <c r="J852" s="212"/>
    </row>
    <row r="853" spans="1:10" x14ac:dyDescent="0.2">
      <c r="A853" s="29">
        <v>2</v>
      </c>
      <c r="B853" s="105"/>
      <c r="C853" s="371" t="s">
        <v>149</v>
      </c>
      <c r="D853" s="376" t="s">
        <v>339</v>
      </c>
      <c r="E853" s="102">
        <v>25</v>
      </c>
      <c r="F853" s="128">
        <v>350</v>
      </c>
      <c r="G853" s="372">
        <f>F853*E853</f>
        <v>8750</v>
      </c>
      <c r="H853" s="438"/>
      <c r="I853" s="438"/>
      <c r="J853" s="438"/>
    </row>
    <row r="854" spans="1:10" x14ac:dyDescent="0.2">
      <c r="A854" s="29"/>
      <c r="B854" s="105"/>
      <c r="C854" s="371"/>
      <c r="D854" s="376" t="s">
        <v>301</v>
      </c>
      <c r="E854" s="102"/>
      <c r="F854" s="128"/>
      <c r="G854" s="372"/>
      <c r="H854" s="438"/>
      <c r="I854" s="438"/>
      <c r="J854" s="438"/>
    </row>
    <row r="855" spans="1:10" x14ac:dyDescent="0.2">
      <c r="A855" s="364" t="s">
        <v>8</v>
      </c>
      <c r="B855" s="105"/>
      <c r="C855" s="371" t="s">
        <v>8</v>
      </c>
      <c r="D855" s="376" t="s">
        <v>8</v>
      </c>
      <c r="E855" s="409" t="s">
        <v>8</v>
      </c>
      <c r="F855" s="403" t="s">
        <v>8</v>
      </c>
      <c r="G855" s="372" t="s">
        <v>8</v>
      </c>
      <c r="H855" s="438"/>
      <c r="I855" s="438"/>
      <c r="J855" s="438"/>
    </row>
    <row r="856" spans="1:10" x14ac:dyDescent="0.2">
      <c r="A856" s="29"/>
      <c r="B856" s="105"/>
      <c r="C856" s="371"/>
      <c r="D856" s="376"/>
      <c r="E856" s="102"/>
      <c r="F856" s="128"/>
      <c r="G856" s="372"/>
      <c r="H856" s="438"/>
      <c r="I856" s="438"/>
      <c r="J856" s="438"/>
    </row>
    <row r="857" spans="1:10" x14ac:dyDescent="0.2">
      <c r="A857" s="29"/>
      <c r="B857" s="151"/>
      <c r="C857" s="119"/>
      <c r="D857" s="358"/>
      <c r="E857" s="108"/>
      <c r="F857" s="264"/>
      <c r="G857" s="372"/>
      <c r="H857" s="438"/>
      <c r="I857" s="438"/>
      <c r="J857" s="438"/>
    </row>
    <row r="858" spans="1:10" x14ac:dyDescent="0.2">
      <c r="A858" s="29"/>
      <c r="B858" s="101"/>
      <c r="C858" s="371"/>
      <c r="D858" s="383"/>
      <c r="E858" s="104"/>
      <c r="F858" s="69"/>
      <c r="G858" s="372"/>
      <c r="H858" s="438"/>
      <c r="I858" s="438"/>
      <c r="J858" s="438"/>
    </row>
    <row r="859" spans="1:10" x14ac:dyDescent="0.2">
      <c r="A859" s="29"/>
      <c r="B859" s="106"/>
      <c r="C859" s="41"/>
      <c r="D859" s="376"/>
      <c r="E859" s="104"/>
      <c r="F859" s="69"/>
      <c r="G859" s="372"/>
      <c r="H859" s="438"/>
      <c r="I859" s="438"/>
      <c r="J859" s="438"/>
    </row>
    <row r="860" spans="1:10" x14ac:dyDescent="0.2">
      <c r="A860" s="29"/>
      <c r="B860" s="105"/>
      <c r="C860" s="371"/>
      <c r="D860" s="376"/>
      <c r="E860" s="108"/>
      <c r="F860" s="265"/>
      <c r="G860" s="372"/>
      <c r="H860" s="438"/>
      <c r="I860" s="438"/>
      <c r="J860" s="438"/>
    </row>
    <row r="861" spans="1:10" x14ac:dyDescent="0.2">
      <c r="A861" s="29"/>
      <c r="B861" s="107"/>
      <c r="C861" s="41"/>
      <c r="D861" s="376"/>
      <c r="E861" s="153"/>
      <c r="F861" s="69"/>
      <c r="G861" s="372"/>
      <c r="H861" s="438"/>
      <c r="I861" s="438"/>
      <c r="J861" s="438"/>
    </row>
    <row r="862" spans="1:10" x14ac:dyDescent="0.2">
      <c r="A862" s="29"/>
      <c r="B862" s="107"/>
      <c r="C862" s="371"/>
      <c r="D862" s="384"/>
      <c r="E862" s="153"/>
      <c r="F862" s="69"/>
      <c r="G862" s="372"/>
      <c r="H862" s="438"/>
      <c r="I862" s="438"/>
      <c r="J862" s="438"/>
    </row>
    <row r="863" spans="1:10" x14ac:dyDescent="0.2">
      <c r="A863" s="29"/>
      <c r="B863" s="101"/>
      <c r="C863" s="41"/>
      <c r="D863" s="384"/>
      <c r="E863" s="108"/>
      <c r="F863" s="451"/>
      <c r="G863" s="372"/>
      <c r="H863" s="438"/>
      <c r="I863" s="438"/>
      <c r="J863" s="438"/>
    </row>
    <row r="864" spans="1:10" x14ac:dyDescent="0.2">
      <c r="A864" s="29"/>
      <c r="B864" s="101"/>
      <c r="C864" s="41"/>
      <c r="D864" s="358"/>
      <c r="E864" s="153"/>
      <c r="F864" s="69"/>
      <c r="G864" s="372"/>
      <c r="H864" s="438"/>
      <c r="I864" s="438"/>
      <c r="J864" s="438"/>
    </row>
    <row r="865" spans="1:10" x14ac:dyDescent="0.2">
      <c r="A865" s="29"/>
      <c r="B865" s="106"/>
      <c r="C865" s="371"/>
      <c r="D865" s="384"/>
      <c r="E865" s="104"/>
      <c r="F865" s="266"/>
      <c r="G865" s="372"/>
      <c r="H865" s="438"/>
      <c r="I865" s="438"/>
      <c r="J865" s="438"/>
    </row>
    <row r="866" spans="1:10" x14ac:dyDescent="0.2">
      <c r="A866" s="29"/>
      <c r="B866" s="105"/>
      <c r="C866" s="41"/>
      <c r="D866" s="419"/>
      <c r="E866" s="104"/>
      <c r="F866" s="266"/>
      <c r="G866" s="372"/>
      <c r="H866" s="438"/>
      <c r="I866" s="438"/>
      <c r="J866" s="438"/>
    </row>
    <row r="867" spans="1:10" x14ac:dyDescent="0.2">
      <c r="A867" s="29"/>
      <c r="B867" s="105"/>
      <c r="C867" s="371"/>
      <c r="D867" s="384"/>
      <c r="E867" s="104"/>
      <c r="F867" s="266"/>
      <c r="G867" s="372"/>
      <c r="H867" s="438"/>
      <c r="I867" s="438"/>
      <c r="J867" s="438"/>
    </row>
    <row r="868" spans="1:10" x14ac:dyDescent="0.2">
      <c r="A868" s="29"/>
      <c r="B868" s="101"/>
      <c r="C868" s="41"/>
      <c r="D868" s="384"/>
      <c r="E868" s="104"/>
      <c r="F868" s="266"/>
      <c r="G868" s="372"/>
      <c r="H868" s="438"/>
      <c r="I868" s="438"/>
      <c r="J868" s="438"/>
    </row>
    <row r="869" spans="1:10" x14ac:dyDescent="0.2">
      <c r="A869" s="29"/>
      <c r="B869" s="101"/>
      <c r="C869" s="371"/>
      <c r="D869" s="376"/>
      <c r="E869" s="104"/>
      <c r="F869" s="266"/>
      <c r="G869" s="372"/>
      <c r="H869" s="438"/>
      <c r="I869" s="438"/>
      <c r="J869" s="438"/>
    </row>
    <row r="870" spans="1:10" x14ac:dyDescent="0.2">
      <c r="A870" s="29"/>
      <c r="B870" s="101"/>
      <c r="C870" s="41"/>
      <c r="D870" s="376"/>
      <c r="E870" s="104"/>
      <c r="F870" s="266"/>
      <c r="G870" s="372"/>
      <c r="H870" s="438"/>
      <c r="I870" s="438"/>
      <c r="J870" s="438"/>
    </row>
    <row r="871" spans="1:10" x14ac:dyDescent="0.2">
      <c r="A871" s="29"/>
      <c r="B871" s="101"/>
      <c r="C871" s="41"/>
      <c r="D871" s="444"/>
      <c r="E871" s="104"/>
      <c r="F871" s="266"/>
      <c r="G871" s="372"/>
      <c r="H871" s="438"/>
      <c r="I871" s="438"/>
      <c r="J871" s="438"/>
    </row>
    <row r="872" spans="1:10" x14ac:dyDescent="0.2">
      <c r="A872" s="29"/>
      <c r="B872" s="101"/>
      <c r="C872" s="371"/>
      <c r="D872" s="384"/>
      <c r="E872" s="104"/>
      <c r="F872" s="266"/>
      <c r="G872" s="372"/>
      <c r="H872" s="438"/>
      <c r="I872" s="438"/>
      <c r="J872" s="438"/>
    </row>
    <row r="873" spans="1:10" x14ac:dyDescent="0.2">
      <c r="A873" s="29"/>
      <c r="B873" s="101"/>
      <c r="C873" s="41"/>
      <c r="D873" s="384"/>
      <c r="E873" s="104"/>
      <c r="F873" s="266"/>
      <c r="G873" s="372"/>
      <c r="H873" s="438"/>
      <c r="I873" s="438"/>
      <c r="J873" s="438"/>
    </row>
    <row r="874" spans="1:10" x14ac:dyDescent="0.2">
      <c r="A874" s="29"/>
      <c r="B874" s="101"/>
      <c r="C874" s="371"/>
      <c r="D874" s="384"/>
      <c r="E874" s="104"/>
      <c r="F874" s="266"/>
      <c r="G874" s="372"/>
      <c r="H874" s="438"/>
      <c r="I874" s="438"/>
      <c r="J874" s="438"/>
    </row>
    <row r="875" spans="1:10" x14ac:dyDescent="0.2">
      <c r="A875" s="29"/>
      <c r="B875" s="101"/>
      <c r="C875" s="41"/>
      <c r="D875" s="384"/>
      <c r="E875" s="104"/>
      <c r="F875" s="266"/>
      <c r="G875" s="372"/>
      <c r="H875" s="438"/>
      <c r="I875" s="438"/>
      <c r="J875" s="438"/>
    </row>
    <row r="876" spans="1:10" x14ac:dyDescent="0.2">
      <c r="A876" s="29"/>
      <c r="B876" s="101"/>
      <c r="C876" s="371"/>
      <c r="D876" s="376"/>
      <c r="E876" s="108"/>
      <c r="F876" s="69"/>
      <c r="G876" s="372"/>
      <c r="H876" s="438"/>
      <c r="I876" s="438"/>
      <c r="J876" s="438"/>
    </row>
    <row r="877" spans="1:10" x14ac:dyDescent="0.2">
      <c r="A877" s="29"/>
      <c r="B877" s="101"/>
      <c r="C877" s="41"/>
      <c r="D877" s="358"/>
      <c r="E877" s="153"/>
      <c r="F877" s="69"/>
      <c r="G877" s="372"/>
      <c r="H877" s="438"/>
      <c r="I877" s="438"/>
      <c r="J877" s="438"/>
    </row>
    <row r="878" spans="1:10" x14ac:dyDescent="0.2">
      <c r="A878" s="29"/>
      <c r="B878" s="101"/>
      <c r="C878" s="371"/>
      <c r="D878" s="419"/>
      <c r="E878" s="102"/>
      <c r="F878" s="69"/>
      <c r="G878" s="372"/>
      <c r="H878" s="438"/>
      <c r="I878" s="438"/>
      <c r="J878" s="438"/>
    </row>
    <row r="879" spans="1:10" x14ac:dyDescent="0.2">
      <c r="A879" s="29"/>
      <c r="B879" s="101"/>
      <c r="C879" s="371"/>
      <c r="D879" s="419"/>
      <c r="E879" s="102"/>
      <c r="F879" s="69"/>
      <c r="G879" s="372"/>
      <c r="H879" s="438"/>
      <c r="I879" s="438"/>
      <c r="J879" s="438"/>
    </row>
    <row r="880" spans="1:10" x14ac:dyDescent="0.2">
      <c r="A880" s="29"/>
      <c r="B880" s="101"/>
      <c r="C880" s="31"/>
      <c r="D880" s="419"/>
      <c r="E880" s="131"/>
      <c r="F880" s="267"/>
      <c r="G880" s="372"/>
      <c r="H880" s="438"/>
      <c r="I880" s="438"/>
      <c r="J880" s="438"/>
    </row>
    <row r="881" spans="1:10" x14ac:dyDescent="0.2">
      <c r="A881" s="29"/>
      <c r="B881" s="101"/>
      <c r="C881" s="371"/>
      <c r="D881" s="425"/>
      <c r="E881" s="108"/>
      <c r="F881" s="263"/>
      <c r="G881" s="372"/>
      <c r="H881" s="438"/>
      <c r="I881" s="438"/>
      <c r="J881" s="438"/>
    </row>
    <row r="882" spans="1:10" x14ac:dyDescent="0.2">
      <c r="A882" s="29"/>
      <c r="B882" s="101"/>
      <c r="C882" s="41"/>
      <c r="D882" s="383"/>
      <c r="E882" s="108"/>
      <c r="F882" s="263"/>
      <c r="G882" s="372"/>
      <c r="H882" s="438"/>
      <c r="I882" s="438"/>
      <c r="J882" s="438"/>
    </row>
    <row r="883" spans="1:10" x14ac:dyDescent="0.2">
      <c r="A883" s="29"/>
      <c r="B883" s="101"/>
      <c r="C883" s="371"/>
      <c r="D883" s="383"/>
      <c r="E883" s="108"/>
      <c r="F883" s="149"/>
      <c r="G883" s="372"/>
      <c r="H883" s="438"/>
      <c r="I883" s="438"/>
      <c r="J883" s="438"/>
    </row>
    <row r="884" spans="1:10" x14ac:dyDescent="0.2">
      <c r="A884" s="61"/>
      <c r="B884" s="101"/>
      <c r="C884" s="41"/>
      <c r="D884" s="383"/>
      <c r="E884" s="108"/>
      <c r="F884" s="149"/>
      <c r="G884" s="372"/>
      <c r="H884" s="438"/>
      <c r="I884" s="438"/>
      <c r="J884" s="438"/>
    </row>
    <row r="885" spans="1:10" ht="13.5" thickBot="1" x14ac:dyDescent="0.25">
      <c r="A885" s="209"/>
      <c r="B885" s="132"/>
      <c r="C885" s="115"/>
      <c r="D885" s="115"/>
      <c r="E885" s="132"/>
      <c r="F885" s="49" t="s">
        <v>15</v>
      </c>
      <c r="G885" s="210">
        <f>SUM(G851:G884)</f>
        <v>13750</v>
      </c>
      <c r="H885" s="243"/>
      <c r="I885" s="243"/>
      <c r="J885" s="243"/>
    </row>
    <row r="886" spans="1:10" ht="13.5" thickTop="1" x14ac:dyDescent="0.2">
      <c r="A886" s="875" t="s">
        <v>1690</v>
      </c>
      <c r="B886" s="899"/>
      <c r="C886" s="899"/>
      <c r="D886" s="899"/>
      <c r="E886" s="899"/>
      <c r="F886" s="899"/>
      <c r="G886" s="900"/>
      <c r="H886" s="22"/>
      <c r="I886" s="22"/>
      <c r="J886" s="22"/>
    </row>
    <row r="887" spans="1:10" ht="13.5" thickBot="1" x14ac:dyDescent="0.25">
      <c r="A887" s="52"/>
      <c r="B887" s="103"/>
      <c r="C887" s="374" t="s">
        <v>1691</v>
      </c>
      <c r="D887" s="54"/>
      <c r="E887" s="103"/>
      <c r="F887" s="55"/>
      <c r="G887" s="56"/>
    </row>
    <row r="888" spans="1:10" ht="13.5" thickTop="1" x14ac:dyDescent="0.2">
      <c r="A888" s="906"/>
      <c r="B888" s="907"/>
      <c r="C888" s="907"/>
      <c r="D888" s="57" t="s">
        <v>11</v>
      </c>
      <c r="E888" s="908" t="s">
        <v>12</v>
      </c>
      <c r="F888" s="908"/>
      <c r="G888" s="909"/>
      <c r="H888" s="4"/>
      <c r="I888" s="4"/>
      <c r="J888" s="4"/>
    </row>
    <row r="889" spans="1:10" x14ac:dyDescent="0.2">
      <c r="A889" s="910" t="s">
        <v>17</v>
      </c>
      <c r="B889" s="911"/>
      <c r="C889" s="911"/>
      <c r="D889" s="39"/>
      <c r="E889" s="912"/>
      <c r="F889" s="913"/>
      <c r="G889" s="914"/>
      <c r="H889" s="176"/>
      <c r="I889" s="176"/>
      <c r="J889" s="176"/>
    </row>
    <row r="890" spans="1:10" x14ac:dyDescent="0.2">
      <c r="A890" s="910" t="s">
        <v>38</v>
      </c>
      <c r="B890" s="911"/>
      <c r="C890" s="911"/>
      <c r="D890" s="73" t="s">
        <v>891</v>
      </c>
      <c r="E890" s="868" t="s">
        <v>142</v>
      </c>
      <c r="F890" s="868"/>
      <c r="G890" s="869"/>
      <c r="H890" s="1"/>
      <c r="I890" s="1"/>
      <c r="J890" s="1"/>
    </row>
    <row r="891" spans="1:10" ht="13.5" thickBot="1" x14ac:dyDescent="0.25">
      <c r="A891" s="901" t="s">
        <v>39</v>
      </c>
      <c r="B891" s="902"/>
      <c r="C891" s="902"/>
      <c r="D891" s="91" t="s">
        <v>892</v>
      </c>
      <c r="E891" s="904" t="s">
        <v>0</v>
      </c>
      <c r="F891" s="904"/>
      <c r="G891" s="905"/>
      <c r="H891" s="4"/>
      <c r="I891" s="4"/>
      <c r="J891" s="4"/>
    </row>
    <row r="892" spans="1:10" ht="16.5" x14ac:dyDescent="0.25">
      <c r="A892" s="885" t="s">
        <v>29</v>
      </c>
      <c r="B892" s="886"/>
      <c r="C892" s="886"/>
      <c r="D892" s="886"/>
      <c r="E892" s="886"/>
      <c r="F892" s="886"/>
      <c r="G892" s="887"/>
      <c r="H892" s="247"/>
      <c r="I892" s="247"/>
      <c r="J892" s="247"/>
    </row>
    <row r="893" spans="1:10" x14ac:dyDescent="0.2">
      <c r="A893" s="888" t="s">
        <v>48</v>
      </c>
      <c r="B893" s="889"/>
      <c r="C893" s="889"/>
      <c r="D893" s="889"/>
      <c r="E893" s="889"/>
      <c r="F893" s="889"/>
      <c r="G893" s="890"/>
      <c r="H893" s="246"/>
      <c r="I893" s="246"/>
      <c r="J893" s="246"/>
    </row>
    <row r="894" spans="1:10" x14ac:dyDescent="0.2">
      <c r="A894" s="915" t="s">
        <v>49</v>
      </c>
      <c r="B894" s="916"/>
      <c r="C894" s="916"/>
      <c r="D894" s="916"/>
      <c r="E894" s="916"/>
      <c r="F894" s="916"/>
      <c r="G894" s="917"/>
      <c r="H894" s="4"/>
      <c r="I894" s="4"/>
      <c r="J894" s="4"/>
    </row>
    <row r="895" spans="1:10" x14ac:dyDescent="0.2">
      <c r="A895" s="6"/>
      <c r="B895" s="99"/>
      <c r="C895" s="8"/>
      <c r="D895" s="9"/>
      <c r="E895" s="99"/>
      <c r="F895" s="10"/>
      <c r="G895" s="11" t="s">
        <v>20</v>
      </c>
      <c r="H895" s="248"/>
      <c r="I895" s="248"/>
      <c r="J895" s="248"/>
    </row>
    <row r="896" spans="1:10" x14ac:dyDescent="0.2">
      <c r="A896" s="12" t="s">
        <v>1</v>
      </c>
      <c r="B896" s="13"/>
      <c r="C896" s="14" t="s">
        <v>36</v>
      </c>
      <c r="D896" s="13"/>
      <c r="E896" s="362" t="s">
        <v>1845</v>
      </c>
      <c r="F896" s="98"/>
      <c r="G896" s="363" t="s">
        <v>1844</v>
      </c>
      <c r="H896" s="430"/>
      <c r="I896" s="430"/>
      <c r="J896" s="430"/>
    </row>
    <row r="897" spans="1:10" x14ac:dyDescent="0.2">
      <c r="A897" s="17" t="s">
        <v>8</v>
      </c>
      <c r="B897" s="100"/>
      <c r="C897" s="19"/>
      <c r="D897" s="4"/>
      <c r="E897" s="918"/>
      <c r="F897" s="919"/>
      <c r="G897" s="20"/>
    </row>
    <row r="898" spans="1:10" x14ac:dyDescent="0.2">
      <c r="A898" s="21" t="s">
        <v>37</v>
      </c>
      <c r="B898" s="22"/>
      <c r="C898" s="22"/>
      <c r="D898" s="22"/>
      <c r="E898" s="23" t="s">
        <v>46</v>
      </c>
      <c r="F898" s="24"/>
      <c r="G898" s="20" t="s">
        <v>50</v>
      </c>
    </row>
    <row r="899" spans="1:10" x14ac:dyDescent="0.2">
      <c r="A899" s="6"/>
      <c r="B899" s="99"/>
      <c r="C899" s="8"/>
      <c r="D899" s="8"/>
      <c r="E899" s="920"/>
      <c r="F899" s="921"/>
      <c r="G899" s="25"/>
    </row>
    <row r="900" spans="1:10" ht="26.25" thickBot="1" x14ac:dyDescent="0.25">
      <c r="A900" s="207" t="s">
        <v>47</v>
      </c>
      <c r="B900" s="28" t="s">
        <v>23</v>
      </c>
      <c r="C900" s="28" t="s">
        <v>34</v>
      </c>
      <c r="D900" s="110" t="s">
        <v>53</v>
      </c>
      <c r="E900" s="114" t="s">
        <v>54</v>
      </c>
      <c r="F900" s="111" t="s">
        <v>55</v>
      </c>
      <c r="G900" s="112" t="s">
        <v>35</v>
      </c>
      <c r="H900" s="249"/>
      <c r="I900" s="249"/>
      <c r="J900" s="249"/>
    </row>
    <row r="901" spans="1:10" ht="13.5" thickTop="1" x14ac:dyDescent="0.2">
      <c r="A901" s="29">
        <v>1</v>
      </c>
      <c r="B901" s="101"/>
      <c r="C901" s="371" t="s">
        <v>149</v>
      </c>
      <c r="D901" s="370" t="s">
        <v>1712</v>
      </c>
      <c r="E901" s="108">
        <v>50</v>
      </c>
      <c r="F901" s="149">
        <v>200</v>
      </c>
      <c r="G901" s="35">
        <f>F901*E901</f>
        <v>10000</v>
      </c>
      <c r="H901" s="212"/>
      <c r="I901" s="212"/>
      <c r="J901" s="212"/>
    </row>
    <row r="902" spans="1:10" x14ac:dyDescent="0.2">
      <c r="A902" s="29"/>
      <c r="B902" s="101"/>
      <c r="C902" s="371"/>
      <c r="D902" s="370" t="s">
        <v>338</v>
      </c>
      <c r="E902" s="108"/>
      <c r="F902" s="149"/>
      <c r="G902" s="35"/>
      <c r="H902" s="212"/>
      <c r="I902" s="212"/>
      <c r="J902" s="212"/>
    </row>
    <row r="903" spans="1:10" x14ac:dyDescent="0.2">
      <c r="A903" s="29">
        <v>2</v>
      </c>
      <c r="B903" s="105"/>
      <c r="C903" s="371" t="s">
        <v>149</v>
      </c>
      <c r="D903" s="376" t="s">
        <v>339</v>
      </c>
      <c r="E903" s="102">
        <v>50</v>
      </c>
      <c r="F903" s="128">
        <v>350</v>
      </c>
      <c r="G903" s="372">
        <f>F903*E903</f>
        <v>17500</v>
      </c>
      <c r="H903" s="438"/>
      <c r="I903" s="438"/>
      <c r="J903" s="438"/>
    </row>
    <row r="904" spans="1:10" x14ac:dyDescent="0.2">
      <c r="A904" s="29"/>
      <c r="B904" s="105"/>
      <c r="C904" s="371"/>
      <c r="D904" s="376" t="s">
        <v>301</v>
      </c>
      <c r="E904" s="102"/>
      <c r="F904" s="128"/>
      <c r="G904" s="372"/>
      <c r="H904" s="438"/>
      <c r="I904" s="438"/>
      <c r="J904" s="438"/>
    </row>
    <row r="905" spans="1:10" x14ac:dyDescent="0.2">
      <c r="A905" s="364" t="s">
        <v>8</v>
      </c>
      <c r="B905" s="105"/>
      <c r="C905" s="371" t="s">
        <v>8</v>
      </c>
      <c r="D905" s="376" t="s">
        <v>8</v>
      </c>
      <c r="E905" s="409" t="s">
        <v>8</v>
      </c>
      <c r="F905" s="403" t="s">
        <v>8</v>
      </c>
      <c r="G905" s="372" t="s">
        <v>8</v>
      </c>
      <c r="H905" s="438"/>
      <c r="I905" s="438"/>
      <c r="J905" s="438"/>
    </row>
    <row r="906" spans="1:10" x14ac:dyDescent="0.2">
      <c r="A906" s="29"/>
      <c r="B906" s="105"/>
      <c r="C906" s="371"/>
      <c r="D906" s="376"/>
      <c r="E906" s="102"/>
      <c r="F906" s="128"/>
      <c r="G906" s="372"/>
      <c r="H906" s="438"/>
      <c r="I906" s="438"/>
      <c r="J906" s="438"/>
    </row>
    <row r="907" spans="1:10" x14ac:dyDescent="0.2">
      <c r="A907" s="29"/>
      <c r="B907" s="151"/>
      <c r="C907" s="119"/>
      <c r="D907" s="358"/>
      <c r="E907" s="108"/>
      <c r="F907" s="264"/>
      <c r="G907" s="372"/>
      <c r="H907" s="438"/>
      <c r="I907" s="438"/>
      <c r="J907" s="438"/>
    </row>
    <row r="908" spans="1:10" x14ac:dyDescent="0.2">
      <c r="A908" s="29"/>
      <c r="B908" s="101"/>
      <c r="C908" s="371"/>
      <c r="D908" s="383"/>
      <c r="E908" s="104"/>
      <c r="F908" s="69"/>
      <c r="G908" s="372"/>
      <c r="H908" s="438"/>
      <c r="I908" s="438"/>
      <c r="J908" s="438"/>
    </row>
    <row r="909" spans="1:10" x14ac:dyDescent="0.2">
      <c r="A909" s="29"/>
      <c r="B909" s="106"/>
      <c r="C909" s="41"/>
      <c r="D909" s="376"/>
      <c r="E909" s="104"/>
      <c r="F909" s="69"/>
      <c r="G909" s="372"/>
      <c r="H909" s="438"/>
      <c r="I909" s="438"/>
      <c r="J909" s="438"/>
    </row>
    <row r="910" spans="1:10" x14ac:dyDescent="0.2">
      <c r="A910" s="29"/>
      <c r="B910" s="105"/>
      <c r="C910" s="371"/>
      <c r="D910" s="376"/>
      <c r="E910" s="108"/>
      <c r="F910" s="265"/>
      <c r="G910" s="372"/>
      <c r="H910" s="438"/>
      <c r="I910" s="438"/>
      <c r="J910" s="438"/>
    </row>
    <row r="911" spans="1:10" x14ac:dyDescent="0.2">
      <c r="A911" s="29"/>
      <c r="B911" s="107"/>
      <c r="C911" s="41"/>
      <c r="D911" s="376"/>
      <c r="E911" s="153"/>
      <c r="F911" s="69"/>
      <c r="G911" s="372"/>
      <c r="H911" s="438"/>
      <c r="I911" s="438"/>
      <c r="J911" s="438"/>
    </row>
    <row r="912" spans="1:10" x14ac:dyDescent="0.2">
      <c r="A912" s="29"/>
      <c r="B912" s="107"/>
      <c r="C912" s="371"/>
      <c r="D912" s="384"/>
      <c r="E912" s="153"/>
      <c r="F912" s="69"/>
      <c r="G912" s="372"/>
      <c r="H912" s="438"/>
      <c r="I912" s="438"/>
      <c r="J912" s="438"/>
    </row>
    <row r="913" spans="1:10" x14ac:dyDescent="0.2">
      <c r="A913" s="29"/>
      <c r="B913" s="101"/>
      <c r="C913" s="41"/>
      <c r="D913" s="384"/>
      <c r="E913" s="108"/>
      <c r="F913" s="451"/>
      <c r="G913" s="372"/>
      <c r="H913" s="438"/>
      <c r="I913" s="438"/>
      <c r="J913" s="438"/>
    </row>
    <row r="914" spans="1:10" x14ac:dyDescent="0.2">
      <c r="A914" s="29"/>
      <c r="B914" s="101"/>
      <c r="C914" s="41"/>
      <c r="D914" s="358"/>
      <c r="E914" s="153"/>
      <c r="F914" s="69"/>
      <c r="G914" s="372"/>
      <c r="H914" s="438"/>
      <c r="I914" s="438"/>
      <c r="J914" s="438"/>
    </row>
    <row r="915" spans="1:10" x14ac:dyDescent="0.2">
      <c r="A915" s="29"/>
      <c r="B915" s="106"/>
      <c r="C915" s="371"/>
      <c r="D915" s="384"/>
      <c r="E915" s="104"/>
      <c r="F915" s="266"/>
      <c r="G915" s="372"/>
      <c r="H915" s="438"/>
      <c r="I915" s="438"/>
      <c r="J915" s="438"/>
    </row>
    <row r="916" spans="1:10" x14ac:dyDescent="0.2">
      <c r="A916" s="29"/>
      <c r="B916" s="105"/>
      <c r="C916" s="41"/>
      <c r="D916" s="419"/>
      <c r="E916" s="104"/>
      <c r="F916" s="266"/>
      <c r="G916" s="372"/>
      <c r="H916" s="438"/>
      <c r="I916" s="438"/>
      <c r="J916" s="438"/>
    </row>
    <row r="917" spans="1:10" x14ac:dyDescent="0.2">
      <c r="A917" s="29"/>
      <c r="B917" s="105"/>
      <c r="C917" s="371"/>
      <c r="D917" s="384"/>
      <c r="E917" s="104"/>
      <c r="F917" s="266"/>
      <c r="G917" s="372"/>
      <c r="H917" s="438"/>
      <c r="I917" s="438"/>
      <c r="J917" s="438"/>
    </row>
    <row r="918" spans="1:10" x14ac:dyDescent="0.2">
      <c r="A918" s="29"/>
      <c r="B918" s="101"/>
      <c r="C918" s="41"/>
      <c r="D918" s="384"/>
      <c r="E918" s="104"/>
      <c r="F918" s="266"/>
      <c r="G918" s="372"/>
      <c r="H918" s="438"/>
      <c r="I918" s="438"/>
      <c r="J918" s="438"/>
    </row>
    <row r="919" spans="1:10" x14ac:dyDescent="0.2">
      <c r="A919" s="29"/>
      <c r="B919" s="101"/>
      <c r="C919" s="371"/>
      <c r="D919" s="376"/>
      <c r="E919" s="104"/>
      <c r="F919" s="266"/>
      <c r="G919" s="372"/>
      <c r="H919" s="438"/>
      <c r="I919" s="438"/>
      <c r="J919" s="438"/>
    </row>
    <row r="920" spans="1:10" x14ac:dyDescent="0.2">
      <c r="A920" s="29"/>
      <c r="B920" s="101"/>
      <c r="C920" s="41"/>
      <c r="D920" s="376"/>
      <c r="E920" s="104"/>
      <c r="F920" s="266"/>
      <c r="G920" s="372"/>
      <c r="H920" s="438"/>
      <c r="I920" s="438"/>
      <c r="J920" s="438"/>
    </row>
    <row r="921" spans="1:10" x14ac:dyDescent="0.2">
      <c r="A921" s="29"/>
      <c r="B921" s="101"/>
      <c r="C921" s="41"/>
      <c r="D921" s="444"/>
      <c r="E921" s="104"/>
      <c r="F921" s="266"/>
      <c r="G921" s="372"/>
      <c r="H921" s="438"/>
      <c r="I921" s="438"/>
      <c r="J921" s="438"/>
    </row>
    <row r="922" spans="1:10" x14ac:dyDescent="0.2">
      <c r="A922" s="29"/>
      <c r="B922" s="101"/>
      <c r="C922" s="371"/>
      <c r="D922" s="384"/>
      <c r="E922" s="104"/>
      <c r="F922" s="266"/>
      <c r="G922" s="372"/>
      <c r="H922" s="438"/>
      <c r="I922" s="438"/>
      <c r="J922" s="438"/>
    </row>
    <row r="923" spans="1:10" x14ac:dyDescent="0.2">
      <c r="A923" s="29"/>
      <c r="B923" s="101"/>
      <c r="C923" s="41"/>
      <c r="D923" s="384"/>
      <c r="E923" s="104"/>
      <c r="F923" s="266"/>
      <c r="G923" s="372"/>
      <c r="H923" s="438"/>
      <c r="I923" s="438"/>
      <c r="J923" s="438"/>
    </row>
    <row r="924" spans="1:10" x14ac:dyDescent="0.2">
      <c r="A924" s="29"/>
      <c r="B924" s="101"/>
      <c r="C924" s="371"/>
      <c r="D924" s="384"/>
      <c r="E924" s="104"/>
      <c r="F924" s="266"/>
      <c r="G924" s="372"/>
      <c r="H924" s="438"/>
      <c r="I924" s="438"/>
      <c r="J924" s="438"/>
    </row>
    <row r="925" spans="1:10" x14ac:dyDescent="0.2">
      <c r="A925" s="29"/>
      <c r="B925" s="101"/>
      <c r="C925" s="41"/>
      <c r="D925" s="384"/>
      <c r="E925" s="104"/>
      <c r="F925" s="266"/>
      <c r="G925" s="372"/>
      <c r="H925" s="438"/>
      <c r="I925" s="438"/>
      <c r="J925" s="438"/>
    </row>
    <row r="926" spans="1:10" x14ac:dyDescent="0.2">
      <c r="A926" s="29"/>
      <c r="B926" s="101"/>
      <c r="C926" s="371"/>
      <c r="D926" s="376"/>
      <c r="E926" s="108"/>
      <c r="F926" s="69"/>
      <c r="G926" s="372"/>
      <c r="H926" s="438"/>
      <c r="I926" s="438"/>
      <c r="J926" s="438"/>
    </row>
    <row r="927" spans="1:10" x14ac:dyDescent="0.2">
      <c r="A927" s="29"/>
      <c r="B927" s="101"/>
      <c r="C927" s="41"/>
      <c r="D927" s="358"/>
      <c r="E927" s="153"/>
      <c r="F927" s="69"/>
      <c r="G927" s="372"/>
      <c r="H927" s="438"/>
      <c r="I927" s="438"/>
      <c r="J927" s="438"/>
    </row>
    <row r="928" spans="1:10" x14ac:dyDescent="0.2">
      <c r="A928" s="29"/>
      <c r="B928" s="101"/>
      <c r="C928" s="371"/>
      <c r="D928" s="419"/>
      <c r="E928" s="102"/>
      <c r="F928" s="69"/>
      <c r="G928" s="372"/>
      <c r="H928" s="438"/>
      <c r="I928" s="438"/>
      <c r="J928" s="438"/>
    </row>
    <row r="929" spans="1:10" x14ac:dyDescent="0.2">
      <c r="A929" s="29"/>
      <c r="B929" s="101"/>
      <c r="C929" s="371"/>
      <c r="D929" s="419"/>
      <c r="E929" s="102"/>
      <c r="F929" s="69"/>
      <c r="G929" s="372"/>
      <c r="H929" s="438"/>
      <c r="I929" s="438"/>
      <c r="J929" s="438"/>
    </row>
    <row r="930" spans="1:10" x14ac:dyDescent="0.2">
      <c r="A930" s="29"/>
      <c r="B930" s="101"/>
      <c r="C930" s="31"/>
      <c r="D930" s="419"/>
      <c r="E930" s="131"/>
      <c r="F930" s="267"/>
      <c r="G930" s="372"/>
      <c r="H930" s="438"/>
      <c r="I930" s="438"/>
      <c r="J930" s="438"/>
    </row>
    <row r="931" spans="1:10" x14ac:dyDescent="0.2">
      <c r="A931" s="29"/>
      <c r="B931" s="101"/>
      <c r="C931" s="371"/>
      <c r="D931" s="425"/>
      <c r="E931" s="108"/>
      <c r="F931" s="263"/>
      <c r="G931" s="372"/>
      <c r="H931" s="438"/>
      <c r="I931" s="438"/>
      <c r="J931" s="438"/>
    </row>
    <row r="932" spans="1:10" x14ac:dyDescent="0.2">
      <c r="A932" s="29"/>
      <c r="B932" s="101"/>
      <c r="C932" s="41"/>
      <c r="D932" s="383"/>
      <c r="E932" s="108"/>
      <c r="F932" s="263"/>
      <c r="G932" s="372"/>
      <c r="H932" s="438"/>
      <c r="I932" s="438"/>
      <c r="J932" s="438"/>
    </row>
    <row r="933" spans="1:10" x14ac:dyDescent="0.2">
      <c r="A933" s="29"/>
      <c r="B933" s="101"/>
      <c r="C933" s="371"/>
      <c r="D933" s="383"/>
      <c r="E933" s="108"/>
      <c r="F933" s="149"/>
      <c r="G933" s="372"/>
      <c r="H933" s="438"/>
      <c r="I933" s="438"/>
      <c r="J933" s="438"/>
    </row>
    <row r="934" spans="1:10" x14ac:dyDescent="0.2">
      <c r="A934" s="61"/>
      <c r="B934" s="101"/>
      <c r="C934" s="41"/>
      <c r="D934" s="383"/>
      <c r="E934" s="108"/>
      <c r="F934" s="149"/>
      <c r="G934" s="372"/>
      <c r="H934" s="438"/>
      <c r="I934" s="438"/>
      <c r="J934" s="438"/>
    </row>
    <row r="935" spans="1:10" ht="13.5" thickBot="1" x14ac:dyDescent="0.25">
      <c r="A935" s="209"/>
      <c r="B935" s="132"/>
      <c r="C935" s="115"/>
      <c r="D935" s="115"/>
      <c r="E935" s="132"/>
      <c r="F935" s="49" t="s">
        <v>15</v>
      </c>
      <c r="G935" s="210">
        <f>SUM(G901:G934)</f>
        <v>27500</v>
      </c>
      <c r="H935" s="243"/>
      <c r="I935" s="243"/>
      <c r="J935" s="243"/>
    </row>
    <row r="936" spans="1:10" ht="13.5" thickTop="1" x14ac:dyDescent="0.2">
      <c r="A936" s="875" t="s">
        <v>1713</v>
      </c>
      <c r="B936" s="899"/>
      <c r="C936" s="899"/>
      <c r="D936" s="899"/>
      <c r="E936" s="899"/>
      <c r="F936" s="899"/>
      <c r="G936" s="900"/>
      <c r="H936" s="22"/>
      <c r="I936" s="22"/>
      <c r="J936" s="22"/>
    </row>
    <row r="937" spans="1:10" ht="13.5" thickBot="1" x14ac:dyDescent="0.25">
      <c r="A937" s="52"/>
      <c r="B937" s="103"/>
      <c r="C937" s="374" t="s">
        <v>1714</v>
      </c>
      <c r="D937" s="54"/>
      <c r="E937" s="103"/>
      <c r="F937" s="55"/>
      <c r="G937" s="56"/>
    </row>
    <row r="938" spans="1:10" ht="13.5" thickTop="1" x14ac:dyDescent="0.2">
      <c r="A938" s="906"/>
      <c r="B938" s="907"/>
      <c r="C938" s="907"/>
      <c r="D938" s="57" t="s">
        <v>11</v>
      </c>
      <c r="E938" s="908" t="s">
        <v>12</v>
      </c>
      <c r="F938" s="908"/>
      <c r="G938" s="909"/>
      <c r="H938" s="4"/>
      <c r="I938" s="4"/>
      <c r="J938" s="4"/>
    </row>
    <row r="939" spans="1:10" x14ac:dyDescent="0.2">
      <c r="A939" s="910" t="s">
        <v>17</v>
      </c>
      <c r="B939" s="911"/>
      <c r="C939" s="911"/>
      <c r="D939" s="39"/>
      <c r="E939" s="912"/>
      <c r="F939" s="913"/>
      <c r="G939" s="914"/>
      <c r="H939" s="176"/>
      <c r="I939" s="176"/>
      <c r="J939" s="176"/>
    </row>
    <row r="940" spans="1:10" x14ac:dyDescent="0.2">
      <c r="A940" s="910" t="s">
        <v>38</v>
      </c>
      <c r="B940" s="911"/>
      <c r="C940" s="911"/>
      <c r="D940" s="73" t="s">
        <v>891</v>
      </c>
      <c r="E940" s="868" t="s">
        <v>142</v>
      </c>
      <c r="F940" s="868"/>
      <c r="G940" s="869"/>
      <c r="H940" s="1"/>
      <c r="I940" s="1"/>
      <c r="J940" s="1"/>
    </row>
    <row r="941" spans="1:10" ht="13.5" thickBot="1" x14ac:dyDescent="0.25">
      <c r="A941" s="901" t="s">
        <v>39</v>
      </c>
      <c r="B941" s="902"/>
      <c r="C941" s="902"/>
      <c r="D941" s="91" t="s">
        <v>892</v>
      </c>
      <c r="E941" s="904" t="s">
        <v>0</v>
      </c>
      <c r="F941" s="904"/>
      <c r="G941" s="905"/>
      <c r="H941" s="4"/>
      <c r="I941" s="4"/>
      <c r="J941" s="4"/>
    </row>
    <row r="942" spans="1:10" ht="16.5" x14ac:dyDescent="0.25">
      <c r="A942" s="885" t="s">
        <v>29</v>
      </c>
      <c r="B942" s="886"/>
      <c r="C942" s="886"/>
      <c r="D942" s="886"/>
      <c r="E942" s="886"/>
      <c r="F942" s="886"/>
      <c r="G942" s="887"/>
      <c r="H942" s="247"/>
      <c r="I942" s="247"/>
      <c r="J942" s="247"/>
    </row>
    <row r="943" spans="1:10" x14ac:dyDescent="0.2">
      <c r="A943" s="888" t="s">
        <v>48</v>
      </c>
      <c r="B943" s="889"/>
      <c r="C943" s="889"/>
      <c r="D943" s="889"/>
      <c r="E943" s="889"/>
      <c r="F943" s="889"/>
      <c r="G943" s="890"/>
      <c r="H943" s="246"/>
      <c r="I943" s="246"/>
      <c r="J943" s="246"/>
    </row>
    <row r="944" spans="1:10" x14ac:dyDescent="0.2">
      <c r="A944" s="915" t="s">
        <v>49</v>
      </c>
      <c r="B944" s="916"/>
      <c r="C944" s="916"/>
      <c r="D944" s="916"/>
      <c r="E944" s="916"/>
      <c r="F944" s="916"/>
      <c r="G944" s="917"/>
      <c r="H944" s="4"/>
      <c r="I944" s="4"/>
      <c r="J944" s="4"/>
    </row>
    <row r="945" spans="1:10" x14ac:dyDescent="0.2">
      <c r="A945" s="6"/>
      <c r="B945" s="99"/>
      <c r="C945" s="8"/>
      <c r="D945" s="9"/>
      <c r="E945" s="99"/>
      <c r="F945" s="10"/>
      <c r="G945" s="11" t="s">
        <v>20</v>
      </c>
      <c r="H945" s="248"/>
      <c r="I945" s="248"/>
      <c r="J945" s="248"/>
    </row>
    <row r="946" spans="1:10" x14ac:dyDescent="0.2">
      <c r="A946" s="12" t="s">
        <v>1</v>
      </c>
      <c r="B946" s="13"/>
      <c r="C946" s="14" t="s">
        <v>36</v>
      </c>
      <c r="D946" s="13"/>
      <c r="E946" s="362" t="s">
        <v>1922</v>
      </c>
      <c r="F946" s="98"/>
      <c r="G946" s="363" t="s">
        <v>1849</v>
      </c>
      <c r="H946" s="430"/>
      <c r="I946" s="430"/>
      <c r="J946" s="430"/>
    </row>
    <row r="947" spans="1:10" x14ac:dyDescent="0.2">
      <c r="A947" s="17" t="s">
        <v>8</v>
      </c>
      <c r="B947" s="100"/>
      <c r="C947" s="19"/>
      <c r="D947" s="4"/>
      <c r="E947" s="918"/>
      <c r="F947" s="919"/>
      <c r="G947" s="20"/>
    </row>
    <row r="948" spans="1:10" x14ac:dyDescent="0.2">
      <c r="A948" s="21" t="s">
        <v>37</v>
      </c>
      <c r="B948" s="22"/>
      <c r="C948" s="22"/>
      <c r="D948" s="22"/>
      <c r="E948" s="23" t="s">
        <v>46</v>
      </c>
      <c r="F948" s="24"/>
      <c r="G948" s="20" t="s">
        <v>50</v>
      </c>
    </row>
    <row r="949" spans="1:10" x14ac:dyDescent="0.2">
      <c r="A949" s="6"/>
      <c r="B949" s="99"/>
      <c r="C949" s="8"/>
      <c r="D949" s="8"/>
      <c r="E949" s="920"/>
      <c r="F949" s="921"/>
      <c r="G949" s="25"/>
    </row>
    <row r="950" spans="1:10" ht="26.25" thickBot="1" x14ac:dyDescent="0.25">
      <c r="A950" s="207" t="s">
        <v>47</v>
      </c>
      <c r="B950" s="28" t="s">
        <v>23</v>
      </c>
      <c r="C950" s="28" t="s">
        <v>34</v>
      </c>
      <c r="D950" s="110" t="s">
        <v>53</v>
      </c>
      <c r="E950" s="114" t="s">
        <v>54</v>
      </c>
      <c r="F950" s="111" t="s">
        <v>55</v>
      </c>
      <c r="G950" s="547" t="s">
        <v>151</v>
      </c>
      <c r="H950" s="624"/>
      <c r="I950" s="624"/>
      <c r="J950" s="624"/>
    </row>
    <row r="951" spans="1:10" ht="13.5" thickTop="1" x14ac:dyDescent="0.2">
      <c r="A951" s="29">
        <v>1</v>
      </c>
      <c r="B951" s="101"/>
      <c r="C951" s="371" t="s">
        <v>149</v>
      </c>
      <c r="D951" s="370" t="s">
        <v>1850</v>
      </c>
      <c r="E951" s="108">
        <v>500</v>
      </c>
      <c r="F951" s="149">
        <v>200</v>
      </c>
      <c r="G951" s="35">
        <f>F951*E951</f>
        <v>100000</v>
      </c>
      <c r="H951" s="212"/>
      <c r="I951" s="212"/>
      <c r="J951" s="212"/>
    </row>
    <row r="952" spans="1:10" x14ac:dyDescent="0.2">
      <c r="A952" s="29"/>
      <c r="B952" s="101"/>
      <c r="C952" s="371"/>
      <c r="D952" s="370" t="s">
        <v>1851</v>
      </c>
      <c r="E952" s="108"/>
      <c r="F952" s="149"/>
      <c r="G952" s="35"/>
      <c r="H952" s="212"/>
      <c r="I952" s="212"/>
      <c r="J952" s="212"/>
    </row>
    <row r="953" spans="1:10" x14ac:dyDescent="0.2">
      <c r="A953" s="29">
        <v>2</v>
      </c>
      <c r="B953" s="105"/>
      <c r="C953" s="371" t="s">
        <v>149</v>
      </c>
      <c r="D953" s="376" t="s">
        <v>339</v>
      </c>
      <c r="E953" s="102">
        <v>500</v>
      </c>
      <c r="F953" s="128">
        <v>350</v>
      </c>
      <c r="G953" s="372">
        <f>F953*E953</f>
        <v>175000</v>
      </c>
      <c r="H953" s="438"/>
      <c r="I953" s="438"/>
      <c r="J953" s="438"/>
    </row>
    <row r="954" spans="1:10" x14ac:dyDescent="0.2">
      <c r="A954" s="29"/>
      <c r="B954" s="105"/>
      <c r="C954" s="371"/>
      <c r="D954" s="376" t="s">
        <v>338</v>
      </c>
      <c r="E954" s="102"/>
      <c r="F954" s="128"/>
      <c r="G954" s="372"/>
      <c r="H954" s="438"/>
      <c r="I954" s="438"/>
      <c r="J954" s="438"/>
    </row>
    <row r="955" spans="1:10" x14ac:dyDescent="0.2">
      <c r="A955" s="364" t="s">
        <v>8</v>
      </c>
      <c r="B955" s="105"/>
      <c r="C955" s="371"/>
      <c r="D955" s="376"/>
      <c r="E955" s="409"/>
      <c r="F955" s="403"/>
      <c r="G955" s="372" t="s">
        <v>8</v>
      </c>
      <c r="H955" s="438"/>
      <c r="I955" s="438"/>
      <c r="J955" s="438"/>
    </row>
    <row r="956" spans="1:10" x14ac:dyDescent="0.2">
      <c r="A956" s="29"/>
      <c r="B956" s="105"/>
      <c r="C956" s="371"/>
      <c r="D956" s="376"/>
      <c r="E956" s="102"/>
      <c r="F956" s="128"/>
      <c r="G956" s="372"/>
      <c r="H956" s="438"/>
      <c r="I956" s="438"/>
      <c r="J956" s="438"/>
    </row>
    <row r="957" spans="1:10" x14ac:dyDescent="0.2">
      <c r="A957" s="29"/>
      <c r="B957" s="151"/>
      <c r="C957" s="119"/>
      <c r="D957" s="358"/>
      <c r="E957" s="108"/>
      <c r="F957" s="264"/>
      <c r="G957" s="372"/>
      <c r="H957" s="438"/>
      <c r="I957" s="438"/>
      <c r="J957" s="438"/>
    </row>
    <row r="958" spans="1:10" x14ac:dyDescent="0.2">
      <c r="A958" s="29"/>
      <c r="B958" s="101"/>
      <c r="C958" s="371"/>
      <c r="D958" s="383"/>
      <c r="E958" s="104"/>
      <c r="F958" s="69"/>
      <c r="G958" s="372"/>
      <c r="H958" s="438"/>
      <c r="I958" s="438"/>
      <c r="J958" s="438"/>
    </row>
    <row r="959" spans="1:10" x14ac:dyDescent="0.2">
      <c r="A959" s="29"/>
      <c r="B959" s="106"/>
      <c r="C959" s="41"/>
      <c r="D959" s="376"/>
      <c r="E959" s="104"/>
      <c r="F959" s="69"/>
      <c r="G959" s="372"/>
      <c r="H959" s="438"/>
      <c r="I959" s="438"/>
      <c r="J959" s="438"/>
    </row>
    <row r="960" spans="1:10" x14ac:dyDescent="0.2">
      <c r="A960" s="29"/>
      <c r="B960" s="105"/>
      <c r="C960" s="371"/>
      <c r="D960" s="376"/>
      <c r="E960" s="108"/>
      <c r="F960" s="265"/>
      <c r="G960" s="372"/>
      <c r="H960" s="438"/>
      <c r="I960" s="438"/>
      <c r="J960" s="438"/>
    </row>
    <row r="961" spans="1:10" x14ac:dyDescent="0.2">
      <c r="A961" s="29"/>
      <c r="B961" s="107"/>
      <c r="C961" s="41"/>
      <c r="D961" s="376"/>
      <c r="E961" s="153"/>
      <c r="F961" s="69"/>
      <c r="G961" s="372"/>
      <c r="H961" s="438"/>
      <c r="I961" s="438"/>
      <c r="J961" s="438"/>
    </row>
    <row r="962" spans="1:10" x14ac:dyDescent="0.2">
      <c r="A962" s="29"/>
      <c r="B962" s="107"/>
      <c r="C962" s="371"/>
      <c r="D962" s="384"/>
      <c r="E962" s="153"/>
      <c r="F962" s="69"/>
      <c r="G962" s="372"/>
      <c r="H962" s="438"/>
      <c r="I962" s="438"/>
      <c r="J962" s="438"/>
    </row>
    <row r="963" spans="1:10" x14ac:dyDescent="0.2">
      <c r="A963" s="29"/>
      <c r="B963" s="101"/>
      <c r="C963" s="41"/>
      <c r="D963" s="384"/>
      <c r="E963" s="108"/>
      <c r="F963" s="451"/>
      <c r="G963" s="372"/>
      <c r="H963" s="438"/>
      <c r="I963" s="438"/>
      <c r="J963" s="438"/>
    </row>
    <row r="964" spans="1:10" x14ac:dyDescent="0.2">
      <c r="A964" s="29"/>
      <c r="B964" s="101"/>
      <c r="C964" s="41"/>
      <c r="D964" s="358"/>
      <c r="E964" s="153"/>
      <c r="F964" s="69"/>
      <c r="G964" s="372"/>
      <c r="H964" s="438"/>
      <c r="I964" s="438"/>
      <c r="J964" s="438"/>
    </row>
    <row r="965" spans="1:10" x14ac:dyDescent="0.2">
      <c r="A965" s="29"/>
      <c r="B965" s="106"/>
      <c r="C965" s="371"/>
      <c r="D965" s="384"/>
      <c r="E965" s="104"/>
      <c r="F965" s="266"/>
      <c r="G965" s="372"/>
      <c r="H965" s="438"/>
      <c r="I965" s="438"/>
      <c r="J965" s="438"/>
    </row>
    <row r="966" spans="1:10" x14ac:dyDescent="0.2">
      <c r="A966" s="29"/>
      <c r="B966" s="105"/>
      <c r="C966" s="41"/>
      <c r="D966" s="419"/>
      <c r="E966" s="104"/>
      <c r="F966" s="266"/>
      <c r="G966" s="372"/>
      <c r="H966" s="438"/>
      <c r="I966" s="438"/>
      <c r="J966" s="438"/>
    </row>
    <row r="967" spans="1:10" x14ac:dyDescent="0.2">
      <c r="A967" s="29"/>
      <c r="B967" s="105"/>
      <c r="C967" s="371"/>
      <c r="D967" s="384"/>
      <c r="E967" s="104"/>
      <c r="F967" s="266"/>
      <c r="G967" s="372"/>
      <c r="H967" s="438"/>
      <c r="I967" s="438"/>
      <c r="J967" s="438"/>
    </row>
    <row r="968" spans="1:10" x14ac:dyDescent="0.2">
      <c r="A968" s="29"/>
      <c r="B968" s="101"/>
      <c r="C968" s="41"/>
      <c r="D968" s="384"/>
      <c r="E968" s="104"/>
      <c r="F968" s="266"/>
      <c r="G968" s="372"/>
      <c r="H968" s="438"/>
      <c r="I968" s="438"/>
      <c r="J968" s="438"/>
    </row>
    <row r="969" spans="1:10" x14ac:dyDescent="0.2">
      <c r="A969" s="29"/>
      <c r="B969" s="101"/>
      <c r="C969" s="371"/>
      <c r="D969" s="376"/>
      <c r="E969" s="104"/>
      <c r="F969" s="266"/>
      <c r="G969" s="372"/>
      <c r="H969" s="438"/>
      <c r="I969" s="438"/>
      <c r="J969" s="438"/>
    </row>
    <row r="970" spans="1:10" x14ac:dyDescent="0.2">
      <c r="A970" s="29"/>
      <c r="B970" s="101"/>
      <c r="C970" s="41"/>
      <c r="D970" s="376"/>
      <c r="E970" s="104"/>
      <c r="F970" s="266"/>
      <c r="G970" s="372"/>
      <c r="H970" s="438"/>
      <c r="I970" s="438"/>
      <c r="J970" s="438"/>
    </row>
    <row r="971" spans="1:10" x14ac:dyDescent="0.2">
      <c r="A971" s="29"/>
      <c r="B971" s="101"/>
      <c r="C971" s="41"/>
      <c r="D971" s="444"/>
      <c r="E971" s="104"/>
      <c r="F971" s="266"/>
      <c r="G971" s="372"/>
      <c r="H971" s="438"/>
      <c r="I971" s="438"/>
      <c r="J971" s="438"/>
    </row>
    <row r="972" spans="1:10" x14ac:dyDescent="0.2">
      <c r="A972" s="29"/>
      <c r="B972" s="101"/>
      <c r="C972" s="371"/>
      <c r="D972" s="384"/>
      <c r="E972" s="104"/>
      <c r="F972" s="266"/>
      <c r="G972" s="372"/>
      <c r="H972" s="438"/>
      <c r="I972" s="438"/>
      <c r="J972" s="438"/>
    </row>
    <row r="973" spans="1:10" x14ac:dyDescent="0.2">
      <c r="A973" s="29"/>
      <c r="B973" s="101"/>
      <c r="C973" s="41"/>
      <c r="D973" s="384"/>
      <c r="E973" s="104"/>
      <c r="F973" s="266"/>
      <c r="G973" s="372"/>
      <c r="H973" s="438"/>
      <c r="I973" s="438"/>
      <c r="J973" s="438"/>
    </row>
    <row r="974" spans="1:10" x14ac:dyDescent="0.2">
      <c r="A974" s="29"/>
      <c r="B974" s="101"/>
      <c r="C974" s="371"/>
      <c r="D974" s="384"/>
      <c r="E974" s="104"/>
      <c r="F974" s="266"/>
      <c r="G974" s="372"/>
      <c r="H974" s="438"/>
      <c r="I974" s="438"/>
      <c r="J974" s="438"/>
    </row>
    <row r="975" spans="1:10" x14ac:dyDescent="0.2">
      <c r="A975" s="29"/>
      <c r="B975" s="101"/>
      <c r="C975" s="41"/>
      <c r="D975" s="384"/>
      <c r="E975" s="104"/>
      <c r="F975" s="266"/>
      <c r="G975" s="372"/>
      <c r="H975" s="438"/>
      <c r="I975" s="438"/>
      <c r="J975" s="438"/>
    </row>
    <row r="976" spans="1:10" x14ac:dyDescent="0.2">
      <c r="A976" s="29"/>
      <c r="B976" s="101"/>
      <c r="C976" s="371"/>
      <c r="D976" s="376"/>
      <c r="E976" s="108"/>
      <c r="F976" s="69"/>
      <c r="G976" s="372"/>
      <c r="H976" s="438"/>
      <c r="I976" s="438"/>
      <c r="J976" s="438"/>
    </row>
    <row r="977" spans="1:14" x14ac:dyDescent="0.2">
      <c r="A977" s="29"/>
      <c r="B977" s="101"/>
      <c r="C977" s="41"/>
      <c r="D977" s="358"/>
      <c r="E977" s="153"/>
      <c r="F977" s="69"/>
      <c r="G977" s="372"/>
      <c r="H977" s="438"/>
      <c r="I977" s="438"/>
      <c r="J977" s="438"/>
    </row>
    <row r="978" spans="1:14" x14ac:dyDescent="0.2">
      <c r="A978" s="29"/>
      <c r="B978" s="101"/>
      <c r="C978" s="371"/>
      <c r="D978" s="419"/>
      <c r="E978" s="102"/>
      <c r="F978" s="69"/>
      <c r="G978" s="372"/>
      <c r="H978" s="438"/>
      <c r="I978" s="438"/>
      <c r="J978" s="438"/>
    </row>
    <row r="979" spans="1:14" x14ac:dyDescent="0.2">
      <c r="A979" s="29"/>
      <c r="B979" s="101"/>
      <c r="C979" s="371"/>
      <c r="D979" s="419"/>
      <c r="E979" s="102"/>
      <c r="F979" s="69"/>
      <c r="G979" s="372"/>
      <c r="H979" s="438"/>
      <c r="I979" s="438"/>
      <c r="J979" s="438"/>
    </row>
    <row r="980" spans="1:14" x14ac:dyDescent="0.2">
      <c r="A980" s="29"/>
      <c r="B980" s="101"/>
      <c r="C980" s="31"/>
      <c r="D980" s="419"/>
      <c r="E980" s="131"/>
      <c r="F980" s="267"/>
      <c r="G980" s="372"/>
      <c r="H980" s="438"/>
      <c r="I980" s="438"/>
      <c r="J980" s="438"/>
    </row>
    <row r="981" spans="1:14" x14ac:dyDescent="0.2">
      <c r="A981" s="29"/>
      <c r="B981" s="101"/>
      <c r="C981" s="371"/>
      <c r="D981" s="425"/>
      <c r="E981" s="108"/>
      <c r="F981" s="263"/>
      <c r="G981" s="372"/>
      <c r="H981" s="438"/>
      <c r="I981" s="438"/>
      <c r="J981" s="438"/>
    </row>
    <row r="982" spans="1:14" x14ac:dyDescent="0.2">
      <c r="A982" s="29"/>
      <c r="B982" s="101"/>
      <c r="C982" s="41"/>
      <c r="D982" s="383"/>
      <c r="E982" s="108"/>
      <c r="F982" s="263"/>
      <c r="G982" s="372"/>
      <c r="H982" s="438"/>
      <c r="I982" s="438"/>
      <c r="J982" s="438"/>
    </row>
    <row r="983" spans="1:14" x14ac:dyDescent="0.2">
      <c r="A983" s="29"/>
      <c r="B983" s="101"/>
      <c r="C983" s="371"/>
      <c r="D983" s="383"/>
      <c r="E983" s="108"/>
      <c r="F983" s="149"/>
      <c r="G983" s="372"/>
      <c r="H983" s="438"/>
      <c r="I983" s="438"/>
      <c r="J983" s="438"/>
    </row>
    <row r="984" spans="1:14" x14ac:dyDescent="0.2">
      <c r="A984" s="61"/>
      <c r="B984" s="101"/>
      <c r="C984" s="41"/>
      <c r="D984" s="383"/>
      <c r="E984" s="108"/>
      <c r="F984" s="149"/>
      <c r="G984" s="372"/>
      <c r="H984" s="438"/>
      <c r="I984" s="438"/>
      <c r="J984" s="438"/>
    </row>
    <row r="985" spans="1:14" ht="13.5" thickBot="1" x14ac:dyDescent="0.25">
      <c r="A985" s="209"/>
      <c r="B985" s="132"/>
      <c r="C985" s="115"/>
      <c r="D985" s="115"/>
      <c r="E985" s="132"/>
      <c r="F985" s="49" t="s">
        <v>15</v>
      </c>
      <c r="G985" s="210">
        <f>SUM(G951:G984)</f>
        <v>275000</v>
      </c>
      <c r="H985" s="243"/>
      <c r="I985" s="243"/>
      <c r="J985" s="243"/>
    </row>
    <row r="986" spans="1:14" ht="13.5" thickTop="1" x14ac:dyDescent="0.2">
      <c r="A986" s="875" t="s">
        <v>1852</v>
      </c>
      <c r="B986" s="899"/>
      <c r="C986" s="899"/>
      <c r="D986" s="899"/>
      <c r="E986" s="899"/>
      <c r="F986" s="899"/>
      <c r="G986" s="900"/>
      <c r="H986" s="22"/>
      <c r="I986" s="22"/>
      <c r="J986" s="22"/>
    </row>
    <row r="987" spans="1:14" ht="13.5" thickBot="1" x14ac:dyDescent="0.25">
      <c r="A987" s="52"/>
      <c r="B987" s="103"/>
      <c r="C987" s="374" t="s">
        <v>8</v>
      </c>
      <c r="D987" s="54"/>
      <c r="E987" s="103"/>
      <c r="F987" s="55"/>
      <c r="G987" s="56"/>
    </row>
    <row r="988" spans="1:14" ht="13.5" thickTop="1" x14ac:dyDescent="0.2">
      <c r="A988" s="906"/>
      <c r="B988" s="907"/>
      <c r="C988" s="907"/>
      <c r="D988" s="57" t="s">
        <v>11</v>
      </c>
      <c r="E988" s="908" t="s">
        <v>12</v>
      </c>
      <c r="F988" s="908"/>
      <c r="G988" s="909"/>
      <c r="H988" s="4"/>
      <c r="I988" s="4"/>
      <c r="J988" s="4"/>
    </row>
    <row r="989" spans="1:14" x14ac:dyDescent="0.2">
      <c r="A989" s="910" t="s">
        <v>17</v>
      </c>
      <c r="B989" s="911"/>
      <c r="C989" s="911"/>
      <c r="D989" s="39"/>
      <c r="E989" s="912"/>
      <c r="F989" s="913"/>
      <c r="G989" s="914"/>
      <c r="H989" s="176"/>
      <c r="I989" s="176"/>
      <c r="J989" s="176"/>
    </row>
    <row r="990" spans="1:14" x14ac:dyDescent="0.2">
      <c r="A990" s="910" t="s">
        <v>38</v>
      </c>
      <c r="B990" s="911"/>
      <c r="C990" s="911"/>
      <c r="D990" s="73" t="s">
        <v>891</v>
      </c>
      <c r="E990" s="868" t="s">
        <v>142</v>
      </c>
      <c r="F990" s="868"/>
      <c r="G990" s="869"/>
      <c r="H990" s="1"/>
      <c r="I990" s="1"/>
      <c r="J990" s="1"/>
    </row>
    <row r="991" spans="1:14" ht="13.5" thickBot="1" x14ac:dyDescent="0.25">
      <c r="A991" s="901" t="s">
        <v>39</v>
      </c>
      <c r="B991" s="902"/>
      <c r="C991" s="902"/>
      <c r="D991" s="91" t="s">
        <v>892</v>
      </c>
      <c r="E991" s="904" t="s">
        <v>0</v>
      </c>
      <c r="F991" s="904"/>
      <c r="G991" s="905"/>
      <c r="H991" s="4"/>
      <c r="I991" s="4"/>
      <c r="J991" s="4"/>
    </row>
    <row r="992" spans="1:14" s="430" customFormat="1" ht="16.5" x14ac:dyDescent="0.25">
      <c r="A992" s="885" t="s">
        <v>29</v>
      </c>
      <c r="B992" s="886"/>
      <c r="C992" s="886"/>
      <c r="D992" s="886"/>
      <c r="E992" s="886"/>
      <c r="F992" s="886"/>
      <c r="G992" s="887"/>
      <c r="H992" s="247"/>
      <c r="I992" s="247"/>
      <c r="J992" s="247"/>
      <c r="K992" s="247"/>
      <c r="L992" s="247"/>
      <c r="M992" s="247"/>
      <c r="N992" s="247"/>
    </row>
    <row r="993" spans="1:18" s="430" customFormat="1" x14ac:dyDescent="0.2">
      <c r="A993" s="888" t="s">
        <v>48</v>
      </c>
      <c r="B993" s="889"/>
      <c r="C993" s="889"/>
      <c r="D993" s="889"/>
      <c r="E993" s="889"/>
      <c r="F993" s="889"/>
      <c r="G993" s="890"/>
      <c r="H993" s="246"/>
      <c r="I993" s="246"/>
      <c r="J993" s="246"/>
      <c r="K993" s="246"/>
      <c r="L993" s="246"/>
      <c r="M993" s="246"/>
      <c r="N993" s="246"/>
    </row>
    <row r="994" spans="1:18" s="430" customFormat="1" x14ac:dyDescent="0.2">
      <c r="A994" s="891" t="s">
        <v>49</v>
      </c>
      <c r="B994" s="892"/>
      <c r="C994" s="892"/>
      <c r="D994" s="892"/>
      <c r="E994" s="892"/>
      <c r="F994" s="892"/>
      <c r="G994" s="893"/>
      <c r="H994" s="386"/>
      <c r="I994" s="386"/>
      <c r="J994" s="386"/>
      <c r="K994" s="386"/>
      <c r="L994" s="386"/>
      <c r="M994" s="386"/>
      <c r="N994" s="386"/>
    </row>
    <row r="995" spans="1:18" s="430" customFormat="1" x14ac:dyDescent="0.2">
      <c r="A995" s="387"/>
      <c r="B995" s="388"/>
      <c r="C995" s="389"/>
      <c r="D995" s="390"/>
      <c r="E995" s="388"/>
      <c r="F995" s="391"/>
      <c r="G995" s="392" t="s">
        <v>334</v>
      </c>
      <c r="H995" s="548"/>
      <c r="I995" s="548"/>
      <c r="J995" s="548"/>
      <c r="K995" s="548"/>
      <c r="L995" s="548"/>
      <c r="M995" s="548"/>
      <c r="N995" s="548"/>
    </row>
    <row r="996" spans="1:18" s="430" customFormat="1" x14ac:dyDescent="0.2">
      <c r="A996" s="393" t="s">
        <v>1</v>
      </c>
      <c r="B996" s="394"/>
      <c r="C996" s="14" t="s">
        <v>36</v>
      </c>
      <c r="D996" s="394"/>
      <c r="E996" s="362" t="s">
        <v>1986</v>
      </c>
      <c r="F996" s="395"/>
      <c r="G996" s="363" t="s">
        <v>1946</v>
      </c>
    </row>
    <row r="997" spans="1:18" s="430" customFormat="1" x14ac:dyDescent="0.2">
      <c r="A997" s="361" t="s">
        <v>8</v>
      </c>
      <c r="B997" s="396"/>
      <c r="C997" s="19"/>
      <c r="D997" s="386"/>
      <c r="E997" s="894"/>
      <c r="F997" s="895"/>
      <c r="G997" s="397"/>
    </row>
    <row r="998" spans="1:18" s="430" customFormat="1" x14ac:dyDescent="0.2">
      <c r="A998" s="373" t="s">
        <v>37</v>
      </c>
      <c r="B998" s="377"/>
      <c r="C998" s="377"/>
      <c r="D998" s="377"/>
      <c r="E998" s="398" t="s">
        <v>46</v>
      </c>
      <c r="F998" s="399"/>
      <c r="G998" s="397" t="s">
        <v>50</v>
      </c>
    </row>
    <row r="999" spans="1:18" s="430" customFormat="1" x14ac:dyDescent="0.2">
      <c r="A999" s="387"/>
      <c r="B999" s="388"/>
      <c r="C999" s="389"/>
      <c r="D999" s="389"/>
      <c r="E999" s="896"/>
      <c r="F999" s="897"/>
      <c r="G999" s="400"/>
    </row>
    <row r="1000" spans="1:18" s="430" customFormat="1" ht="26.25" thickBot="1" x14ac:dyDescent="0.25">
      <c r="A1000" s="207" t="s">
        <v>47</v>
      </c>
      <c r="B1000" s="28" t="s">
        <v>23</v>
      </c>
      <c r="C1000" s="28" t="s">
        <v>34</v>
      </c>
      <c r="D1000" s="110" t="s">
        <v>53</v>
      </c>
      <c r="E1000" s="114" t="s">
        <v>54</v>
      </c>
      <c r="F1000" s="111" t="s">
        <v>55</v>
      </c>
      <c r="G1000" s="112" t="s">
        <v>35</v>
      </c>
      <c r="H1000" s="249"/>
      <c r="I1000" s="249"/>
      <c r="J1000" s="249"/>
      <c r="K1000" s="249"/>
      <c r="L1000" s="249"/>
      <c r="M1000" s="249"/>
      <c r="N1000" s="249"/>
    </row>
    <row r="1001" spans="1:18" s="430" customFormat="1" ht="13.5" thickTop="1" x14ac:dyDescent="0.2">
      <c r="A1001" s="364">
        <v>1</v>
      </c>
      <c r="B1001" s="408"/>
      <c r="C1001" s="371" t="s">
        <v>1923</v>
      </c>
      <c r="D1001" s="376" t="s">
        <v>1924</v>
      </c>
      <c r="E1001" s="409">
        <v>4</v>
      </c>
      <c r="F1001" s="451">
        <v>254</v>
      </c>
      <c r="G1001" s="372">
        <f>F1001*E1001</f>
        <v>1016</v>
      </c>
      <c r="H1001" s="438"/>
      <c r="I1001" s="438"/>
      <c r="J1001" s="438"/>
      <c r="K1001" s="438"/>
      <c r="L1001" s="438"/>
      <c r="M1001" s="438"/>
      <c r="N1001" s="438"/>
      <c r="P1001" s="430">
        <v>1.31</v>
      </c>
      <c r="Q1001" s="437">
        <v>306</v>
      </c>
      <c r="R1001" s="544">
        <f>Q1001*P1001</f>
        <v>400.86</v>
      </c>
    </row>
    <row r="1002" spans="1:18" s="430" customFormat="1" x14ac:dyDescent="0.2">
      <c r="A1002" s="364">
        <f>A1001+1</f>
        <v>2</v>
      </c>
      <c r="B1002" s="408"/>
      <c r="C1002" s="371" t="s">
        <v>1923</v>
      </c>
      <c r="D1002" s="376" t="s">
        <v>1948</v>
      </c>
      <c r="E1002" s="409">
        <v>3.8450000000000002</v>
      </c>
      <c r="F1002" s="451">
        <v>306</v>
      </c>
      <c r="G1002" s="372">
        <f t="shared" ref="G1002:G1032" si="3">F1002*E1002</f>
        <v>1176.5700000000002</v>
      </c>
      <c r="H1002" s="438"/>
      <c r="I1002" s="438"/>
      <c r="J1002" s="438"/>
      <c r="K1002" s="438"/>
      <c r="L1002" s="438"/>
      <c r="M1002" s="438"/>
      <c r="N1002" s="438"/>
      <c r="P1002" s="430">
        <v>1.2749999999999999</v>
      </c>
      <c r="Q1002" s="437">
        <v>306</v>
      </c>
      <c r="R1002" s="544">
        <f t="shared" ref="R1002:R1003" si="4">Q1002*P1002</f>
        <v>390.15</v>
      </c>
    </row>
    <row r="1003" spans="1:18" s="430" customFormat="1" x14ac:dyDescent="0.2">
      <c r="A1003" s="364">
        <f t="shared" ref="A1003:A1032" si="5">A1002+1</f>
        <v>3</v>
      </c>
      <c r="B1003" s="408"/>
      <c r="C1003" s="371" t="s">
        <v>1923</v>
      </c>
      <c r="D1003" s="376" t="s">
        <v>1949</v>
      </c>
      <c r="E1003" s="407">
        <v>9.1300000000000008</v>
      </c>
      <c r="F1003" s="549">
        <v>194</v>
      </c>
      <c r="G1003" s="372">
        <f t="shared" si="3"/>
        <v>1771.2200000000003</v>
      </c>
      <c r="H1003" s="438"/>
      <c r="I1003" s="438"/>
      <c r="J1003" s="438"/>
      <c r="K1003" s="438"/>
      <c r="L1003" s="438"/>
      <c r="M1003" s="438"/>
      <c r="N1003" s="438"/>
      <c r="P1003" s="430">
        <v>1.26</v>
      </c>
      <c r="Q1003" s="437">
        <v>306</v>
      </c>
      <c r="R1003" s="544">
        <f t="shared" si="4"/>
        <v>385.56</v>
      </c>
    </row>
    <row r="1004" spans="1:18" s="430" customFormat="1" x14ac:dyDescent="0.2">
      <c r="A1004" s="364">
        <f t="shared" si="5"/>
        <v>4</v>
      </c>
      <c r="B1004" s="408"/>
      <c r="C1004" s="371" t="s">
        <v>1923</v>
      </c>
      <c r="D1004" s="376" t="s">
        <v>1927</v>
      </c>
      <c r="E1004" s="409">
        <v>3.0049999999999999</v>
      </c>
      <c r="F1004" s="451">
        <v>194</v>
      </c>
      <c r="G1004" s="372">
        <f t="shared" si="3"/>
        <v>582.97</v>
      </c>
      <c r="H1004" s="438"/>
      <c r="I1004" s="438"/>
      <c r="J1004" s="438"/>
      <c r="K1004" s="438"/>
      <c r="L1004" s="438"/>
      <c r="M1004" s="438"/>
      <c r="N1004" s="438"/>
      <c r="P1004" s="430">
        <f>SUM(P1001:P1003)</f>
        <v>3.8449999999999998</v>
      </c>
      <c r="R1004" s="544">
        <f>SUM(R1001:R1003)</f>
        <v>1176.57</v>
      </c>
    </row>
    <row r="1005" spans="1:18" s="430" customFormat="1" x14ac:dyDescent="0.2">
      <c r="A1005" s="364">
        <f t="shared" si="5"/>
        <v>5</v>
      </c>
      <c r="B1005" s="408"/>
      <c r="C1005" s="371" t="s">
        <v>1923</v>
      </c>
      <c r="D1005" s="376" t="s">
        <v>1926</v>
      </c>
      <c r="E1005" s="409">
        <v>2.0449999999999999</v>
      </c>
      <c r="F1005" s="451">
        <v>124</v>
      </c>
      <c r="G1005" s="372">
        <f t="shared" si="3"/>
        <v>253.57999999999998</v>
      </c>
      <c r="H1005" s="438"/>
      <c r="I1005" s="438"/>
      <c r="J1005" s="438"/>
      <c r="K1005" s="438"/>
      <c r="L1005" s="438"/>
      <c r="M1005" s="438"/>
      <c r="N1005" s="438"/>
    </row>
    <row r="1006" spans="1:18" s="430" customFormat="1" x14ac:dyDescent="0.2">
      <c r="A1006" s="364">
        <f t="shared" si="5"/>
        <v>6</v>
      </c>
      <c r="B1006" s="408"/>
      <c r="C1006" s="371" t="s">
        <v>1923</v>
      </c>
      <c r="D1006" s="383" t="s">
        <v>1925</v>
      </c>
      <c r="E1006" s="409">
        <v>1.98</v>
      </c>
      <c r="F1006" s="451">
        <v>184</v>
      </c>
      <c r="G1006" s="372">
        <f t="shared" si="3"/>
        <v>364.32</v>
      </c>
      <c r="H1006" s="438"/>
      <c r="I1006" s="438"/>
      <c r="J1006" s="438"/>
      <c r="K1006" s="438">
        <f>SUM(G1001:G1006)</f>
        <v>5164.66</v>
      </c>
      <c r="L1006" s="438"/>
      <c r="M1006" s="438"/>
      <c r="N1006" s="438"/>
    </row>
    <row r="1007" spans="1:18" s="430" customFormat="1" x14ac:dyDescent="0.2">
      <c r="A1007" s="364">
        <f t="shared" si="5"/>
        <v>7</v>
      </c>
      <c r="B1007" s="410"/>
      <c r="C1007" s="385" t="s">
        <v>176</v>
      </c>
      <c r="D1007" s="383" t="s">
        <v>1950</v>
      </c>
      <c r="E1007" s="407">
        <v>1</v>
      </c>
      <c r="F1007" s="549">
        <v>136.75</v>
      </c>
      <c r="G1007" s="372">
        <f t="shared" si="3"/>
        <v>136.75</v>
      </c>
      <c r="H1007" s="438"/>
      <c r="I1007" s="438"/>
      <c r="J1007" s="438"/>
      <c r="K1007" s="438"/>
      <c r="L1007" s="438"/>
      <c r="M1007" s="438"/>
      <c r="N1007" s="438"/>
      <c r="P1007" s="430">
        <v>1.27</v>
      </c>
      <c r="Q1007" s="437">
        <v>194</v>
      </c>
      <c r="R1007" s="544">
        <f>Q1007*P1007</f>
        <v>246.38</v>
      </c>
    </row>
    <row r="1008" spans="1:18" s="430" customFormat="1" x14ac:dyDescent="0.2">
      <c r="A1008" s="364">
        <f t="shared" si="5"/>
        <v>8</v>
      </c>
      <c r="B1008" s="401"/>
      <c r="C1008" s="371" t="s">
        <v>176</v>
      </c>
      <c r="D1008" s="383" t="s">
        <v>1979</v>
      </c>
      <c r="E1008" s="414">
        <v>1</v>
      </c>
      <c r="F1008" s="451">
        <v>227.25</v>
      </c>
      <c r="G1008" s="372">
        <f t="shared" si="3"/>
        <v>227.25</v>
      </c>
      <c r="H1008" s="438"/>
      <c r="I1008" s="438"/>
      <c r="J1008" s="438"/>
      <c r="K1008" s="438"/>
      <c r="L1008" s="438"/>
      <c r="M1008" s="438"/>
      <c r="N1008" s="438"/>
      <c r="P1008" s="430">
        <v>1.25</v>
      </c>
      <c r="Q1008" s="437">
        <v>194</v>
      </c>
      <c r="R1008" s="544">
        <f t="shared" ref="R1008:R1013" si="6">Q1008*P1008</f>
        <v>242.5</v>
      </c>
    </row>
    <row r="1009" spans="1:18" s="430" customFormat="1" x14ac:dyDescent="0.2">
      <c r="A1009" s="364">
        <f t="shared" si="5"/>
        <v>9</v>
      </c>
      <c r="B1009" s="413"/>
      <c r="C1009" s="371" t="s">
        <v>176</v>
      </c>
      <c r="D1009" s="376" t="s">
        <v>1951</v>
      </c>
      <c r="E1009" s="414">
        <v>1</v>
      </c>
      <c r="F1009" s="451">
        <v>181.95</v>
      </c>
      <c r="G1009" s="372">
        <f t="shared" si="3"/>
        <v>181.95</v>
      </c>
      <c r="H1009" s="438"/>
      <c r="I1009" s="438"/>
      <c r="J1009" s="438"/>
      <c r="K1009" s="438"/>
      <c r="L1009" s="438"/>
      <c r="M1009" s="438"/>
      <c r="N1009" s="438"/>
      <c r="P1009" s="430">
        <v>1.425</v>
      </c>
      <c r="Q1009" s="437">
        <v>194</v>
      </c>
      <c r="R1009" s="544">
        <f t="shared" si="6"/>
        <v>276.45</v>
      </c>
    </row>
    <row r="1010" spans="1:18" s="430" customFormat="1" x14ac:dyDescent="0.2">
      <c r="A1010" s="364">
        <f t="shared" si="5"/>
        <v>10</v>
      </c>
      <c r="B1010" s="413"/>
      <c r="C1010" s="371" t="s">
        <v>176</v>
      </c>
      <c r="D1010" s="376" t="s">
        <v>1952</v>
      </c>
      <c r="E1010" s="414">
        <v>1</v>
      </c>
      <c r="F1010" s="451">
        <v>229</v>
      </c>
      <c r="G1010" s="372">
        <f t="shared" si="3"/>
        <v>229</v>
      </c>
      <c r="H1010" s="438"/>
      <c r="I1010" s="438"/>
      <c r="J1010" s="438"/>
      <c r="K1010" s="438"/>
      <c r="L1010" s="438"/>
      <c r="M1010" s="438"/>
      <c r="N1010" s="438"/>
      <c r="P1010" s="430">
        <v>1.24</v>
      </c>
      <c r="Q1010" s="437">
        <v>194</v>
      </c>
      <c r="R1010" s="544">
        <f t="shared" si="6"/>
        <v>240.56</v>
      </c>
    </row>
    <row r="1011" spans="1:18" s="430" customFormat="1" x14ac:dyDescent="0.2">
      <c r="A1011" s="364">
        <f t="shared" si="5"/>
        <v>11</v>
      </c>
      <c r="B1011" s="416"/>
      <c r="C1011" s="371" t="s">
        <v>149</v>
      </c>
      <c r="D1011" s="376" t="s">
        <v>1929</v>
      </c>
      <c r="E1011" s="417">
        <v>2</v>
      </c>
      <c r="F1011" s="451">
        <v>87</v>
      </c>
      <c r="G1011" s="372">
        <f t="shared" si="3"/>
        <v>174</v>
      </c>
      <c r="H1011" s="438"/>
      <c r="I1011" s="438"/>
      <c r="J1011" s="438"/>
      <c r="K1011" s="438"/>
      <c r="L1011" s="438"/>
      <c r="M1011" s="438"/>
      <c r="N1011" s="438"/>
      <c r="P1011" s="430">
        <v>1.4</v>
      </c>
      <c r="Q1011" s="437">
        <v>194</v>
      </c>
      <c r="R1011" s="544">
        <f t="shared" si="6"/>
        <v>271.59999999999997</v>
      </c>
    </row>
    <row r="1012" spans="1:18" s="430" customFormat="1" x14ac:dyDescent="0.2">
      <c r="A1012" s="364">
        <f t="shared" si="5"/>
        <v>12</v>
      </c>
      <c r="B1012" s="416"/>
      <c r="C1012" s="371" t="s">
        <v>149</v>
      </c>
      <c r="D1012" s="384" t="s">
        <v>1953</v>
      </c>
      <c r="E1012" s="417">
        <v>2</v>
      </c>
      <c r="F1012" s="451">
        <v>60.5</v>
      </c>
      <c r="G1012" s="372">
        <f t="shared" si="3"/>
        <v>121</v>
      </c>
      <c r="H1012" s="438"/>
      <c r="I1012" s="438"/>
      <c r="J1012" s="438"/>
      <c r="K1012" s="438"/>
      <c r="L1012" s="438"/>
      <c r="M1012" s="438"/>
      <c r="N1012" s="438"/>
      <c r="P1012" s="430">
        <v>1.2649999999999999</v>
      </c>
      <c r="Q1012" s="437">
        <v>194</v>
      </c>
      <c r="R1012" s="544">
        <f t="shared" si="6"/>
        <v>245.40999999999997</v>
      </c>
    </row>
    <row r="1013" spans="1:18" s="430" customFormat="1" x14ac:dyDescent="0.2">
      <c r="A1013" s="364">
        <f t="shared" si="5"/>
        <v>13</v>
      </c>
      <c r="B1013" s="416"/>
      <c r="C1013" s="371" t="s">
        <v>149</v>
      </c>
      <c r="D1013" s="384" t="s">
        <v>1954</v>
      </c>
      <c r="E1013" s="417">
        <v>2</v>
      </c>
      <c r="F1013" s="451">
        <v>60.5</v>
      </c>
      <c r="G1013" s="372">
        <f t="shared" si="3"/>
        <v>121</v>
      </c>
      <c r="H1013" s="438"/>
      <c r="I1013" s="438"/>
      <c r="J1013" s="438"/>
      <c r="K1013" s="438"/>
      <c r="L1013" s="438"/>
      <c r="M1013" s="438"/>
      <c r="N1013" s="438"/>
      <c r="P1013" s="430">
        <v>1.28</v>
      </c>
      <c r="Q1013" s="437">
        <v>194</v>
      </c>
      <c r="R1013" s="544">
        <f t="shared" si="6"/>
        <v>248.32</v>
      </c>
    </row>
    <row r="1014" spans="1:18" s="430" customFormat="1" x14ac:dyDescent="0.2">
      <c r="A1014" s="364">
        <f t="shared" si="5"/>
        <v>14</v>
      </c>
      <c r="B1014" s="401"/>
      <c r="C1014" s="371" t="s">
        <v>149</v>
      </c>
      <c r="D1014" s="384" t="s">
        <v>1928</v>
      </c>
      <c r="E1014" s="407">
        <v>2</v>
      </c>
      <c r="F1014" s="451">
        <v>66.75</v>
      </c>
      <c r="G1014" s="372">
        <f t="shared" si="3"/>
        <v>133.5</v>
      </c>
      <c r="H1014" s="438"/>
      <c r="I1014" s="438"/>
      <c r="J1014" s="438"/>
      <c r="K1014" s="438"/>
      <c r="L1014" s="438"/>
      <c r="M1014" s="438"/>
      <c r="N1014" s="438"/>
      <c r="P1014" s="430">
        <f>SUM(P1007:P1013)</f>
        <v>9.1300000000000008</v>
      </c>
      <c r="R1014" s="544">
        <f>SUM(R1007:R1013)</f>
        <v>1771.2199999999996</v>
      </c>
    </row>
    <row r="1015" spans="1:18" s="430" customFormat="1" x14ac:dyDescent="0.2">
      <c r="A1015" s="364">
        <f t="shared" si="5"/>
        <v>15</v>
      </c>
      <c r="B1015" s="401"/>
      <c r="C1015" s="371" t="s">
        <v>1930</v>
      </c>
      <c r="D1015" s="384" t="s">
        <v>1955</v>
      </c>
      <c r="E1015" s="417">
        <v>6</v>
      </c>
      <c r="F1015" s="550">
        <v>40.799999999999997</v>
      </c>
      <c r="G1015" s="372">
        <f t="shared" si="3"/>
        <v>244.79999999999998</v>
      </c>
      <c r="H1015" s="438"/>
      <c r="I1015" s="438"/>
      <c r="J1015" s="438"/>
      <c r="K1015" s="438"/>
      <c r="L1015" s="438"/>
      <c r="M1015" s="438"/>
      <c r="N1015" s="438"/>
    </row>
    <row r="1016" spans="1:18" s="430" customFormat="1" x14ac:dyDescent="0.2">
      <c r="A1016" s="364">
        <f t="shared" si="5"/>
        <v>16</v>
      </c>
      <c r="B1016" s="408"/>
      <c r="C1016" s="371" t="s">
        <v>149</v>
      </c>
      <c r="D1016" s="419" t="s">
        <v>1935</v>
      </c>
      <c r="E1016" s="414">
        <v>5</v>
      </c>
      <c r="F1016" s="550">
        <v>31.65</v>
      </c>
      <c r="G1016" s="372">
        <f t="shared" si="3"/>
        <v>158.25</v>
      </c>
      <c r="H1016" s="438"/>
      <c r="I1016" s="438"/>
      <c r="J1016" s="438"/>
      <c r="K1016" s="438"/>
      <c r="L1016" s="438"/>
      <c r="M1016" s="438"/>
      <c r="N1016" s="438"/>
    </row>
    <row r="1017" spans="1:18" s="430" customFormat="1" x14ac:dyDescent="0.2">
      <c r="A1017" s="364">
        <f t="shared" si="5"/>
        <v>17</v>
      </c>
      <c r="B1017" s="408"/>
      <c r="C1017" s="371" t="s">
        <v>149</v>
      </c>
      <c r="D1017" s="384" t="s">
        <v>1956</v>
      </c>
      <c r="E1017" s="414">
        <v>2</v>
      </c>
      <c r="F1017" s="550">
        <v>73.2</v>
      </c>
      <c r="G1017" s="372">
        <f t="shared" si="3"/>
        <v>146.4</v>
      </c>
      <c r="H1017" s="438"/>
      <c r="I1017" s="438"/>
      <c r="J1017" s="438"/>
      <c r="K1017" s="438"/>
      <c r="L1017" s="438"/>
      <c r="M1017" s="438"/>
      <c r="N1017" s="438"/>
      <c r="P1017" s="430">
        <v>1.51</v>
      </c>
      <c r="Q1017" s="437">
        <v>194</v>
      </c>
      <c r="R1017" s="544">
        <f>Q1017*P1017</f>
        <v>292.94</v>
      </c>
    </row>
    <row r="1018" spans="1:18" s="430" customFormat="1" x14ac:dyDescent="0.2">
      <c r="A1018" s="364">
        <f t="shared" si="5"/>
        <v>18</v>
      </c>
      <c r="B1018" s="408"/>
      <c r="C1018" s="371" t="s">
        <v>149</v>
      </c>
      <c r="D1018" s="384" t="s">
        <v>1957</v>
      </c>
      <c r="E1018" s="414">
        <v>2</v>
      </c>
      <c r="F1018" s="550">
        <v>73.2</v>
      </c>
      <c r="G1018" s="372">
        <f t="shared" si="3"/>
        <v>146.4</v>
      </c>
      <c r="H1018" s="438"/>
      <c r="I1018" s="438"/>
      <c r="J1018" s="438"/>
      <c r="K1018" s="438"/>
      <c r="L1018" s="438"/>
      <c r="M1018" s="438"/>
      <c r="N1018" s="438"/>
      <c r="P1018" s="430">
        <v>1.4950000000000001</v>
      </c>
      <c r="Q1018" s="437">
        <v>194</v>
      </c>
      <c r="R1018" s="544">
        <f>Q1018*P1018</f>
        <v>290.03000000000003</v>
      </c>
    </row>
    <row r="1019" spans="1:18" s="430" customFormat="1" x14ac:dyDescent="0.2">
      <c r="A1019" s="364">
        <f t="shared" si="5"/>
        <v>19</v>
      </c>
      <c r="B1019" s="401"/>
      <c r="C1019" s="371" t="s">
        <v>177</v>
      </c>
      <c r="D1019" s="384" t="s">
        <v>1958</v>
      </c>
      <c r="E1019" s="414">
        <v>1</v>
      </c>
      <c r="F1019" s="550">
        <v>1337</v>
      </c>
      <c r="G1019" s="372">
        <f t="shared" si="3"/>
        <v>1337</v>
      </c>
      <c r="H1019" s="438"/>
      <c r="I1019" s="438"/>
      <c r="J1019" s="438"/>
      <c r="K1019" s="438"/>
      <c r="L1019" s="438"/>
      <c r="M1019" s="438"/>
      <c r="N1019" s="438"/>
      <c r="P1019" s="430">
        <f>SUM(P1017:P1018)</f>
        <v>3.0049999999999999</v>
      </c>
      <c r="R1019" s="544">
        <f>SUM(R1017:R1018)</f>
        <v>582.97</v>
      </c>
    </row>
    <row r="1020" spans="1:18" s="430" customFormat="1" x14ac:dyDescent="0.2">
      <c r="A1020" s="364">
        <f t="shared" si="5"/>
        <v>20</v>
      </c>
      <c r="B1020" s="401"/>
      <c r="C1020" s="371" t="s">
        <v>177</v>
      </c>
      <c r="D1020" s="376" t="s">
        <v>1959</v>
      </c>
      <c r="E1020" s="414">
        <v>1</v>
      </c>
      <c r="F1020" s="550">
        <v>1372</v>
      </c>
      <c r="G1020" s="372">
        <f t="shared" si="3"/>
        <v>1372</v>
      </c>
      <c r="H1020" s="438"/>
      <c r="I1020" s="438"/>
      <c r="J1020" s="438"/>
      <c r="K1020" s="438"/>
      <c r="L1020" s="438"/>
      <c r="M1020" s="438"/>
      <c r="N1020" s="438"/>
    </row>
    <row r="1021" spans="1:18" s="430" customFormat="1" x14ac:dyDescent="0.2">
      <c r="A1021" s="364">
        <f t="shared" si="5"/>
        <v>21</v>
      </c>
      <c r="B1021" s="401"/>
      <c r="C1021" s="371" t="s">
        <v>177</v>
      </c>
      <c r="D1021" s="376" t="s">
        <v>1960</v>
      </c>
      <c r="E1021" s="414">
        <v>1</v>
      </c>
      <c r="F1021" s="550">
        <v>1924</v>
      </c>
      <c r="G1021" s="372">
        <f t="shared" si="3"/>
        <v>1924</v>
      </c>
      <c r="H1021" s="438"/>
      <c r="I1021" s="438"/>
      <c r="J1021" s="438"/>
      <c r="K1021" s="438"/>
      <c r="L1021" s="438"/>
      <c r="M1021" s="438"/>
      <c r="N1021" s="438"/>
    </row>
    <row r="1022" spans="1:18" s="430" customFormat="1" x14ac:dyDescent="0.2">
      <c r="A1022" s="364">
        <f t="shared" si="5"/>
        <v>22</v>
      </c>
      <c r="B1022" s="401"/>
      <c r="C1022" s="371" t="s">
        <v>149</v>
      </c>
      <c r="D1022" s="376" t="s">
        <v>1961</v>
      </c>
      <c r="E1022" s="414">
        <v>2</v>
      </c>
      <c r="F1022" s="550">
        <v>88.2</v>
      </c>
      <c r="G1022" s="372">
        <f t="shared" si="3"/>
        <v>176.4</v>
      </c>
      <c r="H1022" s="438"/>
      <c r="I1022" s="438"/>
      <c r="J1022" s="438"/>
      <c r="K1022" s="438"/>
      <c r="L1022" s="438"/>
      <c r="M1022" s="438"/>
      <c r="N1022" s="438"/>
    </row>
    <row r="1023" spans="1:18" s="430" customFormat="1" x14ac:dyDescent="0.2">
      <c r="A1023" s="364">
        <f t="shared" si="5"/>
        <v>23</v>
      </c>
      <c r="B1023" s="401"/>
      <c r="C1023" s="371" t="s">
        <v>1923</v>
      </c>
      <c r="D1023" s="384" t="s">
        <v>1934</v>
      </c>
      <c r="E1023" s="414">
        <v>5</v>
      </c>
      <c r="F1023" s="550">
        <v>87</v>
      </c>
      <c r="G1023" s="372">
        <f t="shared" si="3"/>
        <v>435</v>
      </c>
      <c r="H1023" s="438"/>
      <c r="I1023" s="438"/>
      <c r="J1023" s="438"/>
      <c r="K1023" s="438"/>
      <c r="L1023" s="438"/>
      <c r="M1023" s="438"/>
      <c r="N1023" s="438"/>
    </row>
    <row r="1024" spans="1:18" s="430" customFormat="1" x14ac:dyDescent="0.2">
      <c r="A1024" s="364">
        <f t="shared" si="5"/>
        <v>24</v>
      </c>
      <c r="B1024" s="401"/>
      <c r="C1024" s="371" t="s">
        <v>149</v>
      </c>
      <c r="D1024" s="384" t="s">
        <v>1962</v>
      </c>
      <c r="E1024" s="414">
        <v>5</v>
      </c>
      <c r="F1024" s="550">
        <v>79.5</v>
      </c>
      <c r="G1024" s="372">
        <f t="shared" si="3"/>
        <v>397.5</v>
      </c>
      <c r="H1024" s="438"/>
      <c r="I1024" s="438"/>
      <c r="J1024" s="438"/>
      <c r="K1024" s="438"/>
      <c r="L1024" s="438"/>
      <c r="M1024" s="438"/>
      <c r="N1024" s="438"/>
    </row>
    <row r="1025" spans="1:14" s="430" customFormat="1" x14ac:dyDescent="0.2">
      <c r="A1025" s="364">
        <f t="shared" si="5"/>
        <v>25</v>
      </c>
      <c r="B1025" s="401"/>
      <c r="C1025" s="371" t="s">
        <v>149</v>
      </c>
      <c r="D1025" s="384" t="s">
        <v>1963</v>
      </c>
      <c r="E1025" s="414">
        <v>5</v>
      </c>
      <c r="F1025" s="550">
        <v>155</v>
      </c>
      <c r="G1025" s="372">
        <f t="shared" si="3"/>
        <v>775</v>
      </c>
      <c r="H1025" s="438"/>
      <c r="I1025" s="438"/>
      <c r="J1025" s="438"/>
      <c r="K1025" s="438"/>
      <c r="L1025" s="438"/>
      <c r="M1025" s="438"/>
      <c r="N1025" s="438"/>
    </row>
    <row r="1026" spans="1:14" s="430" customFormat="1" x14ac:dyDescent="0.2">
      <c r="A1026" s="364">
        <f t="shared" si="5"/>
        <v>26</v>
      </c>
      <c r="B1026" s="401"/>
      <c r="C1026" s="371" t="s">
        <v>1923</v>
      </c>
      <c r="D1026" s="376" t="s">
        <v>1964</v>
      </c>
      <c r="E1026" s="407">
        <v>5</v>
      </c>
      <c r="F1026" s="451">
        <v>82</v>
      </c>
      <c r="G1026" s="372">
        <f t="shared" si="3"/>
        <v>410</v>
      </c>
      <c r="H1026" s="438"/>
      <c r="I1026" s="438"/>
      <c r="J1026" s="438"/>
      <c r="K1026" s="438"/>
      <c r="L1026" s="438"/>
      <c r="M1026" s="438"/>
      <c r="N1026" s="438"/>
    </row>
    <row r="1027" spans="1:14" s="430" customFormat="1" x14ac:dyDescent="0.2">
      <c r="A1027" s="364">
        <f t="shared" si="5"/>
        <v>27</v>
      </c>
      <c r="B1027" s="401"/>
      <c r="C1027" s="371" t="s">
        <v>1923</v>
      </c>
      <c r="D1027" s="376" t="s">
        <v>1965</v>
      </c>
      <c r="E1027" s="417">
        <v>10</v>
      </c>
      <c r="F1027" s="451">
        <v>75</v>
      </c>
      <c r="G1027" s="372">
        <f t="shared" si="3"/>
        <v>750</v>
      </c>
      <c r="H1027" s="438"/>
      <c r="I1027" s="438"/>
      <c r="J1027" s="438"/>
      <c r="K1027" s="438"/>
      <c r="L1027" s="438"/>
      <c r="M1027" s="438"/>
      <c r="N1027" s="438"/>
    </row>
    <row r="1028" spans="1:14" s="430" customFormat="1" x14ac:dyDescent="0.2">
      <c r="A1028" s="364">
        <f t="shared" si="5"/>
        <v>28</v>
      </c>
      <c r="B1028" s="401"/>
      <c r="C1028" s="371" t="s">
        <v>149</v>
      </c>
      <c r="D1028" s="383" t="s">
        <v>1966</v>
      </c>
      <c r="E1028" s="409">
        <v>5</v>
      </c>
      <c r="F1028" s="451">
        <v>22.75</v>
      </c>
      <c r="G1028" s="372">
        <f t="shared" si="3"/>
        <v>113.75</v>
      </c>
      <c r="H1028" s="438"/>
      <c r="I1028" s="438"/>
      <c r="J1028" s="438"/>
      <c r="K1028" s="438"/>
      <c r="L1028" s="438"/>
      <c r="M1028" s="438"/>
      <c r="N1028" s="438"/>
    </row>
    <row r="1029" spans="1:14" s="430" customFormat="1" x14ac:dyDescent="0.2">
      <c r="A1029" s="364">
        <f t="shared" si="5"/>
        <v>29</v>
      </c>
      <c r="B1029" s="401"/>
      <c r="C1029" s="371" t="s">
        <v>149</v>
      </c>
      <c r="D1029" s="419" t="s">
        <v>1933</v>
      </c>
      <c r="E1029" s="409">
        <v>6</v>
      </c>
      <c r="F1029" s="451">
        <v>69.25</v>
      </c>
      <c r="G1029" s="372">
        <f t="shared" si="3"/>
        <v>415.5</v>
      </c>
      <c r="H1029" s="438"/>
      <c r="I1029" s="438"/>
      <c r="J1029" s="438"/>
      <c r="K1029" s="438"/>
      <c r="L1029" s="438"/>
      <c r="M1029" s="438"/>
      <c r="N1029" s="438"/>
    </row>
    <row r="1030" spans="1:14" s="430" customFormat="1" x14ac:dyDescent="0.2">
      <c r="A1030" s="364">
        <f t="shared" si="5"/>
        <v>30</v>
      </c>
      <c r="B1030" s="401"/>
      <c r="C1030" s="422" t="s">
        <v>149</v>
      </c>
      <c r="D1030" s="419" t="s">
        <v>1967</v>
      </c>
      <c r="E1030" s="423">
        <v>5</v>
      </c>
      <c r="F1030" s="551">
        <v>17.3</v>
      </c>
      <c r="G1030" s="372">
        <f t="shared" si="3"/>
        <v>86.5</v>
      </c>
      <c r="H1030" s="438"/>
      <c r="I1030" s="438"/>
      <c r="J1030" s="438"/>
      <c r="K1030" s="438"/>
      <c r="L1030" s="438"/>
      <c r="M1030" s="438"/>
      <c r="N1030" s="438"/>
    </row>
    <row r="1031" spans="1:14" s="430" customFormat="1" x14ac:dyDescent="0.2">
      <c r="A1031" s="364">
        <f t="shared" si="5"/>
        <v>31</v>
      </c>
      <c r="B1031" s="401"/>
      <c r="C1031" s="371" t="s">
        <v>177</v>
      </c>
      <c r="D1031" s="425" t="s">
        <v>1936</v>
      </c>
      <c r="E1031" s="407">
        <v>4</v>
      </c>
      <c r="F1031" s="552">
        <v>47.6</v>
      </c>
      <c r="G1031" s="372">
        <f t="shared" si="3"/>
        <v>190.4</v>
      </c>
      <c r="H1031" s="438"/>
      <c r="I1031" s="438"/>
      <c r="J1031" s="438"/>
      <c r="K1031" s="438"/>
      <c r="L1031" s="438"/>
      <c r="M1031" s="438"/>
      <c r="N1031" s="438"/>
    </row>
    <row r="1032" spans="1:14" s="430" customFormat="1" x14ac:dyDescent="0.2">
      <c r="A1032" s="364">
        <f t="shared" si="5"/>
        <v>32</v>
      </c>
      <c r="B1032" s="401"/>
      <c r="C1032" s="371" t="s">
        <v>1930</v>
      </c>
      <c r="D1032" s="383" t="s">
        <v>1968</v>
      </c>
      <c r="E1032" s="407">
        <v>6</v>
      </c>
      <c r="F1032" s="406">
        <v>27</v>
      </c>
      <c r="G1032" s="372">
        <f t="shared" si="3"/>
        <v>162</v>
      </c>
      <c r="H1032" s="438"/>
      <c r="I1032" s="438"/>
      <c r="J1032" s="438"/>
      <c r="K1032" s="438">
        <f>SUM(G1007:G1032)</f>
        <v>10565.35</v>
      </c>
      <c r="L1032" s="438"/>
      <c r="M1032" s="438"/>
      <c r="N1032" s="438"/>
    </row>
    <row r="1033" spans="1:14" s="430" customFormat="1" x14ac:dyDescent="0.2">
      <c r="A1033" s="555"/>
      <c r="B1033" s="401"/>
      <c r="C1033" s="371"/>
      <c r="D1033" s="383"/>
      <c r="E1033" s="407"/>
      <c r="F1033" s="566"/>
      <c r="G1033" s="567"/>
      <c r="H1033" s="438"/>
      <c r="I1033" s="438"/>
      <c r="J1033" s="438"/>
      <c r="K1033" s="438"/>
      <c r="L1033" s="438"/>
      <c r="M1033" s="438"/>
      <c r="N1033" s="438"/>
    </row>
    <row r="1034" spans="1:14" s="430" customFormat="1" ht="13.5" thickBot="1" x14ac:dyDescent="0.25">
      <c r="A1034" s="553"/>
      <c r="B1034" s="427"/>
      <c r="C1034" s="428"/>
      <c r="D1034" s="428"/>
      <c r="E1034" s="427"/>
      <c r="F1034" s="49" t="s">
        <v>158</v>
      </c>
      <c r="G1034" s="210">
        <f>SUM(G1001:G1032)</f>
        <v>15730.009999999998</v>
      </c>
      <c r="H1034" s="243"/>
      <c r="I1034" s="243"/>
      <c r="J1034" s="243"/>
      <c r="K1034" s="243"/>
      <c r="L1034" s="243"/>
      <c r="M1034" s="243"/>
      <c r="N1034" s="243"/>
    </row>
    <row r="1035" spans="1:14" s="430" customFormat="1" ht="13.5" thickTop="1" x14ac:dyDescent="0.2">
      <c r="A1035" s="875" t="s">
        <v>1947</v>
      </c>
      <c r="B1035" s="876"/>
      <c r="C1035" s="876"/>
      <c r="D1035" s="876"/>
      <c r="E1035" s="876"/>
      <c r="F1035" s="876"/>
      <c r="G1035" s="877"/>
      <c r="H1035" s="377"/>
      <c r="I1035" s="377"/>
      <c r="J1035" s="377"/>
      <c r="K1035" s="377"/>
      <c r="L1035" s="377"/>
      <c r="M1035" s="377"/>
      <c r="N1035" s="377"/>
    </row>
    <row r="1036" spans="1:14" s="430" customFormat="1" ht="13.5" thickBot="1" x14ac:dyDescent="0.25">
      <c r="A1036" s="378"/>
      <c r="B1036" s="374"/>
      <c r="C1036" s="374"/>
      <c r="D1036" s="379"/>
      <c r="E1036" s="374"/>
      <c r="F1036" s="380"/>
      <c r="G1036" s="381"/>
    </row>
    <row r="1037" spans="1:14" s="430" customFormat="1" ht="13.5" thickTop="1" x14ac:dyDescent="0.2">
      <c r="A1037" s="878"/>
      <c r="B1037" s="879"/>
      <c r="C1037" s="879"/>
      <c r="D1037" s="433" t="s">
        <v>11</v>
      </c>
      <c r="E1037" s="880" t="s">
        <v>12</v>
      </c>
      <c r="F1037" s="880"/>
      <c r="G1037" s="881"/>
      <c r="H1037" s="386"/>
      <c r="I1037" s="386"/>
      <c r="J1037" s="386"/>
      <c r="K1037" s="386"/>
      <c r="L1037" s="386"/>
      <c r="M1037" s="386"/>
      <c r="N1037" s="386"/>
    </row>
    <row r="1038" spans="1:14" s="430" customFormat="1" x14ac:dyDescent="0.2">
      <c r="A1038" s="866" t="s">
        <v>17</v>
      </c>
      <c r="B1038" s="867"/>
      <c r="C1038" s="867"/>
      <c r="D1038" s="434"/>
      <c r="E1038" s="882"/>
      <c r="F1038" s="883"/>
      <c r="G1038" s="884"/>
      <c r="H1038" s="429"/>
      <c r="I1038" s="429"/>
      <c r="J1038" s="429"/>
      <c r="K1038" s="429"/>
      <c r="L1038" s="429"/>
      <c r="M1038" s="429"/>
      <c r="N1038" s="429"/>
    </row>
    <row r="1039" spans="1:14" s="430" customFormat="1" x14ac:dyDescent="0.2">
      <c r="A1039" s="866" t="s">
        <v>38</v>
      </c>
      <c r="B1039" s="867"/>
      <c r="C1039" s="867"/>
      <c r="D1039" s="73" t="s">
        <v>891</v>
      </c>
      <c r="E1039" s="868" t="s">
        <v>142</v>
      </c>
      <c r="F1039" s="868"/>
      <c r="G1039" s="869"/>
      <c r="H1039" s="1"/>
      <c r="I1039" s="1"/>
      <c r="J1039" s="1"/>
      <c r="K1039" s="1"/>
      <c r="L1039" s="1"/>
      <c r="M1039" s="1"/>
      <c r="N1039" s="1"/>
    </row>
    <row r="1040" spans="1:14" s="430" customFormat="1" ht="13.5" thickBot="1" x14ac:dyDescent="0.25">
      <c r="A1040" s="870" t="s">
        <v>39</v>
      </c>
      <c r="B1040" s="871"/>
      <c r="C1040" s="871"/>
      <c r="D1040" s="554" t="s">
        <v>892</v>
      </c>
      <c r="E1040" s="873" t="s">
        <v>0</v>
      </c>
      <c r="F1040" s="873"/>
      <c r="G1040" s="874"/>
      <c r="H1040" s="386"/>
      <c r="I1040" s="386"/>
      <c r="J1040" s="386"/>
      <c r="K1040" s="386"/>
      <c r="L1040" s="386"/>
      <c r="M1040" s="386"/>
      <c r="N1040" s="386"/>
    </row>
    <row r="1041" spans="1:17" s="430" customFormat="1" ht="16.5" x14ac:dyDescent="0.25">
      <c r="A1041" s="885" t="s">
        <v>29</v>
      </c>
      <c r="B1041" s="886"/>
      <c r="C1041" s="886"/>
      <c r="D1041" s="886"/>
      <c r="E1041" s="886"/>
      <c r="F1041" s="886"/>
      <c r="G1041" s="887"/>
      <c r="H1041" s="247"/>
      <c r="I1041" s="247"/>
      <c r="J1041" s="247"/>
      <c r="K1041" s="247"/>
      <c r="L1041" s="247"/>
      <c r="M1041" s="247"/>
      <c r="N1041" s="247"/>
    </row>
    <row r="1042" spans="1:17" s="430" customFormat="1" x14ac:dyDescent="0.2">
      <c r="A1042" s="888" t="s">
        <v>48</v>
      </c>
      <c r="B1042" s="889"/>
      <c r="C1042" s="889"/>
      <c r="D1042" s="889"/>
      <c r="E1042" s="889"/>
      <c r="F1042" s="889"/>
      <c r="G1042" s="890"/>
      <c r="H1042" s="246"/>
      <c r="I1042" s="246"/>
      <c r="J1042" s="246"/>
      <c r="K1042" s="246"/>
      <c r="L1042" s="246"/>
      <c r="M1042" s="246"/>
      <c r="N1042" s="246"/>
    </row>
    <row r="1043" spans="1:17" s="430" customFormat="1" x14ac:dyDescent="0.2">
      <c r="A1043" s="891" t="s">
        <v>49</v>
      </c>
      <c r="B1043" s="892"/>
      <c r="C1043" s="892"/>
      <c r="D1043" s="892"/>
      <c r="E1043" s="892"/>
      <c r="F1043" s="892"/>
      <c r="G1043" s="893"/>
      <c r="H1043" s="386"/>
      <c r="I1043" s="386"/>
      <c r="J1043" s="386"/>
      <c r="K1043" s="386"/>
      <c r="L1043" s="386"/>
      <c r="M1043" s="386"/>
      <c r="N1043" s="386"/>
    </row>
    <row r="1044" spans="1:17" s="430" customFormat="1" x14ac:dyDescent="0.2">
      <c r="A1044" s="387"/>
      <c r="B1044" s="388"/>
      <c r="C1044" s="389"/>
      <c r="D1044" s="390"/>
      <c r="E1044" s="388"/>
      <c r="F1044" s="391"/>
      <c r="G1044" s="392" t="s">
        <v>335</v>
      </c>
      <c r="H1044" s="548"/>
      <c r="I1044" s="548"/>
      <c r="J1044" s="548"/>
      <c r="K1044" s="548"/>
      <c r="L1044" s="548"/>
      <c r="M1044" s="548"/>
      <c r="N1044" s="548"/>
    </row>
    <row r="1045" spans="1:17" s="430" customFormat="1" x14ac:dyDescent="0.2">
      <c r="A1045" s="393" t="s">
        <v>1</v>
      </c>
      <c r="B1045" s="394"/>
      <c r="C1045" s="14" t="s">
        <v>36</v>
      </c>
      <c r="D1045" s="394"/>
      <c r="E1045" s="362" t="s">
        <v>1986</v>
      </c>
      <c r="F1045" s="395"/>
      <c r="G1045" s="363" t="s">
        <v>1946</v>
      </c>
    </row>
    <row r="1046" spans="1:17" s="430" customFormat="1" x14ac:dyDescent="0.2">
      <c r="A1046" s="361" t="s">
        <v>8</v>
      </c>
      <c r="B1046" s="396"/>
      <c r="C1046" s="19"/>
      <c r="D1046" s="386"/>
      <c r="E1046" s="894"/>
      <c r="F1046" s="895"/>
      <c r="G1046" s="397"/>
    </row>
    <row r="1047" spans="1:17" s="430" customFormat="1" x14ac:dyDescent="0.2">
      <c r="A1047" s="373" t="s">
        <v>37</v>
      </c>
      <c r="B1047" s="377"/>
      <c r="C1047" s="377"/>
      <c r="D1047" s="377"/>
      <c r="E1047" s="398" t="s">
        <v>46</v>
      </c>
      <c r="F1047" s="399"/>
      <c r="G1047" s="397" t="s">
        <v>50</v>
      </c>
    </row>
    <row r="1048" spans="1:17" s="430" customFormat="1" x14ac:dyDescent="0.2">
      <c r="A1048" s="387"/>
      <c r="B1048" s="388"/>
      <c r="C1048" s="389"/>
      <c r="D1048" s="389"/>
      <c r="E1048" s="896"/>
      <c r="F1048" s="897"/>
      <c r="G1048" s="400"/>
    </row>
    <row r="1049" spans="1:17" s="430" customFormat="1" ht="26.25" thickBot="1" x14ac:dyDescent="0.25">
      <c r="A1049" s="207" t="s">
        <v>47</v>
      </c>
      <c r="B1049" s="28" t="s">
        <v>23</v>
      </c>
      <c r="C1049" s="28" t="s">
        <v>34</v>
      </c>
      <c r="D1049" s="110" t="s">
        <v>53</v>
      </c>
      <c r="E1049" s="114" t="s">
        <v>54</v>
      </c>
      <c r="F1049" s="111" t="s">
        <v>55</v>
      </c>
      <c r="G1049" s="112" t="s">
        <v>35</v>
      </c>
      <c r="H1049" s="249"/>
      <c r="I1049" s="249"/>
      <c r="J1049" s="249"/>
      <c r="K1049" s="249"/>
      <c r="L1049" s="249"/>
      <c r="M1049" s="249"/>
      <c r="N1049" s="249"/>
    </row>
    <row r="1050" spans="1:17" s="430" customFormat="1" ht="13.5" thickTop="1" x14ac:dyDescent="0.2">
      <c r="A1050" s="364"/>
      <c r="B1050" s="408"/>
      <c r="C1050" s="371"/>
      <c r="D1050" s="202" t="s">
        <v>160</v>
      </c>
      <c r="E1050" s="409"/>
      <c r="F1050" s="451"/>
      <c r="G1050" s="200">
        <f>G1034</f>
        <v>15730.009999999998</v>
      </c>
      <c r="H1050" s="243"/>
      <c r="I1050" s="243"/>
      <c r="J1050" s="243"/>
      <c r="K1050" s="243"/>
      <c r="L1050" s="243"/>
      <c r="M1050" s="243"/>
      <c r="N1050" s="243"/>
    </row>
    <row r="1051" spans="1:17" s="430" customFormat="1" x14ac:dyDescent="0.2">
      <c r="A1051" s="364">
        <v>33</v>
      </c>
      <c r="B1051" s="408"/>
      <c r="C1051" s="371" t="s">
        <v>149</v>
      </c>
      <c r="D1051" s="376" t="s">
        <v>1937</v>
      </c>
      <c r="E1051" s="409">
        <v>1</v>
      </c>
      <c r="F1051" s="451">
        <v>379.5</v>
      </c>
      <c r="G1051" s="372">
        <f t="shared" ref="G1051:G1070" si="7">F1051*E1051</f>
        <v>379.5</v>
      </c>
      <c r="H1051" s="438"/>
      <c r="I1051" s="438"/>
      <c r="J1051" s="438"/>
      <c r="K1051" s="438"/>
      <c r="L1051" s="438"/>
      <c r="M1051" s="438"/>
      <c r="N1051" s="438"/>
    </row>
    <row r="1052" spans="1:17" s="430" customFormat="1" x14ac:dyDescent="0.2">
      <c r="A1052" s="364">
        <f>A1051+1</f>
        <v>34</v>
      </c>
      <c r="B1052" s="408"/>
      <c r="C1052" s="385" t="s">
        <v>149</v>
      </c>
      <c r="D1052" s="376" t="s">
        <v>1969</v>
      </c>
      <c r="E1052" s="407">
        <v>3</v>
      </c>
      <c r="F1052" s="549">
        <v>67</v>
      </c>
      <c r="G1052" s="372">
        <f t="shared" si="7"/>
        <v>201</v>
      </c>
      <c r="H1052" s="438"/>
      <c r="I1052" s="438"/>
      <c r="J1052" s="438"/>
      <c r="K1052" s="438"/>
      <c r="L1052" s="438"/>
      <c r="M1052" s="438"/>
      <c r="N1052" s="438"/>
    </row>
    <row r="1053" spans="1:17" s="430" customFormat="1" x14ac:dyDescent="0.2">
      <c r="A1053" s="364">
        <f t="shared" ref="A1053:A1070" si="8">A1052+1</f>
        <v>35</v>
      </c>
      <c r="B1053" s="408"/>
      <c r="C1053" s="371" t="s">
        <v>1938</v>
      </c>
      <c r="D1053" s="376" t="s">
        <v>1970</v>
      </c>
      <c r="E1053" s="409">
        <v>3</v>
      </c>
      <c r="F1053" s="451">
        <v>260</v>
      </c>
      <c r="G1053" s="372">
        <f t="shared" si="7"/>
        <v>780</v>
      </c>
      <c r="H1053" s="438"/>
      <c r="I1053" s="438"/>
      <c r="J1053" s="438"/>
      <c r="K1053" s="438"/>
      <c r="L1053" s="438"/>
      <c r="M1053" s="438"/>
      <c r="N1053" s="438"/>
    </row>
    <row r="1054" spans="1:17" s="430" customFormat="1" x14ac:dyDescent="0.2">
      <c r="A1054" s="364">
        <f t="shared" si="8"/>
        <v>36</v>
      </c>
      <c r="B1054" s="408"/>
      <c r="C1054" s="371" t="s">
        <v>149</v>
      </c>
      <c r="D1054" s="376" t="s">
        <v>1971</v>
      </c>
      <c r="E1054" s="409">
        <v>3</v>
      </c>
      <c r="F1054" s="451">
        <v>72</v>
      </c>
      <c r="G1054" s="372">
        <f t="shared" si="7"/>
        <v>216</v>
      </c>
      <c r="H1054" s="438"/>
      <c r="I1054" s="438"/>
      <c r="J1054" s="438"/>
      <c r="K1054" s="438"/>
      <c r="L1054" s="438"/>
      <c r="M1054" s="438"/>
      <c r="N1054" s="438"/>
    </row>
    <row r="1055" spans="1:17" s="430" customFormat="1" x14ac:dyDescent="0.2">
      <c r="A1055" s="364">
        <f t="shared" si="8"/>
        <v>37</v>
      </c>
      <c r="B1055" s="408"/>
      <c r="C1055" s="371" t="s">
        <v>1923</v>
      </c>
      <c r="D1055" s="383" t="s">
        <v>1972</v>
      </c>
      <c r="E1055" s="409">
        <v>1.9259999999999999</v>
      </c>
      <c r="F1055" s="451">
        <v>270</v>
      </c>
      <c r="G1055" s="372">
        <f t="shared" si="7"/>
        <v>520.02</v>
      </c>
      <c r="H1055" s="438"/>
      <c r="I1055" s="438"/>
      <c r="J1055" s="438"/>
      <c r="K1055" s="438"/>
      <c r="L1055" s="438"/>
      <c r="M1055" s="438"/>
      <c r="N1055" s="438"/>
      <c r="O1055" s="430">
        <v>0.61799999999999999</v>
      </c>
      <c r="P1055" s="437">
        <v>270</v>
      </c>
      <c r="Q1055" s="544">
        <f>P1055*O1055</f>
        <v>166.85999999999999</v>
      </c>
    </row>
    <row r="1056" spans="1:17" s="430" customFormat="1" x14ac:dyDescent="0.2">
      <c r="A1056" s="364">
        <f t="shared" si="8"/>
        <v>38</v>
      </c>
      <c r="B1056" s="410"/>
      <c r="C1056" s="385" t="s">
        <v>1923</v>
      </c>
      <c r="D1056" s="383" t="s">
        <v>1973</v>
      </c>
      <c r="E1056" s="407">
        <v>2</v>
      </c>
      <c r="F1056" s="549">
        <v>197</v>
      </c>
      <c r="G1056" s="372">
        <f t="shared" si="7"/>
        <v>394</v>
      </c>
      <c r="H1056" s="438"/>
      <c r="I1056" s="438"/>
      <c r="J1056" s="438"/>
      <c r="K1056" s="438"/>
      <c r="L1056" s="438"/>
      <c r="M1056" s="438"/>
      <c r="N1056" s="438"/>
      <c r="O1056" s="430">
        <v>0.64</v>
      </c>
      <c r="P1056" s="437">
        <v>270</v>
      </c>
      <c r="Q1056" s="544">
        <f t="shared" ref="Q1056:Q1057" si="9">P1056*O1056</f>
        <v>172.8</v>
      </c>
    </row>
    <row r="1057" spans="1:17" s="430" customFormat="1" x14ac:dyDescent="0.2">
      <c r="A1057" s="364">
        <f t="shared" si="8"/>
        <v>39</v>
      </c>
      <c r="B1057" s="401"/>
      <c r="C1057" s="371" t="s">
        <v>1931</v>
      </c>
      <c r="D1057" s="383" t="s">
        <v>1932</v>
      </c>
      <c r="E1057" s="414">
        <v>2</v>
      </c>
      <c r="F1057" s="451">
        <v>329</v>
      </c>
      <c r="G1057" s="372">
        <f t="shared" si="7"/>
        <v>658</v>
      </c>
      <c r="H1057" s="438"/>
      <c r="I1057" s="438"/>
      <c r="J1057" s="438"/>
      <c r="K1057" s="438">
        <f>SUM(G1051:G1057)</f>
        <v>3148.52</v>
      </c>
      <c r="L1057" s="438"/>
      <c r="M1057" s="243">
        <f>K1032+K1057</f>
        <v>13713.87</v>
      </c>
      <c r="N1057" s="438"/>
      <c r="O1057" s="430">
        <v>0.66800000000000004</v>
      </c>
      <c r="P1057" s="437">
        <v>270</v>
      </c>
      <c r="Q1057" s="544">
        <f t="shared" si="9"/>
        <v>180.36</v>
      </c>
    </row>
    <row r="1058" spans="1:17" s="430" customFormat="1" x14ac:dyDescent="0.2">
      <c r="A1058" s="364">
        <f t="shared" si="8"/>
        <v>40</v>
      </c>
      <c r="B1058" s="413"/>
      <c r="C1058" s="371" t="s">
        <v>1923</v>
      </c>
      <c r="D1058" s="376" t="s">
        <v>1974</v>
      </c>
      <c r="E1058" s="414">
        <v>7</v>
      </c>
      <c r="F1058" s="451">
        <v>140</v>
      </c>
      <c r="G1058" s="372">
        <f>F1058*E1058</f>
        <v>980</v>
      </c>
      <c r="H1058" s="438"/>
      <c r="I1058" s="438"/>
      <c r="J1058" s="438"/>
      <c r="K1058" s="438"/>
      <c r="L1058" s="438"/>
      <c r="M1058" s="438"/>
      <c r="N1058" s="438"/>
      <c r="O1058" s="430">
        <f>SUM(O1055:O1057)</f>
        <v>1.9260000000000002</v>
      </c>
      <c r="Q1058" s="544">
        <f>SUM(Q1055:Q1057)</f>
        <v>520.02</v>
      </c>
    </row>
    <row r="1059" spans="1:17" s="430" customFormat="1" x14ac:dyDescent="0.2">
      <c r="A1059" s="364">
        <f t="shared" si="8"/>
        <v>41</v>
      </c>
      <c r="B1059" s="413"/>
      <c r="C1059" s="371" t="s">
        <v>1923</v>
      </c>
      <c r="D1059" s="376" t="s">
        <v>193</v>
      </c>
      <c r="E1059" s="414">
        <v>6</v>
      </c>
      <c r="F1059" s="451">
        <v>140</v>
      </c>
      <c r="G1059" s="372">
        <f t="shared" si="7"/>
        <v>840</v>
      </c>
      <c r="H1059" s="438"/>
      <c r="I1059" s="438"/>
      <c r="J1059" s="438"/>
      <c r="K1059" s="438"/>
      <c r="L1059" s="438"/>
      <c r="M1059" s="438"/>
      <c r="N1059" s="438"/>
    </row>
    <row r="1060" spans="1:17" s="430" customFormat="1" x14ac:dyDescent="0.2">
      <c r="A1060" s="364">
        <f t="shared" si="8"/>
        <v>42</v>
      </c>
      <c r="B1060" s="416"/>
      <c r="C1060" s="371" t="s">
        <v>149</v>
      </c>
      <c r="D1060" s="376" t="s">
        <v>1975</v>
      </c>
      <c r="E1060" s="417">
        <v>6</v>
      </c>
      <c r="F1060" s="451">
        <v>25</v>
      </c>
      <c r="G1060" s="372">
        <f t="shared" si="7"/>
        <v>150</v>
      </c>
      <c r="H1060" s="438"/>
      <c r="I1060" s="438"/>
      <c r="J1060" s="438"/>
      <c r="K1060" s="438"/>
      <c r="L1060" s="438"/>
      <c r="M1060" s="438"/>
      <c r="N1060" s="438"/>
    </row>
    <row r="1061" spans="1:17" s="430" customFormat="1" x14ac:dyDescent="0.2">
      <c r="A1061" s="364">
        <f t="shared" si="8"/>
        <v>43</v>
      </c>
      <c r="B1061" s="416"/>
      <c r="C1061" s="371" t="s">
        <v>1923</v>
      </c>
      <c r="D1061" s="384" t="s">
        <v>1944</v>
      </c>
      <c r="E1061" s="417">
        <v>2</v>
      </c>
      <c r="F1061" s="451">
        <v>120</v>
      </c>
      <c r="G1061" s="372">
        <f t="shared" si="7"/>
        <v>240</v>
      </c>
      <c r="H1061" s="438"/>
      <c r="I1061" s="438"/>
      <c r="J1061" s="438"/>
      <c r="K1061" s="438"/>
      <c r="L1061" s="438"/>
      <c r="M1061" s="438"/>
      <c r="N1061" s="438"/>
    </row>
    <row r="1062" spans="1:17" s="430" customFormat="1" x14ac:dyDescent="0.2">
      <c r="A1062" s="364">
        <f t="shared" si="8"/>
        <v>44</v>
      </c>
      <c r="B1062" s="416"/>
      <c r="C1062" s="371" t="s">
        <v>1923</v>
      </c>
      <c r="D1062" s="384" t="s">
        <v>1942</v>
      </c>
      <c r="E1062" s="417">
        <v>6</v>
      </c>
      <c r="F1062" s="451">
        <v>90</v>
      </c>
      <c r="G1062" s="372">
        <f t="shared" si="7"/>
        <v>540</v>
      </c>
      <c r="H1062" s="438"/>
      <c r="I1062" s="438"/>
      <c r="J1062" s="438"/>
      <c r="K1062" s="438"/>
      <c r="L1062" s="438"/>
      <c r="M1062" s="438"/>
      <c r="N1062" s="438"/>
    </row>
    <row r="1063" spans="1:17" s="430" customFormat="1" x14ac:dyDescent="0.2">
      <c r="A1063" s="364">
        <f t="shared" si="8"/>
        <v>45</v>
      </c>
      <c r="B1063" s="401"/>
      <c r="C1063" s="371" t="s">
        <v>1923</v>
      </c>
      <c r="D1063" s="384" t="s">
        <v>1939</v>
      </c>
      <c r="E1063" s="407">
        <v>3</v>
      </c>
      <c r="F1063" s="451">
        <v>110</v>
      </c>
      <c r="G1063" s="372">
        <f t="shared" si="7"/>
        <v>330</v>
      </c>
      <c r="H1063" s="438"/>
      <c r="I1063" s="438"/>
      <c r="J1063" s="438"/>
      <c r="K1063" s="438"/>
      <c r="L1063" s="438"/>
      <c r="M1063" s="438"/>
      <c r="N1063" s="438"/>
    </row>
    <row r="1064" spans="1:17" s="430" customFormat="1" x14ac:dyDescent="0.2">
      <c r="A1064" s="364">
        <f t="shared" si="8"/>
        <v>46</v>
      </c>
      <c r="B1064" s="401"/>
      <c r="C1064" s="371" t="s">
        <v>1923</v>
      </c>
      <c r="D1064" s="383" t="s">
        <v>1945</v>
      </c>
      <c r="E1064" s="417">
        <v>6</v>
      </c>
      <c r="F1064" s="451">
        <v>110</v>
      </c>
      <c r="G1064" s="372">
        <f t="shared" si="7"/>
        <v>660</v>
      </c>
      <c r="H1064" s="438"/>
      <c r="I1064" s="438"/>
      <c r="J1064" s="438"/>
      <c r="K1064" s="438"/>
      <c r="L1064" s="438"/>
      <c r="M1064" s="438"/>
      <c r="N1064" s="438"/>
    </row>
    <row r="1065" spans="1:17" s="430" customFormat="1" x14ac:dyDescent="0.2">
      <c r="A1065" s="364">
        <f t="shared" si="8"/>
        <v>47</v>
      </c>
      <c r="B1065" s="408"/>
      <c r="C1065" s="371" t="s">
        <v>1923</v>
      </c>
      <c r="D1065" s="384" t="s">
        <v>1976</v>
      </c>
      <c r="E1065" s="414">
        <v>1</v>
      </c>
      <c r="F1065" s="550">
        <v>140</v>
      </c>
      <c r="G1065" s="372">
        <f t="shared" si="7"/>
        <v>140</v>
      </c>
      <c r="H1065" s="438"/>
      <c r="I1065" s="438"/>
      <c r="J1065" s="438"/>
      <c r="K1065" s="438"/>
      <c r="L1065" s="438"/>
      <c r="M1065" s="438"/>
      <c r="N1065" s="438"/>
    </row>
    <row r="1066" spans="1:17" s="430" customFormat="1" x14ac:dyDescent="0.2">
      <c r="A1066" s="364">
        <f t="shared" si="8"/>
        <v>48</v>
      </c>
      <c r="B1066" s="408"/>
      <c r="C1066" s="371" t="s">
        <v>1923</v>
      </c>
      <c r="D1066" s="419" t="s">
        <v>1977</v>
      </c>
      <c r="E1066" s="414">
        <v>5</v>
      </c>
      <c r="F1066" s="550">
        <v>140</v>
      </c>
      <c r="G1066" s="372">
        <f t="shared" si="7"/>
        <v>700</v>
      </c>
      <c r="H1066" s="438"/>
      <c r="I1066" s="438"/>
      <c r="J1066" s="438"/>
      <c r="K1066" s="438"/>
      <c r="L1066" s="438"/>
      <c r="M1066" s="438"/>
      <c r="N1066" s="438"/>
    </row>
    <row r="1067" spans="1:17" s="430" customFormat="1" x14ac:dyDescent="0.2">
      <c r="A1067" s="364">
        <f t="shared" si="8"/>
        <v>49</v>
      </c>
      <c r="B1067" s="408"/>
      <c r="C1067" s="371" t="s">
        <v>1923</v>
      </c>
      <c r="D1067" s="384" t="s">
        <v>1941</v>
      </c>
      <c r="E1067" s="414">
        <v>2</v>
      </c>
      <c r="F1067" s="550">
        <v>100</v>
      </c>
      <c r="G1067" s="372">
        <f t="shared" si="7"/>
        <v>200</v>
      </c>
      <c r="H1067" s="438"/>
      <c r="I1067" s="438"/>
      <c r="J1067" s="438"/>
      <c r="K1067" s="438"/>
      <c r="L1067" s="438"/>
      <c r="M1067" s="438"/>
      <c r="N1067" s="438"/>
    </row>
    <row r="1068" spans="1:17" s="430" customFormat="1" x14ac:dyDescent="0.2">
      <c r="A1068" s="364">
        <f t="shared" si="8"/>
        <v>50</v>
      </c>
      <c r="B1068" s="401"/>
      <c r="C1068" s="371" t="s">
        <v>1923</v>
      </c>
      <c r="D1068" s="384" t="s">
        <v>1943</v>
      </c>
      <c r="E1068" s="414">
        <v>3</v>
      </c>
      <c r="F1068" s="550">
        <v>140</v>
      </c>
      <c r="G1068" s="372">
        <f t="shared" si="7"/>
        <v>420</v>
      </c>
      <c r="H1068" s="438"/>
      <c r="I1068" s="438"/>
      <c r="J1068" s="438"/>
      <c r="K1068" s="438"/>
      <c r="L1068" s="438"/>
      <c r="M1068" s="438"/>
      <c r="N1068" s="438"/>
    </row>
    <row r="1069" spans="1:17" s="430" customFormat="1" x14ac:dyDescent="0.2">
      <c r="A1069" s="364">
        <f t="shared" si="8"/>
        <v>51</v>
      </c>
      <c r="B1069" s="401"/>
      <c r="C1069" s="371" t="s">
        <v>1923</v>
      </c>
      <c r="D1069" s="376" t="s">
        <v>1940</v>
      </c>
      <c r="E1069" s="414">
        <v>5</v>
      </c>
      <c r="F1069" s="550">
        <v>120</v>
      </c>
      <c r="G1069" s="372">
        <f t="shared" si="7"/>
        <v>600</v>
      </c>
      <c r="H1069" s="438"/>
      <c r="I1069" s="438"/>
      <c r="J1069" s="438"/>
      <c r="K1069" s="438"/>
      <c r="L1069" s="438"/>
      <c r="M1069" s="438"/>
      <c r="N1069" s="438"/>
    </row>
    <row r="1070" spans="1:17" s="430" customFormat="1" x14ac:dyDescent="0.2">
      <c r="A1070" s="364">
        <f t="shared" si="8"/>
        <v>52</v>
      </c>
      <c r="B1070" s="401"/>
      <c r="C1070" s="371" t="s">
        <v>1923</v>
      </c>
      <c r="D1070" s="376" t="s">
        <v>1978</v>
      </c>
      <c r="E1070" s="414">
        <v>4.9457000000000004</v>
      </c>
      <c r="F1070" s="550">
        <v>65</v>
      </c>
      <c r="G1070" s="372">
        <f t="shared" si="7"/>
        <v>321.47050000000002</v>
      </c>
      <c r="H1070" s="438"/>
      <c r="I1070" s="438"/>
      <c r="J1070" s="438"/>
      <c r="K1070" s="438"/>
      <c r="L1070" s="438"/>
      <c r="M1070" s="438"/>
      <c r="N1070" s="438"/>
    </row>
    <row r="1071" spans="1:17" s="430" customFormat="1" x14ac:dyDescent="0.2">
      <c r="A1071" s="364"/>
      <c r="B1071" s="401"/>
      <c r="C1071" s="371"/>
      <c r="D1071" s="376"/>
      <c r="E1071" s="414"/>
      <c r="F1071" s="550"/>
      <c r="G1071" s="372"/>
      <c r="H1071" s="438"/>
      <c r="I1071" s="438"/>
      <c r="J1071" s="438"/>
      <c r="K1071" s="438"/>
      <c r="L1071" s="438"/>
      <c r="M1071" s="438"/>
      <c r="N1071" s="438"/>
    </row>
    <row r="1072" spans="1:17" s="430" customFormat="1" x14ac:dyDescent="0.2">
      <c r="A1072" s="364"/>
      <c r="B1072" s="401"/>
      <c r="C1072" s="371"/>
      <c r="D1072" s="384"/>
      <c r="E1072" s="414"/>
      <c r="F1072" s="550"/>
      <c r="G1072" s="372"/>
      <c r="H1072" s="438"/>
      <c r="I1072" s="438"/>
      <c r="J1072" s="438"/>
      <c r="K1072" s="438"/>
      <c r="L1072" s="438"/>
      <c r="M1072" s="438"/>
      <c r="N1072" s="438"/>
    </row>
    <row r="1073" spans="1:14" s="430" customFormat="1" x14ac:dyDescent="0.2">
      <c r="A1073" s="364"/>
      <c r="B1073" s="401"/>
      <c r="C1073" s="371"/>
      <c r="D1073" s="384"/>
      <c r="E1073" s="414"/>
      <c r="F1073" s="550"/>
      <c r="G1073" s="372"/>
      <c r="H1073" s="438"/>
      <c r="I1073" s="438"/>
      <c r="J1073" s="438"/>
      <c r="K1073" s="438"/>
      <c r="L1073" s="438"/>
      <c r="M1073" s="438"/>
      <c r="N1073" s="438"/>
    </row>
    <row r="1074" spans="1:14" s="430" customFormat="1" x14ac:dyDescent="0.2">
      <c r="A1074" s="364"/>
      <c r="B1074" s="401"/>
      <c r="C1074" s="371"/>
      <c r="D1074" s="384"/>
      <c r="E1074" s="414"/>
      <c r="F1074" s="550"/>
      <c r="G1074" s="372"/>
      <c r="H1074" s="438"/>
      <c r="I1074" s="438"/>
      <c r="J1074" s="438"/>
      <c r="K1074" s="438"/>
      <c r="L1074" s="438"/>
      <c r="M1074" s="438"/>
      <c r="N1074" s="438"/>
    </row>
    <row r="1075" spans="1:14" s="430" customFormat="1" x14ac:dyDescent="0.2">
      <c r="A1075" s="364"/>
      <c r="B1075" s="401"/>
      <c r="C1075" s="371"/>
      <c r="D1075" s="384"/>
      <c r="E1075" s="414"/>
      <c r="F1075" s="550"/>
      <c r="G1075" s="372"/>
      <c r="H1075" s="438"/>
      <c r="I1075" s="438"/>
      <c r="J1075" s="438"/>
      <c r="K1075" s="438"/>
      <c r="L1075" s="438"/>
      <c r="M1075" s="438"/>
      <c r="N1075" s="438"/>
    </row>
    <row r="1076" spans="1:14" s="430" customFormat="1" x14ac:dyDescent="0.2">
      <c r="A1076" s="364"/>
      <c r="B1076" s="401"/>
      <c r="C1076" s="371"/>
      <c r="D1076" s="384"/>
      <c r="E1076" s="414"/>
      <c r="F1076" s="550"/>
      <c r="G1076" s="372"/>
      <c r="H1076" s="438"/>
      <c r="I1076" s="438"/>
      <c r="J1076" s="438"/>
      <c r="K1076" s="438"/>
      <c r="L1076" s="438"/>
      <c r="M1076" s="438"/>
      <c r="N1076" s="438"/>
    </row>
    <row r="1077" spans="1:14" s="430" customFormat="1" x14ac:dyDescent="0.2">
      <c r="A1077" s="364"/>
      <c r="B1077" s="401"/>
      <c r="C1077" s="371"/>
      <c r="D1077" s="376"/>
      <c r="E1077" s="407"/>
      <c r="F1077" s="451"/>
      <c r="G1077" s="372"/>
      <c r="H1077" s="438"/>
      <c r="I1077" s="438"/>
      <c r="J1077" s="438"/>
      <c r="K1077" s="438"/>
      <c r="L1077" s="438"/>
      <c r="M1077" s="438"/>
      <c r="N1077" s="438"/>
    </row>
    <row r="1078" spans="1:14" s="430" customFormat="1" x14ac:dyDescent="0.2">
      <c r="A1078" s="364"/>
      <c r="B1078" s="401"/>
      <c r="C1078" s="371"/>
      <c r="D1078" s="376"/>
      <c r="E1078" s="417"/>
      <c r="F1078" s="451"/>
      <c r="G1078" s="372"/>
      <c r="H1078" s="438"/>
      <c r="I1078" s="438"/>
      <c r="J1078" s="438"/>
      <c r="K1078" s="438"/>
      <c r="L1078" s="438"/>
      <c r="M1078" s="438"/>
      <c r="N1078" s="438"/>
    </row>
    <row r="1079" spans="1:14" s="430" customFormat="1" x14ac:dyDescent="0.2">
      <c r="A1079" s="364"/>
      <c r="B1079" s="401"/>
      <c r="C1079" s="371"/>
      <c r="D1079" s="383"/>
      <c r="E1079" s="409"/>
      <c r="F1079" s="451"/>
      <c r="G1079" s="372"/>
      <c r="H1079" s="438"/>
      <c r="I1079" s="438"/>
      <c r="J1079" s="438"/>
      <c r="K1079" s="438"/>
      <c r="L1079" s="438"/>
      <c r="M1079" s="438"/>
      <c r="N1079" s="438"/>
    </row>
    <row r="1080" spans="1:14" s="430" customFormat="1" x14ac:dyDescent="0.2">
      <c r="A1080" s="364"/>
      <c r="B1080" s="401"/>
      <c r="C1080" s="371"/>
      <c r="D1080" s="419"/>
      <c r="E1080" s="409"/>
      <c r="F1080" s="451"/>
      <c r="G1080" s="372"/>
      <c r="H1080" s="438"/>
      <c r="I1080" s="438"/>
      <c r="J1080" s="438"/>
      <c r="K1080" s="438"/>
      <c r="L1080" s="438"/>
      <c r="M1080" s="438"/>
      <c r="N1080" s="438"/>
    </row>
    <row r="1081" spans="1:14" s="430" customFormat="1" x14ac:dyDescent="0.2">
      <c r="A1081" s="364"/>
      <c r="B1081" s="401"/>
      <c r="C1081" s="422"/>
      <c r="D1081" s="419"/>
      <c r="E1081" s="423"/>
      <c r="F1081" s="551"/>
      <c r="G1081" s="372"/>
      <c r="H1081" s="438"/>
      <c r="I1081" s="438"/>
      <c r="J1081" s="438"/>
      <c r="K1081" s="438"/>
      <c r="L1081" s="438"/>
      <c r="M1081" s="438"/>
      <c r="N1081" s="438"/>
    </row>
    <row r="1082" spans="1:14" s="430" customFormat="1" x14ac:dyDescent="0.2">
      <c r="A1082" s="364"/>
      <c r="B1082" s="401"/>
      <c r="C1082" s="371"/>
      <c r="D1082" s="425"/>
      <c r="E1082" s="407"/>
      <c r="F1082" s="552"/>
      <c r="G1082" s="372"/>
      <c r="H1082" s="438"/>
      <c r="I1082" s="438"/>
      <c r="J1082" s="438"/>
      <c r="K1082" s="438"/>
      <c r="L1082" s="438"/>
      <c r="M1082" s="438"/>
      <c r="N1082" s="438"/>
    </row>
    <row r="1083" spans="1:14" s="430" customFormat="1" x14ac:dyDescent="0.2">
      <c r="A1083" s="555"/>
      <c r="B1083" s="401"/>
      <c r="C1083" s="371"/>
      <c r="D1083" s="383"/>
      <c r="E1083" s="407"/>
      <c r="F1083" s="406"/>
      <c r="G1083" s="556" t="s">
        <v>8</v>
      </c>
      <c r="H1083" s="542"/>
      <c r="I1083" s="542"/>
      <c r="J1083" s="542"/>
      <c r="K1083" s="542"/>
      <c r="L1083" s="542"/>
      <c r="M1083" s="542"/>
      <c r="N1083" s="542"/>
    </row>
    <row r="1084" spans="1:14" s="430" customFormat="1" ht="13.5" thickBot="1" x14ac:dyDescent="0.25">
      <c r="A1084" s="553"/>
      <c r="B1084" s="427"/>
      <c r="C1084" s="428"/>
      <c r="D1084" s="428"/>
      <c r="E1084" s="427"/>
      <c r="F1084" s="49" t="s">
        <v>15</v>
      </c>
      <c r="G1084" s="210">
        <f>SUM(G1050:G1083)</f>
        <v>25000.000499999998</v>
      </c>
      <c r="H1084" s="243"/>
      <c r="I1084" s="243"/>
      <c r="J1084" s="243"/>
      <c r="K1084" s="243"/>
      <c r="L1084" s="243"/>
      <c r="M1084" s="243"/>
      <c r="N1084" s="243"/>
    </row>
    <row r="1085" spans="1:14" s="430" customFormat="1" ht="13.5" thickTop="1" x14ac:dyDescent="0.2">
      <c r="A1085" s="875" t="s">
        <v>1980</v>
      </c>
      <c r="B1085" s="876"/>
      <c r="C1085" s="876"/>
      <c r="D1085" s="876"/>
      <c r="E1085" s="876"/>
      <c r="F1085" s="876"/>
      <c r="G1085" s="877"/>
      <c r="H1085" s="377"/>
      <c r="I1085" s="377"/>
      <c r="J1085" s="377"/>
      <c r="K1085" s="377"/>
      <c r="L1085" s="377"/>
      <c r="M1085" s="377"/>
      <c r="N1085" s="377"/>
    </row>
    <row r="1086" spans="1:14" s="430" customFormat="1" ht="13.5" thickBot="1" x14ac:dyDescent="0.25">
      <c r="A1086" s="378"/>
      <c r="B1086" s="374"/>
      <c r="C1086" s="374"/>
      <c r="D1086" s="379"/>
      <c r="E1086" s="374"/>
      <c r="F1086" s="380"/>
      <c r="G1086" s="381"/>
    </row>
    <row r="1087" spans="1:14" s="430" customFormat="1" ht="13.5" thickTop="1" x14ac:dyDescent="0.2">
      <c r="A1087" s="878"/>
      <c r="B1087" s="879"/>
      <c r="C1087" s="879"/>
      <c r="D1087" s="433" t="s">
        <v>11</v>
      </c>
      <c r="E1087" s="880" t="s">
        <v>12</v>
      </c>
      <c r="F1087" s="880"/>
      <c r="G1087" s="881"/>
      <c r="H1087" s="386"/>
      <c r="I1087" s="386"/>
      <c r="J1087" s="386"/>
      <c r="K1087" s="386"/>
      <c r="L1087" s="386"/>
      <c r="M1087" s="386"/>
      <c r="N1087" s="386"/>
    </row>
    <row r="1088" spans="1:14" s="430" customFormat="1" x14ac:dyDescent="0.2">
      <c r="A1088" s="866" t="s">
        <v>17</v>
      </c>
      <c r="B1088" s="867"/>
      <c r="C1088" s="867"/>
      <c r="D1088" s="434"/>
      <c r="E1088" s="882"/>
      <c r="F1088" s="883"/>
      <c r="G1088" s="884"/>
      <c r="H1088" s="429"/>
      <c r="I1088" s="429"/>
      <c r="J1088" s="429"/>
      <c r="K1088" s="429"/>
      <c r="L1088" s="429"/>
      <c r="M1088" s="429"/>
      <c r="N1088" s="429"/>
    </row>
    <row r="1089" spans="1:18" s="430" customFormat="1" x14ac:dyDescent="0.2">
      <c r="A1089" s="866" t="s">
        <v>38</v>
      </c>
      <c r="B1089" s="867"/>
      <c r="C1089" s="867"/>
      <c r="D1089" s="73" t="s">
        <v>891</v>
      </c>
      <c r="E1089" s="868" t="s">
        <v>142</v>
      </c>
      <c r="F1089" s="868"/>
      <c r="G1089" s="869"/>
      <c r="H1089" s="1"/>
      <c r="I1089" s="1"/>
      <c r="J1089" s="1"/>
      <c r="K1089" s="1"/>
      <c r="L1089" s="1"/>
      <c r="M1089" s="1"/>
      <c r="N1089" s="1"/>
    </row>
    <row r="1090" spans="1:18" s="430" customFormat="1" ht="13.5" thickBot="1" x14ac:dyDescent="0.25">
      <c r="A1090" s="870" t="s">
        <v>39</v>
      </c>
      <c r="B1090" s="871"/>
      <c r="C1090" s="871"/>
      <c r="D1090" s="554" t="s">
        <v>892</v>
      </c>
      <c r="E1090" s="873" t="s">
        <v>0</v>
      </c>
      <c r="F1090" s="873"/>
      <c r="G1090" s="874"/>
      <c r="H1090" s="386"/>
      <c r="I1090" s="386"/>
      <c r="J1090" s="386"/>
      <c r="K1090" s="386"/>
      <c r="L1090" s="386"/>
      <c r="M1090" s="386"/>
      <c r="N1090" s="386"/>
    </row>
    <row r="1091" spans="1:18" s="430" customFormat="1" ht="16.5" x14ac:dyDescent="0.25">
      <c r="A1091" s="885" t="s">
        <v>29</v>
      </c>
      <c r="B1091" s="886"/>
      <c r="C1091" s="886"/>
      <c r="D1091" s="886"/>
      <c r="E1091" s="886"/>
      <c r="F1091" s="886"/>
      <c r="G1091" s="887"/>
      <c r="H1091" s="247"/>
      <c r="I1091" s="247"/>
      <c r="J1091" s="247"/>
      <c r="K1091" s="247"/>
      <c r="L1091" s="247"/>
      <c r="M1091" s="247"/>
      <c r="N1091" s="247"/>
    </row>
    <row r="1092" spans="1:18" s="430" customFormat="1" x14ac:dyDescent="0.2">
      <c r="A1092" s="888" t="s">
        <v>48</v>
      </c>
      <c r="B1092" s="889"/>
      <c r="C1092" s="889"/>
      <c r="D1092" s="889"/>
      <c r="E1092" s="889"/>
      <c r="F1092" s="889"/>
      <c r="G1092" s="890"/>
      <c r="H1092" s="246"/>
      <c r="I1092" s="246"/>
      <c r="J1092" s="246"/>
      <c r="K1092" s="246"/>
      <c r="L1092" s="246"/>
      <c r="M1092" s="246"/>
      <c r="N1092" s="246"/>
    </row>
    <row r="1093" spans="1:18" s="430" customFormat="1" x14ac:dyDescent="0.2">
      <c r="A1093" s="891" t="s">
        <v>49</v>
      </c>
      <c r="B1093" s="892"/>
      <c r="C1093" s="892"/>
      <c r="D1093" s="892"/>
      <c r="E1093" s="892"/>
      <c r="F1093" s="892"/>
      <c r="G1093" s="893"/>
      <c r="H1093" s="386"/>
      <c r="I1093" s="386"/>
      <c r="J1093" s="386"/>
      <c r="K1093" s="386"/>
      <c r="L1093" s="386"/>
      <c r="M1093" s="386"/>
      <c r="N1093" s="386"/>
    </row>
    <row r="1094" spans="1:18" s="430" customFormat="1" x14ac:dyDescent="0.2">
      <c r="A1094" s="387"/>
      <c r="B1094" s="388"/>
      <c r="C1094" s="389"/>
      <c r="D1094" s="390"/>
      <c r="E1094" s="388"/>
      <c r="F1094" s="391"/>
      <c r="G1094" s="392" t="s">
        <v>334</v>
      </c>
      <c r="H1094" s="548"/>
      <c r="I1094" s="548"/>
      <c r="J1094" s="548"/>
      <c r="K1094" s="548"/>
      <c r="L1094" s="548"/>
      <c r="M1094" s="548"/>
      <c r="N1094" s="548"/>
    </row>
    <row r="1095" spans="1:18" s="430" customFormat="1" x14ac:dyDescent="0.2">
      <c r="A1095" s="393" t="s">
        <v>1</v>
      </c>
      <c r="B1095" s="394"/>
      <c r="C1095" s="14" t="s">
        <v>36</v>
      </c>
      <c r="D1095" s="394"/>
      <c r="E1095" s="362" t="s">
        <v>2150</v>
      </c>
      <c r="F1095" s="395"/>
      <c r="G1095" s="363" t="s">
        <v>2103</v>
      </c>
    </row>
    <row r="1096" spans="1:18" s="430" customFormat="1" x14ac:dyDescent="0.2">
      <c r="A1096" s="361" t="s">
        <v>8</v>
      </c>
      <c r="B1096" s="396"/>
      <c r="C1096" s="19"/>
      <c r="D1096" s="386"/>
      <c r="E1096" s="894"/>
      <c r="F1096" s="895"/>
      <c r="G1096" s="397"/>
    </row>
    <row r="1097" spans="1:18" s="430" customFormat="1" x14ac:dyDescent="0.2">
      <c r="A1097" s="373" t="s">
        <v>37</v>
      </c>
      <c r="B1097" s="377"/>
      <c r="C1097" s="377"/>
      <c r="D1097" s="377"/>
      <c r="E1097" s="398" t="s">
        <v>46</v>
      </c>
      <c r="F1097" s="399"/>
      <c r="G1097" s="397" t="s">
        <v>50</v>
      </c>
    </row>
    <row r="1098" spans="1:18" s="430" customFormat="1" x14ac:dyDescent="0.2">
      <c r="A1098" s="387"/>
      <c r="B1098" s="388"/>
      <c r="C1098" s="389"/>
      <c r="D1098" s="389"/>
      <c r="E1098" s="896"/>
      <c r="F1098" s="897"/>
      <c r="G1098" s="400"/>
    </row>
    <row r="1099" spans="1:18" s="430" customFormat="1" ht="26.25" thickBot="1" x14ac:dyDescent="0.25">
      <c r="A1099" s="207" t="s">
        <v>47</v>
      </c>
      <c r="B1099" s="28" t="s">
        <v>23</v>
      </c>
      <c r="C1099" s="28" t="s">
        <v>34</v>
      </c>
      <c r="D1099" s="110" t="s">
        <v>53</v>
      </c>
      <c r="E1099" s="114" t="s">
        <v>54</v>
      </c>
      <c r="F1099" s="111" t="s">
        <v>55</v>
      </c>
      <c r="G1099" s="112" t="s">
        <v>35</v>
      </c>
      <c r="H1099" s="249"/>
      <c r="I1099" s="249"/>
      <c r="J1099" s="249"/>
      <c r="K1099" s="249"/>
      <c r="L1099" s="249"/>
      <c r="M1099" s="249"/>
      <c r="N1099" s="249"/>
    </row>
    <row r="1100" spans="1:18" s="430" customFormat="1" ht="13.5" thickTop="1" x14ac:dyDescent="0.2">
      <c r="A1100" s="364">
        <v>1</v>
      </c>
      <c r="B1100" s="408"/>
      <c r="C1100" s="371" t="s">
        <v>1923</v>
      </c>
      <c r="D1100" s="376" t="s">
        <v>2107</v>
      </c>
      <c r="E1100" s="409">
        <v>1.085</v>
      </c>
      <c r="F1100" s="451">
        <v>194</v>
      </c>
      <c r="G1100" s="372">
        <f>F1100*E1100</f>
        <v>210.48999999999998</v>
      </c>
      <c r="H1100" s="438"/>
      <c r="I1100" s="438"/>
      <c r="J1100" s="438"/>
      <c r="K1100" s="438"/>
      <c r="L1100" s="438"/>
      <c r="M1100" s="438"/>
      <c r="N1100" s="438"/>
      <c r="Q1100" s="437">
        <v>210.49</v>
      </c>
      <c r="R1100" s="544"/>
    </row>
    <row r="1101" spans="1:18" s="430" customFormat="1" x14ac:dyDescent="0.2">
      <c r="A1101" s="364">
        <f>A1100+1</f>
        <v>2</v>
      </c>
      <c r="B1101" s="408"/>
      <c r="C1101" s="371" t="s">
        <v>1923</v>
      </c>
      <c r="D1101" s="376" t="s">
        <v>1927</v>
      </c>
      <c r="E1101" s="409">
        <v>3.3250000000000002</v>
      </c>
      <c r="F1101" s="451">
        <v>194</v>
      </c>
      <c r="G1101" s="372">
        <f t="shared" ref="G1101:G1131" si="10">F1101*E1101</f>
        <v>645.05000000000007</v>
      </c>
      <c r="H1101" s="438"/>
      <c r="I1101" s="438"/>
      <c r="J1101" s="438"/>
      <c r="K1101" s="438"/>
      <c r="L1101" s="438"/>
      <c r="M1101" s="438"/>
      <c r="N1101" s="430">
        <v>1.1399999999999999</v>
      </c>
      <c r="O1101" s="437">
        <v>194</v>
      </c>
      <c r="P1101" s="544">
        <f>O1101*N1101</f>
        <v>221.15999999999997</v>
      </c>
      <c r="Q1101" s="437"/>
      <c r="R1101" s="544"/>
    </row>
    <row r="1102" spans="1:18" s="430" customFormat="1" x14ac:dyDescent="0.2">
      <c r="A1102" s="364">
        <f t="shared" ref="A1102:A1131" si="11">A1101+1</f>
        <v>3</v>
      </c>
      <c r="B1102" s="408"/>
      <c r="C1102" s="371" t="s">
        <v>1923</v>
      </c>
      <c r="D1102" s="376" t="s">
        <v>2108</v>
      </c>
      <c r="E1102" s="407">
        <v>6.125</v>
      </c>
      <c r="F1102" s="549">
        <v>194</v>
      </c>
      <c r="G1102" s="372">
        <f t="shared" si="10"/>
        <v>1188.25</v>
      </c>
      <c r="H1102" s="438"/>
      <c r="I1102" s="438"/>
      <c r="J1102" s="438"/>
      <c r="K1102" s="438"/>
      <c r="L1102" s="438"/>
      <c r="M1102" s="438"/>
      <c r="N1102" s="430">
        <v>1.1499999999999999</v>
      </c>
      <c r="O1102" s="437">
        <v>194</v>
      </c>
      <c r="P1102" s="544">
        <f t="shared" ref="P1102:P1103" si="12">O1102*N1102</f>
        <v>223.1</v>
      </c>
      <c r="Q1102" s="437"/>
      <c r="R1102" s="544"/>
    </row>
    <row r="1103" spans="1:18" s="430" customFormat="1" x14ac:dyDescent="0.2">
      <c r="A1103" s="364">
        <f t="shared" si="11"/>
        <v>4</v>
      </c>
      <c r="B1103" s="408"/>
      <c r="C1103" s="371" t="s">
        <v>1923</v>
      </c>
      <c r="D1103" s="376" t="s">
        <v>1925</v>
      </c>
      <c r="E1103" s="409">
        <v>2.02</v>
      </c>
      <c r="F1103" s="451">
        <v>184</v>
      </c>
      <c r="G1103" s="372">
        <f t="shared" si="10"/>
        <v>371.68</v>
      </c>
      <c r="H1103" s="438"/>
      <c r="I1103" s="438"/>
      <c r="J1103" s="438"/>
      <c r="K1103" s="438">
        <f>G1103</f>
        <v>371.68</v>
      </c>
      <c r="L1103" s="438"/>
      <c r="M1103" s="438"/>
      <c r="N1103" s="430">
        <v>1.0349999999999999</v>
      </c>
      <c r="O1103" s="437">
        <v>194</v>
      </c>
      <c r="P1103" s="544">
        <f t="shared" si="12"/>
        <v>200.79</v>
      </c>
      <c r="Q1103" s="437"/>
      <c r="R1103" s="544"/>
    </row>
    <row r="1104" spans="1:18" s="430" customFormat="1" x14ac:dyDescent="0.2">
      <c r="A1104" s="364">
        <f t="shared" si="11"/>
        <v>5</v>
      </c>
      <c r="B1104" s="408"/>
      <c r="C1104" s="371" t="s">
        <v>1923</v>
      </c>
      <c r="D1104" s="376" t="s">
        <v>1926</v>
      </c>
      <c r="E1104" s="409">
        <v>2.0099999999999998</v>
      </c>
      <c r="F1104" s="451">
        <v>124</v>
      </c>
      <c r="G1104" s="372">
        <f t="shared" si="10"/>
        <v>249.23999999999998</v>
      </c>
      <c r="H1104" s="438"/>
      <c r="I1104" s="438"/>
      <c r="J1104" s="438"/>
      <c r="K1104" s="438">
        <f>G1104</f>
        <v>249.23999999999998</v>
      </c>
      <c r="L1104" s="438"/>
      <c r="M1104" s="438"/>
      <c r="N1104" s="438"/>
      <c r="Q1104" s="437"/>
    </row>
    <row r="1105" spans="1:18" s="430" customFormat="1" x14ac:dyDescent="0.2">
      <c r="A1105" s="364">
        <f t="shared" si="11"/>
        <v>6</v>
      </c>
      <c r="B1105" s="408"/>
      <c r="C1105" s="371" t="s">
        <v>1923</v>
      </c>
      <c r="D1105" s="383" t="s">
        <v>240</v>
      </c>
      <c r="E1105" s="409">
        <v>3.55</v>
      </c>
      <c r="F1105" s="451">
        <v>297</v>
      </c>
      <c r="G1105" s="372">
        <f t="shared" si="10"/>
        <v>1054.3499999999999</v>
      </c>
      <c r="H1105" s="438"/>
      <c r="I1105" s="438"/>
      <c r="J1105" s="438"/>
      <c r="K1105" s="438"/>
      <c r="L1105" s="438"/>
      <c r="M1105" s="438"/>
      <c r="N1105" s="430">
        <f>SUM(N1101:N1104)</f>
        <v>3.3250000000000002</v>
      </c>
      <c r="P1105" s="544"/>
      <c r="Q1105" s="437">
        <f>P1101+P1102+P1103</f>
        <v>645.04999999999995</v>
      </c>
    </row>
    <row r="1106" spans="1:18" s="430" customFormat="1" x14ac:dyDescent="0.2">
      <c r="A1106" s="364">
        <f t="shared" si="11"/>
        <v>7</v>
      </c>
      <c r="B1106" s="410"/>
      <c r="C1106" s="385" t="s">
        <v>1923</v>
      </c>
      <c r="D1106" s="383" t="s">
        <v>1924</v>
      </c>
      <c r="E1106" s="407">
        <v>4</v>
      </c>
      <c r="F1106" s="549">
        <v>254</v>
      </c>
      <c r="G1106" s="372">
        <f t="shared" si="10"/>
        <v>1016</v>
      </c>
      <c r="H1106" s="243">
        <f>SUM(G1100:G1106)</f>
        <v>4735.0599999999995</v>
      </c>
      <c r="I1106" s="243"/>
      <c r="J1106" s="243"/>
      <c r="K1106" s="438"/>
      <c r="L1106" s="438"/>
      <c r="M1106" s="438"/>
      <c r="N1106" s="438"/>
      <c r="Q1106" s="437"/>
      <c r="R1106" s="544"/>
    </row>
    <row r="1107" spans="1:18" s="430" customFormat="1" x14ac:dyDescent="0.2">
      <c r="A1107" s="364">
        <f t="shared" si="11"/>
        <v>8</v>
      </c>
      <c r="B1107" s="401"/>
      <c r="C1107" s="371" t="s">
        <v>149</v>
      </c>
      <c r="D1107" s="383" t="s">
        <v>2127</v>
      </c>
      <c r="E1107" s="414">
        <v>5</v>
      </c>
      <c r="F1107" s="451">
        <v>127</v>
      </c>
      <c r="G1107" s="372">
        <f t="shared" si="10"/>
        <v>635</v>
      </c>
      <c r="H1107" s="438"/>
      <c r="I1107" s="438"/>
      <c r="J1107" s="438"/>
      <c r="K1107" s="438"/>
      <c r="L1107" s="438"/>
      <c r="M1107" s="438"/>
      <c r="N1107" s="430">
        <v>1.05</v>
      </c>
      <c r="O1107" s="437">
        <v>194</v>
      </c>
      <c r="P1107" s="544">
        <f>O1107*N1107</f>
        <v>203.70000000000002</v>
      </c>
      <c r="Q1107" s="437"/>
      <c r="R1107" s="544"/>
    </row>
    <row r="1108" spans="1:18" s="430" customFormat="1" x14ac:dyDescent="0.2">
      <c r="A1108" s="364">
        <f t="shared" si="11"/>
        <v>9</v>
      </c>
      <c r="B1108" s="413"/>
      <c r="C1108" s="371" t="s">
        <v>149</v>
      </c>
      <c r="D1108" s="376" t="s">
        <v>1933</v>
      </c>
      <c r="E1108" s="414">
        <v>6</v>
      </c>
      <c r="F1108" s="451">
        <v>69.25</v>
      </c>
      <c r="G1108" s="372">
        <f t="shared" si="10"/>
        <v>415.5</v>
      </c>
      <c r="H1108" s="438"/>
      <c r="I1108" s="438"/>
      <c r="J1108" s="438"/>
      <c r="K1108" s="438"/>
      <c r="L1108" s="438"/>
      <c r="M1108" s="438"/>
      <c r="N1108" s="430">
        <v>1.0149999999999999</v>
      </c>
      <c r="O1108" s="437">
        <v>194</v>
      </c>
      <c r="P1108" s="544">
        <f t="shared" ref="P1108:P1112" si="13">O1108*N1108</f>
        <v>196.90999999999997</v>
      </c>
      <c r="Q1108" s="437"/>
      <c r="R1108" s="544"/>
    </row>
    <row r="1109" spans="1:18" s="430" customFormat="1" x14ac:dyDescent="0.2">
      <c r="A1109" s="364">
        <f t="shared" si="11"/>
        <v>10</v>
      </c>
      <c r="B1109" s="413"/>
      <c r="C1109" s="371" t="s">
        <v>1930</v>
      </c>
      <c r="D1109" s="384" t="s">
        <v>1955</v>
      </c>
      <c r="E1109" s="414">
        <v>6</v>
      </c>
      <c r="F1109" s="451">
        <v>40.799999999999997</v>
      </c>
      <c r="G1109" s="372">
        <f t="shared" si="10"/>
        <v>244.79999999999998</v>
      </c>
      <c r="H1109" s="438"/>
      <c r="I1109" s="438"/>
      <c r="J1109" s="438"/>
      <c r="K1109" s="438"/>
      <c r="L1109" s="438"/>
      <c r="M1109" s="438"/>
      <c r="N1109" s="430">
        <v>0.93500000000000005</v>
      </c>
      <c r="O1109" s="437">
        <v>194</v>
      </c>
      <c r="P1109" s="544">
        <f t="shared" si="13"/>
        <v>181.39000000000001</v>
      </c>
      <c r="Q1109" s="437"/>
      <c r="R1109" s="544"/>
    </row>
    <row r="1110" spans="1:18" s="430" customFormat="1" x14ac:dyDescent="0.2">
      <c r="A1110" s="364">
        <f t="shared" si="11"/>
        <v>11</v>
      </c>
      <c r="B1110" s="416"/>
      <c r="C1110" s="371" t="s">
        <v>149</v>
      </c>
      <c r="D1110" s="376" t="s">
        <v>2109</v>
      </c>
      <c r="E1110" s="417">
        <v>5</v>
      </c>
      <c r="F1110" s="451">
        <v>75</v>
      </c>
      <c r="G1110" s="372">
        <f t="shared" si="10"/>
        <v>375</v>
      </c>
      <c r="H1110" s="438"/>
      <c r="I1110" s="438"/>
      <c r="J1110" s="438"/>
      <c r="K1110" s="438"/>
      <c r="L1110" s="438"/>
      <c r="M1110" s="438"/>
      <c r="N1110" s="430">
        <v>1.0649999999999999</v>
      </c>
      <c r="O1110" s="437">
        <v>194</v>
      </c>
      <c r="P1110" s="544">
        <f t="shared" si="13"/>
        <v>206.60999999999999</v>
      </c>
      <c r="Q1110" s="437"/>
      <c r="R1110" s="544"/>
    </row>
    <row r="1111" spans="1:18" s="430" customFormat="1" x14ac:dyDescent="0.2">
      <c r="A1111" s="364">
        <f t="shared" si="11"/>
        <v>12</v>
      </c>
      <c r="B1111" s="416"/>
      <c r="C1111" s="371" t="s">
        <v>149</v>
      </c>
      <c r="D1111" s="384" t="s">
        <v>2110</v>
      </c>
      <c r="E1111" s="417">
        <v>5</v>
      </c>
      <c r="F1111" s="451">
        <v>83</v>
      </c>
      <c r="G1111" s="372">
        <f t="shared" si="10"/>
        <v>415</v>
      </c>
      <c r="H1111" s="438"/>
      <c r="I1111" s="438"/>
      <c r="J1111" s="438"/>
      <c r="K1111" s="438"/>
      <c r="L1111" s="438"/>
      <c r="M1111" s="438"/>
      <c r="N1111" s="430">
        <v>1.02</v>
      </c>
      <c r="O1111" s="437">
        <v>194</v>
      </c>
      <c r="P1111" s="544">
        <f t="shared" si="13"/>
        <v>197.88</v>
      </c>
      <c r="Q1111" s="437"/>
      <c r="R1111" s="544"/>
    </row>
    <row r="1112" spans="1:18" s="430" customFormat="1" x14ac:dyDescent="0.2">
      <c r="A1112" s="364">
        <f t="shared" si="11"/>
        <v>13</v>
      </c>
      <c r="B1112" s="416"/>
      <c r="C1112" s="371" t="s">
        <v>149</v>
      </c>
      <c r="D1112" s="384" t="s">
        <v>1969</v>
      </c>
      <c r="E1112" s="417">
        <v>3</v>
      </c>
      <c r="F1112" s="451">
        <v>67</v>
      </c>
      <c r="G1112" s="372">
        <f t="shared" si="10"/>
        <v>201</v>
      </c>
      <c r="H1112" s="438"/>
      <c r="I1112" s="438"/>
      <c r="J1112" s="438"/>
      <c r="K1112" s="438"/>
      <c r="L1112" s="438"/>
      <c r="M1112" s="438"/>
      <c r="N1112" s="430">
        <v>1.04</v>
      </c>
      <c r="O1112" s="437">
        <v>194</v>
      </c>
      <c r="P1112" s="544">
        <f t="shared" si="13"/>
        <v>201.76000000000002</v>
      </c>
      <c r="Q1112" s="437"/>
      <c r="R1112" s="544"/>
    </row>
    <row r="1113" spans="1:18" s="430" customFormat="1" x14ac:dyDescent="0.2">
      <c r="A1113" s="364">
        <f t="shared" si="11"/>
        <v>14</v>
      </c>
      <c r="B1113" s="401"/>
      <c r="C1113" s="371" t="s">
        <v>149</v>
      </c>
      <c r="D1113" s="384" t="s">
        <v>2111</v>
      </c>
      <c r="E1113" s="407">
        <v>3</v>
      </c>
      <c r="F1113" s="451">
        <v>73.2</v>
      </c>
      <c r="G1113" s="372">
        <f t="shared" si="10"/>
        <v>219.60000000000002</v>
      </c>
      <c r="H1113" s="438"/>
      <c r="I1113" s="438"/>
      <c r="J1113" s="438"/>
      <c r="K1113" s="438"/>
      <c r="L1113" s="438"/>
      <c r="M1113" s="438"/>
      <c r="O1113" s="437"/>
      <c r="Q1113" s="437"/>
      <c r="R1113" s="544"/>
    </row>
    <row r="1114" spans="1:18" s="430" customFormat="1" x14ac:dyDescent="0.2">
      <c r="A1114" s="364">
        <f t="shared" si="11"/>
        <v>15</v>
      </c>
      <c r="B1114" s="401"/>
      <c r="C1114" s="371" t="s">
        <v>149</v>
      </c>
      <c r="D1114" s="384" t="s">
        <v>2112</v>
      </c>
      <c r="E1114" s="417">
        <v>3</v>
      </c>
      <c r="F1114" s="550">
        <v>73.2</v>
      </c>
      <c r="G1114" s="372">
        <f t="shared" si="10"/>
        <v>219.60000000000002</v>
      </c>
      <c r="H1114" s="438"/>
      <c r="I1114" s="438"/>
      <c r="J1114" s="438"/>
      <c r="K1114" s="438"/>
      <c r="L1114" s="438"/>
      <c r="M1114" s="438"/>
      <c r="N1114" s="430">
        <f>SUM(N1107:N1113)</f>
        <v>6.1249999999999991</v>
      </c>
      <c r="O1114" s="437"/>
      <c r="P1114" s="544"/>
      <c r="Q1114" s="437">
        <f>P1107+P1108+P1109+P1110+P1111+P1112</f>
        <v>1188.25</v>
      </c>
    </row>
    <row r="1115" spans="1:18" s="430" customFormat="1" x14ac:dyDescent="0.2">
      <c r="A1115" s="364">
        <f t="shared" si="11"/>
        <v>16</v>
      </c>
      <c r="B1115" s="408"/>
      <c r="C1115" s="371" t="s">
        <v>149</v>
      </c>
      <c r="D1115" s="376" t="s">
        <v>1961</v>
      </c>
      <c r="E1115" s="414">
        <v>3</v>
      </c>
      <c r="F1115" s="550">
        <v>88.2</v>
      </c>
      <c r="G1115" s="372">
        <f t="shared" si="10"/>
        <v>264.60000000000002</v>
      </c>
      <c r="H1115" s="438"/>
      <c r="I1115" s="438"/>
      <c r="J1115" s="438"/>
      <c r="K1115" s="438"/>
      <c r="L1115" s="438"/>
      <c r="M1115" s="438"/>
      <c r="O1115" s="437"/>
      <c r="Q1115" s="437">
        <v>371.68</v>
      </c>
    </row>
    <row r="1116" spans="1:18" s="430" customFormat="1" x14ac:dyDescent="0.2">
      <c r="A1116" s="364">
        <f t="shared" si="11"/>
        <v>17</v>
      </c>
      <c r="B1116" s="408"/>
      <c r="C1116" s="371" t="s">
        <v>149</v>
      </c>
      <c r="D1116" s="376" t="s">
        <v>2113</v>
      </c>
      <c r="E1116" s="414">
        <v>3</v>
      </c>
      <c r="F1116" s="550">
        <v>89.4</v>
      </c>
      <c r="G1116" s="372">
        <f t="shared" si="10"/>
        <v>268.20000000000005</v>
      </c>
      <c r="H1116" s="438"/>
      <c r="I1116" s="438"/>
      <c r="J1116" s="438"/>
      <c r="K1116" s="438"/>
      <c r="L1116" s="438"/>
      <c r="M1116" s="438"/>
      <c r="O1116" s="437"/>
      <c r="Q1116" s="437">
        <v>249.24</v>
      </c>
      <c r="R1116" s="544"/>
    </row>
    <row r="1117" spans="1:18" s="430" customFormat="1" x14ac:dyDescent="0.2">
      <c r="A1117" s="364">
        <f t="shared" si="11"/>
        <v>18</v>
      </c>
      <c r="B1117" s="408"/>
      <c r="C1117" s="371" t="s">
        <v>149</v>
      </c>
      <c r="D1117" s="384" t="s">
        <v>1937</v>
      </c>
      <c r="E1117" s="414">
        <v>2</v>
      </c>
      <c r="F1117" s="550">
        <v>379.5</v>
      </c>
      <c r="G1117" s="372">
        <f t="shared" si="10"/>
        <v>759</v>
      </c>
      <c r="H1117" s="438"/>
      <c r="I1117" s="438"/>
      <c r="J1117" s="438"/>
      <c r="K1117" s="438"/>
      <c r="L1117" s="438"/>
      <c r="M1117" s="438"/>
      <c r="N1117" s="430">
        <v>1.145</v>
      </c>
      <c r="O1117" s="437">
        <v>297</v>
      </c>
      <c r="P1117" s="544">
        <f>O1117*N1117</f>
        <v>340.065</v>
      </c>
      <c r="Q1117" s="437"/>
      <c r="R1117" s="544"/>
    </row>
    <row r="1118" spans="1:18" s="430" customFormat="1" x14ac:dyDescent="0.2">
      <c r="A1118" s="364">
        <f t="shared" si="11"/>
        <v>19</v>
      </c>
      <c r="B1118" s="401"/>
      <c r="C1118" s="371" t="s">
        <v>149</v>
      </c>
      <c r="D1118" s="384" t="s">
        <v>2114</v>
      </c>
      <c r="E1118" s="414">
        <v>5</v>
      </c>
      <c r="F1118" s="550">
        <v>16.149999999999999</v>
      </c>
      <c r="G1118" s="372">
        <f t="shared" si="10"/>
        <v>80.75</v>
      </c>
      <c r="H1118" s="438"/>
      <c r="I1118" s="438"/>
      <c r="J1118" s="438"/>
      <c r="K1118" s="438"/>
      <c r="L1118" s="438"/>
      <c r="M1118" s="438"/>
      <c r="N1118" s="430">
        <v>1.21</v>
      </c>
      <c r="O1118" s="437">
        <v>297</v>
      </c>
      <c r="P1118" s="544">
        <f t="shared" ref="P1118:P1119" si="14">O1118*N1118</f>
        <v>359.37</v>
      </c>
      <c r="Q1118" s="437"/>
      <c r="R1118" s="544"/>
    </row>
    <row r="1119" spans="1:18" s="430" customFormat="1" x14ac:dyDescent="0.2">
      <c r="A1119" s="364">
        <f t="shared" si="11"/>
        <v>20</v>
      </c>
      <c r="B1119" s="401"/>
      <c r="C1119" s="371" t="s">
        <v>1923</v>
      </c>
      <c r="D1119" s="376" t="s">
        <v>1964</v>
      </c>
      <c r="E1119" s="414">
        <v>5</v>
      </c>
      <c r="F1119" s="550">
        <v>82</v>
      </c>
      <c r="G1119" s="372">
        <f t="shared" si="10"/>
        <v>410</v>
      </c>
      <c r="H1119" s="438"/>
      <c r="I1119" s="438"/>
      <c r="J1119" s="438"/>
      <c r="K1119" s="438"/>
      <c r="L1119" s="438"/>
      <c r="M1119" s="438"/>
      <c r="N1119" s="430">
        <v>1.1950000000000001</v>
      </c>
      <c r="O1119" s="437">
        <v>297</v>
      </c>
      <c r="P1119" s="544">
        <f t="shared" si="14"/>
        <v>354.91500000000002</v>
      </c>
      <c r="Q1119" s="437">
        <f>P1117+P1118+P1119</f>
        <v>1054.3499999999999</v>
      </c>
    </row>
    <row r="1120" spans="1:18" s="430" customFormat="1" x14ac:dyDescent="0.2">
      <c r="A1120" s="364">
        <f t="shared" si="11"/>
        <v>21</v>
      </c>
      <c r="B1120" s="401"/>
      <c r="C1120" s="371" t="s">
        <v>177</v>
      </c>
      <c r="D1120" s="376" t="s">
        <v>1936</v>
      </c>
      <c r="E1120" s="414">
        <v>3</v>
      </c>
      <c r="F1120" s="550">
        <v>47.6</v>
      </c>
      <c r="G1120" s="372">
        <f t="shared" si="10"/>
        <v>142.80000000000001</v>
      </c>
      <c r="H1120" s="438"/>
      <c r="I1120" s="438"/>
      <c r="J1120" s="438"/>
      <c r="K1120" s="438"/>
      <c r="L1120" s="438"/>
      <c r="M1120" s="438"/>
      <c r="N1120" s="430">
        <f>SUM(N1117:N1119)</f>
        <v>3.55</v>
      </c>
      <c r="O1120" s="437"/>
      <c r="P1120" s="544"/>
      <c r="Q1120" s="437"/>
    </row>
    <row r="1121" spans="1:19" s="430" customFormat="1" x14ac:dyDescent="0.2">
      <c r="A1121" s="364">
        <f t="shared" si="11"/>
        <v>22</v>
      </c>
      <c r="B1121" s="401"/>
      <c r="C1121" s="371" t="s">
        <v>1938</v>
      </c>
      <c r="D1121" s="376" t="s">
        <v>2115</v>
      </c>
      <c r="E1121" s="414">
        <v>3</v>
      </c>
      <c r="F1121" s="550">
        <v>260</v>
      </c>
      <c r="G1121" s="372">
        <f t="shared" si="10"/>
        <v>780</v>
      </c>
      <c r="H1121" s="438"/>
      <c r="I1121" s="438"/>
      <c r="J1121" s="438"/>
      <c r="K1121" s="438"/>
      <c r="L1121" s="438"/>
      <c r="M1121" s="438"/>
      <c r="O1121" s="437"/>
      <c r="P1121" s="544"/>
      <c r="Q1121" s="437"/>
    </row>
    <row r="1122" spans="1:19" s="430" customFormat="1" x14ac:dyDescent="0.2">
      <c r="A1122" s="364">
        <f t="shared" si="11"/>
        <v>23</v>
      </c>
      <c r="B1122" s="401"/>
      <c r="C1122" s="371" t="s">
        <v>176</v>
      </c>
      <c r="D1122" s="384" t="s">
        <v>1951</v>
      </c>
      <c r="E1122" s="414">
        <v>1</v>
      </c>
      <c r="F1122" s="550">
        <v>181.95</v>
      </c>
      <c r="G1122" s="372">
        <f t="shared" si="10"/>
        <v>181.95</v>
      </c>
      <c r="H1122" s="438"/>
      <c r="I1122" s="438"/>
      <c r="J1122" s="438"/>
      <c r="K1122" s="438"/>
      <c r="L1122" s="438"/>
      <c r="M1122" s="438"/>
      <c r="O1122" s="437"/>
      <c r="P1122" s="544"/>
      <c r="Q1122" s="437"/>
    </row>
    <row r="1123" spans="1:19" s="430" customFormat="1" x14ac:dyDescent="0.2">
      <c r="A1123" s="364">
        <f t="shared" si="11"/>
        <v>24</v>
      </c>
      <c r="B1123" s="401"/>
      <c r="C1123" s="371" t="s">
        <v>176</v>
      </c>
      <c r="D1123" s="384" t="s">
        <v>2116</v>
      </c>
      <c r="E1123" s="414">
        <v>1</v>
      </c>
      <c r="F1123" s="550">
        <v>95.7</v>
      </c>
      <c r="G1123" s="372">
        <f t="shared" si="10"/>
        <v>95.7</v>
      </c>
      <c r="H1123" s="438"/>
      <c r="I1123" s="438"/>
      <c r="J1123" s="438"/>
      <c r="K1123" s="438"/>
      <c r="L1123" s="438"/>
      <c r="M1123" s="438"/>
      <c r="N1123" s="430">
        <v>0.5</v>
      </c>
      <c r="O1123" s="437">
        <v>254</v>
      </c>
      <c r="P1123" s="544">
        <f>O1123*N1123</f>
        <v>127</v>
      </c>
      <c r="Q1123" s="437"/>
    </row>
    <row r="1124" spans="1:19" s="430" customFormat="1" x14ac:dyDescent="0.2">
      <c r="A1124" s="364">
        <f t="shared" si="11"/>
        <v>25</v>
      </c>
      <c r="B1124" s="401"/>
      <c r="C1124" s="371" t="s">
        <v>176</v>
      </c>
      <c r="D1124" s="384" t="s">
        <v>1979</v>
      </c>
      <c r="E1124" s="414">
        <v>1</v>
      </c>
      <c r="F1124" s="550">
        <v>227.25</v>
      </c>
      <c r="G1124" s="372">
        <f t="shared" si="10"/>
        <v>227.25</v>
      </c>
      <c r="H1124" s="438"/>
      <c r="I1124" s="438"/>
      <c r="J1124" s="438"/>
      <c r="K1124" s="438"/>
      <c r="L1124" s="438"/>
      <c r="M1124" s="438"/>
      <c r="N1124" s="430">
        <v>0.5</v>
      </c>
      <c r="O1124" s="437">
        <v>254</v>
      </c>
      <c r="P1124" s="544">
        <f t="shared" ref="P1124:P1127" si="15">O1124*N1124</f>
        <v>127</v>
      </c>
      <c r="Q1124" s="437"/>
    </row>
    <row r="1125" spans="1:19" s="430" customFormat="1" x14ac:dyDescent="0.2">
      <c r="A1125" s="364">
        <f t="shared" si="11"/>
        <v>26</v>
      </c>
      <c r="B1125" s="401"/>
      <c r="C1125" s="371" t="s">
        <v>176</v>
      </c>
      <c r="D1125" s="376" t="s">
        <v>2117</v>
      </c>
      <c r="E1125" s="407">
        <v>1</v>
      </c>
      <c r="F1125" s="451">
        <v>77</v>
      </c>
      <c r="G1125" s="372">
        <f t="shared" si="10"/>
        <v>77</v>
      </c>
      <c r="H1125" s="438"/>
      <c r="I1125" s="438"/>
      <c r="J1125" s="438"/>
      <c r="K1125" s="438"/>
      <c r="L1125" s="438"/>
      <c r="M1125" s="438"/>
      <c r="N1125" s="430">
        <v>0.5</v>
      </c>
      <c r="O1125" s="437">
        <v>254</v>
      </c>
      <c r="P1125" s="544">
        <f t="shared" si="15"/>
        <v>127</v>
      </c>
      <c r="Q1125" s="437"/>
    </row>
    <row r="1126" spans="1:19" s="430" customFormat="1" x14ac:dyDescent="0.2">
      <c r="A1126" s="364">
        <f t="shared" si="11"/>
        <v>27</v>
      </c>
      <c r="B1126" s="401"/>
      <c r="C1126" s="371" t="s">
        <v>1923</v>
      </c>
      <c r="D1126" s="376" t="s">
        <v>2128</v>
      </c>
      <c r="E1126" s="417">
        <v>2</v>
      </c>
      <c r="F1126" s="451">
        <v>197</v>
      </c>
      <c r="G1126" s="372">
        <f t="shared" si="10"/>
        <v>394</v>
      </c>
      <c r="H1126" s="438"/>
      <c r="I1126" s="438"/>
      <c r="J1126" s="438"/>
      <c r="K1126" s="438"/>
      <c r="L1126" s="438"/>
      <c r="M1126" s="438"/>
      <c r="N1126" s="430">
        <v>0.5</v>
      </c>
      <c r="O1126" s="437">
        <v>254</v>
      </c>
      <c r="P1126" s="544">
        <f t="shared" si="15"/>
        <v>127</v>
      </c>
      <c r="Q1126" s="437"/>
    </row>
    <row r="1127" spans="1:19" s="430" customFormat="1" x14ac:dyDescent="0.2">
      <c r="A1127" s="364">
        <f t="shared" si="11"/>
        <v>28</v>
      </c>
      <c r="B1127" s="401"/>
      <c r="C1127" s="371" t="s">
        <v>1923</v>
      </c>
      <c r="D1127" s="383" t="s">
        <v>1972</v>
      </c>
      <c r="E1127" s="409">
        <v>1.8220000000000001</v>
      </c>
      <c r="F1127" s="451">
        <v>270</v>
      </c>
      <c r="G1127" s="372">
        <f t="shared" si="10"/>
        <v>491.94</v>
      </c>
      <c r="H1127" s="438"/>
      <c r="I1127" s="438"/>
      <c r="J1127" s="438"/>
      <c r="K1127" s="438"/>
      <c r="L1127" s="438"/>
      <c r="M1127" s="438"/>
      <c r="N1127" s="430">
        <v>0.5</v>
      </c>
      <c r="O1127" s="437">
        <v>254</v>
      </c>
      <c r="P1127" s="544">
        <f t="shared" si="15"/>
        <v>127</v>
      </c>
      <c r="Q1127" s="437"/>
    </row>
    <row r="1128" spans="1:19" s="430" customFormat="1" x14ac:dyDescent="0.2">
      <c r="A1128" s="364">
        <f t="shared" si="11"/>
        <v>29</v>
      </c>
      <c r="B1128" s="401"/>
      <c r="C1128" s="371" t="s">
        <v>149</v>
      </c>
      <c r="D1128" s="384" t="s">
        <v>2120</v>
      </c>
      <c r="E1128" s="409">
        <v>2</v>
      </c>
      <c r="F1128" s="451">
        <v>60.5</v>
      </c>
      <c r="G1128" s="372">
        <f t="shared" si="10"/>
        <v>121</v>
      </c>
      <c r="H1128" s="438"/>
      <c r="I1128" s="438"/>
      <c r="J1128" s="438"/>
      <c r="K1128" s="438"/>
      <c r="L1128" s="438"/>
      <c r="M1128" s="438"/>
      <c r="N1128" s="430">
        <v>0.5</v>
      </c>
      <c r="O1128" s="437">
        <v>254</v>
      </c>
      <c r="P1128" s="544">
        <f t="shared" ref="P1128:P1130" si="16">O1128*N1128</f>
        <v>127</v>
      </c>
      <c r="Q1128" s="437"/>
    </row>
    <row r="1129" spans="1:19" s="430" customFormat="1" x14ac:dyDescent="0.2">
      <c r="A1129" s="364">
        <f t="shared" si="11"/>
        <v>30</v>
      </c>
      <c r="B1129" s="401"/>
      <c r="C1129" s="371" t="s">
        <v>149</v>
      </c>
      <c r="D1129" s="384" t="s">
        <v>2121</v>
      </c>
      <c r="E1129" s="423">
        <v>2</v>
      </c>
      <c r="F1129" s="551">
        <v>60.5</v>
      </c>
      <c r="G1129" s="372">
        <f t="shared" si="10"/>
        <v>121</v>
      </c>
      <c r="H1129" s="438"/>
      <c r="I1129" s="438"/>
      <c r="J1129" s="438"/>
      <c r="K1129" s="438"/>
      <c r="L1129" s="438"/>
      <c r="M1129" s="438"/>
      <c r="N1129" s="430">
        <v>0.5</v>
      </c>
      <c r="O1129" s="437">
        <v>254</v>
      </c>
      <c r="P1129" s="544">
        <f t="shared" si="16"/>
        <v>127</v>
      </c>
      <c r="Q1129" s="437"/>
    </row>
    <row r="1130" spans="1:19" s="430" customFormat="1" x14ac:dyDescent="0.2">
      <c r="A1130" s="364">
        <f t="shared" si="11"/>
        <v>31</v>
      </c>
      <c r="B1130" s="401"/>
      <c r="C1130" s="371" t="s">
        <v>149</v>
      </c>
      <c r="D1130" s="376" t="s">
        <v>1929</v>
      </c>
      <c r="E1130" s="407">
        <v>2</v>
      </c>
      <c r="F1130" s="552">
        <v>87</v>
      </c>
      <c r="G1130" s="372">
        <f t="shared" si="10"/>
        <v>174</v>
      </c>
      <c r="H1130" s="438"/>
      <c r="I1130" s="438"/>
      <c r="J1130" s="438"/>
      <c r="K1130" s="438"/>
      <c r="L1130" s="438"/>
      <c r="M1130" s="438"/>
      <c r="N1130" s="430">
        <v>0.5</v>
      </c>
      <c r="O1130" s="437">
        <v>254</v>
      </c>
      <c r="P1130" s="544">
        <f t="shared" si="16"/>
        <v>127</v>
      </c>
      <c r="Q1130" s="437">
        <f>SUM(P1123:P1130)</f>
        <v>1016</v>
      </c>
      <c r="S1130" s="544">
        <f>Q1100+Q1105+Q1114+Q1115+Q1116+Q1119+Q1130</f>
        <v>4735.0599999999995</v>
      </c>
    </row>
    <row r="1131" spans="1:19" s="430" customFormat="1" x14ac:dyDescent="0.2">
      <c r="A1131" s="364">
        <f t="shared" si="11"/>
        <v>32</v>
      </c>
      <c r="B1131" s="401"/>
      <c r="C1131" s="371" t="s">
        <v>149</v>
      </c>
      <c r="D1131" s="384" t="s">
        <v>1928</v>
      </c>
      <c r="E1131" s="407">
        <v>2</v>
      </c>
      <c r="F1131" s="406">
        <v>66.75</v>
      </c>
      <c r="G1131" s="372">
        <f t="shared" si="10"/>
        <v>133.5</v>
      </c>
      <c r="H1131" s="438">
        <f>SUM(G1107:G1131)</f>
        <v>7448.19</v>
      </c>
      <c r="I1131" s="438"/>
      <c r="J1131" s="438"/>
      <c r="K1131" s="438">
        <f>SUM(G1106:G1131)</f>
        <v>8464.1899999999987</v>
      </c>
      <c r="L1131" s="438"/>
      <c r="M1131" s="438"/>
      <c r="O1131" s="437"/>
      <c r="P1131" s="544"/>
    </row>
    <row r="1132" spans="1:19" s="430" customFormat="1" x14ac:dyDescent="0.2">
      <c r="A1132" s="555"/>
      <c r="B1132" s="401"/>
      <c r="C1132" s="371"/>
      <c r="D1132" s="383" t="s">
        <v>8</v>
      </c>
      <c r="E1132" s="407"/>
      <c r="F1132" s="566"/>
      <c r="G1132" s="556">
        <v>0.01</v>
      </c>
      <c r="H1132" s="438"/>
      <c r="I1132" s="438"/>
      <c r="J1132" s="438"/>
      <c r="K1132" s="438"/>
      <c r="L1132" s="438"/>
      <c r="M1132" s="438"/>
      <c r="O1132" s="437"/>
      <c r="P1132" s="544"/>
      <c r="Q1132" s="438"/>
    </row>
    <row r="1133" spans="1:19" s="430" customFormat="1" ht="13.5" thickBot="1" x14ac:dyDescent="0.25">
      <c r="A1133" s="553"/>
      <c r="B1133" s="427"/>
      <c r="C1133" s="428"/>
      <c r="D1133" s="428"/>
      <c r="E1133" s="427"/>
      <c r="F1133" s="49" t="s">
        <v>158</v>
      </c>
      <c r="G1133" s="210">
        <f>SUM(G1100:G1132)</f>
        <v>12183.260000000002</v>
      </c>
      <c r="H1133" s="243"/>
      <c r="I1133" s="243"/>
      <c r="J1133" s="243"/>
      <c r="K1133" s="243"/>
      <c r="L1133" s="243"/>
      <c r="M1133" s="243"/>
      <c r="O1133" s="437"/>
    </row>
    <row r="1134" spans="1:19" s="430" customFormat="1" ht="13.5" thickTop="1" x14ac:dyDescent="0.2">
      <c r="A1134" s="875" t="s">
        <v>2106</v>
      </c>
      <c r="B1134" s="876"/>
      <c r="C1134" s="876"/>
      <c r="D1134" s="876"/>
      <c r="E1134" s="876"/>
      <c r="F1134" s="876"/>
      <c r="G1134" s="877"/>
      <c r="H1134" s="377"/>
      <c r="I1134" s="377"/>
      <c r="J1134" s="377"/>
      <c r="K1134" s="377"/>
      <c r="L1134" s="377"/>
      <c r="M1134" s="377"/>
      <c r="N1134" s="430">
        <f>SUM(N1123:N1133)</f>
        <v>4</v>
      </c>
      <c r="O1134" s="437"/>
      <c r="P1134" s="544"/>
    </row>
    <row r="1135" spans="1:19" s="430" customFormat="1" ht="13.5" thickBot="1" x14ac:dyDescent="0.25">
      <c r="A1135" s="378"/>
      <c r="B1135" s="374"/>
      <c r="C1135" s="374"/>
      <c r="D1135" s="379"/>
      <c r="E1135" s="374"/>
      <c r="F1135" s="380"/>
      <c r="G1135" s="381"/>
      <c r="N1135" s="438"/>
    </row>
    <row r="1136" spans="1:19" s="430" customFormat="1" ht="13.5" thickTop="1" x14ac:dyDescent="0.2">
      <c r="A1136" s="878"/>
      <c r="B1136" s="879"/>
      <c r="C1136" s="879"/>
      <c r="D1136" s="433" t="s">
        <v>11</v>
      </c>
      <c r="E1136" s="880" t="s">
        <v>12</v>
      </c>
      <c r="F1136" s="880"/>
      <c r="G1136" s="881"/>
      <c r="H1136" s="386"/>
      <c r="I1136" s="386"/>
      <c r="J1136" s="386"/>
      <c r="K1136" s="386">
        <v>0.61599999999999999</v>
      </c>
      <c r="L1136" s="386"/>
      <c r="M1136" s="626">
        <v>270</v>
      </c>
      <c r="N1136" s="438">
        <f>M1136*K1136</f>
        <v>166.32</v>
      </c>
    </row>
    <row r="1137" spans="1:14" s="430" customFormat="1" x14ac:dyDescent="0.2">
      <c r="A1137" s="866" t="s">
        <v>17</v>
      </c>
      <c r="B1137" s="867"/>
      <c r="C1137" s="867"/>
      <c r="D1137" s="434"/>
      <c r="E1137" s="882"/>
      <c r="F1137" s="883"/>
      <c r="G1137" s="884"/>
      <c r="H1137" s="429"/>
      <c r="I1137" s="429"/>
      <c r="J1137" s="429"/>
      <c r="K1137" s="625">
        <v>0.58199999999999996</v>
      </c>
      <c r="L1137" s="625"/>
      <c r="M1137" s="627">
        <v>270</v>
      </c>
      <c r="N1137" s="438">
        <f t="shared" ref="N1137:N1138" si="17">M1137*K1137</f>
        <v>157.13999999999999</v>
      </c>
    </row>
    <row r="1138" spans="1:14" s="430" customFormat="1" x14ac:dyDescent="0.2">
      <c r="A1138" s="866" t="s">
        <v>38</v>
      </c>
      <c r="B1138" s="867"/>
      <c r="C1138" s="867"/>
      <c r="D1138" s="73" t="s">
        <v>891</v>
      </c>
      <c r="E1138" s="868" t="s">
        <v>142</v>
      </c>
      <c r="F1138" s="868"/>
      <c r="G1138" s="869"/>
      <c r="H1138" s="1"/>
      <c r="I1138" s="1"/>
      <c r="J1138" s="1"/>
      <c r="K1138" s="386">
        <v>0.624</v>
      </c>
      <c r="L1138" s="386"/>
      <c r="M1138" s="626">
        <v>270</v>
      </c>
      <c r="N1138" s="438">
        <f t="shared" si="17"/>
        <v>168.48</v>
      </c>
    </row>
    <row r="1139" spans="1:14" s="430" customFormat="1" ht="13.5" thickBot="1" x14ac:dyDescent="0.25">
      <c r="A1139" s="870" t="s">
        <v>39</v>
      </c>
      <c r="B1139" s="871"/>
      <c r="C1139" s="871"/>
      <c r="D1139" s="554" t="s">
        <v>892</v>
      </c>
      <c r="E1139" s="873" t="s">
        <v>0</v>
      </c>
      <c r="F1139" s="873"/>
      <c r="G1139" s="874"/>
      <c r="H1139" s="386"/>
      <c r="I1139" s="386"/>
      <c r="J1139" s="386"/>
      <c r="K1139" s="386"/>
      <c r="L1139" s="386"/>
      <c r="M1139" s="386"/>
    </row>
    <row r="1140" spans="1:14" s="430" customFormat="1" ht="16.5" x14ac:dyDescent="0.25">
      <c r="A1140" s="885" t="s">
        <v>29</v>
      </c>
      <c r="B1140" s="886"/>
      <c r="C1140" s="886"/>
      <c r="D1140" s="886"/>
      <c r="E1140" s="886"/>
      <c r="F1140" s="886"/>
      <c r="G1140" s="887"/>
      <c r="H1140" s="247"/>
      <c r="I1140" s="247"/>
      <c r="J1140" s="247"/>
      <c r="K1140" s="629">
        <f>SUM(K1136:K1139)</f>
        <v>1.8220000000000001</v>
      </c>
      <c r="L1140" s="629"/>
      <c r="M1140" s="247"/>
      <c r="N1140" s="628">
        <f>SUM(N1136:N1139)</f>
        <v>491.93999999999994</v>
      </c>
    </row>
    <row r="1141" spans="1:14" s="430" customFormat="1" x14ac:dyDescent="0.2">
      <c r="A1141" s="888" t="s">
        <v>48</v>
      </c>
      <c r="B1141" s="889"/>
      <c r="C1141" s="889"/>
      <c r="D1141" s="889"/>
      <c r="E1141" s="889"/>
      <c r="F1141" s="889"/>
      <c r="G1141" s="890"/>
      <c r="H1141" s="246"/>
      <c r="I1141" s="246"/>
      <c r="J1141" s="246"/>
      <c r="K1141" s="246"/>
      <c r="L1141" s="246"/>
      <c r="M1141" s="246"/>
      <c r="N1141" s="429"/>
    </row>
    <row r="1142" spans="1:14" s="430" customFormat="1" x14ac:dyDescent="0.2">
      <c r="A1142" s="891" t="s">
        <v>49</v>
      </c>
      <c r="B1142" s="892"/>
      <c r="C1142" s="892"/>
      <c r="D1142" s="892"/>
      <c r="E1142" s="892"/>
      <c r="F1142" s="892"/>
      <c r="G1142" s="893"/>
      <c r="H1142" s="386"/>
      <c r="I1142" s="386"/>
      <c r="J1142" s="386"/>
      <c r="K1142" s="386"/>
      <c r="L1142" s="386"/>
      <c r="M1142" s="386"/>
      <c r="N1142" s="1"/>
    </row>
    <row r="1143" spans="1:14" s="430" customFormat="1" x14ac:dyDescent="0.2">
      <c r="A1143" s="387"/>
      <c r="B1143" s="388"/>
      <c r="C1143" s="389"/>
      <c r="D1143" s="390"/>
      <c r="E1143" s="388"/>
      <c r="F1143" s="391"/>
      <c r="G1143" s="392" t="s">
        <v>335</v>
      </c>
      <c r="H1143" s="548"/>
      <c r="I1143" s="548"/>
      <c r="J1143" s="548"/>
      <c r="K1143" s="548"/>
      <c r="L1143" s="548"/>
      <c r="M1143" s="548"/>
      <c r="N1143" s="386"/>
    </row>
    <row r="1144" spans="1:14" s="430" customFormat="1" ht="16.5" x14ac:dyDescent="0.25">
      <c r="A1144" s="393" t="s">
        <v>1</v>
      </c>
      <c r="B1144" s="394"/>
      <c r="C1144" s="14" t="s">
        <v>36</v>
      </c>
      <c r="D1144" s="394"/>
      <c r="E1144" s="362" t="s">
        <v>2150</v>
      </c>
      <c r="F1144" s="395"/>
      <c r="G1144" s="363" t="s">
        <v>2103</v>
      </c>
      <c r="N1144" s="247"/>
    </row>
    <row r="1145" spans="1:14" s="430" customFormat="1" x14ac:dyDescent="0.2">
      <c r="A1145" s="361" t="s">
        <v>8</v>
      </c>
      <c r="B1145" s="396"/>
      <c r="C1145" s="19"/>
      <c r="D1145" s="386"/>
      <c r="E1145" s="894"/>
      <c r="F1145" s="895"/>
      <c r="G1145" s="397"/>
      <c r="N1145" s="246"/>
    </row>
    <row r="1146" spans="1:14" s="430" customFormat="1" x14ac:dyDescent="0.2">
      <c r="A1146" s="373" t="s">
        <v>37</v>
      </c>
      <c r="B1146" s="377"/>
      <c r="C1146" s="377"/>
      <c r="D1146" s="377"/>
      <c r="E1146" s="398" t="s">
        <v>46</v>
      </c>
      <c r="F1146" s="399"/>
      <c r="G1146" s="397" t="s">
        <v>50</v>
      </c>
      <c r="N1146" s="386"/>
    </row>
    <row r="1147" spans="1:14" s="430" customFormat="1" x14ac:dyDescent="0.2">
      <c r="A1147" s="387"/>
      <c r="B1147" s="388"/>
      <c r="C1147" s="389"/>
      <c r="D1147" s="389"/>
      <c r="E1147" s="896"/>
      <c r="F1147" s="897"/>
      <c r="G1147" s="400"/>
      <c r="N1147" s="548"/>
    </row>
    <row r="1148" spans="1:14" s="430" customFormat="1" ht="26.25" thickBot="1" x14ac:dyDescent="0.25">
      <c r="A1148" s="207" t="s">
        <v>47</v>
      </c>
      <c r="B1148" s="28" t="s">
        <v>23</v>
      </c>
      <c r="C1148" s="28" t="s">
        <v>34</v>
      </c>
      <c r="D1148" s="110" t="s">
        <v>53</v>
      </c>
      <c r="E1148" s="114" t="s">
        <v>54</v>
      </c>
      <c r="F1148" s="111" t="s">
        <v>55</v>
      </c>
      <c r="G1148" s="112" t="s">
        <v>35</v>
      </c>
      <c r="H1148" s="249"/>
      <c r="I1148" s="249"/>
      <c r="J1148" s="249"/>
      <c r="K1148" s="249"/>
      <c r="L1148" s="249"/>
      <c r="M1148" s="249"/>
    </row>
    <row r="1149" spans="1:14" s="430" customFormat="1" ht="13.5" thickTop="1" x14ac:dyDescent="0.2">
      <c r="A1149" s="364"/>
      <c r="B1149" s="408"/>
      <c r="C1149" s="371"/>
      <c r="D1149" s="202" t="s">
        <v>160</v>
      </c>
      <c r="E1149" s="409"/>
      <c r="F1149" s="451"/>
      <c r="G1149" s="200">
        <f>G1133</f>
        <v>12183.260000000002</v>
      </c>
      <c r="H1149" s="243"/>
      <c r="I1149" s="243"/>
      <c r="J1149" s="243"/>
      <c r="K1149" s="243"/>
      <c r="L1149" s="243"/>
      <c r="M1149" s="243"/>
    </row>
    <row r="1150" spans="1:14" s="430" customFormat="1" x14ac:dyDescent="0.2">
      <c r="A1150" s="364">
        <v>33</v>
      </c>
      <c r="B1150" s="408"/>
      <c r="C1150" s="371" t="s">
        <v>149</v>
      </c>
      <c r="D1150" s="384" t="s">
        <v>2119</v>
      </c>
      <c r="E1150" s="409">
        <v>2</v>
      </c>
      <c r="F1150" s="451">
        <v>60.5</v>
      </c>
      <c r="G1150" s="372">
        <f t="shared" ref="G1150:G1156" si="18">F1150*E1150</f>
        <v>121</v>
      </c>
      <c r="H1150" s="438"/>
      <c r="I1150" s="438"/>
      <c r="J1150" s="438"/>
      <c r="K1150" s="438" t="s">
        <v>150</v>
      </c>
      <c r="L1150" s="438"/>
      <c r="M1150" s="438"/>
    </row>
    <row r="1151" spans="1:14" s="430" customFormat="1" x14ac:dyDescent="0.2">
      <c r="A1151" s="364">
        <f>A1150+1</f>
        <v>34</v>
      </c>
      <c r="B1151" s="408"/>
      <c r="C1151" s="385" t="s">
        <v>149</v>
      </c>
      <c r="D1151" s="383" t="s">
        <v>2118</v>
      </c>
      <c r="E1151" s="409">
        <v>1</v>
      </c>
      <c r="F1151" s="451">
        <v>58.5</v>
      </c>
      <c r="G1151" s="372">
        <f t="shared" si="18"/>
        <v>58.5</v>
      </c>
      <c r="H1151" s="438"/>
      <c r="I1151" s="438"/>
      <c r="J1151" s="438"/>
      <c r="K1151" s="438"/>
      <c r="L1151" s="438"/>
      <c r="M1151" s="438"/>
    </row>
    <row r="1152" spans="1:14" s="430" customFormat="1" x14ac:dyDescent="0.2">
      <c r="A1152" s="364">
        <f t="shared" ref="A1152:A1166" si="19">A1151+1</f>
        <v>35</v>
      </c>
      <c r="B1152" s="408"/>
      <c r="C1152" s="371" t="s">
        <v>1930</v>
      </c>
      <c r="D1152" s="376" t="s">
        <v>2122</v>
      </c>
      <c r="E1152" s="409">
        <v>75</v>
      </c>
      <c r="F1152" s="451">
        <v>22</v>
      </c>
      <c r="G1152" s="372">
        <f t="shared" si="18"/>
        <v>1650</v>
      </c>
      <c r="H1152" s="438">
        <f>G1150+G1151+G1152</f>
        <v>1829.5</v>
      </c>
      <c r="I1152" s="438"/>
      <c r="J1152" s="438"/>
      <c r="K1152" s="243">
        <f>H1131+H1152</f>
        <v>9277.6899999999987</v>
      </c>
      <c r="L1152" s="243"/>
      <c r="M1152" s="438"/>
      <c r="N1152" s="249"/>
    </row>
    <row r="1153" spans="1:17" s="430" customFormat="1" x14ac:dyDescent="0.2">
      <c r="A1153" s="364">
        <f t="shared" si="19"/>
        <v>36</v>
      </c>
      <c r="B1153" s="408"/>
      <c r="C1153" s="371" t="s">
        <v>1923</v>
      </c>
      <c r="D1153" s="376" t="s">
        <v>1974</v>
      </c>
      <c r="E1153" s="407">
        <v>6</v>
      </c>
      <c r="F1153" s="549">
        <v>160</v>
      </c>
      <c r="G1153" s="372">
        <f t="shared" si="18"/>
        <v>960</v>
      </c>
      <c r="H1153" s="438"/>
      <c r="I1153" s="438"/>
      <c r="J1153" s="438"/>
      <c r="K1153" s="438"/>
      <c r="L1153" s="438"/>
      <c r="M1153" s="438"/>
      <c r="N1153" s="243"/>
    </row>
    <row r="1154" spans="1:17" s="430" customFormat="1" x14ac:dyDescent="0.2">
      <c r="A1154" s="364">
        <f t="shared" si="19"/>
        <v>37</v>
      </c>
      <c r="B1154" s="408"/>
      <c r="C1154" s="371" t="s">
        <v>1923</v>
      </c>
      <c r="D1154" s="376" t="s">
        <v>193</v>
      </c>
      <c r="E1154" s="409">
        <v>5</v>
      </c>
      <c r="F1154" s="451">
        <v>140</v>
      </c>
      <c r="G1154" s="372">
        <f t="shared" si="18"/>
        <v>700</v>
      </c>
      <c r="H1154" s="438"/>
      <c r="I1154" s="438"/>
      <c r="J1154" s="438"/>
      <c r="K1154" s="438"/>
      <c r="L1154" s="438"/>
      <c r="M1154" s="438"/>
      <c r="N1154" s="438"/>
      <c r="Q1154" s="544"/>
    </row>
    <row r="1155" spans="1:17" s="430" customFormat="1" x14ac:dyDescent="0.2">
      <c r="A1155" s="364">
        <f t="shared" si="19"/>
        <v>38</v>
      </c>
      <c r="B1155" s="410"/>
      <c r="C1155" s="385" t="s">
        <v>1923</v>
      </c>
      <c r="D1155" s="376" t="s">
        <v>1939</v>
      </c>
      <c r="E1155" s="409">
        <v>6</v>
      </c>
      <c r="F1155" s="451">
        <v>115</v>
      </c>
      <c r="G1155" s="372">
        <f t="shared" si="18"/>
        <v>690</v>
      </c>
      <c r="H1155" s="438"/>
      <c r="I1155" s="438"/>
      <c r="J1155" s="438"/>
      <c r="K1155" s="438"/>
      <c r="L1155" s="438"/>
      <c r="M1155" s="438"/>
      <c r="N1155" s="438"/>
      <c r="Q1155" s="544"/>
    </row>
    <row r="1156" spans="1:17" s="430" customFormat="1" x14ac:dyDescent="0.2">
      <c r="A1156" s="364">
        <f t="shared" si="19"/>
        <v>39</v>
      </c>
      <c r="B1156" s="401"/>
      <c r="C1156" s="371" t="s">
        <v>149</v>
      </c>
      <c r="D1156" s="383" t="s">
        <v>1975</v>
      </c>
      <c r="E1156" s="409">
        <v>6</v>
      </c>
      <c r="F1156" s="451">
        <v>25</v>
      </c>
      <c r="G1156" s="372">
        <f t="shared" si="18"/>
        <v>150</v>
      </c>
      <c r="H1156" s="438"/>
      <c r="I1156" s="438"/>
      <c r="J1156" s="438"/>
      <c r="K1156" s="438"/>
      <c r="L1156" s="438"/>
      <c r="M1156" s="243"/>
      <c r="N1156" s="438"/>
      <c r="Q1156" s="544"/>
    </row>
    <row r="1157" spans="1:17" s="430" customFormat="1" x14ac:dyDescent="0.2">
      <c r="A1157" s="364">
        <f t="shared" si="19"/>
        <v>40</v>
      </c>
      <c r="B1157" s="413"/>
      <c r="C1157" s="371" t="s">
        <v>1923</v>
      </c>
      <c r="D1157" s="383" t="s">
        <v>1944</v>
      </c>
      <c r="E1157" s="407">
        <v>2</v>
      </c>
      <c r="F1157" s="549">
        <v>120</v>
      </c>
      <c r="G1157" s="372">
        <f>F1157*E1157</f>
        <v>240</v>
      </c>
      <c r="H1157" s="438"/>
      <c r="I1157" s="438"/>
      <c r="J1157" s="438"/>
      <c r="K1157" s="438"/>
      <c r="L1157" s="438"/>
      <c r="M1157" s="438"/>
      <c r="N1157" s="438"/>
      <c r="Q1157" s="544"/>
    </row>
    <row r="1158" spans="1:17" s="430" customFormat="1" x14ac:dyDescent="0.2">
      <c r="A1158" s="364">
        <f t="shared" si="19"/>
        <v>41</v>
      </c>
      <c r="B1158" s="413"/>
      <c r="C1158" s="371" t="s">
        <v>1923</v>
      </c>
      <c r="D1158" s="383" t="s">
        <v>2123</v>
      </c>
      <c r="E1158" s="414">
        <v>3</v>
      </c>
      <c r="F1158" s="451">
        <v>110</v>
      </c>
      <c r="G1158" s="372">
        <f t="shared" ref="G1158:G1166" si="20">F1158*E1158</f>
        <v>330</v>
      </c>
      <c r="H1158" s="438"/>
      <c r="I1158" s="438"/>
      <c r="J1158" s="438"/>
      <c r="K1158" s="438"/>
      <c r="L1158" s="438"/>
      <c r="M1158" s="438"/>
      <c r="N1158" s="438"/>
      <c r="P1158" s="437"/>
    </row>
    <row r="1159" spans="1:17" s="430" customFormat="1" x14ac:dyDescent="0.2">
      <c r="A1159" s="364">
        <f t="shared" si="19"/>
        <v>42</v>
      </c>
      <c r="B1159" s="416"/>
      <c r="C1159" s="371" t="s">
        <v>1923</v>
      </c>
      <c r="D1159" s="376" t="s">
        <v>1942</v>
      </c>
      <c r="E1159" s="414">
        <v>6</v>
      </c>
      <c r="F1159" s="451">
        <v>90</v>
      </c>
      <c r="G1159" s="372">
        <f t="shared" si="20"/>
        <v>540</v>
      </c>
      <c r="H1159" s="438"/>
      <c r="I1159" s="438"/>
      <c r="J1159" s="438"/>
      <c r="K1159" s="438"/>
      <c r="L1159" s="438"/>
      <c r="M1159" s="438"/>
      <c r="N1159" s="438"/>
      <c r="P1159" s="437"/>
    </row>
    <row r="1160" spans="1:17" s="430" customFormat="1" x14ac:dyDescent="0.2">
      <c r="A1160" s="364">
        <f t="shared" si="19"/>
        <v>43</v>
      </c>
      <c r="B1160" s="416"/>
      <c r="C1160" s="371" t="s">
        <v>1923</v>
      </c>
      <c r="D1160" s="376" t="s">
        <v>2124</v>
      </c>
      <c r="E1160" s="414">
        <v>5</v>
      </c>
      <c r="F1160" s="451">
        <v>85</v>
      </c>
      <c r="G1160" s="372">
        <f t="shared" si="20"/>
        <v>425</v>
      </c>
      <c r="H1160" s="438"/>
      <c r="I1160" s="438"/>
      <c r="J1160" s="438"/>
      <c r="K1160" s="438"/>
      <c r="L1160" s="438"/>
      <c r="M1160" s="438"/>
      <c r="N1160" s="438"/>
      <c r="P1160" s="437"/>
    </row>
    <row r="1161" spans="1:17" s="430" customFormat="1" x14ac:dyDescent="0.2">
      <c r="A1161" s="364">
        <f t="shared" si="19"/>
        <v>44</v>
      </c>
      <c r="B1161" s="416"/>
      <c r="C1161" s="371" t="s">
        <v>1923</v>
      </c>
      <c r="D1161" s="376" t="s">
        <v>1976</v>
      </c>
      <c r="E1161" s="417">
        <v>1</v>
      </c>
      <c r="F1161" s="451">
        <v>140</v>
      </c>
      <c r="G1161" s="372">
        <f t="shared" si="20"/>
        <v>140</v>
      </c>
      <c r="H1161" s="438"/>
      <c r="I1161" s="438"/>
      <c r="J1161" s="438"/>
      <c r="K1161" s="438"/>
      <c r="L1161" s="438"/>
      <c r="M1161" s="438"/>
      <c r="N1161" s="438"/>
    </row>
    <row r="1162" spans="1:17" s="430" customFormat="1" x14ac:dyDescent="0.2">
      <c r="A1162" s="364">
        <f t="shared" si="19"/>
        <v>45</v>
      </c>
      <c r="B1162" s="401"/>
      <c r="C1162" s="371" t="s">
        <v>1931</v>
      </c>
      <c r="D1162" s="384" t="s">
        <v>2125</v>
      </c>
      <c r="E1162" s="417">
        <v>2</v>
      </c>
      <c r="F1162" s="451">
        <v>140</v>
      </c>
      <c r="G1162" s="372">
        <f t="shared" si="20"/>
        <v>280</v>
      </c>
      <c r="H1162" s="438"/>
      <c r="I1162" s="438"/>
      <c r="J1162" s="438"/>
      <c r="K1162" s="438"/>
      <c r="L1162" s="438"/>
      <c r="M1162" s="438"/>
      <c r="N1162" s="438"/>
    </row>
    <row r="1163" spans="1:17" s="430" customFormat="1" x14ac:dyDescent="0.2">
      <c r="A1163" s="364">
        <f t="shared" si="19"/>
        <v>46</v>
      </c>
      <c r="B1163" s="401"/>
      <c r="C1163" s="371" t="s">
        <v>1923</v>
      </c>
      <c r="D1163" s="384" t="s">
        <v>1941</v>
      </c>
      <c r="E1163" s="417">
        <v>2</v>
      </c>
      <c r="F1163" s="451">
        <v>100</v>
      </c>
      <c r="G1163" s="372">
        <f t="shared" si="20"/>
        <v>200</v>
      </c>
      <c r="H1163" s="438"/>
      <c r="I1163" s="438"/>
      <c r="J1163" s="438"/>
      <c r="K1163" s="438"/>
      <c r="L1163" s="438"/>
      <c r="M1163" s="438"/>
      <c r="N1163" s="438"/>
    </row>
    <row r="1164" spans="1:17" s="430" customFormat="1" x14ac:dyDescent="0.2">
      <c r="A1164" s="364">
        <f t="shared" si="19"/>
        <v>47</v>
      </c>
      <c r="B1164" s="408"/>
      <c r="C1164" s="371" t="s">
        <v>1923</v>
      </c>
      <c r="D1164" s="384" t="s">
        <v>1943</v>
      </c>
      <c r="E1164" s="407">
        <v>3</v>
      </c>
      <c r="F1164" s="451">
        <v>140</v>
      </c>
      <c r="G1164" s="372">
        <f t="shared" si="20"/>
        <v>420</v>
      </c>
      <c r="H1164" s="438"/>
      <c r="I1164" s="438"/>
      <c r="J1164" s="438"/>
      <c r="K1164" s="438"/>
      <c r="L1164" s="438"/>
      <c r="M1164" s="438"/>
      <c r="N1164" s="438"/>
    </row>
    <row r="1165" spans="1:17" s="430" customFormat="1" x14ac:dyDescent="0.2">
      <c r="A1165" s="364">
        <f t="shared" si="19"/>
        <v>48</v>
      </c>
      <c r="B1165" s="408"/>
      <c r="C1165" s="371" t="s">
        <v>1923</v>
      </c>
      <c r="D1165" s="383" t="s">
        <v>1940</v>
      </c>
      <c r="E1165" s="417">
        <v>5</v>
      </c>
      <c r="F1165" s="451">
        <v>120</v>
      </c>
      <c r="G1165" s="372">
        <f t="shared" si="20"/>
        <v>600</v>
      </c>
      <c r="H1165" s="438"/>
      <c r="I1165" s="438"/>
      <c r="J1165" s="438"/>
      <c r="K1165" s="438"/>
      <c r="L1165" s="438"/>
      <c r="M1165" s="438"/>
      <c r="N1165" s="438"/>
    </row>
    <row r="1166" spans="1:17" s="430" customFormat="1" x14ac:dyDescent="0.2">
      <c r="A1166" s="364">
        <f t="shared" si="19"/>
        <v>49</v>
      </c>
      <c r="B1166" s="408"/>
      <c r="C1166" s="371" t="s">
        <v>1923</v>
      </c>
      <c r="D1166" s="384" t="s">
        <v>2126</v>
      </c>
      <c r="E1166" s="414">
        <v>5.2039999999999997</v>
      </c>
      <c r="F1166" s="550">
        <v>60</v>
      </c>
      <c r="G1166" s="372">
        <f t="shared" si="20"/>
        <v>312.24</v>
      </c>
      <c r="H1166" s="438"/>
      <c r="I1166" s="438"/>
      <c r="J1166" s="438"/>
      <c r="K1166" s="438"/>
      <c r="L1166" s="438"/>
      <c r="M1166" s="438"/>
      <c r="N1166" s="438"/>
    </row>
    <row r="1167" spans="1:17" s="430" customFormat="1" x14ac:dyDescent="0.2">
      <c r="A1167" s="364"/>
      <c r="B1167" s="401"/>
      <c r="C1167" s="371"/>
      <c r="D1167" s="384"/>
      <c r="E1167" s="414"/>
      <c r="F1167" s="550"/>
      <c r="G1167" s="372"/>
      <c r="H1167" s="438"/>
      <c r="I1167" s="438"/>
      <c r="J1167" s="438"/>
      <c r="K1167" s="438"/>
      <c r="L1167" s="438"/>
      <c r="M1167" s="438"/>
      <c r="N1167" s="438"/>
    </row>
    <row r="1168" spans="1:17" s="430" customFormat="1" x14ac:dyDescent="0.2">
      <c r="A1168" s="364"/>
      <c r="B1168" s="401"/>
      <c r="C1168" s="371"/>
      <c r="D1168" s="376"/>
      <c r="E1168" s="414"/>
      <c r="F1168" s="550"/>
      <c r="G1168" s="372"/>
      <c r="H1168" s="438"/>
      <c r="I1168" s="438"/>
      <c r="J1168" s="438"/>
      <c r="K1168" s="438"/>
      <c r="L1168" s="438"/>
      <c r="M1168" s="438"/>
      <c r="N1168" s="438"/>
    </row>
    <row r="1169" spans="1:14" s="430" customFormat="1" x14ac:dyDescent="0.2">
      <c r="A1169" s="364"/>
      <c r="B1169" s="401"/>
      <c r="C1169" s="371"/>
      <c r="D1169" s="376"/>
      <c r="E1169" s="414"/>
      <c r="F1169" s="550"/>
      <c r="G1169" s="372"/>
      <c r="H1169" s="438"/>
      <c r="I1169" s="438"/>
      <c r="J1169" s="438"/>
      <c r="K1169" s="438"/>
      <c r="L1169" s="438"/>
      <c r="M1169" s="438"/>
      <c r="N1169" s="438"/>
    </row>
    <row r="1170" spans="1:14" s="430" customFormat="1" x14ac:dyDescent="0.2">
      <c r="A1170" s="364"/>
      <c r="B1170" s="401"/>
      <c r="C1170" s="371"/>
      <c r="D1170" s="376"/>
      <c r="E1170" s="414"/>
      <c r="F1170" s="550"/>
      <c r="G1170" s="372"/>
      <c r="H1170" s="438"/>
      <c r="I1170" s="438"/>
      <c r="J1170" s="438"/>
      <c r="K1170" s="438"/>
      <c r="L1170" s="438"/>
      <c r="M1170" s="438"/>
      <c r="N1170" s="438"/>
    </row>
    <row r="1171" spans="1:14" s="430" customFormat="1" x14ac:dyDescent="0.2">
      <c r="A1171" s="364"/>
      <c r="B1171" s="401"/>
      <c r="C1171" s="371"/>
      <c r="D1171" s="384"/>
      <c r="E1171" s="414"/>
      <c r="F1171" s="550"/>
      <c r="G1171" s="372"/>
      <c r="H1171" s="438"/>
      <c r="I1171" s="438"/>
      <c r="J1171" s="438"/>
      <c r="K1171" s="438" t="s">
        <v>150</v>
      </c>
      <c r="L1171" s="438"/>
      <c r="M1171" s="438"/>
      <c r="N1171" s="438"/>
    </row>
    <row r="1172" spans="1:14" s="430" customFormat="1" x14ac:dyDescent="0.2">
      <c r="A1172" s="364"/>
      <c r="B1172" s="401"/>
      <c r="C1172" s="371"/>
      <c r="D1172" s="384"/>
      <c r="E1172" s="414"/>
      <c r="F1172" s="550"/>
      <c r="G1172" s="372"/>
      <c r="H1172" s="438"/>
      <c r="I1172" s="438"/>
      <c r="J1172" s="438"/>
      <c r="K1172" s="438"/>
      <c r="L1172" s="438"/>
      <c r="M1172" s="438"/>
      <c r="N1172" s="438"/>
    </row>
    <row r="1173" spans="1:14" s="430" customFormat="1" x14ac:dyDescent="0.2">
      <c r="A1173" s="364"/>
      <c r="B1173" s="401"/>
      <c r="C1173" s="371"/>
      <c r="D1173" s="384"/>
      <c r="E1173" s="414"/>
      <c r="F1173" s="550"/>
      <c r="G1173" s="372"/>
      <c r="H1173" s="438"/>
      <c r="I1173" s="438"/>
      <c r="J1173" s="438"/>
      <c r="K1173" s="438"/>
      <c r="L1173" s="438"/>
      <c r="M1173" s="438"/>
      <c r="N1173" s="438"/>
    </row>
    <row r="1174" spans="1:14" s="430" customFormat="1" x14ac:dyDescent="0.2">
      <c r="A1174" s="364"/>
      <c r="B1174" s="401"/>
      <c r="C1174" s="371"/>
      <c r="D1174" s="384"/>
      <c r="E1174" s="414"/>
      <c r="F1174" s="550"/>
      <c r="G1174" s="372"/>
      <c r="H1174" s="438"/>
      <c r="I1174" s="438"/>
      <c r="J1174" s="438"/>
      <c r="K1174" s="438"/>
      <c r="L1174" s="438"/>
      <c r="M1174" s="438"/>
      <c r="N1174" s="438"/>
    </row>
    <row r="1175" spans="1:14" s="430" customFormat="1" x14ac:dyDescent="0.2">
      <c r="A1175" s="364"/>
      <c r="B1175" s="401"/>
      <c r="C1175" s="371"/>
      <c r="D1175" s="384"/>
      <c r="E1175" s="414"/>
      <c r="F1175" s="550"/>
      <c r="G1175" s="372"/>
      <c r="H1175" s="438"/>
      <c r="I1175" s="438"/>
      <c r="J1175" s="438"/>
      <c r="K1175" s="438"/>
      <c r="L1175" s="438"/>
      <c r="M1175" s="438"/>
      <c r="N1175" s="438"/>
    </row>
    <row r="1176" spans="1:14" s="430" customFormat="1" x14ac:dyDescent="0.2">
      <c r="A1176" s="364"/>
      <c r="B1176" s="401"/>
      <c r="C1176" s="371"/>
      <c r="D1176" s="376"/>
      <c r="E1176" s="407"/>
      <c r="F1176" s="451"/>
      <c r="G1176" s="372"/>
      <c r="H1176" s="438"/>
      <c r="I1176" s="438"/>
      <c r="J1176" s="438"/>
      <c r="K1176" s="438"/>
      <c r="L1176" s="438"/>
      <c r="M1176" s="438"/>
      <c r="N1176" s="438"/>
    </row>
    <row r="1177" spans="1:14" s="430" customFormat="1" x14ac:dyDescent="0.2">
      <c r="A1177" s="364"/>
      <c r="B1177" s="401"/>
      <c r="C1177" s="371"/>
      <c r="D1177" s="383"/>
      <c r="E1177" s="409"/>
      <c r="F1177" s="451"/>
      <c r="G1177" s="372"/>
      <c r="H1177" s="438"/>
      <c r="I1177" s="438"/>
      <c r="J1177" s="438"/>
      <c r="K1177" s="438"/>
      <c r="L1177" s="438"/>
      <c r="M1177" s="438"/>
      <c r="N1177" s="438"/>
    </row>
    <row r="1178" spans="1:14" s="430" customFormat="1" x14ac:dyDescent="0.2">
      <c r="A1178" s="364"/>
      <c r="B1178" s="401"/>
      <c r="C1178" s="371"/>
      <c r="D1178" s="419"/>
      <c r="E1178" s="409"/>
      <c r="F1178" s="451"/>
      <c r="G1178" s="372"/>
      <c r="H1178" s="438"/>
      <c r="I1178" s="438"/>
      <c r="J1178" s="438"/>
      <c r="K1178" s="438"/>
      <c r="L1178" s="438"/>
      <c r="M1178" s="438"/>
      <c r="N1178" s="438"/>
    </row>
    <row r="1179" spans="1:14" s="430" customFormat="1" x14ac:dyDescent="0.2">
      <c r="A1179" s="364"/>
      <c r="B1179" s="401"/>
      <c r="C1179" s="422"/>
      <c r="D1179" s="419"/>
      <c r="E1179" s="423"/>
      <c r="F1179" s="551"/>
      <c r="G1179" s="372"/>
      <c r="H1179" s="438"/>
      <c r="I1179" s="438"/>
      <c r="J1179" s="438"/>
      <c r="K1179" s="438"/>
      <c r="L1179" s="438"/>
      <c r="M1179" s="438"/>
      <c r="N1179" s="438"/>
    </row>
    <row r="1180" spans="1:14" s="430" customFormat="1" x14ac:dyDescent="0.2">
      <c r="A1180" s="364"/>
      <c r="B1180" s="401"/>
      <c r="C1180" s="371"/>
      <c r="D1180" s="425"/>
      <c r="E1180" s="407"/>
      <c r="F1180" s="552"/>
      <c r="G1180" s="372"/>
      <c r="H1180" s="438"/>
      <c r="I1180" s="438"/>
      <c r="J1180" s="438"/>
      <c r="K1180" s="438"/>
      <c r="L1180" s="438"/>
      <c r="M1180" s="438"/>
      <c r="N1180" s="438"/>
    </row>
    <row r="1181" spans="1:14" s="430" customFormat="1" x14ac:dyDescent="0.2">
      <c r="A1181" s="555"/>
      <c r="B1181" s="401"/>
      <c r="C1181" s="371"/>
      <c r="D1181" s="383"/>
      <c r="E1181" s="407"/>
      <c r="F1181" s="406"/>
      <c r="G1181" s="556" t="s">
        <v>8</v>
      </c>
      <c r="H1181" s="542"/>
      <c r="I1181" s="542"/>
      <c r="J1181" s="542"/>
      <c r="K1181" s="542"/>
      <c r="L1181" s="542"/>
      <c r="M1181" s="542"/>
      <c r="N1181" s="438"/>
    </row>
    <row r="1182" spans="1:14" s="430" customFormat="1" ht="13.5" thickBot="1" x14ac:dyDescent="0.25">
      <c r="A1182" s="553"/>
      <c r="B1182" s="427"/>
      <c r="C1182" s="428"/>
      <c r="D1182" s="428"/>
      <c r="E1182" s="427"/>
      <c r="F1182" s="49" t="s">
        <v>15</v>
      </c>
      <c r="G1182" s="210">
        <f>SUM(G1149:G1181)</f>
        <v>20000.000000000004</v>
      </c>
      <c r="H1182" s="243"/>
      <c r="I1182" s="243"/>
      <c r="J1182" s="243"/>
      <c r="K1182" s="243"/>
      <c r="L1182" s="243"/>
      <c r="M1182" s="243"/>
      <c r="N1182" s="438"/>
    </row>
    <row r="1183" spans="1:14" s="430" customFormat="1" ht="13.5" thickTop="1" x14ac:dyDescent="0.2">
      <c r="A1183" s="875" t="s">
        <v>2106</v>
      </c>
      <c r="B1183" s="876"/>
      <c r="C1183" s="876"/>
      <c r="D1183" s="876"/>
      <c r="E1183" s="876"/>
      <c r="F1183" s="876"/>
      <c r="G1183" s="877"/>
      <c r="H1183" s="377"/>
      <c r="I1183" s="377"/>
      <c r="J1183" s="377"/>
      <c r="K1183" s="377"/>
      <c r="L1183" s="377"/>
      <c r="M1183" s="377"/>
      <c r="N1183" s="438"/>
    </row>
    <row r="1184" spans="1:14" s="430" customFormat="1" ht="13.5" thickBot="1" x14ac:dyDescent="0.25">
      <c r="A1184" s="378"/>
      <c r="B1184" s="374"/>
      <c r="C1184" s="374"/>
      <c r="D1184" s="379"/>
      <c r="E1184" s="374"/>
      <c r="F1184" s="380"/>
      <c r="G1184" s="381"/>
      <c r="N1184" s="438"/>
    </row>
    <row r="1185" spans="1:16" s="430" customFormat="1" ht="13.5" thickTop="1" x14ac:dyDescent="0.2">
      <c r="A1185" s="878"/>
      <c r="B1185" s="879"/>
      <c r="C1185" s="879"/>
      <c r="D1185" s="433" t="s">
        <v>11</v>
      </c>
      <c r="E1185" s="880" t="s">
        <v>12</v>
      </c>
      <c r="F1185" s="880"/>
      <c r="G1185" s="881"/>
      <c r="H1185" s="386"/>
      <c r="I1185" s="386"/>
      <c r="J1185" s="386"/>
      <c r="K1185" s="386"/>
      <c r="L1185" s="386"/>
      <c r="M1185" s="386"/>
      <c r="N1185" s="542"/>
    </row>
    <row r="1186" spans="1:16" s="430" customFormat="1" x14ac:dyDescent="0.2">
      <c r="A1186" s="866" t="s">
        <v>17</v>
      </c>
      <c r="B1186" s="867"/>
      <c r="C1186" s="867"/>
      <c r="D1186" s="434"/>
      <c r="E1186" s="882"/>
      <c r="F1186" s="883"/>
      <c r="G1186" s="884"/>
      <c r="H1186" s="429"/>
      <c r="I1186" s="429"/>
      <c r="J1186" s="429"/>
      <c r="K1186" s="429"/>
      <c r="L1186" s="429"/>
      <c r="M1186" s="429"/>
      <c r="N1186" s="243"/>
    </row>
    <row r="1187" spans="1:16" s="430" customFormat="1" x14ac:dyDescent="0.2">
      <c r="A1187" s="866" t="s">
        <v>38</v>
      </c>
      <c r="B1187" s="867"/>
      <c r="C1187" s="867"/>
      <c r="D1187" s="73" t="s">
        <v>891</v>
      </c>
      <c r="E1187" s="868" t="s">
        <v>142</v>
      </c>
      <c r="F1187" s="868"/>
      <c r="G1187" s="869"/>
      <c r="H1187" s="1"/>
      <c r="I1187" s="1"/>
      <c r="J1187" s="1"/>
      <c r="K1187" s="1"/>
      <c r="L1187" s="1"/>
      <c r="M1187" s="1"/>
      <c r="N1187" s="377"/>
    </row>
    <row r="1188" spans="1:16" s="430" customFormat="1" ht="13.5" thickBot="1" x14ac:dyDescent="0.25">
      <c r="A1188" s="870" t="s">
        <v>39</v>
      </c>
      <c r="B1188" s="871"/>
      <c r="C1188" s="871"/>
      <c r="D1188" s="554" t="s">
        <v>892</v>
      </c>
      <c r="E1188" s="873" t="s">
        <v>0</v>
      </c>
      <c r="F1188" s="873"/>
      <c r="G1188" s="874"/>
      <c r="H1188" s="386"/>
      <c r="I1188" s="386"/>
      <c r="J1188" s="386"/>
      <c r="K1188" s="386"/>
      <c r="L1188" s="386"/>
      <c r="M1188" s="386"/>
    </row>
    <row r="1189" spans="1:16" ht="16.5" x14ac:dyDescent="0.25">
      <c r="A1189" s="885" t="s">
        <v>29</v>
      </c>
      <c r="B1189" s="886"/>
      <c r="C1189" s="886"/>
      <c r="D1189" s="886"/>
      <c r="E1189" s="886"/>
      <c r="F1189" s="886"/>
      <c r="G1189" s="887"/>
      <c r="N1189" s="386"/>
      <c r="O1189" s="430"/>
      <c r="P1189" s="430"/>
    </row>
    <row r="1190" spans="1:16" x14ac:dyDescent="0.2">
      <c r="A1190" s="888" t="s">
        <v>48</v>
      </c>
      <c r="B1190" s="889"/>
      <c r="C1190" s="889"/>
      <c r="D1190" s="889"/>
      <c r="E1190" s="889"/>
      <c r="F1190" s="889"/>
      <c r="G1190" s="890"/>
      <c r="N1190" s="429"/>
      <c r="O1190" s="430"/>
      <c r="P1190" s="430"/>
    </row>
    <row r="1191" spans="1:16" x14ac:dyDescent="0.2">
      <c r="A1191" s="915" t="s">
        <v>49</v>
      </c>
      <c r="B1191" s="916"/>
      <c r="C1191" s="916"/>
      <c r="D1191" s="916"/>
      <c r="E1191" s="916"/>
      <c r="F1191" s="916"/>
      <c r="G1191" s="917"/>
      <c r="N1191" s="1"/>
      <c r="O1191" s="430"/>
      <c r="P1191" s="430"/>
    </row>
    <row r="1192" spans="1:16" x14ac:dyDescent="0.2">
      <c r="A1192" s="6"/>
      <c r="B1192" s="99"/>
      <c r="C1192" s="8"/>
      <c r="D1192" s="9"/>
      <c r="E1192" s="99"/>
      <c r="F1192" s="10"/>
      <c r="G1192" s="11" t="s">
        <v>20</v>
      </c>
      <c r="N1192" s="386"/>
      <c r="O1192" s="430"/>
      <c r="P1192" s="430"/>
    </row>
    <row r="1193" spans="1:16" x14ac:dyDescent="0.2">
      <c r="A1193" s="12" t="s">
        <v>1</v>
      </c>
      <c r="B1193" s="13"/>
      <c r="C1193" s="14" t="s">
        <v>36</v>
      </c>
      <c r="D1193" s="13"/>
      <c r="E1193" s="362" t="s">
        <v>2210</v>
      </c>
      <c r="F1193" s="98"/>
      <c r="G1193" s="363" t="s">
        <v>2163</v>
      </c>
    </row>
    <row r="1194" spans="1:16" x14ac:dyDescent="0.2">
      <c r="A1194" s="17" t="s">
        <v>8</v>
      </c>
      <c r="B1194" s="100"/>
      <c r="C1194" s="19"/>
      <c r="D1194" s="4"/>
      <c r="E1194" s="918"/>
      <c r="F1194" s="919"/>
      <c r="G1194" s="20"/>
    </row>
    <row r="1195" spans="1:16" x14ac:dyDescent="0.2">
      <c r="A1195" s="21" t="s">
        <v>37</v>
      </c>
      <c r="B1195" s="22"/>
      <c r="C1195" s="22"/>
      <c r="D1195" s="22"/>
      <c r="E1195" s="23" t="s">
        <v>46</v>
      </c>
      <c r="F1195" s="24"/>
      <c r="G1195" s="20" t="s">
        <v>50</v>
      </c>
    </row>
    <row r="1196" spans="1:16" x14ac:dyDescent="0.2">
      <c r="A1196" s="6"/>
      <c r="B1196" s="99"/>
      <c r="C1196" s="8"/>
      <c r="D1196" s="8"/>
      <c r="E1196" s="920"/>
      <c r="F1196" s="921"/>
      <c r="G1196" s="25"/>
    </row>
    <row r="1197" spans="1:16" ht="26.25" thickBot="1" x14ac:dyDescent="0.25">
      <c r="A1197" s="207" t="s">
        <v>47</v>
      </c>
      <c r="B1197" s="28" t="s">
        <v>23</v>
      </c>
      <c r="C1197" s="28" t="s">
        <v>34</v>
      </c>
      <c r="D1197" s="110" t="s">
        <v>53</v>
      </c>
      <c r="E1197" s="114" t="s">
        <v>54</v>
      </c>
      <c r="F1197" s="111" t="s">
        <v>55</v>
      </c>
      <c r="G1197" s="112" t="s">
        <v>35</v>
      </c>
    </row>
    <row r="1198" spans="1:16" ht="13.5" thickTop="1" x14ac:dyDescent="0.2">
      <c r="A1198" s="29">
        <v>1</v>
      </c>
      <c r="B1198" s="101"/>
      <c r="C1198" s="371" t="s">
        <v>149</v>
      </c>
      <c r="D1198" s="370" t="s">
        <v>1416</v>
      </c>
      <c r="E1198" s="108">
        <v>55</v>
      </c>
      <c r="F1198" s="149">
        <v>200</v>
      </c>
      <c r="G1198" s="35">
        <f>F1198*E1198</f>
        <v>11000</v>
      </c>
    </row>
    <row r="1199" spans="1:16" x14ac:dyDescent="0.2">
      <c r="A1199" s="29"/>
      <c r="B1199" s="101"/>
      <c r="C1199" s="371"/>
      <c r="D1199" s="370" t="s">
        <v>978</v>
      </c>
      <c r="E1199" s="108"/>
      <c r="F1199" s="149"/>
      <c r="G1199" s="35"/>
    </row>
    <row r="1200" spans="1:16" x14ac:dyDescent="0.2">
      <c r="A1200" s="29">
        <v>2</v>
      </c>
      <c r="B1200" s="105"/>
      <c r="C1200" s="371" t="s">
        <v>149</v>
      </c>
      <c r="D1200" s="376" t="s">
        <v>348</v>
      </c>
      <c r="E1200" s="102">
        <v>55</v>
      </c>
      <c r="F1200" s="128">
        <v>350</v>
      </c>
      <c r="G1200" s="372">
        <f>F1200*E1200</f>
        <v>19250</v>
      </c>
    </row>
    <row r="1201" spans="1:14" x14ac:dyDescent="0.2">
      <c r="A1201" s="29"/>
      <c r="B1201" s="105"/>
      <c r="C1201" s="371"/>
      <c r="D1201" s="376" t="s">
        <v>301</v>
      </c>
      <c r="E1201" s="102"/>
      <c r="F1201" s="128"/>
      <c r="G1201" s="372"/>
    </row>
    <row r="1202" spans="1:14" x14ac:dyDescent="0.2">
      <c r="A1202" s="364"/>
      <c r="B1202" s="105"/>
      <c r="C1202" s="371"/>
      <c r="D1202" s="376"/>
      <c r="E1202" s="409"/>
      <c r="F1202" s="403"/>
      <c r="G1202" s="372"/>
    </row>
    <row r="1203" spans="1:14" x14ac:dyDescent="0.2">
      <c r="A1203" s="29"/>
      <c r="B1203" s="105"/>
      <c r="C1203" s="371"/>
      <c r="D1203" s="376"/>
      <c r="E1203" s="102"/>
      <c r="F1203" s="128"/>
      <c r="G1203" s="372"/>
    </row>
    <row r="1204" spans="1:14" x14ac:dyDescent="0.2">
      <c r="A1204" s="29"/>
      <c r="B1204" s="151"/>
      <c r="C1204" s="119"/>
      <c r="D1204" s="358"/>
      <c r="E1204" s="108"/>
      <c r="F1204" s="264"/>
      <c r="G1204" s="372"/>
    </row>
    <row r="1205" spans="1:14" x14ac:dyDescent="0.2">
      <c r="A1205" s="29"/>
      <c r="B1205" s="101"/>
      <c r="C1205" s="371"/>
      <c r="D1205" s="383"/>
      <c r="E1205" s="104"/>
      <c r="F1205" s="69"/>
      <c r="G1205" s="372"/>
    </row>
    <row r="1206" spans="1:14" x14ac:dyDescent="0.2">
      <c r="A1206" s="29"/>
      <c r="B1206" s="106"/>
      <c r="C1206" s="41"/>
      <c r="D1206" s="376"/>
      <c r="E1206" s="104"/>
      <c r="F1206" s="69"/>
      <c r="G1206" s="372"/>
    </row>
    <row r="1207" spans="1:14" x14ac:dyDescent="0.2">
      <c r="A1207" s="29"/>
      <c r="B1207" s="105"/>
      <c r="C1207" s="371"/>
      <c r="D1207" s="376"/>
      <c r="E1207" s="108"/>
      <c r="F1207" s="265"/>
      <c r="G1207" s="372"/>
    </row>
    <row r="1208" spans="1:14" x14ac:dyDescent="0.2">
      <c r="A1208" s="29"/>
      <c r="B1208" s="107"/>
      <c r="C1208" s="41"/>
      <c r="D1208" s="376"/>
      <c r="E1208" s="153"/>
      <c r="F1208" s="69"/>
      <c r="G1208" s="372"/>
    </row>
    <row r="1209" spans="1:14" x14ac:dyDescent="0.2">
      <c r="A1209" s="29"/>
      <c r="B1209" s="107"/>
      <c r="C1209" s="371"/>
      <c r="D1209" s="384"/>
      <c r="E1209" s="153"/>
      <c r="F1209" s="69"/>
      <c r="G1209" s="372"/>
    </row>
    <row r="1210" spans="1:14" x14ac:dyDescent="0.2">
      <c r="A1210" s="29"/>
      <c r="B1210" s="101"/>
      <c r="C1210" s="41"/>
      <c r="D1210" s="384"/>
      <c r="E1210" s="108"/>
      <c r="F1210" s="451"/>
      <c r="G1210" s="372"/>
    </row>
    <row r="1211" spans="1:14" x14ac:dyDescent="0.2">
      <c r="A1211" s="29"/>
      <c r="B1211" s="101"/>
      <c r="C1211" s="41"/>
      <c r="D1211" s="358" t="s">
        <v>150</v>
      </c>
      <c r="E1211" s="153"/>
      <c r="F1211" s="69"/>
      <c r="G1211" s="372"/>
    </row>
    <row r="1212" spans="1:14" x14ac:dyDescent="0.2">
      <c r="A1212" s="29"/>
      <c r="B1212" s="106"/>
      <c r="C1212" s="371"/>
      <c r="D1212" s="384"/>
      <c r="E1212" s="104"/>
      <c r="F1212" s="266"/>
      <c r="G1212" s="372"/>
    </row>
    <row r="1213" spans="1:14" x14ac:dyDescent="0.2">
      <c r="A1213" s="29"/>
      <c r="B1213" s="105"/>
      <c r="C1213" s="41"/>
      <c r="D1213" s="419"/>
      <c r="E1213" s="104"/>
      <c r="F1213" s="266"/>
      <c r="G1213" s="372"/>
    </row>
    <row r="1214" spans="1:14" x14ac:dyDescent="0.2">
      <c r="A1214" s="29"/>
      <c r="B1214" s="105"/>
      <c r="C1214" s="371"/>
      <c r="D1214" s="384" t="s">
        <v>896</v>
      </c>
      <c r="E1214" s="104"/>
      <c r="F1214" s="266"/>
      <c r="G1214" s="372"/>
      <c r="N1214" s="211"/>
    </row>
    <row r="1215" spans="1:14" x14ac:dyDescent="0.2">
      <c r="A1215" s="29"/>
      <c r="B1215" s="101"/>
      <c r="C1215" s="41"/>
      <c r="D1215" s="384"/>
      <c r="E1215" s="104"/>
      <c r="F1215" s="266"/>
      <c r="G1215" s="372"/>
    </row>
    <row r="1216" spans="1:14" x14ac:dyDescent="0.2">
      <c r="A1216" s="29"/>
      <c r="B1216" s="101"/>
      <c r="C1216" s="371"/>
      <c r="D1216" s="376"/>
      <c r="E1216" s="104"/>
      <c r="F1216" s="266"/>
      <c r="G1216" s="372"/>
      <c r="N1216" s="430" t="s">
        <v>8</v>
      </c>
    </row>
    <row r="1217" spans="1:7" x14ac:dyDescent="0.2">
      <c r="A1217" s="29"/>
      <c r="B1217" s="101"/>
      <c r="C1217" s="41"/>
      <c r="D1217" s="376"/>
      <c r="E1217" s="104"/>
      <c r="F1217" s="266"/>
      <c r="G1217" s="372"/>
    </row>
    <row r="1218" spans="1:7" x14ac:dyDescent="0.2">
      <c r="A1218" s="29"/>
      <c r="B1218" s="101"/>
      <c r="C1218" s="41"/>
      <c r="D1218" s="444"/>
      <c r="E1218" s="104"/>
      <c r="F1218" s="266"/>
      <c r="G1218" s="372"/>
    </row>
    <row r="1219" spans="1:7" x14ac:dyDescent="0.2">
      <c r="A1219" s="29"/>
      <c r="B1219" s="101"/>
      <c r="C1219" s="371"/>
      <c r="D1219" s="384"/>
      <c r="E1219" s="104"/>
      <c r="F1219" s="266"/>
      <c r="G1219" s="372"/>
    </row>
    <row r="1220" spans="1:7" x14ac:dyDescent="0.2">
      <c r="A1220" s="29"/>
      <c r="B1220" s="101"/>
      <c r="C1220" s="41"/>
      <c r="D1220" s="384"/>
      <c r="E1220" s="104"/>
      <c r="F1220" s="266"/>
      <c r="G1220" s="372"/>
    </row>
    <row r="1221" spans="1:7" x14ac:dyDescent="0.2">
      <c r="A1221" s="29"/>
      <c r="B1221" s="101"/>
      <c r="C1221" s="371"/>
      <c r="D1221" s="384"/>
      <c r="E1221" s="104"/>
      <c r="F1221" s="266"/>
      <c r="G1221" s="372"/>
    </row>
    <row r="1222" spans="1:7" x14ac:dyDescent="0.2">
      <c r="A1222" s="29"/>
      <c r="B1222" s="101"/>
      <c r="C1222" s="41"/>
      <c r="D1222" s="384"/>
      <c r="E1222" s="104"/>
      <c r="F1222" s="266"/>
      <c r="G1222" s="372"/>
    </row>
    <row r="1223" spans="1:7" x14ac:dyDescent="0.2">
      <c r="A1223" s="29"/>
      <c r="B1223" s="101"/>
      <c r="C1223" s="371"/>
      <c r="D1223" s="376"/>
      <c r="E1223" s="108"/>
      <c r="F1223" s="69"/>
      <c r="G1223" s="372"/>
    </row>
    <row r="1224" spans="1:7" x14ac:dyDescent="0.2">
      <c r="A1224" s="29"/>
      <c r="B1224" s="101"/>
      <c r="C1224" s="41"/>
      <c r="D1224" s="358"/>
      <c r="E1224" s="153"/>
      <c r="F1224" s="69"/>
      <c r="G1224" s="372"/>
    </row>
    <row r="1225" spans="1:7" x14ac:dyDescent="0.2">
      <c r="A1225" s="29"/>
      <c r="B1225" s="101"/>
      <c r="C1225" s="371"/>
      <c r="D1225" s="419"/>
      <c r="E1225" s="102"/>
      <c r="F1225" s="69"/>
      <c r="G1225" s="372"/>
    </row>
    <row r="1226" spans="1:7" x14ac:dyDescent="0.2">
      <c r="A1226" s="29"/>
      <c r="B1226" s="101"/>
      <c r="C1226" s="371"/>
      <c r="D1226" s="419"/>
      <c r="E1226" s="102"/>
      <c r="F1226" s="69"/>
      <c r="G1226" s="372"/>
    </row>
    <row r="1227" spans="1:7" x14ac:dyDescent="0.2">
      <c r="A1227" s="29"/>
      <c r="B1227" s="101"/>
      <c r="C1227" s="31"/>
      <c r="D1227" s="419"/>
      <c r="E1227" s="131"/>
      <c r="F1227" s="267"/>
      <c r="G1227" s="372"/>
    </row>
    <row r="1228" spans="1:7" x14ac:dyDescent="0.2">
      <c r="A1228" s="29"/>
      <c r="B1228" s="101"/>
      <c r="C1228" s="371"/>
      <c r="D1228" s="425"/>
      <c r="E1228" s="108"/>
      <c r="F1228" s="263"/>
      <c r="G1228" s="372"/>
    </row>
    <row r="1229" spans="1:7" x14ac:dyDescent="0.2">
      <c r="A1229" s="29"/>
      <c r="B1229" s="101"/>
      <c r="C1229" s="41"/>
      <c r="D1229" s="383"/>
      <c r="E1229" s="108"/>
      <c r="F1229" s="263"/>
      <c r="G1229" s="372"/>
    </row>
    <row r="1230" spans="1:7" x14ac:dyDescent="0.2">
      <c r="A1230" s="29"/>
      <c r="B1230" s="101"/>
      <c r="C1230" s="371"/>
      <c r="D1230" s="383"/>
      <c r="E1230" s="108"/>
      <c r="F1230" s="149"/>
      <c r="G1230" s="372"/>
    </row>
    <row r="1231" spans="1:7" x14ac:dyDescent="0.2">
      <c r="A1231" s="61"/>
      <c r="B1231" s="101"/>
      <c r="C1231" s="41"/>
      <c r="D1231" s="383"/>
      <c r="E1231" s="108"/>
      <c r="F1231" s="149"/>
      <c r="G1231" s="372"/>
    </row>
    <row r="1232" spans="1:7" ht="13.5" thickBot="1" x14ac:dyDescent="0.25">
      <c r="A1232" s="209"/>
      <c r="B1232" s="132"/>
      <c r="C1232" s="115"/>
      <c r="D1232" s="115"/>
      <c r="E1232" s="132"/>
      <c r="F1232" s="49" t="s">
        <v>15</v>
      </c>
      <c r="G1232" s="210">
        <f>SUM(G1198:G1231)</f>
        <v>30250</v>
      </c>
    </row>
    <row r="1233" spans="1:7" ht="13.5" thickTop="1" x14ac:dyDescent="0.2">
      <c r="A1233" s="875" t="s">
        <v>2164</v>
      </c>
      <c r="B1233" s="899"/>
      <c r="C1233" s="899"/>
      <c r="D1233" s="899"/>
      <c r="E1233" s="899"/>
      <c r="F1233" s="899"/>
      <c r="G1233" s="900"/>
    </row>
    <row r="1234" spans="1:7" ht="13.5" thickBot="1" x14ac:dyDescent="0.25">
      <c r="A1234" s="52"/>
      <c r="B1234" s="103"/>
      <c r="C1234" s="374" t="s">
        <v>2165</v>
      </c>
      <c r="D1234" s="54"/>
      <c r="E1234" s="103"/>
      <c r="F1234" s="55"/>
      <c r="G1234" s="56"/>
    </row>
    <row r="1235" spans="1:7" ht="13.5" thickTop="1" x14ac:dyDescent="0.2">
      <c r="A1235" s="906"/>
      <c r="B1235" s="907"/>
      <c r="C1235" s="907"/>
      <c r="D1235" s="57" t="s">
        <v>11</v>
      </c>
      <c r="E1235" s="908" t="s">
        <v>12</v>
      </c>
      <c r="F1235" s="908"/>
      <c r="G1235" s="909"/>
    </row>
    <row r="1236" spans="1:7" x14ac:dyDescent="0.2">
      <c r="A1236" s="910" t="s">
        <v>17</v>
      </c>
      <c r="B1236" s="911"/>
      <c r="C1236" s="911"/>
      <c r="D1236" s="39"/>
      <c r="E1236" s="912"/>
      <c r="F1236" s="913"/>
      <c r="G1236" s="914"/>
    </row>
    <row r="1237" spans="1:7" x14ac:dyDescent="0.2">
      <c r="A1237" s="910" t="s">
        <v>38</v>
      </c>
      <c r="B1237" s="911"/>
      <c r="C1237" s="911"/>
      <c r="D1237" s="73" t="s">
        <v>891</v>
      </c>
      <c r="E1237" s="868" t="s">
        <v>142</v>
      </c>
      <c r="F1237" s="868"/>
      <c r="G1237" s="869"/>
    </row>
    <row r="1238" spans="1:7" ht="13.5" thickBot="1" x14ac:dyDescent="0.25">
      <c r="A1238" s="901" t="s">
        <v>39</v>
      </c>
      <c r="B1238" s="902"/>
      <c r="C1238" s="902"/>
      <c r="D1238" s="91" t="s">
        <v>892</v>
      </c>
      <c r="E1238" s="904" t="s">
        <v>0</v>
      </c>
      <c r="F1238" s="904"/>
      <c r="G1238" s="905"/>
    </row>
    <row r="1239" spans="1:7" ht="16.5" x14ac:dyDescent="0.25">
      <c r="A1239" s="885" t="s">
        <v>29</v>
      </c>
      <c r="B1239" s="886"/>
      <c r="C1239" s="886"/>
      <c r="D1239" s="886"/>
      <c r="E1239" s="886"/>
      <c r="F1239" s="886"/>
      <c r="G1239" s="887"/>
    </row>
    <row r="1240" spans="1:7" x14ac:dyDescent="0.2">
      <c r="A1240" s="888" t="s">
        <v>48</v>
      </c>
      <c r="B1240" s="889"/>
      <c r="C1240" s="889"/>
      <c r="D1240" s="889"/>
      <c r="E1240" s="889"/>
      <c r="F1240" s="889"/>
      <c r="G1240" s="890"/>
    </row>
    <row r="1241" spans="1:7" x14ac:dyDescent="0.2">
      <c r="A1241" s="915" t="s">
        <v>49</v>
      </c>
      <c r="B1241" s="916"/>
      <c r="C1241" s="916"/>
      <c r="D1241" s="916"/>
      <c r="E1241" s="916"/>
      <c r="F1241" s="916"/>
      <c r="G1241" s="917"/>
    </row>
    <row r="1242" spans="1:7" x14ac:dyDescent="0.2">
      <c r="A1242" s="6"/>
      <c r="B1242" s="99"/>
      <c r="C1242" s="8"/>
      <c r="D1242" s="9"/>
      <c r="E1242" s="99"/>
      <c r="F1242" s="10"/>
      <c r="G1242" s="11" t="s">
        <v>20</v>
      </c>
    </row>
    <row r="1243" spans="1:7" x14ac:dyDescent="0.2">
      <c r="A1243" s="12" t="s">
        <v>1</v>
      </c>
      <c r="B1243" s="13"/>
      <c r="C1243" s="14" t="s">
        <v>36</v>
      </c>
      <c r="D1243" s="13"/>
      <c r="E1243" s="362" t="s">
        <v>2211</v>
      </c>
      <c r="F1243" s="98"/>
      <c r="G1243" s="363" t="s">
        <v>2163</v>
      </c>
    </row>
    <row r="1244" spans="1:7" x14ac:dyDescent="0.2">
      <c r="A1244" s="17" t="s">
        <v>8</v>
      </c>
      <c r="B1244" s="100"/>
      <c r="C1244" s="19"/>
      <c r="D1244" s="4"/>
      <c r="E1244" s="918"/>
      <c r="F1244" s="919"/>
      <c r="G1244" s="20"/>
    </row>
    <row r="1245" spans="1:7" x14ac:dyDescent="0.2">
      <c r="A1245" s="21" t="s">
        <v>37</v>
      </c>
      <c r="B1245" s="22"/>
      <c r="C1245" s="22"/>
      <c r="D1245" s="22"/>
      <c r="E1245" s="23" t="s">
        <v>46</v>
      </c>
      <c r="F1245" s="24"/>
      <c r="G1245" s="20" t="s">
        <v>50</v>
      </c>
    </row>
    <row r="1246" spans="1:7" x14ac:dyDescent="0.2">
      <c r="A1246" s="6"/>
      <c r="B1246" s="99"/>
      <c r="C1246" s="8"/>
      <c r="D1246" s="8"/>
      <c r="E1246" s="920"/>
      <c r="F1246" s="921"/>
      <c r="G1246" s="25"/>
    </row>
    <row r="1247" spans="1:7" ht="26.25" thickBot="1" x14ac:dyDescent="0.25">
      <c r="A1247" s="207" t="s">
        <v>47</v>
      </c>
      <c r="B1247" s="28" t="s">
        <v>23</v>
      </c>
      <c r="C1247" s="28" t="s">
        <v>34</v>
      </c>
      <c r="D1247" s="110" t="s">
        <v>53</v>
      </c>
      <c r="E1247" s="114" t="s">
        <v>54</v>
      </c>
      <c r="F1247" s="111" t="s">
        <v>55</v>
      </c>
      <c r="G1247" s="112" t="s">
        <v>35</v>
      </c>
    </row>
    <row r="1248" spans="1:7" ht="13.5" thickTop="1" x14ac:dyDescent="0.2">
      <c r="A1248" s="29">
        <v>1</v>
      </c>
      <c r="B1248" s="101"/>
      <c r="C1248" s="371" t="s">
        <v>149</v>
      </c>
      <c r="D1248" s="370" t="s">
        <v>2175</v>
      </c>
      <c r="E1248" s="108">
        <v>40</v>
      </c>
      <c r="F1248" s="149">
        <v>200</v>
      </c>
      <c r="G1248" s="35">
        <f>F1248*E1248</f>
        <v>8000</v>
      </c>
    </row>
    <row r="1249" spans="1:7" x14ac:dyDescent="0.2">
      <c r="A1249" s="29"/>
      <c r="B1249" s="101"/>
      <c r="C1249" s="371"/>
      <c r="D1249" s="370" t="s">
        <v>1423</v>
      </c>
      <c r="E1249" s="108"/>
      <c r="F1249" s="149"/>
      <c r="G1249" s="35"/>
    </row>
    <row r="1250" spans="1:7" x14ac:dyDescent="0.2">
      <c r="A1250" s="29">
        <v>2</v>
      </c>
      <c r="B1250" s="105"/>
      <c r="C1250" s="371" t="s">
        <v>149</v>
      </c>
      <c r="D1250" s="376" t="s">
        <v>348</v>
      </c>
      <c r="E1250" s="102">
        <v>40</v>
      </c>
      <c r="F1250" s="128">
        <v>350</v>
      </c>
      <c r="G1250" s="372">
        <f>F1250*E1250</f>
        <v>14000</v>
      </c>
    </row>
    <row r="1251" spans="1:7" x14ac:dyDescent="0.2">
      <c r="A1251" s="29"/>
      <c r="B1251" s="105"/>
      <c r="C1251" s="371"/>
      <c r="D1251" s="376" t="s">
        <v>301</v>
      </c>
      <c r="E1251" s="102"/>
      <c r="F1251" s="128"/>
      <c r="G1251" s="372"/>
    </row>
    <row r="1252" spans="1:7" x14ac:dyDescent="0.2">
      <c r="A1252" s="364"/>
      <c r="B1252" s="105"/>
      <c r="C1252" s="371"/>
      <c r="D1252" s="376"/>
      <c r="E1252" s="409"/>
      <c r="F1252" s="403"/>
      <c r="G1252" s="372"/>
    </row>
    <row r="1253" spans="1:7" x14ac:dyDescent="0.2">
      <c r="A1253" s="29"/>
      <c r="B1253" s="105"/>
      <c r="C1253" s="371"/>
      <c r="D1253" s="376"/>
      <c r="E1253" s="102"/>
      <c r="F1253" s="128"/>
      <c r="G1253" s="372"/>
    </row>
    <row r="1254" spans="1:7" x14ac:dyDescent="0.2">
      <c r="A1254" s="29"/>
      <c r="B1254" s="151"/>
      <c r="C1254" s="119"/>
      <c r="D1254" s="358"/>
      <c r="E1254" s="108"/>
      <c r="F1254" s="264"/>
      <c r="G1254" s="372"/>
    </row>
    <row r="1255" spans="1:7" x14ac:dyDescent="0.2">
      <c r="A1255" s="29"/>
      <c r="B1255" s="101"/>
      <c r="C1255" s="371"/>
      <c r="D1255" s="383"/>
      <c r="E1255" s="104"/>
      <c r="F1255" s="69"/>
      <c r="G1255" s="372"/>
    </row>
    <row r="1256" spans="1:7" x14ac:dyDescent="0.2">
      <c r="A1256" s="29"/>
      <c r="B1256" s="106"/>
      <c r="C1256" s="41"/>
      <c r="D1256" s="376"/>
      <c r="E1256" s="104"/>
      <c r="F1256" s="69"/>
      <c r="G1256" s="372"/>
    </row>
    <row r="1257" spans="1:7" x14ac:dyDescent="0.2">
      <c r="A1257" s="29"/>
      <c r="B1257" s="105"/>
      <c r="C1257" s="371"/>
      <c r="D1257" s="376"/>
      <c r="E1257" s="108"/>
      <c r="F1257" s="265"/>
      <c r="G1257" s="372"/>
    </row>
    <row r="1258" spans="1:7" x14ac:dyDescent="0.2">
      <c r="A1258" s="29"/>
      <c r="B1258" s="107"/>
      <c r="C1258" s="41"/>
      <c r="D1258" s="376"/>
      <c r="E1258" s="153"/>
      <c r="F1258" s="69"/>
      <c r="G1258" s="372"/>
    </row>
    <row r="1259" spans="1:7" x14ac:dyDescent="0.2">
      <c r="A1259" s="29"/>
      <c r="B1259" s="107"/>
      <c r="C1259" s="371"/>
      <c r="D1259" s="384"/>
      <c r="E1259" s="153"/>
      <c r="F1259" s="69"/>
      <c r="G1259" s="372"/>
    </row>
    <row r="1260" spans="1:7" x14ac:dyDescent="0.2">
      <c r="A1260" s="29"/>
      <c r="B1260" s="101"/>
      <c r="C1260" s="41"/>
      <c r="D1260" s="384"/>
      <c r="E1260" s="108"/>
      <c r="F1260" s="451"/>
      <c r="G1260" s="372"/>
    </row>
    <row r="1261" spans="1:7" x14ac:dyDescent="0.2">
      <c r="A1261" s="29"/>
      <c r="B1261" s="101"/>
      <c r="C1261" s="41"/>
      <c r="D1261" s="358" t="s">
        <v>150</v>
      </c>
      <c r="E1261" s="153"/>
      <c r="F1261" s="69"/>
      <c r="G1261" s="372"/>
    </row>
    <row r="1262" spans="1:7" x14ac:dyDescent="0.2">
      <c r="A1262" s="29"/>
      <c r="B1262" s="106"/>
      <c r="C1262" s="371"/>
      <c r="D1262" s="384"/>
      <c r="E1262" s="104"/>
      <c r="F1262" s="266"/>
      <c r="G1262" s="372"/>
    </row>
    <row r="1263" spans="1:7" x14ac:dyDescent="0.2">
      <c r="A1263" s="29"/>
      <c r="B1263" s="105"/>
      <c r="C1263" s="41"/>
      <c r="D1263" s="419"/>
      <c r="E1263" s="104"/>
      <c r="F1263" s="266"/>
      <c r="G1263" s="372"/>
    </row>
    <row r="1264" spans="1:7" x14ac:dyDescent="0.2">
      <c r="A1264" s="29"/>
      <c r="B1264" s="105"/>
      <c r="C1264" s="371"/>
      <c r="D1264" s="384" t="s">
        <v>896</v>
      </c>
      <c r="E1264" s="104"/>
      <c r="F1264" s="266"/>
      <c r="G1264" s="372"/>
    </row>
    <row r="1265" spans="1:7" x14ac:dyDescent="0.2">
      <c r="A1265" s="29"/>
      <c r="B1265" s="101"/>
      <c r="C1265" s="41"/>
      <c r="D1265" s="384"/>
      <c r="E1265" s="104"/>
      <c r="F1265" s="266"/>
      <c r="G1265" s="372"/>
    </row>
    <row r="1266" spans="1:7" x14ac:dyDescent="0.2">
      <c r="A1266" s="29"/>
      <c r="B1266" s="101"/>
      <c r="C1266" s="371"/>
      <c r="D1266" s="376"/>
      <c r="E1266" s="104"/>
      <c r="F1266" s="266"/>
      <c r="G1266" s="372"/>
    </row>
    <row r="1267" spans="1:7" x14ac:dyDescent="0.2">
      <c r="A1267" s="29"/>
      <c r="B1267" s="101"/>
      <c r="C1267" s="41"/>
      <c r="D1267" s="376"/>
      <c r="E1267" s="104"/>
      <c r="F1267" s="266"/>
      <c r="G1267" s="372"/>
    </row>
    <row r="1268" spans="1:7" x14ac:dyDescent="0.2">
      <c r="A1268" s="29"/>
      <c r="B1268" s="101"/>
      <c r="C1268" s="41"/>
      <c r="D1268" s="444"/>
      <c r="E1268" s="104"/>
      <c r="F1268" s="266"/>
      <c r="G1268" s="372"/>
    </row>
    <row r="1269" spans="1:7" x14ac:dyDescent="0.2">
      <c r="A1269" s="29"/>
      <c r="B1269" s="101"/>
      <c r="C1269" s="371"/>
      <c r="D1269" s="384"/>
      <c r="E1269" s="104"/>
      <c r="F1269" s="266"/>
      <c r="G1269" s="372"/>
    </row>
    <row r="1270" spans="1:7" x14ac:dyDescent="0.2">
      <c r="A1270" s="29"/>
      <c r="B1270" s="101"/>
      <c r="C1270" s="41"/>
      <c r="D1270" s="384"/>
      <c r="E1270" s="104"/>
      <c r="F1270" s="266"/>
      <c r="G1270" s="372"/>
    </row>
    <row r="1271" spans="1:7" x14ac:dyDescent="0.2">
      <c r="A1271" s="29"/>
      <c r="B1271" s="101"/>
      <c r="C1271" s="371"/>
      <c r="D1271" s="384"/>
      <c r="E1271" s="104"/>
      <c r="F1271" s="266"/>
      <c r="G1271" s="372"/>
    </row>
    <row r="1272" spans="1:7" x14ac:dyDescent="0.2">
      <c r="A1272" s="29"/>
      <c r="B1272" s="101"/>
      <c r="C1272" s="41"/>
      <c r="D1272" s="384"/>
      <c r="E1272" s="104"/>
      <c r="F1272" s="266"/>
      <c r="G1272" s="372"/>
    </row>
    <row r="1273" spans="1:7" x14ac:dyDescent="0.2">
      <c r="A1273" s="29"/>
      <c r="B1273" s="101"/>
      <c r="C1273" s="371"/>
      <c r="D1273" s="376"/>
      <c r="E1273" s="108"/>
      <c r="F1273" s="69"/>
      <c r="G1273" s="372"/>
    </row>
    <row r="1274" spans="1:7" x14ac:dyDescent="0.2">
      <c r="A1274" s="29"/>
      <c r="B1274" s="101"/>
      <c r="C1274" s="41"/>
      <c r="D1274" s="358"/>
      <c r="E1274" s="153"/>
      <c r="F1274" s="69"/>
      <c r="G1274" s="372"/>
    </row>
    <row r="1275" spans="1:7" x14ac:dyDescent="0.2">
      <c r="A1275" s="29"/>
      <c r="B1275" s="101"/>
      <c r="C1275" s="371"/>
      <c r="D1275" s="419"/>
      <c r="E1275" s="102"/>
      <c r="F1275" s="69"/>
      <c r="G1275" s="372"/>
    </row>
    <row r="1276" spans="1:7" x14ac:dyDescent="0.2">
      <c r="A1276" s="29"/>
      <c r="B1276" s="101"/>
      <c r="C1276" s="371"/>
      <c r="D1276" s="419"/>
      <c r="E1276" s="102"/>
      <c r="F1276" s="69"/>
      <c r="G1276" s="372"/>
    </row>
    <row r="1277" spans="1:7" x14ac:dyDescent="0.2">
      <c r="A1277" s="29"/>
      <c r="B1277" s="101"/>
      <c r="C1277" s="31"/>
      <c r="D1277" s="419"/>
      <c r="E1277" s="131"/>
      <c r="F1277" s="267"/>
      <c r="G1277" s="372"/>
    </row>
    <row r="1278" spans="1:7" x14ac:dyDescent="0.2">
      <c r="A1278" s="29"/>
      <c r="B1278" s="101"/>
      <c r="C1278" s="371"/>
      <c r="D1278" s="425"/>
      <c r="E1278" s="108"/>
      <c r="F1278" s="263"/>
      <c r="G1278" s="372"/>
    </row>
    <row r="1279" spans="1:7" x14ac:dyDescent="0.2">
      <c r="A1279" s="29"/>
      <c r="B1279" s="101"/>
      <c r="C1279" s="41"/>
      <c r="D1279" s="383"/>
      <c r="E1279" s="108"/>
      <c r="F1279" s="263"/>
      <c r="G1279" s="372"/>
    </row>
    <row r="1280" spans="1:7" x14ac:dyDescent="0.2">
      <c r="A1280" s="29"/>
      <c r="B1280" s="101"/>
      <c r="C1280" s="371"/>
      <c r="D1280" s="383"/>
      <c r="E1280" s="108"/>
      <c r="F1280" s="149"/>
      <c r="G1280" s="372"/>
    </row>
    <row r="1281" spans="1:7" x14ac:dyDescent="0.2">
      <c r="A1281" s="61"/>
      <c r="B1281" s="101"/>
      <c r="C1281" s="41"/>
      <c r="D1281" s="383"/>
      <c r="E1281" s="108"/>
      <c r="F1281" s="149"/>
      <c r="G1281" s="372"/>
    </row>
    <row r="1282" spans="1:7" ht="13.5" thickBot="1" x14ac:dyDescent="0.25">
      <c r="A1282" s="209"/>
      <c r="B1282" s="132"/>
      <c r="C1282" s="115"/>
      <c r="D1282" s="115"/>
      <c r="E1282" s="132"/>
      <c r="F1282" s="49" t="s">
        <v>15</v>
      </c>
      <c r="G1282" s="210">
        <f>SUM(G1248:G1281)</f>
        <v>22000</v>
      </c>
    </row>
    <row r="1283" spans="1:7" ht="13.5" thickTop="1" x14ac:dyDescent="0.2">
      <c r="A1283" s="875" t="s">
        <v>2177</v>
      </c>
      <c r="B1283" s="899"/>
      <c r="C1283" s="899"/>
      <c r="D1283" s="899"/>
      <c r="E1283" s="899"/>
      <c r="F1283" s="899"/>
      <c r="G1283" s="900"/>
    </row>
    <row r="1284" spans="1:7" ht="13.5" thickBot="1" x14ac:dyDescent="0.25">
      <c r="A1284" s="52"/>
      <c r="B1284" s="103"/>
      <c r="C1284" s="374" t="s">
        <v>2176</v>
      </c>
      <c r="D1284" s="54"/>
      <c r="E1284" s="103"/>
      <c r="F1284" s="55"/>
      <c r="G1284" s="56"/>
    </row>
    <row r="1285" spans="1:7" ht="13.5" thickTop="1" x14ac:dyDescent="0.2">
      <c r="A1285" s="906"/>
      <c r="B1285" s="907"/>
      <c r="C1285" s="907"/>
      <c r="D1285" s="57" t="s">
        <v>11</v>
      </c>
      <c r="E1285" s="908" t="s">
        <v>12</v>
      </c>
      <c r="F1285" s="908"/>
      <c r="G1285" s="909"/>
    </row>
    <row r="1286" spans="1:7" x14ac:dyDescent="0.2">
      <c r="A1286" s="910" t="s">
        <v>17</v>
      </c>
      <c r="B1286" s="911"/>
      <c r="C1286" s="911"/>
      <c r="D1286" s="39"/>
      <c r="E1286" s="912"/>
      <c r="F1286" s="913"/>
      <c r="G1286" s="914"/>
    </row>
    <row r="1287" spans="1:7" x14ac:dyDescent="0.2">
      <c r="A1287" s="910" t="s">
        <v>38</v>
      </c>
      <c r="B1287" s="911"/>
      <c r="C1287" s="911"/>
      <c r="D1287" s="73" t="s">
        <v>891</v>
      </c>
      <c r="E1287" s="868" t="s">
        <v>142</v>
      </c>
      <c r="F1287" s="868"/>
      <c r="G1287" s="869"/>
    </row>
    <row r="1288" spans="1:7" ht="13.5" thickBot="1" x14ac:dyDescent="0.25">
      <c r="A1288" s="901" t="s">
        <v>39</v>
      </c>
      <c r="B1288" s="902"/>
      <c r="C1288" s="902"/>
      <c r="D1288" s="91" t="s">
        <v>892</v>
      </c>
      <c r="E1288" s="904" t="s">
        <v>0</v>
      </c>
      <c r="F1288" s="904"/>
      <c r="G1288" s="905"/>
    </row>
    <row r="1289" spans="1:7" ht="16.5" x14ac:dyDescent="0.25">
      <c r="A1289" s="885" t="s">
        <v>29</v>
      </c>
      <c r="B1289" s="886"/>
      <c r="C1289" s="886"/>
      <c r="D1289" s="886"/>
      <c r="E1289" s="886"/>
      <c r="F1289" s="886"/>
      <c r="G1289" s="887"/>
    </row>
    <row r="1290" spans="1:7" x14ac:dyDescent="0.2">
      <c r="A1290" s="888" t="s">
        <v>48</v>
      </c>
      <c r="B1290" s="889"/>
      <c r="C1290" s="889"/>
      <c r="D1290" s="889"/>
      <c r="E1290" s="889"/>
      <c r="F1290" s="889"/>
      <c r="G1290" s="890"/>
    </row>
    <row r="1291" spans="1:7" x14ac:dyDescent="0.2">
      <c r="A1291" s="915" t="s">
        <v>49</v>
      </c>
      <c r="B1291" s="916"/>
      <c r="C1291" s="916"/>
      <c r="D1291" s="916"/>
      <c r="E1291" s="916"/>
      <c r="F1291" s="916"/>
      <c r="G1291" s="917"/>
    </row>
    <row r="1292" spans="1:7" x14ac:dyDescent="0.2">
      <c r="A1292" s="6"/>
      <c r="B1292" s="99"/>
      <c r="C1292" s="8"/>
      <c r="D1292" s="9"/>
      <c r="E1292" s="99"/>
      <c r="F1292" s="10"/>
      <c r="G1292" s="11" t="s">
        <v>20</v>
      </c>
    </row>
    <row r="1293" spans="1:7" x14ac:dyDescent="0.2">
      <c r="A1293" s="12" t="s">
        <v>1</v>
      </c>
      <c r="B1293" s="13"/>
      <c r="C1293" s="14" t="s">
        <v>36</v>
      </c>
      <c r="D1293" s="13"/>
      <c r="E1293" s="362" t="s">
        <v>2212</v>
      </c>
      <c r="F1293" s="98"/>
      <c r="G1293" s="363" t="s">
        <v>2163</v>
      </c>
    </row>
    <row r="1294" spans="1:7" x14ac:dyDescent="0.2">
      <c r="A1294" s="17" t="s">
        <v>8</v>
      </c>
      <c r="B1294" s="100"/>
      <c r="C1294" s="19"/>
      <c r="D1294" s="4"/>
      <c r="E1294" s="918"/>
      <c r="F1294" s="919"/>
      <c r="G1294" s="20"/>
    </row>
    <row r="1295" spans="1:7" x14ac:dyDescent="0.2">
      <c r="A1295" s="21" t="s">
        <v>37</v>
      </c>
      <c r="B1295" s="22"/>
      <c r="C1295" s="22"/>
      <c r="D1295" s="22"/>
      <c r="E1295" s="23" t="s">
        <v>46</v>
      </c>
      <c r="F1295" s="24"/>
      <c r="G1295" s="20" t="s">
        <v>50</v>
      </c>
    </row>
    <row r="1296" spans="1:7" x14ac:dyDescent="0.2">
      <c r="A1296" s="6"/>
      <c r="B1296" s="99"/>
      <c r="C1296" s="8"/>
      <c r="D1296" s="8"/>
      <c r="E1296" s="920"/>
      <c r="F1296" s="921"/>
      <c r="G1296" s="25"/>
    </row>
    <row r="1297" spans="1:7" ht="26.25" thickBot="1" x14ac:dyDescent="0.25">
      <c r="A1297" s="207" t="s">
        <v>47</v>
      </c>
      <c r="B1297" s="28" t="s">
        <v>23</v>
      </c>
      <c r="C1297" s="28" t="s">
        <v>34</v>
      </c>
      <c r="D1297" s="110" t="s">
        <v>53</v>
      </c>
      <c r="E1297" s="114" t="s">
        <v>54</v>
      </c>
      <c r="F1297" s="111" t="s">
        <v>55</v>
      </c>
      <c r="G1297" s="112" t="s">
        <v>35</v>
      </c>
    </row>
    <row r="1298" spans="1:7" ht="13.5" thickTop="1" x14ac:dyDescent="0.2">
      <c r="A1298" s="29">
        <v>1</v>
      </c>
      <c r="B1298" s="101"/>
      <c r="C1298" s="371" t="s">
        <v>149</v>
      </c>
      <c r="D1298" s="370" t="s">
        <v>1416</v>
      </c>
      <c r="E1298" s="108">
        <v>40</v>
      </c>
      <c r="F1298" s="149">
        <v>200</v>
      </c>
      <c r="G1298" s="35">
        <f>F1298*E1298</f>
        <v>8000</v>
      </c>
    </row>
    <row r="1299" spans="1:7" x14ac:dyDescent="0.2">
      <c r="A1299" s="29"/>
      <c r="B1299" s="101"/>
      <c r="C1299" s="371"/>
      <c r="D1299" s="370" t="s">
        <v>978</v>
      </c>
      <c r="E1299" s="108"/>
      <c r="F1299" s="149"/>
      <c r="G1299" s="35"/>
    </row>
    <row r="1300" spans="1:7" x14ac:dyDescent="0.2">
      <c r="A1300" s="29">
        <v>2</v>
      </c>
      <c r="B1300" s="105"/>
      <c r="C1300" s="371" t="s">
        <v>149</v>
      </c>
      <c r="D1300" s="376" t="s">
        <v>348</v>
      </c>
      <c r="E1300" s="102">
        <v>40</v>
      </c>
      <c r="F1300" s="128">
        <v>350</v>
      </c>
      <c r="G1300" s="372">
        <f>F1300*E1300</f>
        <v>14000</v>
      </c>
    </row>
    <row r="1301" spans="1:7" x14ac:dyDescent="0.2">
      <c r="A1301" s="29"/>
      <c r="B1301" s="105"/>
      <c r="C1301" s="371"/>
      <c r="D1301" s="376" t="s">
        <v>301</v>
      </c>
      <c r="E1301" s="102"/>
      <c r="F1301" s="128"/>
      <c r="G1301" s="372"/>
    </row>
    <row r="1302" spans="1:7" x14ac:dyDescent="0.2">
      <c r="A1302" s="364"/>
      <c r="B1302" s="105"/>
      <c r="C1302" s="371"/>
      <c r="D1302" s="376"/>
      <c r="E1302" s="409"/>
      <c r="F1302" s="403"/>
      <c r="G1302" s="372"/>
    </row>
    <row r="1303" spans="1:7" x14ac:dyDescent="0.2">
      <c r="A1303" s="29"/>
      <c r="B1303" s="105"/>
      <c r="C1303" s="371"/>
      <c r="D1303" s="376"/>
      <c r="E1303" s="102"/>
      <c r="F1303" s="128"/>
      <c r="G1303" s="372"/>
    </row>
    <row r="1304" spans="1:7" x14ac:dyDescent="0.2">
      <c r="A1304" s="29"/>
      <c r="B1304" s="151"/>
      <c r="C1304" s="119"/>
      <c r="D1304" s="358"/>
      <c r="E1304" s="108"/>
      <c r="F1304" s="264"/>
      <c r="G1304" s="372"/>
    </row>
    <row r="1305" spans="1:7" x14ac:dyDescent="0.2">
      <c r="A1305" s="29"/>
      <c r="B1305" s="101"/>
      <c r="C1305" s="371"/>
      <c r="D1305" s="383"/>
      <c r="E1305" s="104"/>
      <c r="F1305" s="69"/>
      <c r="G1305" s="372"/>
    </row>
    <row r="1306" spans="1:7" x14ac:dyDescent="0.2">
      <c r="A1306" s="29"/>
      <c r="B1306" s="106"/>
      <c r="C1306" s="41"/>
      <c r="D1306" s="376"/>
      <c r="E1306" s="104"/>
      <c r="F1306" s="69"/>
      <c r="G1306" s="372"/>
    </row>
    <row r="1307" spans="1:7" x14ac:dyDescent="0.2">
      <c r="A1307" s="29"/>
      <c r="B1307" s="105"/>
      <c r="C1307" s="371"/>
      <c r="D1307" s="376"/>
      <c r="E1307" s="108"/>
      <c r="F1307" s="265"/>
      <c r="G1307" s="372"/>
    </row>
    <row r="1308" spans="1:7" x14ac:dyDescent="0.2">
      <c r="A1308" s="29"/>
      <c r="B1308" s="107"/>
      <c r="C1308" s="41"/>
      <c r="D1308" s="376"/>
      <c r="E1308" s="153"/>
      <c r="F1308" s="69"/>
      <c r="G1308" s="372"/>
    </row>
    <row r="1309" spans="1:7" x14ac:dyDescent="0.2">
      <c r="A1309" s="29"/>
      <c r="B1309" s="107"/>
      <c r="C1309" s="371"/>
      <c r="D1309" s="384"/>
      <c r="E1309" s="153"/>
      <c r="F1309" s="69"/>
      <c r="G1309" s="372"/>
    </row>
    <row r="1310" spans="1:7" x14ac:dyDescent="0.2">
      <c r="A1310" s="29"/>
      <c r="B1310" s="101"/>
      <c r="C1310" s="41"/>
      <c r="D1310" s="384"/>
      <c r="E1310" s="108"/>
      <c r="F1310" s="451"/>
      <c r="G1310" s="372"/>
    </row>
    <row r="1311" spans="1:7" x14ac:dyDescent="0.2">
      <c r="A1311" s="29"/>
      <c r="B1311" s="101"/>
      <c r="C1311" s="41"/>
      <c r="D1311" s="358" t="s">
        <v>150</v>
      </c>
      <c r="E1311" s="153"/>
      <c r="F1311" s="69"/>
      <c r="G1311" s="372"/>
    </row>
    <row r="1312" spans="1:7" x14ac:dyDescent="0.2">
      <c r="A1312" s="29"/>
      <c r="B1312" s="106"/>
      <c r="C1312" s="371"/>
      <c r="D1312" s="384"/>
      <c r="E1312" s="104"/>
      <c r="F1312" s="266"/>
      <c r="G1312" s="372"/>
    </row>
    <row r="1313" spans="1:7" x14ac:dyDescent="0.2">
      <c r="A1313" s="29"/>
      <c r="B1313" s="105"/>
      <c r="C1313" s="41"/>
      <c r="D1313" s="419"/>
      <c r="E1313" s="104"/>
      <c r="F1313" s="266"/>
      <c r="G1313" s="372"/>
    </row>
    <row r="1314" spans="1:7" x14ac:dyDescent="0.2">
      <c r="A1314" s="29"/>
      <c r="B1314" s="105"/>
      <c r="C1314" s="371"/>
      <c r="D1314" s="384" t="s">
        <v>896</v>
      </c>
      <c r="E1314" s="104"/>
      <c r="F1314" s="266"/>
      <c r="G1314" s="372"/>
    </row>
    <row r="1315" spans="1:7" x14ac:dyDescent="0.2">
      <c r="A1315" s="29"/>
      <c r="B1315" s="101"/>
      <c r="C1315" s="41"/>
      <c r="D1315" s="384"/>
      <c r="E1315" s="104"/>
      <c r="F1315" s="266"/>
      <c r="G1315" s="372"/>
    </row>
    <row r="1316" spans="1:7" x14ac:dyDescent="0.2">
      <c r="A1316" s="29"/>
      <c r="B1316" s="101"/>
      <c r="C1316" s="371"/>
      <c r="D1316" s="376"/>
      <c r="E1316" s="104"/>
      <c r="F1316" s="266"/>
      <c r="G1316" s="372"/>
    </row>
    <row r="1317" spans="1:7" x14ac:dyDescent="0.2">
      <c r="A1317" s="29"/>
      <c r="B1317" s="101"/>
      <c r="C1317" s="41"/>
      <c r="D1317" s="376"/>
      <c r="E1317" s="104"/>
      <c r="F1317" s="266"/>
      <c r="G1317" s="372"/>
    </row>
    <row r="1318" spans="1:7" x14ac:dyDescent="0.2">
      <c r="A1318" s="29"/>
      <c r="B1318" s="101"/>
      <c r="C1318" s="41"/>
      <c r="D1318" s="444"/>
      <c r="E1318" s="104"/>
      <c r="F1318" s="266"/>
      <c r="G1318" s="372"/>
    </row>
    <row r="1319" spans="1:7" x14ac:dyDescent="0.2">
      <c r="A1319" s="29"/>
      <c r="B1319" s="101"/>
      <c r="C1319" s="371"/>
      <c r="D1319" s="384"/>
      <c r="E1319" s="104"/>
      <c r="F1319" s="266"/>
      <c r="G1319" s="372"/>
    </row>
    <row r="1320" spans="1:7" x14ac:dyDescent="0.2">
      <c r="A1320" s="29"/>
      <c r="B1320" s="101"/>
      <c r="C1320" s="41"/>
      <c r="D1320" s="384"/>
      <c r="E1320" s="104"/>
      <c r="F1320" s="266"/>
      <c r="G1320" s="372"/>
    </row>
    <row r="1321" spans="1:7" x14ac:dyDescent="0.2">
      <c r="A1321" s="29"/>
      <c r="B1321" s="101"/>
      <c r="C1321" s="371"/>
      <c r="D1321" s="384"/>
      <c r="E1321" s="104"/>
      <c r="F1321" s="266"/>
      <c r="G1321" s="372"/>
    </row>
    <row r="1322" spans="1:7" x14ac:dyDescent="0.2">
      <c r="A1322" s="29"/>
      <c r="B1322" s="101"/>
      <c r="C1322" s="41"/>
      <c r="D1322" s="384"/>
      <c r="E1322" s="104"/>
      <c r="F1322" s="266"/>
      <c r="G1322" s="372"/>
    </row>
    <row r="1323" spans="1:7" x14ac:dyDescent="0.2">
      <c r="A1323" s="29"/>
      <c r="B1323" s="101"/>
      <c r="C1323" s="371"/>
      <c r="D1323" s="376"/>
      <c r="E1323" s="108"/>
      <c r="F1323" s="69"/>
      <c r="G1323" s="372"/>
    </row>
    <row r="1324" spans="1:7" x14ac:dyDescent="0.2">
      <c r="A1324" s="29"/>
      <c r="B1324" s="101"/>
      <c r="C1324" s="41"/>
      <c r="D1324" s="358"/>
      <c r="E1324" s="153"/>
      <c r="F1324" s="69"/>
      <c r="G1324" s="372"/>
    </row>
    <row r="1325" spans="1:7" x14ac:dyDescent="0.2">
      <c r="A1325" s="29"/>
      <c r="B1325" s="101"/>
      <c r="C1325" s="371"/>
      <c r="D1325" s="419"/>
      <c r="E1325" s="102"/>
      <c r="F1325" s="69"/>
      <c r="G1325" s="372"/>
    </row>
    <row r="1326" spans="1:7" x14ac:dyDescent="0.2">
      <c r="A1326" s="29"/>
      <c r="B1326" s="101"/>
      <c r="C1326" s="371"/>
      <c r="D1326" s="419"/>
      <c r="E1326" s="102"/>
      <c r="F1326" s="69"/>
      <c r="G1326" s="372"/>
    </row>
    <row r="1327" spans="1:7" x14ac:dyDescent="0.2">
      <c r="A1327" s="29"/>
      <c r="B1327" s="101"/>
      <c r="C1327" s="31"/>
      <c r="D1327" s="419"/>
      <c r="E1327" s="131"/>
      <c r="F1327" s="267"/>
      <c r="G1327" s="372"/>
    </row>
    <row r="1328" spans="1:7" x14ac:dyDescent="0.2">
      <c r="A1328" s="29"/>
      <c r="B1328" s="101"/>
      <c r="C1328" s="371"/>
      <c r="D1328" s="425"/>
      <c r="E1328" s="108"/>
      <c r="F1328" s="263"/>
      <c r="G1328" s="372"/>
    </row>
    <row r="1329" spans="1:7" x14ac:dyDescent="0.2">
      <c r="A1329" s="29"/>
      <c r="B1329" s="101"/>
      <c r="C1329" s="41"/>
      <c r="D1329" s="383"/>
      <c r="E1329" s="108"/>
      <c r="F1329" s="263"/>
      <c r="G1329" s="372"/>
    </row>
    <row r="1330" spans="1:7" x14ac:dyDescent="0.2">
      <c r="A1330" s="29"/>
      <c r="B1330" s="101"/>
      <c r="C1330" s="371"/>
      <c r="D1330" s="383"/>
      <c r="E1330" s="108"/>
      <c r="F1330" s="149"/>
      <c r="G1330" s="372"/>
    </row>
    <row r="1331" spans="1:7" x14ac:dyDescent="0.2">
      <c r="A1331" s="61"/>
      <c r="B1331" s="101"/>
      <c r="C1331" s="41"/>
      <c r="D1331" s="383"/>
      <c r="E1331" s="108"/>
      <c r="F1331" s="149"/>
      <c r="G1331" s="372"/>
    </row>
    <row r="1332" spans="1:7" ht="13.5" thickBot="1" x14ac:dyDescent="0.25">
      <c r="A1332" s="209"/>
      <c r="B1332" s="132"/>
      <c r="C1332" s="115"/>
      <c r="D1332" s="115"/>
      <c r="E1332" s="132"/>
      <c r="F1332" s="49" t="s">
        <v>15</v>
      </c>
      <c r="G1332" s="210">
        <f>SUM(G1298:G1331)</f>
        <v>22000</v>
      </c>
    </row>
    <row r="1333" spans="1:7" ht="13.5" thickTop="1" x14ac:dyDescent="0.2">
      <c r="A1333" s="875" t="s">
        <v>2166</v>
      </c>
      <c r="B1333" s="899"/>
      <c r="C1333" s="899"/>
      <c r="D1333" s="899"/>
      <c r="E1333" s="899"/>
      <c r="F1333" s="899"/>
      <c r="G1333" s="900"/>
    </row>
    <row r="1334" spans="1:7" ht="13.5" thickBot="1" x14ac:dyDescent="0.25">
      <c r="A1334" s="52"/>
      <c r="B1334" s="103"/>
      <c r="C1334" s="374" t="s">
        <v>1543</v>
      </c>
      <c r="D1334" s="54"/>
      <c r="E1334" s="103"/>
      <c r="F1334" s="55"/>
      <c r="G1334" s="56"/>
    </row>
    <row r="1335" spans="1:7" ht="13.5" thickTop="1" x14ac:dyDescent="0.2">
      <c r="A1335" s="906"/>
      <c r="B1335" s="907"/>
      <c r="C1335" s="907"/>
      <c r="D1335" s="57" t="s">
        <v>11</v>
      </c>
      <c r="E1335" s="908" t="s">
        <v>12</v>
      </c>
      <c r="F1335" s="908"/>
      <c r="G1335" s="909"/>
    </row>
    <row r="1336" spans="1:7" x14ac:dyDescent="0.2">
      <c r="A1336" s="910" t="s">
        <v>17</v>
      </c>
      <c r="B1336" s="911"/>
      <c r="C1336" s="911"/>
      <c r="D1336" s="39"/>
      <c r="E1336" s="912"/>
      <c r="F1336" s="913"/>
      <c r="G1336" s="914"/>
    </row>
    <row r="1337" spans="1:7" x14ac:dyDescent="0.2">
      <c r="A1337" s="910" t="s">
        <v>38</v>
      </c>
      <c r="B1337" s="911"/>
      <c r="C1337" s="911"/>
      <c r="D1337" s="73" t="s">
        <v>891</v>
      </c>
      <c r="E1337" s="868" t="s">
        <v>142</v>
      </c>
      <c r="F1337" s="868"/>
      <c r="G1337" s="869"/>
    </row>
    <row r="1338" spans="1:7" ht="13.5" thickBot="1" x14ac:dyDescent="0.25">
      <c r="A1338" s="901" t="s">
        <v>39</v>
      </c>
      <c r="B1338" s="902"/>
      <c r="C1338" s="902"/>
      <c r="D1338" s="91" t="s">
        <v>892</v>
      </c>
      <c r="E1338" s="904" t="s">
        <v>0</v>
      </c>
      <c r="F1338" s="904"/>
      <c r="G1338" s="905"/>
    </row>
    <row r="1339" spans="1:7" ht="16.5" x14ac:dyDescent="0.25">
      <c r="A1339" s="885" t="s">
        <v>29</v>
      </c>
      <c r="B1339" s="886"/>
      <c r="C1339" s="886"/>
      <c r="D1339" s="886"/>
      <c r="E1339" s="886"/>
      <c r="F1339" s="886"/>
      <c r="G1339" s="887"/>
    </row>
    <row r="1340" spans="1:7" x14ac:dyDescent="0.2">
      <c r="A1340" s="888" t="s">
        <v>48</v>
      </c>
      <c r="B1340" s="889"/>
      <c r="C1340" s="889"/>
      <c r="D1340" s="889"/>
      <c r="E1340" s="889"/>
      <c r="F1340" s="889"/>
      <c r="G1340" s="890"/>
    </row>
    <row r="1341" spans="1:7" x14ac:dyDescent="0.2">
      <c r="A1341" s="915" t="s">
        <v>49</v>
      </c>
      <c r="B1341" s="916"/>
      <c r="C1341" s="916"/>
      <c r="D1341" s="916"/>
      <c r="E1341" s="916"/>
      <c r="F1341" s="916"/>
      <c r="G1341" s="917"/>
    </row>
    <row r="1342" spans="1:7" x14ac:dyDescent="0.2">
      <c r="A1342" s="6"/>
      <c r="B1342" s="99"/>
      <c r="C1342" s="8"/>
      <c r="D1342" s="9"/>
      <c r="E1342" s="99"/>
      <c r="F1342" s="10"/>
      <c r="G1342" s="11" t="s">
        <v>20</v>
      </c>
    </row>
    <row r="1343" spans="1:7" x14ac:dyDescent="0.2">
      <c r="A1343" s="12" t="s">
        <v>1</v>
      </c>
      <c r="B1343" s="13"/>
      <c r="C1343" s="14" t="s">
        <v>36</v>
      </c>
      <c r="D1343" s="13"/>
      <c r="E1343" s="362" t="s">
        <v>2213</v>
      </c>
      <c r="F1343" s="98"/>
      <c r="G1343" s="363" t="s">
        <v>2163</v>
      </c>
    </row>
    <row r="1344" spans="1:7" x14ac:dyDescent="0.2">
      <c r="A1344" s="17" t="s">
        <v>8</v>
      </c>
      <c r="B1344" s="100"/>
      <c r="C1344" s="19"/>
      <c r="D1344" s="4"/>
      <c r="E1344" s="918"/>
      <c r="F1344" s="919"/>
      <c r="G1344" s="20"/>
    </row>
    <row r="1345" spans="1:10" x14ac:dyDescent="0.2">
      <c r="A1345" s="21" t="s">
        <v>37</v>
      </c>
      <c r="B1345" s="22"/>
      <c r="C1345" s="22"/>
      <c r="D1345" s="22"/>
      <c r="E1345" s="23" t="s">
        <v>46</v>
      </c>
      <c r="F1345" s="24"/>
      <c r="G1345" s="20" t="s">
        <v>50</v>
      </c>
    </row>
    <row r="1346" spans="1:10" x14ac:dyDescent="0.2">
      <c r="A1346" s="6"/>
      <c r="B1346" s="99"/>
      <c r="C1346" s="8"/>
      <c r="D1346" s="8"/>
      <c r="E1346" s="920"/>
      <c r="F1346" s="921"/>
      <c r="G1346" s="25"/>
    </row>
    <row r="1347" spans="1:10" ht="26.25" thickBot="1" x14ac:dyDescent="0.25">
      <c r="A1347" s="207" t="s">
        <v>47</v>
      </c>
      <c r="B1347" s="28" t="s">
        <v>23</v>
      </c>
      <c r="C1347" s="28" t="s">
        <v>34</v>
      </c>
      <c r="D1347" s="110" t="s">
        <v>53</v>
      </c>
      <c r="E1347" s="114" t="s">
        <v>54</v>
      </c>
      <c r="F1347" s="111" t="s">
        <v>55</v>
      </c>
      <c r="G1347" s="112" t="s">
        <v>35</v>
      </c>
    </row>
    <row r="1348" spans="1:10" ht="13.5" thickTop="1" x14ac:dyDescent="0.2">
      <c r="A1348" s="29">
        <v>1</v>
      </c>
      <c r="B1348" s="101"/>
      <c r="C1348" s="371" t="s">
        <v>149</v>
      </c>
      <c r="D1348" s="370" t="s">
        <v>2178</v>
      </c>
      <c r="E1348" s="108">
        <v>50</v>
      </c>
      <c r="F1348" s="149">
        <v>200</v>
      </c>
      <c r="G1348" s="35">
        <f>F1348*E1348</f>
        <v>10000</v>
      </c>
    </row>
    <row r="1349" spans="1:10" x14ac:dyDescent="0.2">
      <c r="A1349" s="29"/>
      <c r="B1349" s="101"/>
      <c r="C1349" s="371"/>
      <c r="D1349" s="370" t="s">
        <v>1106</v>
      </c>
      <c r="E1349" s="108"/>
      <c r="F1349" s="149"/>
      <c r="G1349" s="35"/>
    </row>
    <row r="1350" spans="1:10" x14ac:dyDescent="0.2">
      <c r="A1350" s="29">
        <v>2</v>
      </c>
      <c r="B1350" s="105"/>
      <c r="C1350" s="371" t="s">
        <v>149</v>
      </c>
      <c r="D1350" s="376" t="s">
        <v>348</v>
      </c>
      <c r="E1350" s="102">
        <v>50</v>
      </c>
      <c r="F1350" s="128">
        <v>350</v>
      </c>
      <c r="G1350" s="372">
        <f>F1350*E1350</f>
        <v>17500</v>
      </c>
    </row>
    <row r="1351" spans="1:10" x14ac:dyDescent="0.2">
      <c r="A1351" s="29"/>
      <c r="B1351" s="105"/>
      <c r="C1351" s="371"/>
      <c r="D1351" s="376" t="s">
        <v>301</v>
      </c>
      <c r="E1351" s="102"/>
      <c r="F1351" s="128"/>
      <c r="G1351" s="372"/>
    </row>
    <row r="1352" spans="1:10" x14ac:dyDescent="0.2">
      <c r="A1352" s="364"/>
      <c r="B1352" s="105"/>
      <c r="C1352" s="371"/>
      <c r="D1352" s="376"/>
      <c r="E1352" s="409"/>
      <c r="F1352" s="403"/>
      <c r="G1352" s="372"/>
      <c r="H1352" s="164"/>
      <c r="I1352" s="164"/>
      <c r="J1352" s="164"/>
    </row>
    <row r="1353" spans="1:10" x14ac:dyDescent="0.2">
      <c r="A1353" s="29"/>
      <c r="B1353" s="105"/>
      <c r="C1353" s="371"/>
      <c r="D1353" s="376"/>
      <c r="E1353" s="102"/>
      <c r="F1353" s="128"/>
      <c r="G1353" s="372"/>
    </row>
    <row r="1354" spans="1:10" x14ac:dyDescent="0.2">
      <c r="A1354" s="29"/>
      <c r="B1354" s="151"/>
      <c r="C1354" s="119"/>
      <c r="D1354" s="358"/>
      <c r="E1354" s="108"/>
      <c r="F1354" s="264"/>
      <c r="G1354" s="372"/>
    </row>
    <row r="1355" spans="1:10" x14ac:dyDescent="0.2">
      <c r="A1355" s="29"/>
      <c r="B1355" s="101"/>
      <c r="C1355" s="371"/>
      <c r="D1355" s="383"/>
      <c r="E1355" s="104"/>
      <c r="F1355" s="69"/>
      <c r="G1355" s="372"/>
    </row>
    <row r="1356" spans="1:10" x14ac:dyDescent="0.2">
      <c r="A1356" s="29"/>
      <c r="B1356" s="106"/>
      <c r="C1356" s="41"/>
      <c r="D1356" s="376"/>
      <c r="E1356" s="104"/>
      <c r="F1356" s="69"/>
      <c r="G1356" s="372"/>
    </row>
    <row r="1357" spans="1:10" x14ac:dyDescent="0.2">
      <c r="A1357" s="29"/>
      <c r="B1357" s="105"/>
      <c r="C1357" s="371"/>
      <c r="D1357" s="376"/>
      <c r="E1357" s="108"/>
      <c r="F1357" s="265"/>
      <c r="G1357" s="372"/>
    </row>
    <row r="1358" spans="1:10" x14ac:dyDescent="0.2">
      <c r="A1358" s="29"/>
      <c r="B1358" s="107"/>
      <c r="C1358" s="41"/>
      <c r="D1358" s="376"/>
      <c r="E1358" s="153"/>
      <c r="F1358" s="69"/>
      <c r="G1358" s="372"/>
      <c r="H1358" s="164"/>
      <c r="I1358" s="164"/>
      <c r="J1358" s="164"/>
    </row>
    <row r="1359" spans="1:10" x14ac:dyDescent="0.2">
      <c r="A1359" s="29"/>
      <c r="B1359" s="107"/>
      <c r="C1359" s="371"/>
      <c r="D1359" s="384"/>
      <c r="E1359" s="153"/>
      <c r="F1359" s="69"/>
      <c r="G1359" s="372"/>
    </row>
    <row r="1360" spans="1:10" x14ac:dyDescent="0.2">
      <c r="A1360" s="29"/>
      <c r="B1360" s="101"/>
      <c r="C1360" s="41"/>
      <c r="D1360" s="384"/>
      <c r="E1360" s="108"/>
      <c r="F1360" s="451"/>
      <c r="G1360" s="372"/>
    </row>
    <row r="1361" spans="1:7" x14ac:dyDescent="0.2">
      <c r="A1361" s="29"/>
      <c r="B1361" s="101"/>
      <c r="C1361" s="41"/>
      <c r="D1361" s="358" t="s">
        <v>150</v>
      </c>
      <c r="E1361" s="153"/>
      <c r="F1361" s="69"/>
      <c r="G1361" s="372"/>
    </row>
    <row r="1362" spans="1:7" x14ac:dyDescent="0.2">
      <c r="A1362" s="29"/>
      <c r="B1362" s="106"/>
      <c r="C1362" s="371"/>
      <c r="D1362" s="384"/>
      <c r="E1362" s="104"/>
      <c r="F1362" s="266"/>
      <c r="G1362" s="372"/>
    </row>
    <row r="1363" spans="1:7" x14ac:dyDescent="0.2">
      <c r="A1363" s="29"/>
      <c r="B1363" s="105"/>
      <c r="C1363" s="41"/>
      <c r="D1363" s="419"/>
      <c r="E1363" s="104"/>
      <c r="F1363" s="266"/>
      <c r="G1363" s="372"/>
    </row>
    <row r="1364" spans="1:7" x14ac:dyDescent="0.2">
      <c r="A1364" s="29"/>
      <c r="B1364" s="105"/>
      <c r="C1364" s="371"/>
      <c r="D1364" s="384" t="s">
        <v>896</v>
      </c>
      <c r="E1364" s="104"/>
      <c r="F1364" s="266"/>
      <c r="G1364" s="372"/>
    </row>
    <row r="1365" spans="1:7" x14ac:dyDescent="0.2">
      <c r="A1365" s="29"/>
      <c r="B1365" s="101"/>
      <c r="C1365" s="41"/>
      <c r="D1365" s="384"/>
      <c r="E1365" s="104"/>
      <c r="F1365" s="266"/>
      <c r="G1365" s="372"/>
    </row>
    <row r="1366" spans="1:7" x14ac:dyDescent="0.2">
      <c r="A1366" s="29"/>
      <c r="B1366" s="101"/>
      <c r="C1366" s="371"/>
      <c r="D1366" s="376"/>
      <c r="E1366" s="104"/>
      <c r="F1366" s="266"/>
      <c r="G1366" s="372"/>
    </row>
    <row r="1367" spans="1:7" x14ac:dyDescent="0.2">
      <c r="A1367" s="29"/>
      <c r="B1367" s="101"/>
      <c r="C1367" s="41"/>
      <c r="D1367" s="376"/>
      <c r="E1367" s="104"/>
      <c r="F1367" s="266"/>
      <c r="G1367" s="372"/>
    </row>
    <row r="1368" spans="1:7" x14ac:dyDescent="0.2">
      <c r="A1368" s="29"/>
      <c r="B1368" s="101"/>
      <c r="C1368" s="41"/>
      <c r="D1368" s="444"/>
      <c r="E1368" s="104"/>
      <c r="F1368" s="266"/>
      <c r="G1368" s="372"/>
    </row>
    <row r="1369" spans="1:7" x14ac:dyDescent="0.2">
      <c r="A1369" s="29"/>
      <c r="B1369" s="101"/>
      <c r="C1369" s="371"/>
      <c r="D1369" s="384"/>
      <c r="E1369" s="104"/>
      <c r="F1369" s="266"/>
      <c r="G1369" s="372"/>
    </row>
    <row r="1370" spans="1:7" x14ac:dyDescent="0.2">
      <c r="A1370" s="29"/>
      <c r="B1370" s="101"/>
      <c r="C1370" s="41"/>
      <c r="D1370" s="384"/>
      <c r="E1370" s="104"/>
      <c r="F1370" s="266"/>
      <c r="G1370" s="372"/>
    </row>
    <row r="1371" spans="1:7" x14ac:dyDescent="0.2">
      <c r="A1371" s="29"/>
      <c r="B1371" s="101"/>
      <c r="C1371" s="371"/>
      <c r="D1371" s="384"/>
      <c r="E1371" s="104"/>
      <c r="F1371" s="266"/>
      <c r="G1371" s="372"/>
    </row>
    <row r="1372" spans="1:7" x14ac:dyDescent="0.2">
      <c r="A1372" s="29"/>
      <c r="B1372" s="101"/>
      <c r="C1372" s="41"/>
      <c r="D1372" s="384"/>
      <c r="E1372" s="104"/>
      <c r="F1372" s="266"/>
      <c r="G1372" s="372"/>
    </row>
    <row r="1373" spans="1:7" x14ac:dyDescent="0.2">
      <c r="A1373" s="29"/>
      <c r="B1373" s="101"/>
      <c r="C1373" s="371"/>
      <c r="D1373" s="376"/>
      <c r="E1373" s="108"/>
      <c r="F1373" s="69"/>
      <c r="G1373" s="372"/>
    </row>
    <row r="1374" spans="1:7" x14ac:dyDescent="0.2">
      <c r="A1374" s="29"/>
      <c r="B1374" s="101"/>
      <c r="C1374" s="41"/>
      <c r="D1374" s="358"/>
      <c r="E1374" s="153"/>
      <c r="F1374" s="69"/>
      <c r="G1374" s="372"/>
    </row>
    <row r="1375" spans="1:7" x14ac:dyDescent="0.2">
      <c r="A1375" s="29"/>
      <c r="B1375" s="101"/>
      <c r="C1375" s="371"/>
      <c r="D1375" s="419"/>
      <c r="E1375" s="102"/>
      <c r="F1375" s="69"/>
      <c r="G1375" s="372"/>
    </row>
    <row r="1376" spans="1:7" x14ac:dyDescent="0.2">
      <c r="A1376" s="29"/>
      <c r="B1376" s="101"/>
      <c r="C1376" s="371"/>
      <c r="D1376" s="419"/>
      <c r="E1376" s="102"/>
      <c r="F1376" s="69"/>
      <c r="G1376" s="372"/>
    </row>
    <row r="1377" spans="1:7" x14ac:dyDescent="0.2">
      <c r="A1377" s="29"/>
      <c r="B1377" s="101"/>
      <c r="C1377" s="31"/>
      <c r="D1377" s="419"/>
      <c r="E1377" s="131"/>
      <c r="F1377" s="267"/>
      <c r="G1377" s="372"/>
    </row>
    <row r="1378" spans="1:7" x14ac:dyDescent="0.2">
      <c r="A1378" s="29"/>
      <c r="B1378" s="101"/>
      <c r="C1378" s="371"/>
      <c r="D1378" s="425"/>
      <c r="E1378" s="108"/>
      <c r="F1378" s="263"/>
      <c r="G1378" s="372"/>
    </row>
    <row r="1379" spans="1:7" x14ac:dyDescent="0.2">
      <c r="A1379" s="29"/>
      <c r="B1379" s="101"/>
      <c r="C1379" s="41"/>
      <c r="D1379" s="383"/>
      <c r="E1379" s="108"/>
      <c r="F1379" s="263"/>
      <c r="G1379" s="372"/>
    </row>
    <row r="1380" spans="1:7" x14ac:dyDescent="0.2">
      <c r="A1380" s="29"/>
      <c r="B1380" s="101"/>
      <c r="C1380" s="371"/>
      <c r="D1380" s="383"/>
      <c r="E1380" s="108"/>
      <c r="F1380" s="149"/>
      <c r="G1380" s="372"/>
    </row>
    <row r="1381" spans="1:7" x14ac:dyDescent="0.2">
      <c r="A1381" s="61"/>
      <c r="B1381" s="101"/>
      <c r="C1381" s="41"/>
      <c r="D1381" s="383"/>
      <c r="E1381" s="108"/>
      <c r="F1381" s="149"/>
      <c r="G1381" s="372"/>
    </row>
    <row r="1382" spans="1:7" ht="13.5" thickBot="1" x14ac:dyDescent="0.25">
      <c r="A1382" s="209"/>
      <c r="B1382" s="132"/>
      <c r="C1382" s="115"/>
      <c r="D1382" s="115"/>
      <c r="E1382" s="132"/>
      <c r="F1382" s="49" t="s">
        <v>15</v>
      </c>
      <c r="G1382" s="210">
        <f>SUM(G1348:G1381)</f>
        <v>27500</v>
      </c>
    </row>
    <row r="1383" spans="1:7" ht="13.5" thickTop="1" x14ac:dyDescent="0.2">
      <c r="A1383" s="875" t="s">
        <v>2179</v>
      </c>
      <c r="B1383" s="899"/>
      <c r="C1383" s="899"/>
      <c r="D1383" s="899"/>
      <c r="E1383" s="899"/>
      <c r="F1383" s="899"/>
      <c r="G1383" s="900"/>
    </row>
    <row r="1384" spans="1:7" ht="13.5" thickBot="1" x14ac:dyDescent="0.25">
      <c r="A1384" s="52"/>
      <c r="B1384" s="103"/>
      <c r="C1384" s="374" t="s">
        <v>2180</v>
      </c>
      <c r="D1384" s="54"/>
      <c r="E1384" s="103"/>
      <c r="F1384" s="55"/>
      <c r="G1384" s="56"/>
    </row>
    <row r="1385" spans="1:7" ht="13.5" thickTop="1" x14ac:dyDescent="0.2">
      <c r="A1385" s="906"/>
      <c r="B1385" s="907"/>
      <c r="C1385" s="907"/>
      <c r="D1385" s="57" t="s">
        <v>11</v>
      </c>
      <c r="E1385" s="908" t="s">
        <v>12</v>
      </c>
      <c r="F1385" s="908"/>
      <c r="G1385" s="909"/>
    </row>
    <row r="1386" spans="1:7" x14ac:dyDescent="0.2">
      <c r="A1386" s="910" t="s">
        <v>17</v>
      </c>
      <c r="B1386" s="911"/>
      <c r="C1386" s="911"/>
      <c r="D1386" s="39"/>
      <c r="E1386" s="912"/>
      <c r="F1386" s="913"/>
      <c r="G1386" s="914"/>
    </row>
    <row r="1387" spans="1:7" x14ac:dyDescent="0.2">
      <c r="A1387" s="910" t="s">
        <v>38</v>
      </c>
      <c r="B1387" s="911"/>
      <c r="C1387" s="911"/>
      <c r="D1387" s="73" t="s">
        <v>891</v>
      </c>
      <c r="E1387" s="868" t="s">
        <v>142</v>
      </c>
      <c r="F1387" s="868"/>
      <c r="G1387" s="869"/>
    </row>
    <row r="1388" spans="1:7" ht="13.5" thickBot="1" x14ac:dyDescent="0.25">
      <c r="A1388" s="901" t="s">
        <v>39</v>
      </c>
      <c r="B1388" s="902"/>
      <c r="C1388" s="902"/>
      <c r="D1388" s="91" t="s">
        <v>892</v>
      </c>
      <c r="E1388" s="904" t="s">
        <v>0</v>
      </c>
      <c r="F1388" s="904"/>
      <c r="G1388" s="905"/>
    </row>
    <row r="1389" spans="1:7" ht="16.5" x14ac:dyDescent="0.25">
      <c r="A1389" s="885" t="s">
        <v>29</v>
      </c>
      <c r="B1389" s="886"/>
      <c r="C1389" s="886"/>
      <c r="D1389" s="886"/>
      <c r="E1389" s="886"/>
      <c r="F1389" s="886"/>
      <c r="G1389" s="887"/>
    </row>
    <row r="1390" spans="1:7" x14ac:dyDescent="0.2">
      <c r="A1390" s="888" t="s">
        <v>48</v>
      </c>
      <c r="B1390" s="889"/>
      <c r="C1390" s="889"/>
      <c r="D1390" s="889"/>
      <c r="E1390" s="889"/>
      <c r="F1390" s="889"/>
      <c r="G1390" s="890"/>
    </row>
    <row r="1391" spans="1:7" x14ac:dyDescent="0.2">
      <c r="A1391" s="915" t="s">
        <v>49</v>
      </c>
      <c r="B1391" s="916"/>
      <c r="C1391" s="916"/>
      <c r="D1391" s="916"/>
      <c r="E1391" s="916"/>
      <c r="F1391" s="916"/>
      <c r="G1391" s="917"/>
    </row>
    <row r="1392" spans="1:7" x14ac:dyDescent="0.2">
      <c r="A1392" s="6"/>
      <c r="B1392" s="99"/>
      <c r="C1392" s="8"/>
      <c r="D1392" s="9"/>
      <c r="E1392" s="99"/>
      <c r="F1392" s="10"/>
      <c r="G1392" s="11" t="s">
        <v>20</v>
      </c>
    </row>
    <row r="1393" spans="1:7" x14ac:dyDescent="0.2">
      <c r="A1393" s="12" t="s">
        <v>1</v>
      </c>
      <c r="B1393" s="13"/>
      <c r="C1393" s="14" t="s">
        <v>36</v>
      </c>
      <c r="D1393" s="13"/>
      <c r="E1393" s="362" t="s">
        <v>2214</v>
      </c>
      <c r="F1393" s="98"/>
      <c r="G1393" s="363" t="s">
        <v>2163</v>
      </c>
    </row>
    <row r="1394" spans="1:7" x14ac:dyDescent="0.2">
      <c r="A1394" s="17" t="s">
        <v>8</v>
      </c>
      <c r="B1394" s="100"/>
      <c r="C1394" s="19"/>
      <c r="D1394" s="4"/>
      <c r="E1394" s="918"/>
      <c r="F1394" s="919"/>
      <c r="G1394" s="20"/>
    </row>
    <row r="1395" spans="1:7" x14ac:dyDescent="0.2">
      <c r="A1395" s="21" t="s">
        <v>37</v>
      </c>
      <c r="B1395" s="22"/>
      <c r="C1395" s="22"/>
      <c r="D1395" s="22"/>
      <c r="E1395" s="23" t="s">
        <v>46</v>
      </c>
      <c r="F1395" s="24"/>
      <c r="G1395" s="20" t="s">
        <v>50</v>
      </c>
    </row>
    <row r="1396" spans="1:7" x14ac:dyDescent="0.2">
      <c r="A1396" s="6"/>
      <c r="B1396" s="99"/>
      <c r="C1396" s="8"/>
      <c r="D1396" s="8"/>
      <c r="E1396" s="920"/>
      <c r="F1396" s="921"/>
      <c r="G1396" s="25"/>
    </row>
    <row r="1397" spans="1:7" ht="26.25" thickBot="1" x14ac:dyDescent="0.25">
      <c r="A1397" s="207" t="s">
        <v>47</v>
      </c>
      <c r="B1397" s="28" t="s">
        <v>23</v>
      </c>
      <c r="C1397" s="28" t="s">
        <v>34</v>
      </c>
      <c r="D1397" s="110" t="s">
        <v>53</v>
      </c>
      <c r="E1397" s="114" t="s">
        <v>54</v>
      </c>
      <c r="F1397" s="111" t="s">
        <v>55</v>
      </c>
      <c r="G1397" s="112" t="s">
        <v>35</v>
      </c>
    </row>
    <row r="1398" spans="1:7" ht="13.5" thickTop="1" x14ac:dyDescent="0.2">
      <c r="A1398" s="29">
        <v>1</v>
      </c>
      <c r="B1398" s="101"/>
      <c r="C1398" s="371" t="s">
        <v>149</v>
      </c>
      <c r="D1398" s="370" t="s">
        <v>1405</v>
      </c>
      <c r="E1398" s="108">
        <v>40</v>
      </c>
      <c r="F1398" s="149">
        <v>200</v>
      </c>
      <c r="G1398" s="35">
        <f>F1398*E1398</f>
        <v>8000</v>
      </c>
    </row>
    <row r="1399" spans="1:7" x14ac:dyDescent="0.2">
      <c r="A1399" s="29"/>
      <c r="B1399" s="101"/>
      <c r="C1399" s="371"/>
      <c r="D1399" s="370" t="s">
        <v>978</v>
      </c>
      <c r="E1399" s="108"/>
      <c r="F1399" s="149"/>
      <c r="G1399" s="35"/>
    </row>
    <row r="1400" spans="1:7" x14ac:dyDescent="0.2">
      <c r="A1400" s="29">
        <v>2</v>
      </c>
      <c r="B1400" s="105"/>
      <c r="C1400" s="371" t="s">
        <v>149</v>
      </c>
      <c r="D1400" s="376" t="s">
        <v>348</v>
      </c>
      <c r="E1400" s="102">
        <v>40</v>
      </c>
      <c r="F1400" s="128">
        <v>350</v>
      </c>
      <c r="G1400" s="372">
        <f>F1400*E1400</f>
        <v>14000</v>
      </c>
    </row>
    <row r="1401" spans="1:7" x14ac:dyDescent="0.2">
      <c r="A1401" s="29"/>
      <c r="B1401" s="105"/>
      <c r="C1401" s="371"/>
      <c r="D1401" s="376" t="s">
        <v>301</v>
      </c>
      <c r="E1401" s="102"/>
      <c r="F1401" s="128"/>
      <c r="G1401" s="372"/>
    </row>
    <row r="1402" spans="1:7" x14ac:dyDescent="0.2">
      <c r="A1402" s="364"/>
      <c r="B1402" s="105"/>
      <c r="C1402" s="371"/>
      <c r="D1402" s="376"/>
      <c r="E1402" s="409"/>
      <c r="F1402" s="403"/>
      <c r="G1402" s="372"/>
    </row>
    <row r="1403" spans="1:7" x14ac:dyDescent="0.2">
      <c r="A1403" s="29"/>
      <c r="B1403" s="105"/>
      <c r="C1403" s="371"/>
      <c r="D1403" s="376"/>
      <c r="E1403" s="102"/>
      <c r="F1403" s="128"/>
      <c r="G1403" s="372"/>
    </row>
    <row r="1404" spans="1:7" x14ac:dyDescent="0.2">
      <c r="A1404" s="29"/>
      <c r="B1404" s="151"/>
      <c r="C1404" s="119"/>
      <c r="D1404" s="358"/>
      <c r="E1404" s="108"/>
      <c r="F1404" s="264"/>
      <c r="G1404" s="372"/>
    </row>
    <row r="1405" spans="1:7" x14ac:dyDescent="0.2">
      <c r="A1405" s="29"/>
      <c r="B1405" s="101"/>
      <c r="C1405" s="371"/>
      <c r="D1405" s="383"/>
      <c r="E1405" s="104"/>
      <c r="F1405" s="69"/>
      <c r="G1405" s="372"/>
    </row>
    <row r="1406" spans="1:7" x14ac:dyDescent="0.2">
      <c r="A1406" s="29"/>
      <c r="B1406" s="106"/>
      <c r="C1406" s="41"/>
      <c r="D1406" s="376"/>
      <c r="E1406" s="104"/>
      <c r="F1406" s="69"/>
      <c r="G1406" s="372"/>
    </row>
    <row r="1407" spans="1:7" x14ac:dyDescent="0.2">
      <c r="A1407" s="29"/>
      <c r="B1407" s="105"/>
      <c r="C1407" s="371"/>
      <c r="D1407" s="376"/>
      <c r="E1407" s="108"/>
      <c r="F1407" s="265"/>
      <c r="G1407" s="372"/>
    </row>
    <row r="1408" spans="1:7" x14ac:dyDescent="0.2">
      <c r="A1408" s="29"/>
      <c r="B1408" s="107"/>
      <c r="C1408" s="41"/>
      <c r="D1408" s="376"/>
      <c r="E1408" s="153"/>
      <c r="F1408" s="69"/>
      <c r="G1408" s="372"/>
    </row>
    <row r="1409" spans="1:7" x14ac:dyDescent="0.2">
      <c r="A1409" s="29"/>
      <c r="B1409" s="107"/>
      <c r="C1409" s="371"/>
      <c r="D1409" s="384"/>
      <c r="E1409" s="153"/>
      <c r="F1409" s="69"/>
      <c r="G1409" s="372"/>
    </row>
    <row r="1410" spans="1:7" x14ac:dyDescent="0.2">
      <c r="A1410" s="29"/>
      <c r="B1410" s="101"/>
      <c r="C1410" s="41"/>
      <c r="D1410" s="384"/>
      <c r="E1410" s="108"/>
      <c r="F1410" s="451"/>
      <c r="G1410" s="372"/>
    </row>
    <row r="1411" spans="1:7" x14ac:dyDescent="0.2">
      <c r="A1411" s="29"/>
      <c r="B1411" s="101"/>
      <c r="C1411" s="41"/>
      <c r="D1411" s="358" t="s">
        <v>150</v>
      </c>
      <c r="E1411" s="153"/>
      <c r="F1411" s="69"/>
      <c r="G1411" s="372"/>
    </row>
    <row r="1412" spans="1:7" x14ac:dyDescent="0.2">
      <c r="A1412" s="29"/>
      <c r="B1412" s="106"/>
      <c r="C1412" s="371"/>
      <c r="D1412" s="384"/>
      <c r="E1412" s="104"/>
      <c r="F1412" s="266"/>
      <c r="G1412" s="372"/>
    </row>
    <row r="1413" spans="1:7" x14ac:dyDescent="0.2">
      <c r="A1413" s="29"/>
      <c r="B1413" s="105"/>
      <c r="C1413" s="41"/>
      <c r="D1413" s="419"/>
      <c r="E1413" s="104"/>
      <c r="F1413" s="266"/>
      <c r="G1413" s="372"/>
    </row>
    <row r="1414" spans="1:7" x14ac:dyDescent="0.2">
      <c r="A1414" s="29"/>
      <c r="B1414" s="105"/>
      <c r="C1414" s="371"/>
      <c r="D1414" s="384" t="s">
        <v>896</v>
      </c>
      <c r="E1414" s="104"/>
      <c r="F1414" s="266"/>
      <c r="G1414" s="372"/>
    </row>
    <row r="1415" spans="1:7" x14ac:dyDescent="0.2">
      <c r="A1415" s="29"/>
      <c r="B1415" s="101"/>
      <c r="C1415" s="41"/>
      <c r="D1415" s="384"/>
      <c r="E1415" s="104"/>
      <c r="F1415" s="266"/>
      <c r="G1415" s="372"/>
    </row>
    <row r="1416" spans="1:7" x14ac:dyDescent="0.2">
      <c r="A1416" s="29"/>
      <c r="B1416" s="101"/>
      <c r="C1416" s="371"/>
      <c r="D1416" s="376"/>
      <c r="E1416" s="104"/>
      <c r="F1416" s="266"/>
      <c r="G1416" s="372"/>
    </row>
    <row r="1417" spans="1:7" x14ac:dyDescent="0.2">
      <c r="A1417" s="29"/>
      <c r="B1417" s="101"/>
      <c r="C1417" s="41"/>
      <c r="D1417" s="376"/>
      <c r="E1417" s="104"/>
      <c r="F1417" s="266"/>
      <c r="G1417" s="372"/>
    </row>
    <row r="1418" spans="1:7" x14ac:dyDescent="0.2">
      <c r="A1418" s="29"/>
      <c r="B1418" s="101"/>
      <c r="C1418" s="41"/>
      <c r="D1418" s="444"/>
      <c r="E1418" s="104"/>
      <c r="F1418" s="266"/>
      <c r="G1418" s="372"/>
    </row>
    <row r="1419" spans="1:7" x14ac:dyDescent="0.2">
      <c r="A1419" s="29"/>
      <c r="B1419" s="101"/>
      <c r="C1419" s="371"/>
      <c r="D1419" s="384"/>
      <c r="E1419" s="104"/>
      <c r="F1419" s="266"/>
      <c r="G1419" s="372"/>
    </row>
    <row r="1420" spans="1:7" x14ac:dyDescent="0.2">
      <c r="A1420" s="29"/>
      <c r="B1420" s="101"/>
      <c r="C1420" s="41"/>
      <c r="D1420" s="384"/>
      <c r="E1420" s="104"/>
      <c r="F1420" s="266"/>
      <c r="G1420" s="372"/>
    </row>
    <row r="1421" spans="1:7" x14ac:dyDescent="0.2">
      <c r="A1421" s="29"/>
      <c r="B1421" s="101"/>
      <c r="C1421" s="371"/>
      <c r="D1421" s="384"/>
      <c r="E1421" s="104"/>
      <c r="F1421" s="266"/>
      <c r="G1421" s="372"/>
    </row>
    <row r="1422" spans="1:7" x14ac:dyDescent="0.2">
      <c r="A1422" s="29"/>
      <c r="B1422" s="101"/>
      <c r="C1422" s="41"/>
      <c r="D1422" s="384"/>
      <c r="E1422" s="104"/>
      <c r="F1422" s="266"/>
      <c r="G1422" s="372"/>
    </row>
    <row r="1423" spans="1:7" x14ac:dyDescent="0.2">
      <c r="A1423" s="29"/>
      <c r="B1423" s="101"/>
      <c r="C1423" s="371"/>
      <c r="D1423" s="376"/>
      <c r="E1423" s="108"/>
      <c r="F1423" s="69"/>
      <c r="G1423" s="372"/>
    </row>
    <row r="1424" spans="1:7" x14ac:dyDescent="0.2">
      <c r="A1424" s="29"/>
      <c r="B1424" s="101"/>
      <c r="C1424" s="41"/>
      <c r="D1424" s="358"/>
      <c r="E1424" s="153"/>
      <c r="F1424" s="69"/>
      <c r="G1424" s="372"/>
    </row>
    <row r="1425" spans="1:7" x14ac:dyDescent="0.2">
      <c r="A1425" s="29"/>
      <c r="B1425" s="101"/>
      <c r="C1425" s="371"/>
      <c r="D1425" s="419"/>
      <c r="E1425" s="102"/>
      <c r="F1425" s="69"/>
      <c r="G1425" s="372"/>
    </row>
    <row r="1426" spans="1:7" x14ac:dyDescent="0.2">
      <c r="A1426" s="29"/>
      <c r="B1426" s="101"/>
      <c r="C1426" s="371"/>
      <c r="D1426" s="419"/>
      <c r="E1426" s="102"/>
      <c r="F1426" s="69"/>
      <c r="G1426" s="372"/>
    </row>
    <row r="1427" spans="1:7" x14ac:dyDescent="0.2">
      <c r="A1427" s="29"/>
      <c r="B1427" s="101"/>
      <c r="C1427" s="31"/>
      <c r="D1427" s="419"/>
      <c r="E1427" s="131"/>
      <c r="F1427" s="267"/>
      <c r="G1427" s="372"/>
    </row>
    <row r="1428" spans="1:7" x14ac:dyDescent="0.2">
      <c r="A1428" s="29"/>
      <c r="B1428" s="101"/>
      <c r="C1428" s="371"/>
      <c r="D1428" s="425"/>
      <c r="E1428" s="108"/>
      <c r="F1428" s="263"/>
      <c r="G1428" s="372"/>
    </row>
    <row r="1429" spans="1:7" x14ac:dyDescent="0.2">
      <c r="A1429" s="29"/>
      <c r="B1429" s="101"/>
      <c r="C1429" s="41"/>
      <c r="D1429" s="383"/>
      <c r="E1429" s="108"/>
      <c r="F1429" s="263"/>
      <c r="G1429" s="372"/>
    </row>
    <row r="1430" spans="1:7" x14ac:dyDescent="0.2">
      <c r="A1430" s="29"/>
      <c r="B1430" s="101"/>
      <c r="C1430" s="371"/>
      <c r="D1430" s="383"/>
      <c r="E1430" s="108"/>
      <c r="F1430" s="149"/>
      <c r="G1430" s="372"/>
    </row>
    <row r="1431" spans="1:7" x14ac:dyDescent="0.2">
      <c r="A1431" s="61"/>
      <c r="B1431" s="101"/>
      <c r="C1431" s="41"/>
      <c r="D1431" s="383"/>
      <c r="E1431" s="108"/>
      <c r="F1431" s="149"/>
      <c r="G1431" s="372"/>
    </row>
    <row r="1432" spans="1:7" ht="13.5" thickBot="1" x14ac:dyDescent="0.25">
      <c r="A1432" s="209"/>
      <c r="B1432" s="132"/>
      <c r="C1432" s="115"/>
      <c r="D1432" s="115"/>
      <c r="E1432" s="132"/>
      <c r="F1432" s="49" t="s">
        <v>15</v>
      </c>
      <c r="G1432" s="210">
        <f>SUM(G1398:G1431)</f>
        <v>22000</v>
      </c>
    </row>
    <row r="1433" spans="1:7" ht="13.5" thickTop="1" x14ac:dyDescent="0.2">
      <c r="A1433" s="875" t="s">
        <v>2167</v>
      </c>
      <c r="B1433" s="899"/>
      <c r="C1433" s="899"/>
      <c r="D1433" s="899"/>
      <c r="E1433" s="899"/>
      <c r="F1433" s="899"/>
      <c r="G1433" s="900"/>
    </row>
    <row r="1434" spans="1:7" ht="13.5" thickBot="1" x14ac:dyDescent="0.25">
      <c r="A1434" s="52"/>
      <c r="B1434" s="103"/>
      <c r="C1434" s="374" t="s">
        <v>2168</v>
      </c>
      <c r="D1434" s="54"/>
      <c r="E1434" s="103"/>
      <c r="F1434" s="55"/>
      <c r="G1434" s="56"/>
    </row>
    <row r="1435" spans="1:7" ht="13.5" thickTop="1" x14ac:dyDescent="0.2">
      <c r="A1435" s="906"/>
      <c r="B1435" s="907"/>
      <c r="C1435" s="907"/>
      <c r="D1435" s="57" t="s">
        <v>11</v>
      </c>
      <c r="E1435" s="908" t="s">
        <v>12</v>
      </c>
      <c r="F1435" s="908"/>
      <c r="G1435" s="909"/>
    </row>
    <row r="1436" spans="1:7" x14ac:dyDescent="0.2">
      <c r="A1436" s="910" t="s">
        <v>17</v>
      </c>
      <c r="B1436" s="911"/>
      <c r="C1436" s="911"/>
      <c r="D1436" s="39"/>
      <c r="E1436" s="912"/>
      <c r="F1436" s="913"/>
      <c r="G1436" s="914"/>
    </row>
    <row r="1437" spans="1:7" x14ac:dyDescent="0.2">
      <c r="A1437" s="910" t="s">
        <v>38</v>
      </c>
      <c r="B1437" s="911"/>
      <c r="C1437" s="911"/>
      <c r="D1437" s="73" t="s">
        <v>891</v>
      </c>
      <c r="E1437" s="868" t="s">
        <v>142</v>
      </c>
      <c r="F1437" s="868"/>
      <c r="G1437" s="869"/>
    </row>
    <row r="1438" spans="1:7" ht="13.5" thickBot="1" x14ac:dyDescent="0.25">
      <c r="A1438" s="901" t="s">
        <v>39</v>
      </c>
      <c r="B1438" s="902"/>
      <c r="C1438" s="902"/>
      <c r="D1438" s="91" t="s">
        <v>892</v>
      </c>
      <c r="E1438" s="904" t="s">
        <v>0</v>
      </c>
      <c r="F1438" s="904"/>
      <c r="G1438" s="905"/>
    </row>
    <row r="1439" spans="1:7" ht="16.5" x14ac:dyDescent="0.25">
      <c r="A1439" s="885" t="s">
        <v>29</v>
      </c>
      <c r="B1439" s="886"/>
      <c r="C1439" s="886"/>
      <c r="D1439" s="886"/>
      <c r="E1439" s="886"/>
      <c r="F1439" s="886"/>
      <c r="G1439" s="887"/>
    </row>
    <row r="1440" spans="1:7" x14ac:dyDescent="0.2">
      <c r="A1440" s="888" t="s">
        <v>48</v>
      </c>
      <c r="B1440" s="889"/>
      <c r="C1440" s="889"/>
      <c r="D1440" s="889"/>
      <c r="E1440" s="889"/>
      <c r="F1440" s="889"/>
      <c r="G1440" s="890"/>
    </row>
    <row r="1441" spans="1:7" x14ac:dyDescent="0.2">
      <c r="A1441" s="915" t="s">
        <v>49</v>
      </c>
      <c r="B1441" s="916"/>
      <c r="C1441" s="916"/>
      <c r="D1441" s="916"/>
      <c r="E1441" s="916"/>
      <c r="F1441" s="916"/>
      <c r="G1441" s="917"/>
    </row>
    <row r="1442" spans="1:7" x14ac:dyDescent="0.2">
      <c r="A1442" s="6"/>
      <c r="B1442" s="99"/>
      <c r="C1442" s="8"/>
      <c r="D1442" s="9"/>
      <c r="E1442" s="99"/>
      <c r="F1442" s="10"/>
      <c r="G1442" s="11" t="s">
        <v>20</v>
      </c>
    </row>
    <row r="1443" spans="1:7" x14ac:dyDescent="0.2">
      <c r="A1443" s="12" t="s">
        <v>1</v>
      </c>
      <c r="B1443" s="13"/>
      <c r="C1443" s="14" t="s">
        <v>36</v>
      </c>
      <c r="D1443" s="13"/>
      <c r="E1443" s="362" t="s">
        <v>2376</v>
      </c>
      <c r="F1443" s="98"/>
      <c r="G1443" s="363" t="s">
        <v>2367</v>
      </c>
    </row>
    <row r="1444" spans="1:7" x14ac:dyDescent="0.2">
      <c r="A1444" s="17" t="s">
        <v>8</v>
      </c>
      <c r="B1444" s="100"/>
      <c r="C1444" s="19"/>
      <c r="D1444" s="4"/>
      <c r="E1444" s="918"/>
      <c r="F1444" s="919"/>
      <c r="G1444" s="20"/>
    </row>
    <row r="1445" spans="1:7" x14ac:dyDescent="0.2">
      <c r="A1445" s="21" t="s">
        <v>37</v>
      </c>
      <c r="B1445" s="22"/>
      <c r="C1445" s="22"/>
      <c r="D1445" s="22"/>
      <c r="E1445" s="23" t="s">
        <v>46</v>
      </c>
      <c r="F1445" s="24"/>
      <c r="G1445" s="20" t="s">
        <v>50</v>
      </c>
    </row>
    <row r="1446" spans="1:7" x14ac:dyDescent="0.2">
      <c r="A1446" s="6"/>
      <c r="B1446" s="99"/>
      <c r="C1446" s="8"/>
      <c r="D1446" s="8"/>
      <c r="E1446" s="920"/>
      <c r="F1446" s="921"/>
      <c r="G1446" s="25"/>
    </row>
    <row r="1447" spans="1:7" ht="26.25" thickBot="1" x14ac:dyDescent="0.25">
      <c r="A1447" s="207" t="s">
        <v>47</v>
      </c>
      <c r="B1447" s="28" t="s">
        <v>23</v>
      </c>
      <c r="C1447" s="28" t="s">
        <v>34</v>
      </c>
      <c r="D1447" s="110" t="s">
        <v>53</v>
      </c>
      <c r="E1447" s="114" t="s">
        <v>54</v>
      </c>
      <c r="F1447" s="111" t="s">
        <v>55</v>
      </c>
      <c r="G1447" s="112" t="s">
        <v>35</v>
      </c>
    </row>
    <row r="1448" spans="1:7" ht="13.5" thickTop="1" x14ac:dyDescent="0.2">
      <c r="A1448" s="29"/>
      <c r="B1448" s="101"/>
      <c r="C1448" s="371"/>
      <c r="D1448" s="359" t="s">
        <v>2169</v>
      </c>
      <c r="E1448" s="108"/>
      <c r="F1448" s="149"/>
      <c r="G1448" s="35"/>
    </row>
    <row r="1449" spans="1:7" x14ac:dyDescent="0.2">
      <c r="A1449" s="29"/>
      <c r="B1449" s="101"/>
      <c r="C1449" s="371"/>
      <c r="D1449" s="359" t="s">
        <v>2170</v>
      </c>
      <c r="E1449" s="108"/>
      <c r="F1449" s="149"/>
      <c r="G1449" s="35"/>
    </row>
    <row r="1450" spans="1:7" x14ac:dyDescent="0.2">
      <c r="A1450" s="29">
        <v>1</v>
      </c>
      <c r="B1450" s="105"/>
      <c r="C1450" s="371" t="s">
        <v>149</v>
      </c>
      <c r="D1450" s="376" t="s">
        <v>1416</v>
      </c>
      <c r="E1450" s="102">
        <v>105</v>
      </c>
      <c r="F1450" s="128">
        <v>200</v>
      </c>
      <c r="G1450" s="372">
        <f>F1450*E1450</f>
        <v>21000</v>
      </c>
    </row>
    <row r="1451" spans="1:7" x14ac:dyDescent="0.2">
      <c r="A1451" s="29"/>
      <c r="B1451" s="105"/>
      <c r="C1451" s="371"/>
      <c r="D1451" s="376" t="s">
        <v>978</v>
      </c>
      <c r="E1451" s="102"/>
      <c r="F1451" s="128"/>
      <c r="G1451" s="372"/>
    </row>
    <row r="1452" spans="1:7" x14ac:dyDescent="0.2">
      <c r="A1452" s="364">
        <v>2</v>
      </c>
      <c r="B1452" s="105"/>
      <c r="C1452" s="371" t="s">
        <v>149</v>
      </c>
      <c r="D1452" s="376" t="s">
        <v>339</v>
      </c>
      <c r="E1452" s="409">
        <v>105</v>
      </c>
      <c r="F1452" s="403">
        <v>350</v>
      </c>
      <c r="G1452" s="372">
        <f>F1452*E1452</f>
        <v>36750</v>
      </c>
    </row>
    <row r="1453" spans="1:7" x14ac:dyDescent="0.2">
      <c r="A1453" s="29"/>
      <c r="B1453" s="105"/>
      <c r="C1453" s="371"/>
      <c r="D1453" s="376" t="s">
        <v>301</v>
      </c>
      <c r="E1453" s="102"/>
      <c r="F1453" s="128"/>
      <c r="G1453" s="372"/>
    </row>
    <row r="1454" spans="1:7" x14ac:dyDescent="0.2">
      <c r="A1454" s="29"/>
      <c r="B1454" s="151"/>
      <c r="C1454" s="119"/>
      <c r="D1454" s="358" t="s">
        <v>2171</v>
      </c>
      <c r="E1454" s="108"/>
      <c r="F1454" s="264"/>
      <c r="G1454" s="372"/>
    </row>
    <row r="1455" spans="1:7" x14ac:dyDescent="0.2">
      <c r="A1455" s="29">
        <v>3</v>
      </c>
      <c r="B1455" s="101"/>
      <c r="C1455" s="371" t="s">
        <v>149</v>
      </c>
      <c r="D1455" s="383" t="s">
        <v>2172</v>
      </c>
      <c r="E1455" s="104">
        <v>116</v>
      </c>
      <c r="F1455" s="69">
        <v>200</v>
      </c>
      <c r="G1455" s="372">
        <f>F1455*E1455</f>
        <v>23200</v>
      </c>
    </row>
    <row r="1456" spans="1:7" x14ac:dyDescent="0.2">
      <c r="A1456" s="29">
        <v>4</v>
      </c>
      <c r="B1456" s="106"/>
      <c r="C1456" s="371" t="s">
        <v>149</v>
      </c>
      <c r="D1456" s="376" t="s">
        <v>339</v>
      </c>
      <c r="E1456" s="104">
        <v>116</v>
      </c>
      <c r="F1456" s="69">
        <v>350</v>
      </c>
      <c r="G1456" s="372">
        <f t="shared" ref="G1456:G1458" si="21">F1456*E1456</f>
        <v>40600</v>
      </c>
    </row>
    <row r="1457" spans="1:10" x14ac:dyDescent="0.2">
      <c r="A1457" s="29"/>
      <c r="B1457" s="105"/>
      <c r="C1457" s="371"/>
      <c r="D1457" s="376" t="s">
        <v>301</v>
      </c>
      <c r="E1457" s="108"/>
      <c r="F1457" s="265"/>
      <c r="G1457" s="372"/>
    </row>
    <row r="1458" spans="1:10" x14ac:dyDescent="0.2">
      <c r="A1458" s="29">
        <v>5</v>
      </c>
      <c r="B1458" s="107"/>
      <c r="C1458" s="371" t="s">
        <v>149</v>
      </c>
      <c r="D1458" s="376" t="s">
        <v>2173</v>
      </c>
      <c r="E1458" s="153">
        <v>116</v>
      </c>
      <c r="F1458" s="69">
        <v>200</v>
      </c>
      <c r="G1458" s="372">
        <f t="shared" si="21"/>
        <v>23200</v>
      </c>
    </row>
    <row r="1459" spans="1:10" x14ac:dyDescent="0.2">
      <c r="A1459" s="29"/>
      <c r="B1459" s="107"/>
      <c r="C1459" s="371"/>
      <c r="D1459" s="384" t="s">
        <v>1106</v>
      </c>
      <c r="E1459" s="153"/>
      <c r="F1459" s="69"/>
      <c r="G1459" s="372"/>
    </row>
    <row r="1460" spans="1:10" x14ac:dyDescent="0.2">
      <c r="A1460" s="29"/>
      <c r="B1460" s="101"/>
      <c r="C1460" s="41"/>
      <c r="D1460" s="384"/>
      <c r="E1460" s="108"/>
      <c r="F1460" s="451"/>
      <c r="G1460" s="372"/>
    </row>
    <row r="1461" spans="1:10" x14ac:dyDescent="0.2">
      <c r="A1461" s="29"/>
      <c r="B1461" s="101"/>
      <c r="C1461" s="41"/>
      <c r="D1461" s="358" t="s">
        <v>150</v>
      </c>
      <c r="E1461" s="153"/>
      <c r="F1461" s="69"/>
      <c r="G1461" s="372"/>
    </row>
    <row r="1462" spans="1:10" x14ac:dyDescent="0.2">
      <c r="A1462" s="29"/>
      <c r="B1462" s="106"/>
      <c r="C1462" s="371"/>
      <c r="D1462" s="384"/>
      <c r="E1462" s="104"/>
      <c r="F1462" s="266"/>
      <c r="G1462" s="372"/>
    </row>
    <row r="1463" spans="1:10" x14ac:dyDescent="0.2">
      <c r="A1463" s="29"/>
      <c r="B1463" s="105"/>
      <c r="C1463" s="41"/>
      <c r="D1463" s="419"/>
      <c r="E1463" s="104"/>
      <c r="F1463" s="266"/>
      <c r="G1463" s="372"/>
    </row>
    <row r="1464" spans="1:10" x14ac:dyDescent="0.2">
      <c r="A1464" s="29"/>
      <c r="B1464" s="105"/>
      <c r="C1464" s="371"/>
      <c r="D1464" s="384" t="s">
        <v>896</v>
      </c>
      <c r="E1464" s="104"/>
      <c r="F1464" s="266"/>
      <c r="G1464" s="372"/>
    </row>
    <row r="1465" spans="1:10" x14ac:dyDescent="0.2">
      <c r="A1465" s="29"/>
      <c r="B1465" s="101"/>
      <c r="C1465" s="41"/>
      <c r="D1465" s="384"/>
      <c r="E1465" s="104"/>
      <c r="F1465" s="266"/>
      <c r="G1465" s="372"/>
      <c r="J1465" s="211">
        <v>57750</v>
      </c>
    </row>
    <row r="1466" spans="1:10" x14ac:dyDescent="0.2">
      <c r="A1466" s="29"/>
      <c r="B1466" s="101"/>
      <c r="C1466" s="371"/>
      <c r="D1466" s="376"/>
      <c r="E1466" s="104"/>
      <c r="F1466" s="266"/>
      <c r="G1466" s="372"/>
      <c r="J1466" s="211">
        <v>87000</v>
      </c>
    </row>
    <row r="1467" spans="1:10" x14ac:dyDescent="0.2">
      <c r="A1467" s="29"/>
      <c r="B1467" s="101"/>
      <c r="C1467" s="41"/>
      <c r="D1467" s="376"/>
      <c r="E1467" s="104"/>
      <c r="F1467" s="266"/>
      <c r="G1467" s="372"/>
      <c r="J1467" s="212">
        <f>SUM(J1465:J1466)</f>
        <v>144750</v>
      </c>
    </row>
    <row r="1468" spans="1:10" x14ac:dyDescent="0.2">
      <c r="A1468" s="29"/>
      <c r="B1468" s="101"/>
      <c r="C1468" s="41"/>
      <c r="D1468" s="444"/>
      <c r="E1468" s="104"/>
      <c r="F1468" s="266"/>
      <c r="G1468" s="372"/>
    </row>
    <row r="1469" spans="1:10" x14ac:dyDescent="0.2">
      <c r="A1469" s="29"/>
      <c r="B1469" s="101"/>
      <c r="C1469" s="371"/>
      <c r="D1469" s="384"/>
      <c r="E1469" s="104"/>
      <c r="F1469" s="266"/>
      <c r="G1469" s="372"/>
    </row>
    <row r="1470" spans="1:10" x14ac:dyDescent="0.2">
      <c r="A1470" s="29"/>
      <c r="B1470" s="101"/>
      <c r="C1470" s="41"/>
      <c r="D1470" s="384"/>
      <c r="E1470" s="104"/>
      <c r="F1470" s="266"/>
      <c r="G1470" s="372"/>
    </row>
    <row r="1471" spans="1:10" x14ac:dyDescent="0.2">
      <c r="A1471" s="29"/>
      <c r="B1471" s="101"/>
      <c r="C1471" s="371"/>
      <c r="D1471" s="384"/>
      <c r="E1471" s="104"/>
      <c r="F1471" s="266"/>
      <c r="G1471" s="372"/>
    </row>
    <row r="1472" spans="1:10" x14ac:dyDescent="0.2">
      <c r="A1472" s="29"/>
      <c r="B1472" s="101"/>
      <c r="C1472" s="41"/>
      <c r="D1472" s="384"/>
      <c r="E1472" s="104"/>
      <c r="F1472" s="266"/>
      <c r="G1472" s="372"/>
    </row>
    <row r="1473" spans="1:7" x14ac:dyDescent="0.2">
      <c r="A1473" s="29"/>
      <c r="B1473" s="101"/>
      <c r="C1473" s="371"/>
      <c r="D1473" s="376"/>
      <c r="E1473" s="108"/>
      <c r="F1473" s="69"/>
      <c r="G1473" s="372"/>
    </row>
    <row r="1474" spans="1:7" x14ac:dyDescent="0.2">
      <c r="A1474" s="29"/>
      <c r="B1474" s="101"/>
      <c r="C1474" s="41"/>
      <c r="D1474" s="358"/>
      <c r="E1474" s="153"/>
      <c r="F1474" s="69"/>
      <c r="G1474" s="372"/>
    </row>
    <row r="1475" spans="1:7" x14ac:dyDescent="0.2">
      <c r="A1475" s="29"/>
      <c r="B1475" s="101"/>
      <c r="C1475" s="371"/>
      <c r="D1475" s="419"/>
      <c r="E1475" s="102"/>
      <c r="F1475" s="69"/>
      <c r="G1475" s="372"/>
    </row>
    <row r="1476" spans="1:7" x14ac:dyDescent="0.2">
      <c r="A1476" s="29"/>
      <c r="B1476" s="101"/>
      <c r="C1476" s="371"/>
      <c r="D1476" s="419"/>
      <c r="E1476" s="102"/>
      <c r="F1476" s="69"/>
      <c r="G1476" s="372"/>
    </row>
    <row r="1477" spans="1:7" x14ac:dyDescent="0.2">
      <c r="A1477" s="29"/>
      <c r="B1477" s="101"/>
      <c r="C1477" s="31"/>
      <c r="D1477" s="419"/>
      <c r="E1477" s="131"/>
      <c r="F1477" s="267"/>
      <c r="G1477" s="372"/>
    </row>
    <row r="1478" spans="1:7" x14ac:dyDescent="0.2">
      <c r="A1478" s="29"/>
      <c r="B1478" s="101"/>
      <c r="C1478" s="371"/>
      <c r="D1478" s="425"/>
      <c r="E1478" s="108"/>
      <c r="F1478" s="263"/>
      <c r="G1478" s="372"/>
    </row>
    <row r="1479" spans="1:7" x14ac:dyDescent="0.2">
      <c r="A1479" s="29"/>
      <c r="B1479" s="101"/>
      <c r="C1479" s="41"/>
      <c r="D1479" s="383"/>
      <c r="E1479" s="108"/>
      <c r="F1479" s="263"/>
      <c r="G1479" s="372"/>
    </row>
    <row r="1480" spans="1:7" x14ac:dyDescent="0.2">
      <c r="A1480" s="29"/>
      <c r="B1480" s="101"/>
      <c r="C1480" s="371"/>
      <c r="D1480" s="383"/>
      <c r="E1480" s="108"/>
      <c r="F1480" s="149"/>
      <c r="G1480" s="372"/>
    </row>
    <row r="1481" spans="1:7" x14ac:dyDescent="0.2">
      <c r="A1481" s="61"/>
      <c r="B1481" s="101"/>
      <c r="C1481" s="41"/>
      <c r="D1481" s="383"/>
      <c r="E1481" s="108"/>
      <c r="F1481" s="149"/>
      <c r="G1481" s="372"/>
    </row>
    <row r="1482" spans="1:7" ht="13.5" thickBot="1" x14ac:dyDescent="0.25">
      <c r="A1482" s="209"/>
      <c r="B1482" s="132"/>
      <c r="C1482" s="115"/>
      <c r="D1482" s="115"/>
      <c r="E1482" s="132"/>
      <c r="F1482" s="49" t="s">
        <v>15</v>
      </c>
      <c r="G1482" s="210">
        <f>SUM(G1450:G1481)</f>
        <v>144750</v>
      </c>
    </row>
    <row r="1483" spans="1:7" ht="13.5" thickTop="1" x14ac:dyDescent="0.2">
      <c r="A1483" s="875" t="s">
        <v>2164</v>
      </c>
      <c r="B1483" s="899"/>
      <c r="C1483" s="899"/>
      <c r="D1483" s="899"/>
      <c r="E1483" s="899"/>
      <c r="F1483" s="899"/>
      <c r="G1483" s="900"/>
    </row>
    <row r="1484" spans="1:7" ht="13.5" thickBot="1" x14ac:dyDescent="0.25">
      <c r="A1484" s="52"/>
      <c r="B1484" s="103"/>
      <c r="C1484" s="374" t="s">
        <v>2174</v>
      </c>
      <c r="D1484" s="54"/>
      <c r="E1484" s="103"/>
      <c r="F1484" s="55"/>
      <c r="G1484" s="56"/>
    </row>
    <row r="1485" spans="1:7" ht="13.5" thickTop="1" x14ac:dyDescent="0.2">
      <c r="A1485" s="906"/>
      <c r="B1485" s="907"/>
      <c r="C1485" s="907"/>
      <c r="D1485" s="57" t="s">
        <v>11</v>
      </c>
      <c r="E1485" s="908" t="s">
        <v>12</v>
      </c>
      <c r="F1485" s="908"/>
      <c r="G1485" s="909"/>
    </row>
    <row r="1486" spans="1:7" x14ac:dyDescent="0.2">
      <c r="A1486" s="910" t="s">
        <v>17</v>
      </c>
      <c r="B1486" s="911"/>
      <c r="C1486" s="911"/>
      <c r="D1486" s="39"/>
      <c r="E1486" s="912"/>
      <c r="F1486" s="913"/>
      <c r="G1486" s="914"/>
    </row>
    <row r="1487" spans="1:7" x14ac:dyDescent="0.2">
      <c r="A1487" s="910" t="s">
        <v>38</v>
      </c>
      <c r="B1487" s="911"/>
      <c r="C1487" s="911"/>
      <c r="D1487" s="73" t="s">
        <v>891</v>
      </c>
      <c r="E1487" s="868" t="s">
        <v>142</v>
      </c>
      <c r="F1487" s="868"/>
      <c r="G1487" s="869"/>
    </row>
    <row r="1488" spans="1:7" ht="13.5" thickBot="1" x14ac:dyDescent="0.25">
      <c r="A1488" s="901" t="s">
        <v>39</v>
      </c>
      <c r="B1488" s="902"/>
      <c r="C1488" s="902"/>
      <c r="D1488" s="91" t="s">
        <v>892</v>
      </c>
      <c r="E1488" s="904" t="s">
        <v>0</v>
      </c>
      <c r="F1488" s="904"/>
      <c r="G1488" s="905"/>
    </row>
    <row r="1489" spans="1:7" ht="16.5" x14ac:dyDescent="0.25">
      <c r="A1489" s="885" t="s">
        <v>29</v>
      </c>
      <c r="B1489" s="886"/>
      <c r="C1489" s="886"/>
      <c r="D1489" s="886"/>
      <c r="E1489" s="886"/>
      <c r="F1489" s="886"/>
      <c r="G1489" s="887"/>
    </row>
    <row r="1490" spans="1:7" x14ac:dyDescent="0.2">
      <c r="A1490" s="888" t="s">
        <v>48</v>
      </c>
      <c r="B1490" s="889"/>
      <c r="C1490" s="889"/>
      <c r="D1490" s="889"/>
      <c r="E1490" s="889"/>
      <c r="F1490" s="889"/>
      <c r="G1490" s="890"/>
    </row>
    <row r="1491" spans="1:7" x14ac:dyDescent="0.2">
      <c r="A1491" s="915" t="s">
        <v>49</v>
      </c>
      <c r="B1491" s="916"/>
      <c r="C1491" s="916"/>
      <c r="D1491" s="916"/>
      <c r="E1491" s="916"/>
      <c r="F1491" s="916"/>
      <c r="G1491" s="917"/>
    </row>
    <row r="1492" spans="1:7" x14ac:dyDescent="0.2">
      <c r="A1492" s="6"/>
      <c r="B1492" s="99"/>
      <c r="C1492" s="8"/>
      <c r="D1492" s="9"/>
      <c r="E1492" s="99"/>
      <c r="F1492" s="10"/>
      <c r="G1492" s="11" t="s">
        <v>20</v>
      </c>
    </row>
    <row r="1493" spans="1:7" x14ac:dyDescent="0.2">
      <c r="A1493" s="12" t="s">
        <v>1</v>
      </c>
      <c r="B1493" s="13"/>
      <c r="C1493" s="14" t="s">
        <v>36</v>
      </c>
      <c r="D1493" s="13"/>
      <c r="E1493" s="362" t="s">
        <v>2215</v>
      </c>
      <c r="F1493" s="98"/>
      <c r="G1493" s="363" t="s">
        <v>2163</v>
      </c>
    </row>
    <row r="1494" spans="1:7" x14ac:dyDescent="0.2">
      <c r="A1494" s="17" t="s">
        <v>8</v>
      </c>
      <c r="B1494" s="100"/>
      <c r="C1494" s="19"/>
      <c r="D1494" s="4"/>
      <c r="E1494" s="918"/>
      <c r="F1494" s="919"/>
      <c r="G1494" s="20"/>
    </row>
    <row r="1495" spans="1:7" x14ac:dyDescent="0.2">
      <c r="A1495" s="21" t="s">
        <v>37</v>
      </c>
      <c r="B1495" s="22"/>
      <c r="C1495" s="22"/>
      <c r="D1495" s="22"/>
      <c r="E1495" s="23" t="s">
        <v>46</v>
      </c>
      <c r="F1495" s="24"/>
      <c r="G1495" s="20" t="s">
        <v>50</v>
      </c>
    </row>
    <row r="1496" spans="1:7" x14ac:dyDescent="0.2">
      <c r="A1496" s="6"/>
      <c r="B1496" s="99"/>
      <c r="C1496" s="8"/>
      <c r="D1496" s="8"/>
      <c r="E1496" s="920"/>
      <c r="F1496" s="921"/>
      <c r="G1496" s="25"/>
    </row>
    <row r="1497" spans="1:7" ht="26.25" thickBot="1" x14ac:dyDescent="0.25">
      <c r="A1497" s="207" t="s">
        <v>47</v>
      </c>
      <c r="B1497" s="28" t="s">
        <v>23</v>
      </c>
      <c r="C1497" s="28" t="s">
        <v>34</v>
      </c>
      <c r="D1497" s="110" t="s">
        <v>53</v>
      </c>
      <c r="E1497" s="114" t="s">
        <v>54</v>
      </c>
      <c r="F1497" s="111" t="s">
        <v>55</v>
      </c>
      <c r="G1497" s="112" t="s">
        <v>35</v>
      </c>
    </row>
    <row r="1498" spans="1:7" ht="13.5" thickTop="1" x14ac:dyDescent="0.2">
      <c r="A1498" s="364">
        <v>1</v>
      </c>
      <c r="B1498" s="401"/>
      <c r="C1498" s="371" t="s">
        <v>149</v>
      </c>
      <c r="D1498" s="370" t="s">
        <v>2185</v>
      </c>
      <c r="E1498" s="407">
        <v>40</v>
      </c>
      <c r="F1498" s="406">
        <v>200</v>
      </c>
      <c r="G1498" s="372">
        <f>F1498*E1498</f>
        <v>8000</v>
      </c>
    </row>
    <row r="1499" spans="1:7" x14ac:dyDescent="0.2">
      <c r="A1499" s="364"/>
      <c r="B1499" s="401"/>
      <c r="C1499" s="371"/>
      <c r="D1499" s="370" t="s">
        <v>2186</v>
      </c>
      <c r="E1499" s="407"/>
      <c r="F1499" s="406"/>
      <c r="G1499" s="372"/>
    </row>
    <row r="1500" spans="1:7" x14ac:dyDescent="0.2">
      <c r="A1500" s="364">
        <v>2</v>
      </c>
      <c r="B1500" s="408"/>
      <c r="C1500" s="371" t="s">
        <v>149</v>
      </c>
      <c r="D1500" s="376" t="s">
        <v>2187</v>
      </c>
      <c r="E1500" s="409">
        <v>40</v>
      </c>
      <c r="F1500" s="403">
        <v>350</v>
      </c>
      <c r="G1500" s="372">
        <f>F1500*E1500</f>
        <v>14000</v>
      </c>
    </row>
    <row r="1501" spans="1:7" x14ac:dyDescent="0.2">
      <c r="A1501" s="364"/>
      <c r="B1501" s="408"/>
      <c r="C1501" s="371"/>
      <c r="D1501" s="376"/>
      <c r="E1501" s="409"/>
      <c r="F1501" s="403"/>
      <c r="G1501" s="372"/>
    </row>
    <row r="1502" spans="1:7" x14ac:dyDescent="0.2">
      <c r="A1502" s="364"/>
      <c r="B1502" s="408"/>
      <c r="C1502" s="371"/>
      <c r="D1502" s="376"/>
      <c r="E1502" s="409"/>
      <c r="F1502" s="403"/>
      <c r="G1502" s="372"/>
    </row>
    <row r="1503" spans="1:7" x14ac:dyDescent="0.2">
      <c r="A1503" s="364"/>
      <c r="B1503" s="408"/>
      <c r="C1503" s="371"/>
      <c r="D1503" s="376"/>
      <c r="E1503" s="409"/>
      <c r="F1503" s="403"/>
      <c r="G1503" s="372"/>
    </row>
    <row r="1504" spans="1:7" x14ac:dyDescent="0.2">
      <c r="A1504" s="364"/>
      <c r="B1504" s="410"/>
      <c r="C1504" s="385"/>
      <c r="D1504" s="383"/>
      <c r="E1504" s="407"/>
      <c r="F1504" s="549"/>
      <c r="G1504" s="372"/>
    </row>
    <row r="1505" spans="1:7" x14ac:dyDescent="0.2">
      <c r="A1505" s="364"/>
      <c r="B1505" s="401"/>
      <c r="C1505" s="371"/>
      <c r="D1505" s="383"/>
      <c r="E1505" s="414"/>
      <c r="F1505" s="451"/>
      <c r="G1505" s="372"/>
    </row>
    <row r="1506" spans="1:7" x14ac:dyDescent="0.2">
      <c r="A1506" s="364"/>
      <c r="B1506" s="413"/>
      <c r="C1506" s="371"/>
      <c r="D1506" s="376"/>
      <c r="E1506" s="414"/>
      <c r="F1506" s="451"/>
      <c r="G1506" s="372"/>
    </row>
    <row r="1507" spans="1:7" x14ac:dyDescent="0.2">
      <c r="A1507" s="364"/>
      <c r="B1507" s="408"/>
      <c r="C1507" s="371"/>
      <c r="D1507" s="376"/>
      <c r="E1507" s="407"/>
      <c r="F1507" s="631"/>
      <c r="G1507" s="372"/>
    </row>
    <row r="1508" spans="1:7" x14ac:dyDescent="0.2">
      <c r="A1508" s="364"/>
      <c r="B1508" s="416"/>
      <c r="C1508" s="371"/>
      <c r="D1508" s="376"/>
      <c r="E1508" s="417"/>
      <c r="F1508" s="451"/>
      <c r="G1508" s="372"/>
    </row>
    <row r="1509" spans="1:7" x14ac:dyDescent="0.2">
      <c r="A1509" s="364"/>
      <c r="B1509" s="416"/>
      <c r="C1509" s="371"/>
      <c r="D1509" s="384"/>
      <c r="E1509" s="417"/>
      <c r="F1509" s="451"/>
      <c r="G1509" s="372"/>
    </row>
    <row r="1510" spans="1:7" x14ac:dyDescent="0.2">
      <c r="A1510" s="364"/>
      <c r="B1510" s="401"/>
      <c r="C1510" s="371"/>
      <c r="D1510" s="384"/>
      <c r="E1510" s="407"/>
      <c r="F1510" s="451"/>
      <c r="G1510" s="372"/>
    </row>
    <row r="1511" spans="1:7" x14ac:dyDescent="0.2">
      <c r="A1511" s="364"/>
      <c r="B1511" s="401"/>
      <c r="C1511" s="371"/>
      <c r="D1511" s="383" t="s">
        <v>150</v>
      </c>
      <c r="E1511" s="417"/>
      <c r="F1511" s="451"/>
      <c r="G1511" s="372"/>
    </row>
    <row r="1512" spans="1:7" x14ac:dyDescent="0.2">
      <c r="A1512" s="364"/>
      <c r="B1512" s="413"/>
      <c r="C1512" s="371"/>
      <c r="D1512" s="384"/>
      <c r="E1512" s="414"/>
      <c r="F1512" s="550"/>
      <c r="G1512" s="372"/>
    </row>
    <row r="1513" spans="1:7" x14ac:dyDescent="0.2">
      <c r="A1513" s="364"/>
      <c r="B1513" s="408"/>
      <c r="C1513" s="371"/>
      <c r="D1513" s="419"/>
      <c r="E1513" s="414"/>
      <c r="F1513" s="550"/>
      <c r="G1513" s="372"/>
    </row>
    <row r="1514" spans="1:7" x14ac:dyDescent="0.2">
      <c r="A1514" s="364"/>
      <c r="B1514" s="408"/>
      <c r="C1514" s="371"/>
      <c r="D1514" s="384" t="s">
        <v>896</v>
      </c>
      <c r="E1514" s="414"/>
      <c r="F1514" s="550"/>
      <c r="G1514" s="372"/>
    </row>
    <row r="1515" spans="1:7" x14ac:dyDescent="0.2">
      <c r="A1515" s="29"/>
      <c r="B1515" s="101"/>
      <c r="C1515" s="41"/>
      <c r="D1515" s="384"/>
      <c r="E1515" s="104"/>
      <c r="F1515" s="266"/>
      <c r="G1515" s="372"/>
    </row>
    <row r="1516" spans="1:7" x14ac:dyDescent="0.2">
      <c r="A1516" s="29"/>
      <c r="B1516" s="101"/>
      <c r="C1516" s="371"/>
      <c r="D1516" s="376"/>
      <c r="E1516" s="104"/>
      <c r="F1516" s="266"/>
      <c r="G1516" s="372"/>
    </row>
    <row r="1517" spans="1:7" x14ac:dyDescent="0.2">
      <c r="A1517" s="29"/>
      <c r="B1517" s="101"/>
      <c r="C1517" s="41"/>
      <c r="D1517" s="376"/>
      <c r="E1517" s="104"/>
      <c r="F1517" s="266"/>
      <c r="G1517" s="372"/>
    </row>
    <row r="1518" spans="1:7" x14ac:dyDescent="0.2">
      <c r="A1518" s="29"/>
      <c r="B1518" s="101"/>
      <c r="C1518" s="41"/>
      <c r="D1518" s="444"/>
      <c r="E1518" s="104"/>
      <c r="F1518" s="266"/>
      <c r="G1518" s="372"/>
    </row>
    <row r="1519" spans="1:7" x14ac:dyDescent="0.2">
      <c r="A1519" s="29"/>
      <c r="B1519" s="101"/>
      <c r="C1519" s="371"/>
      <c r="D1519" s="384"/>
      <c r="E1519" s="104"/>
      <c r="F1519" s="266"/>
      <c r="G1519" s="372"/>
    </row>
    <row r="1520" spans="1:7" x14ac:dyDescent="0.2">
      <c r="A1520" s="29"/>
      <c r="B1520" s="101"/>
      <c r="C1520" s="41"/>
      <c r="D1520" s="384"/>
      <c r="E1520" s="104"/>
      <c r="F1520" s="266"/>
      <c r="G1520" s="372"/>
    </row>
    <row r="1521" spans="1:7" x14ac:dyDescent="0.2">
      <c r="A1521" s="29"/>
      <c r="B1521" s="101"/>
      <c r="C1521" s="371"/>
      <c r="D1521" s="384"/>
      <c r="E1521" s="104"/>
      <c r="F1521" s="266"/>
      <c r="G1521" s="372"/>
    </row>
    <row r="1522" spans="1:7" x14ac:dyDescent="0.2">
      <c r="A1522" s="29"/>
      <c r="B1522" s="101"/>
      <c r="C1522" s="41"/>
      <c r="D1522" s="384"/>
      <c r="E1522" s="104"/>
      <c r="F1522" s="266"/>
      <c r="G1522" s="372"/>
    </row>
    <row r="1523" spans="1:7" x14ac:dyDescent="0.2">
      <c r="A1523" s="29"/>
      <c r="B1523" s="101"/>
      <c r="C1523" s="371"/>
      <c r="D1523" s="376"/>
      <c r="E1523" s="108"/>
      <c r="F1523" s="69"/>
      <c r="G1523" s="372"/>
    </row>
    <row r="1524" spans="1:7" x14ac:dyDescent="0.2">
      <c r="A1524" s="29"/>
      <c r="B1524" s="101"/>
      <c r="C1524" s="41"/>
      <c r="D1524" s="358"/>
      <c r="E1524" s="153"/>
      <c r="F1524" s="69"/>
      <c r="G1524" s="372"/>
    </row>
    <row r="1525" spans="1:7" x14ac:dyDescent="0.2">
      <c r="A1525" s="29"/>
      <c r="B1525" s="101"/>
      <c r="C1525" s="371"/>
      <c r="D1525" s="419"/>
      <c r="E1525" s="102"/>
      <c r="F1525" s="69"/>
      <c r="G1525" s="372"/>
    </row>
    <row r="1526" spans="1:7" x14ac:dyDescent="0.2">
      <c r="A1526" s="29"/>
      <c r="B1526" s="101"/>
      <c r="C1526" s="371"/>
      <c r="D1526" s="419"/>
      <c r="E1526" s="102"/>
      <c r="F1526" s="69"/>
      <c r="G1526" s="372"/>
    </row>
    <row r="1527" spans="1:7" x14ac:dyDescent="0.2">
      <c r="A1527" s="29"/>
      <c r="B1527" s="101"/>
      <c r="C1527" s="31"/>
      <c r="D1527" s="419"/>
      <c r="E1527" s="131"/>
      <c r="F1527" s="267"/>
      <c r="G1527" s="372"/>
    </row>
    <row r="1528" spans="1:7" x14ac:dyDescent="0.2">
      <c r="A1528" s="29"/>
      <c r="B1528" s="101"/>
      <c r="C1528" s="371"/>
      <c r="D1528" s="425"/>
      <c r="E1528" s="108"/>
      <c r="F1528" s="263"/>
      <c r="G1528" s="372"/>
    </row>
    <row r="1529" spans="1:7" x14ac:dyDescent="0.2">
      <c r="A1529" s="29"/>
      <c r="B1529" s="101"/>
      <c r="C1529" s="41"/>
      <c r="D1529" s="383"/>
      <c r="E1529" s="108"/>
      <c r="F1529" s="263"/>
      <c r="G1529" s="372"/>
    </row>
    <row r="1530" spans="1:7" x14ac:dyDescent="0.2">
      <c r="A1530" s="29"/>
      <c r="B1530" s="101"/>
      <c r="C1530" s="371"/>
      <c r="D1530" s="383"/>
      <c r="E1530" s="108"/>
      <c r="F1530" s="149"/>
      <c r="G1530" s="372"/>
    </row>
    <row r="1531" spans="1:7" x14ac:dyDescent="0.2">
      <c r="A1531" s="61"/>
      <c r="B1531" s="101"/>
      <c r="C1531" s="41"/>
      <c r="D1531" s="383"/>
      <c r="E1531" s="108"/>
      <c r="F1531" s="149"/>
      <c r="G1531" s="372"/>
    </row>
    <row r="1532" spans="1:7" ht="13.5" thickBot="1" x14ac:dyDescent="0.25">
      <c r="A1532" s="209"/>
      <c r="B1532" s="132"/>
      <c r="C1532" s="115"/>
      <c r="D1532" s="115"/>
      <c r="E1532" s="132"/>
      <c r="F1532" s="49" t="s">
        <v>15</v>
      </c>
      <c r="G1532" s="210">
        <f>SUM(G1498:G1531)</f>
        <v>22000</v>
      </c>
    </row>
    <row r="1533" spans="1:7" ht="13.5" thickTop="1" x14ac:dyDescent="0.2">
      <c r="A1533" s="875" t="s">
        <v>2190</v>
      </c>
      <c r="B1533" s="899"/>
      <c r="C1533" s="899"/>
      <c r="D1533" s="899"/>
      <c r="E1533" s="899"/>
      <c r="F1533" s="899"/>
      <c r="G1533" s="900"/>
    </row>
    <row r="1534" spans="1:7" ht="13.5" thickBot="1" x14ac:dyDescent="0.25">
      <c r="A1534" s="52"/>
      <c r="B1534" s="103"/>
      <c r="C1534" s="374" t="s">
        <v>2188</v>
      </c>
      <c r="D1534" s="54"/>
      <c r="E1534" s="103"/>
      <c r="F1534" s="55"/>
      <c r="G1534" s="56"/>
    </row>
    <row r="1535" spans="1:7" ht="13.5" thickTop="1" x14ac:dyDescent="0.2">
      <c r="A1535" s="906"/>
      <c r="B1535" s="907"/>
      <c r="C1535" s="907"/>
      <c r="D1535" s="57" t="s">
        <v>11</v>
      </c>
      <c r="E1535" s="908" t="s">
        <v>12</v>
      </c>
      <c r="F1535" s="908"/>
      <c r="G1535" s="909"/>
    </row>
    <row r="1536" spans="1:7" x14ac:dyDescent="0.2">
      <c r="A1536" s="910" t="s">
        <v>17</v>
      </c>
      <c r="B1536" s="911"/>
      <c r="C1536" s="911"/>
      <c r="D1536" s="39"/>
      <c r="E1536" s="912"/>
      <c r="F1536" s="913"/>
      <c r="G1536" s="914"/>
    </row>
    <row r="1537" spans="1:7" x14ac:dyDescent="0.2">
      <c r="A1537" s="910" t="s">
        <v>38</v>
      </c>
      <c r="B1537" s="911"/>
      <c r="C1537" s="911"/>
      <c r="D1537" s="73" t="s">
        <v>891</v>
      </c>
      <c r="E1537" s="868" t="s">
        <v>142</v>
      </c>
      <c r="F1537" s="868"/>
      <c r="G1537" s="869"/>
    </row>
    <row r="1538" spans="1:7" ht="13.5" thickBot="1" x14ac:dyDescent="0.25">
      <c r="A1538" s="901" t="s">
        <v>39</v>
      </c>
      <c r="B1538" s="902"/>
      <c r="C1538" s="902"/>
      <c r="D1538" s="91" t="s">
        <v>892</v>
      </c>
      <c r="E1538" s="904" t="s">
        <v>0</v>
      </c>
      <c r="F1538" s="904"/>
      <c r="G1538" s="905"/>
    </row>
    <row r="1539" spans="1:7" ht="16.5" x14ac:dyDescent="0.25">
      <c r="A1539" s="885" t="s">
        <v>29</v>
      </c>
      <c r="B1539" s="886"/>
      <c r="C1539" s="886"/>
      <c r="D1539" s="886"/>
      <c r="E1539" s="886"/>
      <c r="F1539" s="886"/>
      <c r="G1539" s="887"/>
    </row>
    <row r="1540" spans="1:7" x14ac:dyDescent="0.2">
      <c r="A1540" s="888" t="s">
        <v>48</v>
      </c>
      <c r="B1540" s="889"/>
      <c r="C1540" s="889"/>
      <c r="D1540" s="889"/>
      <c r="E1540" s="889"/>
      <c r="F1540" s="889"/>
      <c r="G1540" s="890"/>
    </row>
    <row r="1541" spans="1:7" x14ac:dyDescent="0.2">
      <c r="A1541" s="915" t="s">
        <v>49</v>
      </c>
      <c r="B1541" s="916"/>
      <c r="C1541" s="916"/>
      <c r="D1541" s="916"/>
      <c r="E1541" s="916"/>
      <c r="F1541" s="916"/>
      <c r="G1541" s="917"/>
    </row>
    <row r="1542" spans="1:7" x14ac:dyDescent="0.2">
      <c r="A1542" s="6"/>
      <c r="B1542" s="99"/>
      <c r="C1542" s="8"/>
      <c r="D1542" s="9"/>
      <c r="E1542" s="99"/>
      <c r="F1542" s="10"/>
      <c r="G1542" s="11" t="s">
        <v>20</v>
      </c>
    </row>
    <row r="1543" spans="1:7" x14ac:dyDescent="0.2">
      <c r="A1543" s="12" t="s">
        <v>1</v>
      </c>
      <c r="B1543" s="13"/>
      <c r="C1543" s="14" t="s">
        <v>36</v>
      </c>
      <c r="D1543" s="13"/>
      <c r="E1543" s="362" t="s">
        <v>2216</v>
      </c>
      <c r="F1543" s="98"/>
      <c r="G1543" s="363" t="s">
        <v>2163</v>
      </c>
    </row>
    <row r="1544" spans="1:7" x14ac:dyDescent="0.2">
      <c r="A1544" s="17" t="s">
        <v>8</v>
      </c>
      <c r="B1544" s="100"/>
      <c r="C1544" s="19"/>
      <c r="D1544" s="4"/>
      <c r="E1544" s="918"/>
      <c r="F1544" s="919"/>
      <c r="G1544" s="20"/>
    </row>
    <row r="1545" spans="1:7" x14ac:dyDescent="0.2">
      <c r="A1545" s="21" t="s">
        <v>37</v>
      </c>
      <c r="B1545" s="22"/>
      <c r="C1545" s="22"/>
      <c r="D1545" s="22"/>
      <c r="E1545" s="23" t="s">
        <v>46</v>
      </c>
      <c r="F1545" s="24"/>
      <c r="G1545" s="20" t="s">
        <v>50</v>
      </c>
    </row>
    <row r="1546" spans="1:7" x14ac:dyDescent="0.2">
      <c r="A1546" s="6"/>
      <c r="B1546" s="99"/>
      <c r="C1546" s="8"/>
      <c r="D1546" s="8"/>
      <c r="E1546" s="920"/>
      <c r="F1546" s="921"/>
      <c r="G1546" s="25"/>
    </row>
    <row r="1547" spans="1:7" ht="26.25" thickBot="1" x14ac:dyDescent="0.25">
      <c r="A1547" s="207" t="s">
        <v>47</v>
      </c>
      <c r="B1547" s="28" t="s">
        <v>23</v>
      </c>
      <c r="C1547" s="28" t="s">
        <v>34</v>
      </c>
      <c r="D1547" s="110" t="s">
        <v>53</v>
      </c>
      <c r="E1547" s="114" t="s">
        <v>54</v>
      </c>
      <c r="F1547" s="111" t="s">
        <v>55</v>
      </c>
      <c r="G1547" s="112" t="s">
        <v>35</v>
      </c>
    </row>
    <row r="1548" spans="1:7" ht="13.5" thickTop="1" x14ac:dyDescent="0.2">
      <c r="A1548" s="364">
        <v>1</v>
      </c>
      <c r="B1548" s="401"/>
      <c r="C1548" s="371" t="s">
        <v>149</v>
      </c>
      <c r="D1548" s="370" t="s">
        <v>2189</v>
      </c>
      <c r="E1548" s="407">
        <v>40</v>
      </c>
      <c r="F1548" s="406">
        <v>200</v>
      </c>
      <c r="G1548" s="372">
        <f>F1548*E1548</f>
        <v>8000</v>
      </c>
    </row>
    <row r="1549" spans="1:7" x14ac:dyDescent="0.2">
      <c r="A1549" s="364"/>
      <c r="B1549" s="401"/>
      <c r="C1549" s="371"/>
      <c r="D1549" s="370" t="s">
        <v>1423</v>
      </c>
      <c r="E1549" s="407"/>
      <c r="F1549" s="406"/>
      <c r="G1549" s="372"/>
    </row>
    <row r="1550" spans="1:7" x14ac:dyDescent="0.2">
      <c r="A1550" s="364">
        <v>2</v>
      </c>
      <c r="B1550" s="408"/>
      <c r="C1550" s="371" t="s">
        <v>149</v>
      </c>
      <c r="D1550" s="376" t="s">
        <v>339</v>
      </c>
      <c r="E1550" s="409">
        <v>40</v>
      </c>
      <c r="F1550" s="403">
        <v>350</v>
      </c>
      <c r="G1550" s="372">
        <f>F1550*E1550</f>
        <v>14000</v>
      </c>
    </row>
    <row r="1551" spans="1:7" x14ac:dyDescent="0.2">
      <c r="A1551" s="364"/>
      <c r="B1551" s="408"/>
      <c r="C1551" s="371"/>
      <c r="D1551" s="376" t="s">
        <v>301</v>
      </c>
      <c r="E1551" s="409"/>
      <c r="F1551" s="403"/>
      <c r="G1551" s="372"/>
    </row>
    <row r="1552" spans="1:7" x14ac:dyDescent="0.2">
      <c r="A1552" s="364"/>
      <c r="B1552" s="408"/>
      <c r="C1552" s="371"/>
      <c r="D1552" s="376"/>
      <c r="E1552" s="409"/>
      <c r="F1552" s="403"/>
      <c r="G1552" s="372"/>
    </row>
    <row r="1553" spans="1:7" x14ac:dyDescent="0.2">
      <c r="A1553" s="364"/>
      <c r="B1553" s="408"/>
      <c r="C1553" s="371"/>
      <c r="D1553" s="376"/>
      <c r="E1553" s="409"/>
      <c r="F1553" s="403"/>
      <c r="G1553" s="372"/>
    </row>
    <row r="1554" spans="1:7" x14ac:dyDescent="0.2">
      <c r="A1554" s="364"/>
      <c r="B1554" s="410"/>
      <c r="C1554" s="385"/>
      <c r="D1554" s="383"/>
      <c r="E1554" s="407"/>
      <c r="F1554" s="549"/>
      <c r="G1554" s="372"/>
    </row>
    <row r="1555" spans="1:7" x14ac:dyDescent="0.2">
      <c r="A1555" s="364"/>
      <c r="B1555" s="401"/>
      <c r="C1555" s="371"/>
      <c r="D1555" s="383"/>
      <c r="E1555" s="414"/>
      <c r="F1555" s="451"/>
      <c r="G1555" s="372"/>
    </row>
    <row r="1556" spans="1:7" x14ac:dyDescent="0.2">
      <c r="A1556" s="364"/>
      <c r="B1556" s="413"/>
      <c r="C1556" s="371"/>
      <c r="D1556" s="376"/>
      <c r="E1556" s="414"/>
      <c r="F1556" s="451"/>
      <c r="G1556" s="372"/>
    </row>
    <row r="1557" spans="1:7" x14ac:dyDescent="0.2">
      <c r="A1557" s="364"/>
      <c r="B1557" s="408"/>
      <c r="C1557" s="371"/>
      <c r="D1557" s="376"/>
      <c r="E1557" s="407"/>
      <c r="F1557" s="631"/>
      <c r="G1557" s="372"/>
    </row>
    <row r="1558" spans="1:7" x14ac:dyDescent="0.2">
      <c r="A1558" s="364"/>
      <c r="B1558" s="416"/>
      <c r="C1558" s="371"/>
      <c r="D1558" s="376"/>
      <c r="E1558" s="417"/>
      <c r="F1558" s="451"/>
      <c r="G1558" s="372"/>
    </row>
    <row r="1559" spans="1:7" x14ac:dyDescent="0.2">
      <c r="A1559" s="364"/>
      <c r="B1559" s="416"/>
      <c r="C1559" s="371"/>
      <c r="D1559" s="384"/>
      <c r="E1559" s="417"/>
      <c r="F1559" s="451"/>
      <c r="G1559" s="372"/>
    </row>
    <row r="1560" spans="1:7" x14ac:dyDescent="0.2">
      <c r="A1560" s="364"/>
      <c r="B1560" s="401"/>
      <c r="C1560" s="371"/>
      <c r="D1560" s="384"/>
      <c r="E1560" s="407"/>
      <c r="F1560" s="451"/>
      <c r="G1560" s="372"/>
    </row>
    <row r="1561" spans="1:7" x14ac:dyDescent="0.2">
      <c r="A1561" s="364"/>
      <c r="B1561" s="401"/>
      <c r="C1561" s="371"/>
      <c r="D1561" s="383" t="s">
        <v>150</v>
      </c>
      <c r="E1561" s="417"/>
      <c r="F1561" s="451"/>
      <c r="G1561" s="372"/>
    </row>
    <row r="1562" spans="1:7" x14ac:dyDescent="0.2">
      <c r="A1562" s="364"/>
      <c r="B1562" s="413"/>
      <c r="C1562" s="371"/>
      <c r="D1562" s="384"/>
      <c r="E1562" s="414"/>
      <c r="F1562" s="550"/>
      <c r="G1562" s="372"/>
    </row>
    <row r="1563" spans="1:7" x14ac:dyDescent="0.2">
      <c r="A1563" s="364"/>
      <c r="B1563" s="408"/>
      <c r="C1563" s="371"/>
      <c r="D1563" s="419"/>
      <c r="E1563" s="414"/>
      <c r="F1563" s="550"/>
      <c r="G1563" s="372"/>
    </row>
    <row r="1564" spans="1:7" x14ac:dyDescent="0.2">
      <c r="A1564" s="364"/>
      <c r="B1564" s="408"/>
      <c r="C1564" s="371"/>
      <c r="D1564" s="384" t="s">
        <v>896</v>
      </c>
      <c r="E1564" s="414"/>
      <c r="F1564" s="550"/>
      <c r="G1564" s="372"/>
    </row>
    <row r="1565" spans="1:7" x14ac:dyDescent="0.2">
      <c r="A1565" s="29"/>
      <c r="B1565" s="101"/>
      <c r="C1565" s="41"/>
      <c r="D1565" s="384"/>
      <c r="E1565" s="104"/>
      <c r="F1565" s="266"/>
      <c r="G1565" s="372"/>
    </row>
    <row r="1566" spans="1:7" x14ac:dyDescent="0.2">
      <c r="A1566" s="29"/>
      <c r="B1566" s="101"/>
      <c r="C1566" s="371"/>
      <c r="D1566" s="376"/>
      <c r="E1566" s="104"/>
      <c r="F1566" s="266"/>
      <c r="G1566" s="372"/>
    </row>
    <row r="1567" spans="1:7" x14ac:dyDescent="0.2">
      <c r="A1567" s="29"/>
      <c r="B1567" s="101"/>
      <c r="C1567" s="41"/>
      <c r="D1567" s="376"/>
      <c r="E1567" s="104"/>
      <c r="F1567" s="266"/>
      <c r="G1567" s="372"/>
    </row>
    <row r="1568" spans="1:7" x14ac:dyDescent="0.2">
      <c r="A1568" s="29"/>
      <c r="B1568" s="101"/>
      <c r="C1568" s="41"/>
      <c r="D1568" s="444"/>
      <c r="E1568" s="104"/>
      <c r="F1568" s="266"/>
      <c r="G1568" s="372"/>
    </row>
    <row r="1569" spans="1:7" x14ac:dyDescent="0.2">
      <c r="A1569" s="29"/>
      <c r="B1569" s="101"/>
      <c r="C1569" s="371"/>
      <c r="D1569" s="384"/>
      <c r="E1569" s="104"/>
      <c r="F1569" s="266"/>
      <c r="G1569" s="372"/>
    </row>
    <row r="1570" spans="1:7" x14ac:dyDescent="0.2">
      <c r="A1570" s="29"/>
      <c r="B1570" s="101"/>
      <c r="C1570" s="41"/>
      <c r="D1570" s="384"/>
      <c r="E1570" s="104"/>
      <c r="F1570" s="266"/>
      <c r="G1570" s="372"/>
    </row>
    <row r="1571" spans="1:7" x14ac:dyDescent="0.2">
      <c r="A1571" s="29"/>
      <c r="B1571" s="101"/>
      <c r="C1571" s="371"/>
      <c r="D1571" s="384"/>
      <c r="E1571" s="104"/>
      <c r="F1571" s="266"/>
      <c r="G1571" s="372"/>
    </row>
    <row r="1572" spans="1:7" x14ac:dyDescent="0.2">
      <c r="A1572" s="29"/>
      <c r="B1572" s="101"/>
      <c r="C1572" s="41"/>
      <c r="D1572" s="384"/>
      <c r="E1572" s="104"/>
      <c r="F1572" s="266"/>
      <c r="G1572" s="372"/>
    </row>
    <row r="1573" spans="1:7" x14ac:dyDescent="0.2">
      <c r="A1573" s="29"/>
      <c r="B1573" s="101"/>
      <c r="C1573" s="371"/>
      <c r="D1573" s="376"/>
      <c r="E1573" s="108"/>
      <c r="F1573" s="69"/>
      <c r="G1573" s="372"/>
    </row>
    <row r="1574" spans="1:7" x14ac:dyDescent="0.2">
      <c r="A1574" s="29"/>
      <c r="B1574" s="101"/>
      <c r="C1574" s="41"/>
      <c r="D1574" s="358"/>
      <c r="E1574" s="153"/>
      <c r="F1574" s="69"/>
      <c r="G1574" s="372"/>
    </row>
    <row r="1575" spans="1:7" x14ac:dyDescent="0.2">
      <c r="A1575" s="29"/>
      <c r="B1575" s="101"/>
      <c r="C1575" s="371"/>
      <c r="D1575" s="419"/>
      <c r="E1575" s="102"/>
      <c r="F1575" s="69"/>
      <c r="G1575" s="372"/>
    </row>
    <row r="1576" spans="1:7" x14ac:dyDescent="0.2">
      <c r="A1576" s="29"/>
      <c r="B1576" s="101"/>
      <c r="C1576" s="371"/>
      <c r="D1576" s="419"/>
      <c r="E1576" s="102"/>
      <c r="F1576" s="69"/>
      <c r="G1576" s="372"/>
    </row>
    <row r="1577" spans="1:7" x14ac:dyDescent="0.2">
      <c r="A1577" s="29"/>
      <c r="B1577" s="101"/>
      <c r="C1577" s="31"/>
      <c r="D1577" s="419"/>
      <c r="E1577" s="131"/>
      <c r="F1577" s="267"/>
      <c r="G1577" s="372"/>
    </row>
    <row r="1578" spans="1:7" x14ac:dyDescent="0.2">
      <c r="A1578" s="29"/>
      <c r="B1578" s="101"/>
      <c r="C1578" s="371"/>
      <c r="D1578" s="425"/>
      <c r="E1578" s="108"/>
      <c r="F1578" s="263"/>
      <c r="G1578" s="372"/>
    </row>
    <row r="1579" spans="1:7" x14ac:dyDescent="0.2">
      <c r="A1579" s="29"/>
      <c r="B1579" s="101"/>
      <c r="C1579" s="41"/>
      <c r="D1579" s="383"/>
      <c r="E1579" s="108"/>
      <c r="F1579" s="263"/>
      <c r="G1579" s="372"/>
    </row>
    <row r="1580" spans="1:7" x14ac:dyDescent="0.2">
      <c r="A1580" s="29"/>
      <c r="B1580" s="101"/>
      <c r="C1580" s="371"/>
      <c r="D1580" s="383"/>
      <c r="E1580" s="108"/>
      <c r="F1580" s="149"/>
      <c r="G1580" s="372"/>
    </row>
    <row r="1581" spans="1:7" x14ac:dyDescent="0.2">
      <c r="A1581" s="61"/>
      <c r="B1581" s="101"/>
      <c r="C1581" s="41"/>
      <c r="D1581" s="383"/>
      <c r="E1581" s="108"/>
      <c r="F1581" s="149"/>
      <c r="G1581" s="372"/>
    </row>
    <row r="1582" spans="1:7" ht="13.5" thickBot="1" x14ac:dyDescent="0.25">
      <c r="A1582" s="209"/>
      <c r="B1582" s="132"/>
      <c r="C1582" s="115"/>
      <c r="D1582" s="115"/>
      <c r="E1582" s="132"/>
      <c r="F1582" s="49" t="s">
        <v>15</v>
      </c>
      <c r="G1582" s="210">
        <f>SUM(G1548:G1581)</f>
        <v>22000</v>
      </c>
    </row>
    <row r="1583" spans="1:7" ht="13.5" thickTop="1" x14ac:dyDescent="0.2">
      <c r="A1583" s="875" t="s">
        <v>2191</v>
      </c>
      <c r="B1583" s="899"/>
      <c r="C1583" s="899"/>
      <c r="D1583" s="899"/>
      <c r="E1583" s="899"/>
      <c r="F1583" s="899"/>
      <c r="G1583" s="900"/>
    </row>
    <row r="1584" spans="1:7" ht="13.5" thickBot="1" x14ac:dyDescent="0.25">
      <c r="A1584" s="52"/>
      <c r="B1584" s="103"/>
      <c r="C1584" s="374" t="s">
        <v>2192</v>
      </c>
      <c r="D1584" s="54"/>
      <c r="E1584" s="103"/>
      <c r="F1584" s="55"/>
      <c r="G1584" s="56"/>
    </row>
    <row r="1585" spans="1:7" ht="13.5" thickTop="1" x14ac:dyDescent="0.2">
      <c r="A1585" s="906"/>
      <c r="B1585" s="907"/>
      <c r="C1585" s="907"/>
      <c r="D1585" s="57" t="s">
        <v>11</v>
      </c>
      <c r="E1585" s="908" t="s">
        <v>12</v>
      </c>
      <c r="F1585" s="908"/>
      <c r="G1585" s="909"/>
    </row>
    <row r="1586" spans="1:7" x14ac:dyDescent="0.2">
      <c r="A1586" s="910" t="s">
        <v>17</v>
      </c>
      <c r="B1586" s="911"/>
      <c r="C1586" s="911"/>
      <c r="D1586" s="39"/>
      <c r="E1586" s="912"/>
      <c r="F1586" s="913"/>
      <c r="G1586" s="914"/>
    </row>
    <row r="1587" spans="1:7" x14ac:dyDescent="0.2">
      <c r="A1587" s="910" t="s">
        <v>38</v>
      </c>
      <c r="B1587" s="911"/>
      <c r="C1587" s="911"/>
      <c r="D1587" s="73" t="s">
        <v>891</v>
      </c>
      <c r="E1587" s="868" t="s">
        <v>142</v>
      </c>
      <c r="F1587" s="868"/>
      <c r="G1587" s="869"/>
    </row>
    <row r="1588" spans="1:7" ht="13.5" thickBot="1" x14ac:dyDescent="0.25">
      <c r="A1588" s="901" t="s">
        <v>39</v>
      </c>
      <c r="B1588" s="902"/>
      <c r="C1588" s="902"/>
      <c r="D1588" s="91" t="s">
        <v>892</v>
      </c>
      <c r="E1588" s="904" t="s">
        <v>0</v>
      </c>
      <c r="F1588" s="904"/>
      <c r="G1588" s="905"/>
    </row>
    <row r="1589" spans="1:7" ht="16.5" x14ac:dyDescent="0.25">
      <c r="A1589" s="885" t="s">
        <v>29</v>
      </c>
      <c r="B1589" s="886"/>
      <c r="C1589" s="886"/>
      <c r="D1589" s="886"/>
      <c r="E1589" s="886"/>
      <c r="F1589" s="886"/>
      <c r="G1589" s="887"/>
    </row>
    <row r="1590" spans="1:7" x14ac:dyDescent="0.2">
      <c r="A1590" s="888" t="s">
        <v>48</v>
      </c>
      <c r="B1590" s="889"/>
      <c r="C1590" s="889"/>
      <c r="D1590" s="889"/>
      <c r="E1590" s="889"/>
      <c r="F1590" s="889"/>
      <c r="G1590" s="890"/>
    </row>
    <row r="1591" spans="1:7" x14ac:dyDescent="0.2">
      <c r="A1591" s="915" t="s">
        <v>49</v>
      </c>
      <c r="B1591" s="916"/>
      <c r="C1591" s="916"/>
      <c r="D1591" s="916"/>
      <c r="E1591" s="916"/>
      <c r="F1591" s="916"/>
      <c r="G1591" s="917"/>
    </row>
    <row r="1592" spans="1:7" x14ac:dyDescent="0.2">
      <c r="A1592" s="6"/>
      <c r="B1592" s="99"/>
      <c r="C1592" s="8"/>
      <c r="D1592" s="9"/>
      <c r="E1592" s="99"/>
      <c r="F1592" s="10"/>
      <c r="G1592" s="11" t="s">
        <v>20</v>
      </c>
    </row>
    <row r="1593" spans="1:7" x14ac:dyDescent="0.2">
      <c r="A1593" s="12" t="s">
        <v>1</v>
      </c>
      <c r="B1593" s="13"/>
      <c r="C1593" s="14" t="s">
        <v>36</v>
      </c>
      <c r="D1593" s="13"/>
      <c r="E1593" s="362" t="s">
        <v>2217</v>
      </c>
      <c r="F1593" s="98"/>
      <c r="G1593" s="363" t="s">
        <v>2163</v>
      </c>
    </row>
    <row r="1594" spans="1:7" x14ac:dyDescent="0.2">
      <c r="A1594" s="17" t="s">
        <v>8</v>
      </c>
      <c r="B1594" s="100"/>
      <c r="C1594" s="19"/>
      <c r="D1594" s="4"/>
      <c r="E1594" s="918"/>
      <c r="F1594" s="919"/>
      <c r="G1594" s="20"/>
    </row>
    <row r="1595" spans="1:7" x14ac:dyDescent="0.2">
      <c r="A1595" s="21" t="s">
        <v>37</v>
      </c>
      <c r="B1595" s="22"/>
      <c r="C1595" s="22"/>
      <c r="D1595" s="22"/>
      <c r="E1595" s="23" t="s">
        <v>46</v>
      </c>
      <c r="F1595" s="24"/>
      <c r="G1595" s="20" t="s">
        <v>50</v>
      </c>
    </row>
    <row r="1596" spans="1:7" x14ac:dyDescent="0.2">
      <c r="A1596" s="6"/>
      <c r="B1596" s="99"/>
      <c r="C1596" s="8"/>
      <c r="D1596" s="8"/>
      <c r="E1596" s="920"/>
      <c r="F1596" s="921"/>
      <c r="G1596" s="25"/>
    </row>
    <row r="1597" spans="1:7" ht="26.25" thickBot="1" x14ac:dyDescent="0.25">
      <c r="A1597" s="207" t="s">
        <v>47</v>
      </c>
      <c r="B1597" s="28" t="s">
        <v>23</v>
      </c>
      <c r="C1597" s="28" t="s">
        <v>34</v>
      </c>
      <c r="D1597" s="110" t="s">
        <v>53</v>
      </c>
      <c r="E1597" s="114" t="s">
        <v>54</v>
      </c>
      <c r="F1597" s="111" t="s">
        <v>55</v>
      </c>
      <c r="G1597" s="112" t="s">
        <v>35</v>
      </c>
    </row>
    <row r="1598" spans="1:7" ht="13.5" thickTop="1" x14ac:dyDescent="0.2">
      <c r="A1598" s="364">
        <v>1</v>
      </c>
      <c r="B1598" s="401"/>
      <c r="C1598" s="371" t="s">
        <v>149</v>
      </c>
      <c r="D1598" s="370" t="s">
        <v>2193</v>
      </c>
      <c r="E1598" s="407">
        <v>40</v>
      </c>
      <c r="F1598" s="406">
        <v>200</v>
      </c>
      <c r="G1598" s="372">
        <f>F1598*E1598</f>
        <v>8000</v>
      </c>
    </row>
    <row r="1599" spans="1:7" x14ac:dyDescent="0.2">
      <c r="A1599" s="364"/>
      <c r="B1599" s="401"/>
      <c r="C1599" s="371"/>
      <c r="D1599" s="370" t="s">
        <v>2194</v>
      </c>
      <c r="E1599" s="407"/>
      <c r="F1599" s="406"/>
      <c r="G1599" s="372"/>
    </row>
    <row r="1600" spans="1:7" x14ac:dyDescent="0.2">
      <c r="A1600" s="364">
        <v>2</v>
      </c>
      <c r="B1600" s="408"/>
      <c r="C1600" s="371" t="s">
        <v>149</v>
      </c>
      <c r="D1600" s="376" t="s">
        <v>339</v>
      </c>
      <c r="E1600" s="409">
        <v>40</v>
      </c>
      <c r="F1600" s="403">
        <v>350</v>
      </c>
      <c r="G1600" s="372">
        <f>F1600*E1600</f>
        <v>14000</v>
      </c>
    </row>
    <row r="1601" spans="1:7" x14ac:dyDescent="0.2">
      <c r="A1601" s="364"/>
      <c r="B1601" s="408"/>
      <c r="C1601" s="371"/>
      <c r="D1601" s="376" t="s">
        <v>301</v>
      </c>
      <c r="E1601" s="409"/>
      <c r="F1601" s="403"/>
      <c r="G1601" s="372"/>
    </row>
    <row r="1602" spans="1:7" x14ac:dyDescent="0.2">
      <c r="A1602" s="364"/>
      <c r="B1602" s="408"/>
      <c r="C1602" s="371"/>
      <c r="D1602" s="376"/>
      <c r="E1602" s="409"/>
      <c r="F1602" s="403"/>
      <c r="G1602" s="372"/>
    </row>
    <row r="1603" spans="1:7" x14ac:dyDescent="0.2">
      <c r="A1603" s="364"/>
      <c r="B1603" s="408"/>
      <c r="C1603" s="371"/>
      <c r="D1603" s="376"/>
      <c r="E1603" s="409"/>
      <c r="F1603" s="403"/>
      <c r="G1603" s="372"/>
    </row>
    <row r="1604" spans="1:7" x14ac:dyDescent="0.2">
      <c r="A1604" s="364"/>
      <c r="B1604" s="410"/>
      <c r="C1604" s="385"/>
      <c r="D1604" s="383"/>
      <c r="E1604" s="407"/>
      <c r="F1604" s="549"/>
      <c r="G1604" s="372"/>
    </row>
    <row r="1605" spans="1:7" x14ac:dyDescent="0.2">
      <c r="A1605" s="364"/>
      <c r="B1605" s="401"/>
      <c r="C1605" s="371"/>
      <c r="D1605" s="383"/>
      <c r="E1605" s="414"/>
      <c r="F1605" s="451"/>
      <c r="G1605" s="372"/>
    </row>
    <row r="1606" spans="1:7" x14ac:dyDescent="0.2">
      <c r="A1606" s="364"/>
      <c r="B1606" s="413"/>
      <c r="C1606" s="371"/>
      <c r="D1606" s="376"/>
      <c r="E1606" s="414"/>
      <c r="F1606" s="451"/>
      <c r="G1606" s="372"/>
    </row>
    <row r="1607" spans="1:7" x14ac:dyDescent="0.2">
      <c r="A1607" s="364"/>
      <c r="B1607" s="408"/>
      <c r="C1607" s="371"/>
      <c r="D1607" s="376"/>
      <c r="E1607" s="407"/>
      <c r="F1607" s="631"/>
      <c r="G1607" s="372"/>
    </row>
    <row r="1608" spans="1:7" x14ac:dyDescent="0.2">
      <c r="A1608" s="364"/>
      <c r="B1608" s="416"/>
      <c r="C1608" s="371"/>
      <c r="D1608" s="376"/>
      <c r="E1608" s="417"/>
      <c r="F1608" s="451"/>
      <c r="G1608" s="372"/>
    </row>
    <row r="1609" spans="1:7" x14ac:dyDescent="0.2">
      <c r="A1609" s="364"/>
      <c r="B1609" s="416"/>
      <c r="C1609" s="371"/>
      <c r="D1609" s="384"/>
      <c r="E1609" s="417"/>
      <c r="F1609" s="451"/>
      <c r="G1609" s="372"/>
    </row>
    <row r="1610" spans="1:7" x14ac:dyDescent="0.2">
      <c r="A1610" s="364"/>
      <c r="B1610" s="401"/>
      <c r="C1610" s="371"/>
      <c r="D1610" s="384"/>
      <c r="E1610" s="407"/>
      <c r="F1610" s="451"/>
      <c r="G1610" s="372"/>
    </row>
    <row r="1611" spans="1:7" x14ac:dyDescent="0.2">
      <c r="A1611" s="364"/>
      <c r="B1611" s="401"/>
      <c r="C1611" s="371"/>
      <c r="D1611" s="383" t="s">
        <v>150</v>
      </c>
      <c r="E1611" s="417"/>
      <c r="F1611" s="451"/>
      <c r="G1611" s="372"/>
    </row>
    <row r="1612" spans="1:7" x14ac:dyDescent="0.2">
      <c r="A1612" s="364"/>
      <c r="B1612" s="413"/>
      <c r="C1612" s="371"/>
      <c r="D1612" s="384"/>
      <c r="E1612" s="414"/>
      <c r="F1612" s="550"/>
      <c r="G1612" s="372"/>
    </row>
    <row r="1613" spans="1:7" x14ac:dyDescent="0.2">
      <c r="A1613" s="364"/>
      <c r="B1613" s="408"/>
      <c r="C1613" s="371"/>
      <c r="D1613" s="419"/>
      <c r="E1613" s="414"/>
      <c r="F1613" s="550"/>
      <c r="G1613" s="372"/>
    </row>
    <row r="1614" spans="1:7" x14ac:dyDescent="0.2">
      <c r="A1614" s="364"/>
      <c r="B1614" s="408"/>
      <c r="C1614" s="371"/>
      <c r="D1614" s="384" t="s">
        <v>896</v>
      </c>
      <c r="E1614" s="414"/>
      <c r="F1614" s="550"/>
      <c r="G1614" s="372"/>
    </row>
    <row r="1615" spans="1:7" x14ac:dyDescent="0.2">
      <c r="A1615" s="29"/>
      <c r="B1615" s="101"/>
      <c r="C1615" s="41"/>
      <c r="D1615" s="384"/>
      <c r="E1615" s="104"/>
      <c r="F1615" s="266"/>
      <c r="G1615" s="372"/>
    </row>
    <row r="1616" spans="1:7" x14ac:dyDescent="0.2">
      <c r="A1616" s="29"/>
      <c r="B1616" s="101"/>
      <c r="C1616" s="371"/>
      <c r="D1616" s="376"/>
      <c r="E1616" s="104"/>
      <c r="F1616" s="266"/>
      <c r="G1616" s="372"/>
    </row>
    <row r="1617" spans="1:7" x14ac:dyDescent="0.2">
      <c r="A1617" s="29"/>
      <c r="B1617" s="101"/>
      <c r="C1617" s="41"/>
      <c r="D1617" s="376"/>
      <c r="E1617" s="104"/>
      <c r="F1617" s="266"/>
      <c r="G1617" s="372"/>
    </row>
    <row r="1618" spans="1:7" x14ac:dyDescent="0.2">
      <c r="A1618" s="29"/>
      <c r="B1618" s="101"/>
      <c r="C1618" s="41"/>
      <c r="D1618" s="444"/>
      <c r="E1618" s="104"/>
      <c r="F1618" s="266"/>
      <c r="G1618" s="372"/>
    </row>
    <row r="1619" spans="1:7" x14ac:dyDescent="0.2">
      <c r="A1619" s="29"/>
      <c r="B1619" s="101"/>
      <c r="C1619" s="371"/>
      <c r="D1619" s="384"/>
      <c r="E1619" s="104"/>
      <c r="F1619" s="266"/>
      <c r="G1619" s="372"/>
    </row>
    <row r="1620" spans="1:7" x14ac:dyDescent="0.2">
      <c r="A1620" s="29"/>
      <c r="B1620" s="101"/>
      <c r="C1620" s="41"/>
      <c r="D1620" s="384"/>
      <c r="E1620" s="104"/>
      <c r="F1620" s="266"/>
      <c r="G1620" s="372"/>
    </row>
    <row r="1621" spans="1:7" x14ac:dyDescent="0.2">
      <c r="A1621" s="29"/>
      <c r="B1621" s="101"/>
      <c r="C1621" s="371"/>
      <c r="D1621" s="384"/>
      <c r="E1621" s="104"/>
      <c r="F1621" s="266"/>
      <c r="G1621" s="372"/>
    </row>
    <row r="1622" spans="1:7" x14ac:dyDescent="0.2">
      <c r="A1622" s="29"/>
      <c r="B1622" s="101"/>
      <c r="C1622" s="41"/>
      <c r="D1622" s="384"/>
      <c r="E1622" s="104"/>
      <c r="F1622" s="266"/>
      <c r="G1622" s="372"/>
    </row>
    <row r="1623" spans="1:7" x14ac:dyDescent="0.2">
      <c r="A1623" s="29"/>
      <c r="B1623" s="101"/>
      <c r="C1623" s="371"/>
      <c r="D1623" s="376"/>
      <c r="E1623" s="108"/>
      <c r="F1623" s="69"/>
      <c r="G1623" s="372"/>
    </row>
    <row r="1624" spans="1:7" x14ac:dyDescent="0.2">
      <c r="A1624" s="29"/>
      <c r="B1624" s="101"/>
      <c r="C1624" s="41"/>
      <c r="D1624" s="358"/>
      <c r="E1624" s="153"/>
      <c r="F1624" s="69"/>
      <c r="G1624" s="372"/>
    </row>
    <row r="1625" spans="1:7" x14ac:dyDescent="0.2">
      <c r="A1625" s="29"/>
      <c r="B1625" s="101"/>
      <c r="C1625" s="371"/>
      <c r="D1625" s="419"/>
      <c r="E1625" s="102"/>
      <c r="F1625" s="69"/>
      <c r="G1625" s="372"/>
    </row>
    <row r="1626" spans="1:7" x14ac:dyDescent="0.2">
      <c r="A1626" s="29"/>
      <c r="B1626" s="101"/>
      <c r="C1626" s="371"/>
      <c r="D1626" s="419"/>
      <c r="E1626" s="102"/>
      <c r="F1626" s="69"/>
      <c r="G1626" s="372"/>
    </row>
    <row r="1627" spans="1:7" x14ac:dyDescent="0.2">
      <c r="A1627" s="29"/>
      <c r="B1627" s="101"/>
      <c r="C1627" s="31"/>
      <c r="D1627" s="419"/>
      <c r="E1627" s="131"/>
      <c r="F1627" s="267"/>
      <c r="G1627" s="372"/>
    </row>
    <row r="1628" spans="1:7" x14ac:dyDescent="0.2">
      <c r="A1628" s="29"/>
      <c r="B1628" s="101"/>
      <c r="C1628" s="371"/>
      <c r="D1628" s="425"/>
      <c r="E1628" s="108"/>
      <c r="F1628" s="263"/>
      <c r="G1628" s="372"/>
    </row>
    <row r="1629" spans="1:7" x14ac:dyDescent="0.2">
      <c r="A1629" s="29"/>
      <c r="B1629" s="101"/>
      <c r="C1629" s="41"/>
      <c r="D1629" s="383"/>
      <c r="E1629" s="108"/>
      <c r="F1629" s="263"/>
      <c r="G1629" s="372"/>
    </row>
    <row r="1630" spans="1:7" x14ac:dyDescent="0.2">
      <c r="A1630" s="29"/>
      <c r="B1630" s="101"/>
      <c r="C1630" s="371"/>
      <c r="E1630" s="108"/>
      <c r="F1630" s="149"/>
      <c r="G1630" s="372"/>
    </row>
    <row r="1631" spans="1:7" x14ac:dyDescent="0.2">
      <c r="A1631" s="61"/>
      <c r="B1631" s="101"/>
      <c r="C1631" s="41"/>
      <c r="D1631" s="383"/>
      <c r="E1631" s="108"/>
      <c r="F1631" s="149"/>
      <c r="G1631" s="372"/>
    </row>
    <row r="1632" spans="1:7" ht="13.5" thickBot="1" x14ac:dyDescent="0.25">
      <c r="A1632" s="209"/>
      <c r="B1632" s="132"/>
      <c r="C1632" s="115"/>
      <c r="D1632" s="115"/>
      <c r="E1632" s="132"/>
      <c r="F1632" s="49" t="s">
        <v>15</v>
      </c>
      <c r="G1632" s="210">
        <f>SUM(G1598:G1631)</f>
        <v>22000</v>
      </c>
    </row>
    <row r="1633" spans="1:7" ht="13.5" thickTop="1" x14ac:dyDescent="0.2">
      <c r="A1633" s="875" t="s">
        <v>2195</v>
      </c>
      <c r="B1633" s="899"/>
      <c r="C1633" s="899"/>
      <c r="D1633" s="899"/>
      <c r="E1633" s="899"/>
      <c r="F1633" s="899"/>
      <c r="G1633" s="900"/>
    </row>
    <row r="1634" spans="1:7" ht="13.5" thickBot="1" x14ac:dyDescent="0.25">
      <c r="A1634" s="378" t="s">
        <v>8</v>
      </c>
      <c r="B1634" s="103"/>
      <c r="C1634" s="374" t="s">
        <v>2196</v>
      </c>
      <c r="D1634" s="54"/>
      <c r="E1634" s="103"/>
      <c r="F1634" s="55"/>
      <c r="G1634" s="56"/>
    </row>
    <row r="1635" spans="1:7" ht="13.5" thickTop="1" x14ac:dyDescent="0.2">
      <c r="A1635" s="906"/>
      <c r="B1635" s="907"/>
      <c r="C1635" s="907"/>
      <c r="D1635" s="57" t="s">
        <v>11</v>
      </c>
      <c r="E1635" s="908" t="s">
        <v>12</v>
      </c>
      <c r="F1635" s="908"/>
      <c r="G1635" s="909"/>
    </row>
    <row r="1636" spans="1:7" x14ac:dyDescent="0.2">
      <c r="A1636" s="910" t="s">
        <v>17</v>
      </c>
      <c r="B1636" s="911"/>
      <c r="C1636" s="911"/>
      <c r="D1636" s="39"/>
      <c r="E1636" s="912"/>
      <c r="F1636" s="913"/>
      <c r="G1636" s="914"/>
    </row>
    <row r="1637" spans="1:7" x14ac:dyDescent="0.2">
      <c r="A1637" s="910" t="s">
        <v>38</v>
      </c>
      <c r="B1637" s="911"/>
      <c r="C1637" s="911"/>
      <c r="D1637" s="73" t="s">
        <v>891</v>
      </c>
      <c r="E1637" s="868" t="s">
        <v>142</v>
      </c>
      <c r="F1637" s="868"/>
      <c r="G1637" s="869"/>
    </row>
    <row r="1638" spans="1:7" ht="13.5" thickBot="1" x14ac:dyDescent="0.25">
      <c r="A1638" s="901" t="s">
        <v>39</v>
      </c>
      <c r="B1638" s="902"/>
      <c r="C1638" s="902"/>
      <c r="D1638" s="91" t="s">
        <v>892</v>
      </c>
      <c r="E1638" s="904" t="s">
        <v>0</v>
      </c>
      <c r="F1638" s="904"/>
      <c r="G1638" s="905"/>
    </row>
    <row r="1639" spans="1:7" ht="16.5" x14ac:dyDescent="0.25">
      <c r="A1639" s="885" t="s">
        <v>29</v>
      </c>
      <c r="B1639" s="886"/>
      <c r="C1639" s="886"/>
      <c r="D1639" s="886"/>
      <c r="E1639" s="886"/>
      <c r="F1639" s="886"/>
      <c r="G1639" s="887"/>
    </row>
    <row r="1640" spans="1:7" x14ac:dyDescent="0.2">
      <c r="A1640" s="888" t="s">
        <v>48</v>
      </c>
      <c r="B1640" s="889"/>
      <c r="C1640" s="889"/>
      <c r="D1640" s="889"/>
      <c r="E1640" s="889"/>
      <c r="F1640" s="889"/>
      <c r="G1640" s="890"/>
    </row>
    <row r="1641" spans="1:7" x14ac:dyDescent="0.2">
      <c r="A1641" s="915" t="s">
        <v>49</v>
      </c>
      <c r="B1641" s="916"/>
      <c r="C1641" s="916"/>
      <c r="D1641" s="916"/>
      <c r="E1641" s="916"/>
      <c r="F1641" s="916"/>
      <c r="G1641" s="917"/>
    </row>
    <row r="1642" spans="1:7" x14ac:dyDescent="0.2">
      <c r="A1642" s="6"/>
      <c r="B1642" s="99"/>
      <c r="C1642" s="8"/>
      <c r="D1642" s="9"/>
      <c r="E1642" s="99"/>
      <c r="F1642" s="10"/>
      <c r="G1642" s="11" t="s">
        <v>20</v>
      </c>
    </row>
    <row r="1643" spans="1:7" x14ac:dyDescent="0.2">
      <c r="A1643" s="12" t="s">
        <v>1</v>
      </c>
      <c r="B1643" s="13"/>
      <c r="C1643" s="14" t="s">
        <v>36</v>
      </c>
      <c r="D1643" s="13"/>
      <c r="E1643" s="362" t="s">
        <v>2372</v>
      </c>
      <c r="F1643" s="98"/>
      <c r="G1643" s="363" t="s">
        <v>2367</v>
      </c>
    </row>
    <row r="1644" spans="1:7" x14ac:dyDescent="0.2">
      <c r="A1644" s="17" t="s">
        <v>8</v>
      </c>
      <c r="B1644" s="100"/>
      <c r="C1644" s="19"/>
      <c r="D1644" s="4"/>
      <c r="E1644" s="918"/>
      <c r="F1644" s="919"/>
      <c r="G1644" s="20"/>
    </row>
    <row r="1645" spans="1:7" x14ac:dyDescent="0.2">
      <c r="A1645" s="21" t="s">
        <v>37</v>
      </c>
      <c r="B1645" s="22"/>
      <c r="C1645" s="22"/>
      <c r="D1645" s="22"/>
      <c r="E1645" s="23" t="s">
        <v>46</v>
      </c>
      <c r="F1645" s="24"/>
      <c r="G1645" s="20" t="s">
        <v>50</v>
      </c>
    </row>
    <row r="1646" spans="1:7" x14ac:dyDescent="0.2">
      <c r="A1646" s="6"/>
      <c r="B1646" s="99"/>
      <c r="C1646" s="8"/>
      <c r="D1646" s="8"/>
      <c r="E1646" s="920"/>
      <c r="F1646" s="921"/>
      <c r="G1646" s="25"/>
    </row>
    <row r="1647" spans="1:7" ht="26.25" thickBot="1" x14ac:dyDescent="0.25">
      <c r="A1647" s="207" t="s">
        <v>47</v>
      </c>
      <c r="B1647" s="28" t="s">
        <v>23</v>
      </c>
      <c r="C1647" s="28" t="s">
        <v>34</v>
      </c>
      <c r="D1647" s="110" t="s">
        <v>53</v>
      </c>
      <c r="E1647" s="114" t="s">
        <v>54</v>
      </c>
      <c r="F1647" s="111" t="s">
        <v>55</v>
      </c>
      <c r="G1647" s="112" t="s">
        <v>35</v>
      </c>
    </row>
    <row r="1648" spans="1:7" ht="13.5" thickTop="1" x14ac:dyDescent="0.2">
      <c r="A1648" s="364">
        <v>1</v>
      </c>
      <c r="B1648" s="401"/>
      <c r="C1648" s="371" t="s">
        <v>149</v>
      </c>
      <c r="D1648" s="370" t="s">
        <v>2197</v>
      </c>
      <c r="E1648" s="407">
        <v>35</v>
      </c>
      <c r="F1648" s="406">
        <v>200</v>
      </c>
      <c r="G1648" s="372">
        <f>F1648*E1648</f>
        <v>7000</v>
      </c>
    </row>
    <row r="1649" spans="1:7" x14ac:dyDescent="0.2">
      <c r="A1649" s="364"/>
      <c r="B1649" s="401"/>
      <c r="C1649" s="371"/>
      <c r="D1649" s="370" t="s">
        <v>2198</v>
      </c>
      <c r="E1649" s="407"/>
      <c r="F1649" s="406"/>
      <c r="G1649" s="372"/>
    </row>
    <row r="1650" spans="1:7" x14ac:dyDescent="0.2">
      <c r="A1650" s="364">
        <v>2</v>
      </c>
      <c r="B1650" s="408"/>
      <c r="C1650" s="371" t="s">
        <v>149</v>
      </c>
      <c r="D1650" s="376" t="s">
        <v>339</v>
      </c>
      <c r="E1650" s="409">
        <v>35</v>
      </c>
      <c r="F1650" s="403">
        <v>350</v>
      </c>
      <c r="G1650" s="372">
        <f>F1650*E1650</f>
        <v>12250</v>
      </c>
    </row>
    <row r="1651" spans="1:7" x14ac:dyDescent="0.2">
      <c r="A1651" s="364"/>
      <c r="B1651" s="408"/>
      <c r="C1651" s="371"/>
      <c r="D1651" s="376" t="s">
        <v>301</v>
      </c>
      <c r="E1651" s="409"/>
      <c r="F1651" s="403"/>
      <c r="G1651" s="372"/>
    </row>
    <row r="1652" spans="1:7" x14ac:dyDescent="0.2">
      <c r="A1652" s="364"/>
      <c r="B1652" s="408"/>
      <c r="C1652" s="371"/>
      <c r="D1652" s="376"/>
      <c r="E1652" s="409"/>
      <c r="F1652" s="403"/>
      <c r="G1652" s="372"/>
    </row>
    <row r="1653" spans="1:7" x14ac:dyDescent="0.2">
      <c r="A1653" s="364"/>
      <c r="B1653" s="408"/>
      <c r="C1653" s="371"/>
      <c r="D1653" s="376"/>
      <c r="E1653" s="409"/>
      <c r="F1653" s="403"/>
      <c r="G1653" s="372"/>
    </row>
    <row r="1654" spans="1:7" x14ac:dyDescent="0.2">
      <c r="A1654" s="364"/>
      <c r="B1654" s="410"/>
      <c r="C1654" s="385"/>
      <c r="D1654" s="383"/>
      <c r="E1654" s="407"/>
      <c r="F1654" s="549"/>
      <c r="G1654" s="372"/>
    </row>
    <row r="1655" spans="1:7" x14ac:dyDescent="0.2">
      <c r="A1655" s="364"/>
      <c r="B1655" s="401"/>
      <c r="C1655" s="371"/>
      <c r="D1655" s="383"/>
      <c r="E1655" s="414"/>
      <c r="F1655" s="451"/>
      <c r="G1655" s="372"/>
    </row>
    <row r="1656" spans="1:7" x14ac:dyDescent="0.2">
      <c r="A1656" s="364"/>
      <c r="B1656" s="413"/>
      <c r="C1656" s="371"/>
      <c r="D1656" s="376"/>
      <c r="E1656" s="414"/>
      <c r="F1656" s="451"/>
      <c r="G1656" s="372"/>
    </row>
    <row r="1657" spans="1:7" x14ac:dyDescent="0.2">
      <c r="A1657" s="364"/>
      <c r="B1657" s="408"/>
      <c r="C1657" s="371"/>
      <c r="D1657" s="376"/>
      <c r="E1657" s="407"/>
      <c r="F1657" s="631"/>
      <c r="G1657" s="372"/>
    </row>
    <row r="1658" spans="1:7" x14ac:dyDescent="0.2">
      <c r="A1658" s="364"/>
      <c r="B1658" s="416"/>
      <c r="C1658" s="371"/>
      <c r="D1658" s="376"/>
      <c r="E1658" s="417"/>
      <c r="F1658" s="451"/>
      <c r="G1658" s="372"/>
    </row>
    <row r="1659" spans="1:7" x14ac:dyDescent="0.2">
      <c r="A1659" s="364"/>
      <c r="B1659" s="416"/>
      <c r="C1659" s="371"/>
      <c r="D1659" s="384"/>
      <c r="E1659" s="417"/>
      <c r="F1659" s="451"/>
      <c r="G1659" s="372"/>
    </row>
    <row r="1660" spans="1:7" x14ac:dyDescent="0.2">
      <c r="A1660" s="364"/>
      <c r="B1660" s="401"/>
      <c r="C1660" s="371"/>
      <c r="D1660" s="384"/>
      <c r="E1660" s="407"/>
      <c r="F1660" s="451"/>
      <c r="G1660" s="372"/>
    </row>
    <row r="1661" spans="1:7" x14ac:dyDescent="0.2">
      <c r="A1661" s="364"/>
      <c r="B1661" s="401"/>
      <c r="C1661" s="371"/>
      <c r="D1661" s="383" t="s">
        <v>150</v>
      </c>
      <c r="E1661" s="417"/>
      <c r="F1661" s="451"/>
      <c r="G1661" s="372"/>
    </row>
    <row r="1662" spans="1:7" x14ac:dyDescent="0.2">
      <c r="A1662" s="364"/>
      <c r="B1662" s="413"/>
      <c r="C1662" s="371"/>
      <c r="D1662" s="384"/>
      <c r="E1662" s="414"/>
      <c r="F1662" s="550"/>
      <c r="G1662" s="372"/>
    </row>
    <row r="1663" spans="1:7" x14ac:dyDescent="0.2">
      <c r="A1663" s="364"/>
      <c r="B1663" s="408"/>
      <c r="C1663" s="371"/>
      <c r="D1663" s="419"/>
      <c r="E1663" s="414"/>
      <c r="F1663" s="550"/>
      <c r="G1663" s="372"/>
    </row>
    <row r="1664" spans="1:7" x14ac:dyDescent="0.2">
      <c r="A1664" s="364"/>
      <c r="B1664" s="408"/>
      <c r="C1664" s="371"/>
      <c r="D1664" s="384" t="s">
        <v>896</v>
      </c>
      <c r="E1664" s="414"/>
      <c r="F1664" s="550"/>
      <c r="G1664" s="372"/>
    </row>
    <row r="1665" spans="1:7" x14ac:dyDescent="0.2">
      <c r="A1665" s="29"/>
      <c r="B1665" s="101"/>
      <c r="C1665" s="41"/>
      <c r="D1665" s="384"/>
      <c r="E1665" s="104"/>
      <c r="F1665" s="266"/>
      <c r="G1665" s="372"/>
    </row>
    <row r="1666" spans="1:7" x14ac:dyDescent="0.2">
      <c r="A1666" s="29"/>
      <c r="B1666" s="101"/>
      <c r="C1666" s="371"/>
      <c r="D1666" s="376"/>
      <c r="E1666" s="104"/>
      <c r="F1666" s="266"/>
      <c r="G1666" s="372"/>
    </row>
    <row r="1667" spans="1:7" x14ac:dyDescent="0.2">
      <c r="A1667" s="29"/>
      <c r="B1667" s="101"/>
      <c r="C1667" s="41"/>
      <c r="D1667" s="376"/>
      <c r="E1667" s="104"/>
      <c r="F1667" s="266"/>
      <c r="G1667" s="372"/>
    </row>
    <row r="1668" spans="1:7" x14ac:dyDescent="0.2">
      <c r="A1668" s="29"/>
      <c r="B1668" s="101"/>
      <c r="C1668" s="41"/>
      <c r="D1668" s="444"/>
      <c r="E1668" s="104"/>
      <c r="F1668" s="266"/>
      <c r="G1668" s="372"/>
    </row>
    <row r="1669" spans="1:7" x14ac:dyDescent="0.2">
      <c r="A1669" s="29"/>
      <c r="B1669" s="101"/>
      <c r="C1669" s="371"/>
      <c r="D1669" s="384"/>
      <c r="E1669" s="104"/>
      <c r="F1669" s="266"/>
      <c r="G1669" s="372"/>
    </row>
    <row r="1670" spans="1:7" x14ac:dyDescent="0.2">
      <c r="A1670" s="29"/>
      <c r="B1670" s="101"/>
      <c r="C1670" s="41"/>
      <c r="D1670" s="384"/>
      <c r="E1670" s="104"/>
      <c r="F1670" s="266"/>
      <c r="G1670" s="372"/>
    </row>
    <row r="1671" spans="1:7" x14ac:dyDescent="0.2">
      <c r="A1671" s="29"/>
      <c r="B1671" s="101"/>
      <c r="C1671" s="371"/>
      <c r="D1671" s="384"/>
      <c r="E1671" s="104"/>
      <c r="F1671" s="266"/>
      <c r="G1671" s="372"/>
    </row>
    <row r="1672" spans="1:7" x14ac:dyDescent="0.2">
      <c r="A1672" s="29"/>
      <c r="B1672" s="101"/>
      <c r="C1672" s="41"/>
      <c r="D1672" s="384"/>
      <c r="E1672" s="104"/>
      <c r="F1672" s="266"/>
      <c r="G1672" s="372"/>
    </row>
    <row r="1673" spans="1:7" x14ac:dyDescent="0.2">
      <c r="A1673" s="29"/>
      <c r="B1673" s="101"/>
      <c r="C1673" s="371"/>
      <c r="D1673" s="376"/>
      <c r="E1673" s="108"/>
      <c r="F1673" s="69"/>
      <c r="G1673" s="372"/>
    </row>
    <row r="1674" spans="1:7" x14ac:dyDescent="0.2">
      <c r="A1674" s="29"/>
      <c r="B1674" s="101"/>
      <c r="C1674" s="41"/>
      <c r="D1674" s="358"/>
      <c r="E1674" s="153"/>
      <c r="F1674" s="69"/>
      <c r="G1674" s="372"/>
    </row>
    <row r="1675" spans="1:7" x14ac:dyDescent="0.2">
      <c r="A1675" s="29"/>
      <c r="B1675" s="101"/>
      <c r="C1675" s="371"/>
      <c r="D1675" s="419"/>
      <c r="E1675" s="102"/>
      <c r="F1675" s="69"/>
      <c r="G1675" s="372"/>
    </row>
    <row r="1676" spans="1:7" x14ac:dyDescent="0.2">
      <c r="A1676" s="29"/>
      <c r="B1676" s="101"/>
      <c r="C1676" s="371"/>
      <c r="D1676" s="419"/>
      <c r="E1676" s="102"/>
      <c r="F1676" s="69"/>
      <c r="G1676" s="372"/>
    </row>
    <row r="1677" spans="1:7" x14ac:dyDescent="0.2">
      <c r="A1677" s="29"/>
      <c r="B1677" s="101"/>
      <c r="C1677" s="31"/>
      <c r="D1677" s="419"/>
      <c r="E1677" s="131"/>
      <c r="F1677" s="267"/>
      <c r="G1677" s="372"/>
    </row>
    <row r="1678" spans="1:7" x14ac:dyDescent="0.2">
      <c r="A1678" s="29"/>
      <c r="B1678" s="101"/>
      <c r="C1678" s="371"/>
      <c r="D1678" s="425"/>
      <c r="E1678" s="108"/>
      <c r="F1678" s="263"/>
      <c r="G1678" s="372"/>
    </row>
    <row r="1679" spans="1:7" x14ac:dyDescent="0.2">
      <c r="A1679" s="29"/>
      <c r="B1679" s="101"/>
      <c r="C1679" s="41"/>
      <c r="D1679" s="383"/>
      <c r="E1679" s="108"/>
      <c r="F1679" s="263"/>
      <c r="G1679" s="372"/>
    </row>
    <row r="1680" spans="1:7" x14ac:dyDescent="0.2">
      <c r="A1680" s="29"/>
      <c r="B1680" s="101"/>
      <c r="C1680" s="371"/>
      <c r="E1680" s="108"/>
      <c r="F1680" s="149"/>
      <c r="G1680" s="372"/>
    </row>
    <row r="1681" spans="1:7" x14ac:dyDescent="0.2">
      <c r="A1681" s="61"/>
      <c r="B1681" s="101"/>
      <c r="C1681" s="41"/>
      <c r="D1681" s="383"/>
      <c r="E1681" s="108"/>
      <c r="F1681" s="149"/>
      <c r="G1681" s="372"/>
    </row>
    <row r="1682" spans="1:7" ht="13.5" thickBot="1" x14ac:dyDescent="0.25">
      <c r="A1682" s="209"/>
      <c r="B1682" s="132"/>
      <c r="C1682" s="115"/>
      <c r="D1682" s="115"/>
      <c r="E1682" s="132"/>
      <c r="F1682" s="49" t="s">
        <v>15</v>
      </c>
      <c r="G1682" s="210">
        <f>SUM(G1648:G1681)</f>
        <v>19250</v>
      </c>
    </row>
    <row r="1683" spans="1:7" ht="13.5" thickTop="1" x14ac:dyDescent="0.2">
      <c r="A1683" s="875" t="s">
        <v>2199</v>
      </c>
      <c r="B1683" s="899"/>
      <c r="C1683" s="899"/>
      <c r="D1683" s="899"/>
      <c r="E1683" s="899"/>
      <c r="F1683" s="899"/>
      <c r="G1683" s="900"/>
    </row>
    <row r="1684" spans="1:7" ht="13.5" thickBot="1" x14ac:dyDescent="0.25">
      <c r="A1684" s="378" t="s">
        <v>8</v>
      </c>
      <c r="B1684" s="103"/>
      <c r="C1684" s="374" t="s">
        <v>2200</v>
      </c>
      <c r="D1684" s="54"/>
      <c r="E1684" s="103"/>
      <c r="F1684" s="55"/>
      <c r="G1684" s="56"/>
    </row>
    <row r="1685" spans="1:7" ht="13.5" thickTop="1" x14ac:dyDescent="0.2">
      <c r="A1685" s="906"/>
      <c r="B1685" s="907"/>
      <c r="C1685" s="907"/>
      <c r="D1685" s="57" t="s">
        <v>11</v>
      </c>
      <c r="E1685" s="908" t="s">
        <v>12</v>
      </c>
      <c r="F1685" s="908"/>
      <c r="G1685" s="909"/>
    </row>
    <row r="1686" spans="1:7" x14ac:dyDescent="0.2">
      <c r="A1686" s="910" t="s">
        <v>17</v>
      </c>
      <c r="B1686" s="911"/>
      <c r="C1686" s="911"/>
      <c r="D1686" s="39"/>
      <c r="E1686" s="912"/>
      <c r="F1686" s="913"/>
      <c r="G1686" s="914"/>
    </row>
    <row r="1687" spans="1:7" x14ac:dyDescent="0.2">
      <c r="A1687" s="910" t="s">
        <v>38</v>
      </c>
      <c r="B1687" s="911"/>
      <c r="C1687" s="911"/>
      <c r="D1687" s="73" t="s">
        <v>891</v>
      </c>
      <c r="E1687" s="868" t="s">
        <v>142</v>
      </c>
      <c r="F1687" s="868"/>
      <c r="G1687" s="869"/>
    </row>
    <row r="1688" spans="1:7" ht="13.5" thickBot="1" x14ac:dyDescent="0.25">
      <c r="A1688" s="901" t="s">
        <v>39</v>
      </c>
      <c r="B1688" s="902"/>
      <c r="C1688" s="902"/>
      <c r="D1688" s="91" t="s">
        <v>892</v>
      </c>
      <c r="E1688" s="904" t="s">
        <v>0</v>
      </c>
      <c r="F1688" s="904"/>
      <c r="G1688" s="905"/>
    </row>
    <row r="1689" spans="1:7" ht="16.5" x14ac:dyDescent="0.25">
      <c r="A1689" s="885" t="s">
        <v>29</v>
      </c>
      <c r="B1689" s="886"/>
      <c r="C1689" s="886"/>
      <c r="D1689" s="886"/>
      <c r="E1689" s="886"/>
      <c r="F1689" s="886"/>
      <c r="G1689" s="887"/>
    </row>
    <row r="1690" spans="1:7" x14ac:dyDescent="0.2">
      <c r="A1690" s="888" t="s">
        <v>48</v>
      </c>
      <c r="B1690" s="889"/>
      <c r="C1690" s="889"/>
      <c r="D1690" s="889"/>
      <c r="E1690" s="889"/>
      <c r="F1690" s="889"/>
      <c r="G1690" s="890"/>
    </row>
    <row r="1691" spans="1:7" x14ac:dyDescent="0.2">
      <c r="A1691" s="915" t="s">
        <v>49</v>
      </c>
      <c r="B1691" s="916"/>
      <c r="C1691" s="916"/>
      <c r="D1691" s="916"/>
      <c r="E1691" s="916"/>
      <c r="F1691" s="916"/>
      <c r="G1691" s="917"/>
    </row>
    <row r="1692" spans="1:7" x14ac:dyDescent="0.2">
      <c r="A1692" s="6"/>
      <c r="B1692" s="99"/>
      <c r="C1692" s="8"/>
      <c r="D1692" s="9"/>
      <c r="E1692" s="99"/>
      <c r="F1692" s="10"/>
      <c r="G1692" s="11" t="s">
        <v>20</v>
      </c>
    </row>
    <row r="1693" spans="1:7" x14ac:dyDescent="0.2">
      <c r="A1693" s="12" t="s">
        <v>1</v>
      </c>
      <c r="B1693" s="13"/>
      <c r="C1693" s="14" t="s">
        <v>36</v>
      </c>
      <c r="D1693" s="13"/>
      <c r="E1693" s="362" t="s">
        <v>2373</v>
      </c>
      <c r="F1693" s="98"/>
      <c r="G1693" s="363" t="s">
        <v>2367</v>
      </c>
    </row>
    <row r="1694" spans="1:7" x14ac:dyDescent="0.2">
      <c r="A1694" s="17" t="s">
        <v>8</v>
      </c>
      <c r="B1694" s="100"/>
      <c r="C1694" s="19"/>
      <c r="D1694" s="4"/>
      <c r="E1694" s="918"/>
      <c r="F1694" s="919"/>
      <c r="G1694" s="20"/>
    </row>
    <row r="1695" spans="1:7" x14ac:dyDescent="0.2">
      <c r="A1695" s="21" t="s">
        <v>37</v>
      </c>
      <c r="B1695" s="22"/>
      <c r="C1695" s="22"/>
      <c r="D1695" s="22"/>
      <c r="E1695" s="23" t="s">
        <v>46</v>
      </c>
      <c r="F1695" s="24"/>
      <c r="G1695" s="20" t="s">
        <v>50</v>
      </c>
    </row>
    <row r="1696" spans="1:7" x14ac:dyDescent="0.2">
      <c r="A1696" s="6"/>
      <c r="B1696" s="99"/>
      <c r="C1696" s="8"/>
      <c r="D1696" s="8"/>
      <c r="E1696" s="920"/>
      <c r="F1696" s="921"/>
      <c r="G1696" s="25"/>
    </row>
    <row r="1697" spans="1:7" ht="26.25" thickBot="1" x14ac:dyDescent="0.25">
      <c r="A1697" s="207" t="s">
        <v>47</v>
      </c>
      <c r="B1697" s="28" t="s">
        <v>23</v>
      </c>
      <c r="C1697" s="28" t="s">
        <v>34</v>
      </c>
      <c r="D1697" s="110" t="s">
        <v>53</v>
      </c>
      <c r="E1697" s="114" t="s">
        <v>54</v>
      </c>
      <c r="F1697" s="111" t="s">
        <v>55</v>
      </c>
      <c r="G1697" s="112" t="s">
        <v>35</v>
      </c>
    </row>
    <row r="1698" spans="1:7" ht="13.5" thickTop="1" x14ac:dyDescent="0.2">
      <c r="A1698" s="364">
        <v>1</v>
      </c>
      <c r="B1698" s="401"/>
      <c r="C1698" s="371" t="s">
        <v>149</v>
      </c>
      <c r="D1698" s="370" t="s">
        <v>1428</v>
      </c>
      <c r="E1698" s="407">
        <v>30</v>
      </c>
      <c r="F1698" s="406">
        <v>200</v>
      </c>
      <c r="G1698" s="372">
        <f>F1698*E1698</f>
        <v>6000</v>
      </c>
    </row>
    <row r="1699" spans="1:7" x14ac:dyDescent="0.2">
      <c r="A1699" s="364"/>
      <c r="B1699" s="401"/>
      <c r="C1699" s="371"/>
      <c r="D1699" s="370" t="s">
        <v>2201</v>
      </c>
      <c r="E1699" s="407"/>
      <c r="F1699" s="406"/>
      <c r="G1699" s="372"/>
    </row>
    <row r="1700" spans="1:7" x14ac:dyDescent="0.2">
      <c r="A1700" s="364">
        <v>2</v>
      </c>
      <c r="B1700" s="408"/>
      <c r="C1700" s="371" t="s">
        <v>149</v>
      </c>
      <c r="D1700" s="376" t="s">
        <v>339</v>
      </c>
      <c r="E1700" s="409">
        <v>30</v>
      </c>
      <c r="F1700" s="403">
        <v>350</v>
      </c>
      <c r="G1700" s="372">
        <f>F1700*E1700</f>
        <v>10500</v>
      </c>
    </row>
    <row r="1701" spans="1:7" x14ac:dyDescent="0.2">
      <c r="A1701" s="364"/>
      <c r="B1701" s="408"/>
      <c r="C1701" s="371"/>
      <c r="D1701" s="376" t="s">
        <v>301</v>
      </c>
      <c r="E1701" s="409"/>
      <c r="F1701" s="403"/>
      <c r="G1701" s="372"/>
    </row>
    <row r="1702" spans="1:7" x14ac:dyDescent="0.2">
      <c r="A1702" s="364"/>
      <c r="B1702" s="408"/>
      <c r="C1702" s="371"/>
      <c r="D1702" s="376"/>
      <c r="E1702" s="409"/>
      <c r="F1702" s="403"/>
      <c r="G1702" s="372"/>
    </row>
    <row r="1703" spans="1:7" x14ac:dyDescent="0.2">
      <c r="A1703" s="364"/>
      <c r="B1703" s="408"/>
      <c r="C1703" s="371"/>
      <c r="D1703" s="376"/>
      <c r="E1703" s="409"/>
      <c r="F1703" s="403"/>
      <c r="G1703" s="372"/>
    </row>
    <row r="1704" spans="1:7" x14ac:dyDescent="0.2">
      <c r="A1704" s="364"/>
      <c r="B1704" s="410"/>
      <c r="C1704" s="385"/>
      <c r="D1704" s="383"/>
      <c r="E1704" s="407"/>
      <c r="F1704" s="549"/>
      <c r="G1704" s="372"/>
    </row>
    <row r="1705" spans="1:7" x14ac:dyDescent="0.2">
      <c r="A1705" s="364"/>
      <c r="B1705" s="401"/>
      <c r="C1705" s="371"/>
      <c r="D1705" s="383"/>
      <c r="E1705" s="414"/>
      <c r="F1705" s="451"/>
      <c r="G1705" s="372"/>
    </row>
    <row r="1706" spans="1:7" x14ac:dyDescent="0.2">
      <c r="A1706" s="364"/>
      <c r="B1706" s="413"/>
      <c r="C1706" s="371"/>
      <c r="D1706" s="376"/>
      <c r="E1706" s="414"/>
      <c r="F1706" s="451"/>
      <c r="G1706" s="372"/>
    </row>
    <row r="1707" spans="1:7" x14ac:dyDescent="0.2">
      <c r="A1707" s="364"/>
      <c r="B1707" s="408"/>
      <c r="C1707" s="371"/>
      <c r="D1707" s="376"/>
      <c r="E1707" s="407"/>
      <c r="F1707" s="631"/>
      <c r="G1707" s="372"/>
    </row>
    <row r="1708" spans="1:7" x14ac:dyDescent="0.2">
      <c r="A1708" s="364"/>
      <c r="B1708" s="416"/>
      <c r="C1708" s="371"/>
      <c r="D1708" s="376"/>
      <c r="E1708" s="417"/>
      <c r="F1708" s="451"/>
      <c r="G1708" s="372"/>
    </row>
    <row r="1709" spans="1:7" x14ac:dyDescent="0.2">
      <c r="A1709" s="364"/>
      <c r="B1709" s="416"/>
      <c r="C1709" s="371"/>
      <c r="D1709" s="384"/>
      <c r="E1709" s="417"/>
      <c r="F1709" s="451"/>
      <c r="G1709" s="372"/>
    </row>
    <row r="1710" spans="1:7" x14ac:dyDescent="0.2">
      <c r="A1710" s="364"/>
      <c r="B1710" s="401"/>
      <c r="C1710" s="371"/>
      <c r="D1710" s="384"/>
      <c r="E1710" s="407"/>
      <c r="F1710" s="451"/>
      <c r="G1710" s="372"/>
    </row>
    <row r="1711" spans="1:7" x14ac:dyDescent="0.2">
      <c r="A1711" s="364"/>
      <c r="B1711" s="401"/>
      <c r="C1711" s="371"/>
      <c r="D1711" s="383" t="s">
        <v>150</v>
      </c>
      <c r="E1711" s="417"/>
      <c r="F1711" s="451"/>
      <c r="G1711" s="372"/>
    </row>
    <row r="1712" spans="1:7" x14ac:dyDescent="0.2">
      <c r="A1712" s="364"/>
      <c r="B1712" s="413"/>
      <c r="C1712" s="371"/>
      <c r="D1712" s="384"/>
      <c r="E1712" s="414"/>
      <c r="F1712" s="550"/>
      <c r="G1712" s="372"/>
    </row>
    <row r="1713" spans="1:7" x14ac:dyDescent="0.2">
      <c r="A1713" s="364"/>
      <c r="B1713" s="408"/>
      <c r="C1713" s="371"/>
      <c r="D1713" s="419"/>
      <c r="E1713" s="414"/>
      <c r="F1713" s="550"/>
      <c r="G1713" s="372"/>
    </row>
    <row r="1714" spans="1:7" x14ac:dyDescent="0.2">
      <c r="A1714" s="364"/>
      <c r="B1714" s="408"/>
      <c r="C1714" s="371"/>
      <c r="D1714" s="384" t="s">
        <v>896</v>
      </c>
      <c r="E1714" s="414"/>
      <c r="F1714" s="550"/>
      <c r="G1714" s="372"/>
    </row>
    <row r="1715" spans="1:7" x14ac:dyDescent="0.2">
      <c r="A1715" s="29"/>
      <c r="B1715" s="101"/>
      <c r="C1715" s="41"/>
      <c r="D1715" s="384"/>
      <c r="E1715" s="104"/>
      <c r="F1715" s="266"/>
      <c r="G1715" s="372"/>
    </row>
    <row r="1716" spans="1:7" x14ac:dyDescent="0.2">
      <c r="A1716" s="29"/>
      <c r="B1716" s="101"/>
      <c r="C1716" s="371"/>
      <c r="D1716" s="376"/>
      <c r="E1716" s="104"/>
      <c r="F1716" s="266"/>
      <c r="G1716" s="372"/>
    </row>
    <row r="1717" spans="1:7" x14ac:dyDescent="0.2">
      <c r="A1717" s="29"/>
      <c r="B1717" s="101"/>
      <c r="C1717" s="41"/>
      <c r="D1717" s="376"/>
      <c r="E1717" s="104"/>
      <c r="F1717" s="266"/>
      <c r="G1717" s="372"/>
    </row>
    <row r="1718" spans="1:7" x14ac:dyDescent="0.2">
      <c r="A1718" s="29"/>
      <c r="B1718" s="101"/>
      <c r="C1718" s="41"/>
      <c r="D1718" s="444"/>
      <c r="E1718" s="104"/>
      <c r="F1718" s="266"/>
      <c r="G1718" s="372"/>
    </row>
    <row r="1719" spans="1:7" x14ac:dyDescent="0.2">
      <c r="A1719" s="29"/>
      <c r="B1719" s="101"/>
      <c r="C1719" s="371"/>
      <c r="D1719" s="384"/>
      <c r="E1719" s="104"/>
      <c r="F1719" s="266"/>
      <c r="G1719" s="372"/>
    </row>
    <row r="1720" spans="1:7" x14ac:dyDescent="0.2">
      <c r="A1720" s="29"/>
      <c r="B1720" s="101"/>
      <c r="C1720" s="41"/>
      <c r="D1720" s="384"/>
      <c r="E1720" s="104"/>
      <c r="F1720" s="266"/>
      <c r="G1720" s="372"/>
    </row>
    <row r="1721" spans="1:7" x14ac:dyDescent="0.2">
      <c r="A1721" s="29"/>
      <c r="B1721" s="101"/>
      <c r="C1721" s="371"/>
      <c r="D1721" s="384"/>
      <c r="E1721" s="104"/>
      <c r="F1721" s="266"/>
      <c r="G1721" s="372"/>
    </row>
    <row r="1722" spans="1:7" x14ac:dyDescent="0.2">
      <c r="A1722" s="29"/>
      <c r="B1722" s="101"/>
      <c r="C1722" s="41"/>
      <c r="D1722" s="384"/>
      <c r="E1722" s="104"/>
      <c r="F1722" s="266"/>
      <c r="G1722" s="372"/>
    </row>
    <row r="1723" spans="1:7" x14ac:dyDescent="0.2">
      <c r="A1723" s="29"/>
      <c r="B1723" s="101"/>
      <c r="C1723" s="371"/>
      <c r="D1723" s="376"/>
      <c r="E1723" s="108"/>
      <c r="F1723" s="69"/>
      <c r="G1723" s="372"/>
    </row>
    <row r="1724" spans="1:7" x14ac:dyDescent="0.2">
      <c r="A1724" s="29"/>
      <c r="B1724" s="101"/>
      <c r="C1724" s="41"/>
      <c r="D1724" s="358"/>
      <c r="E1724" s="153"/>
      <c r="F1724" s="69"/>
      <c r="G1724" s="372"/>
    </row>
    <row r="1725" spans="1:7" x14ac:dyDescent="0.2">
      <c r="A1725" s="29"/>
      <c r="B1725" s="101"/>
      <c r="C1725" s="371"/>
      <c r="D1725" s="419"/>
      <c r="E1725" s="102"/>
      <c r="F1725" s="69"/>
      <c r="G1725" s="372"/>
    </row>
    <row r="1726" spans="1:7" x14ac:dyDescent="0.2">
      <c r="A1726" s="29"/>
      <c r="B1726" s="101"/>
      <c r="C1726" s="371"/>
      <c r="D1726" s="419"/>
      <c r="E1726" s="102"/>
      <c r="F1726" s="69"/>
      <c r="G1726" s="372"/>
    </row>
    <row r="1727" spans="1:7" x14ac:dyDescent="0.2">
      <c r="A1727" s="29"/>
      <c r="B1727" s="101"/>
      <c r="C1727" s="31"/>
      <c r="D1727" s="419"/>
      <c r="E1727" s="131"/>
      <c r="F1727" s="267"/>
      <c r="G1727" s="372"/>
    </row>
    <row r="1728" spans="1:7" x14ac:dyDescent="0.2">
      <c r="A1728" s="29"/>
      <c r="B1728" s="101"/>
      <c r="C1728" s="371"/>
      <c r="D1728" s="425"/>
      <c r="E1728" s="108"/>
      <c r="F1728" s="263"/>
      <c r="G1728" s="372"/>
    </row>
    <row r="1729" spans="1:7" x14ac:dyDescent="0.2">
      <c r="A1729" s="29"/>
      <c r="B1729" s="101"/>
      <c r="C1729" s="41"/>
      <c r="D1729" s="383"/>
      <c r="E1729" s="108"/>
      <c r="F1729" s="263"/>
      <c r="G1729" s="372"/>
    </row>
    <row r="1730" spans="1:7" x14ac:dyDescent="0.2">
      <c r="A1730" s="29"/>
      <c r="B1730" s="101"/>
      <c r="C1730" s="371"/>
      <c r="E1730" s="108"/>
      <c r="F1730" s="149"/>
      <c r="G1730" s="372"/>
    </row>
    <row r="1731" spans="1:7" x14ac:dyDescent="0.2">
      <c r="A1731" s="61"/>
      <c r="B1731" s="101"/>
      <c r="C1731" s="41"/>
      <c r="D1731" s="383"/>
      <c r="E1731" s="108"/>
      <c r="F1731" s="149"/>
      <c r="G1731" s="372"/>
    </row>
    <row r="1732" spans="1:7" ht="13.5" thickBot="1" x14ac:dyDescent="0.25">
      <c r="A1732" s="209"/>
      <c r="B1732" s="132"/>
      <c r="C1732" s="115"/>
      <c r="D1732" s="115"/>
      <c r="E1732" s="132"/>
      <c r="F1732" s="49" t="s">
        <v>15</v>
      </c>
      <c r="G1732" s="210">
        <f>SUM(G1698:G1731)</f>
        <v>16500</v>
      </c>
    </row>
    <row r="1733" spans="1:7" ht="13.5" thickTop="1" x14ac:dyDescent="0.2">
      <c r="A1733" s="875" t="s">
        <v>2202</v>
      </c>
      <c r="B1733" s="899"/>
      <c r="C1733" s="899"/>
      <c r="D1733" s="899"/>
      <c r="E1733" s="899"/>
      <c r="F1733" s="899"/>
      <c r="G1733" s="900"/>
    </row>
    <row r="1734" spans="1:7" ht="13.5" thickBot="1" x14ac:dyDescent="0.25">
      <c r="A1734" s="378" t="s">
        <v>8</v>
      </c>
      <c r="B1734" s="103"/>
      <c r="C1734" s="374" t="s">
        <v>2203</v>
      </c>
      <c r="D1734" s="54"/>
      <c r="E1734" s="103"/>
      <c r="F1734" s="55"/>
      <c r="G1734" s="56"/>
    </row>
    <row r="1735" spans="1:7" ht="13.5" thickTop="1" x14ac:dyDescent="0.2">
      <c r="A1735" s="906"/>
      <c r="B1735" s="907"/>
      <c r="C1735" s="907"/>
      <c r="D1735" s="57" t="s">
        <v>11</v>
      </c>
      <c r="E1735" s="908" t="s">
        <v>12</v>
      </c>
      <c r="F1735" s="908"/>
      <c r="G1735" s="909"/>
    </row>
    <row r="1736" spans="1:7" x14ac:dyDescent="0.2">
      <c r="A1736" s="910" t="s">
        <v>17</v>
      </c>
      <c r="B1736" s="911"/>
      <c r="C1736" s="911"/>
      <c r="D1736" s="39"/>
      <c r="E1736" s="912"/>
      <c r="F1736" s="913"/>
      <c r="G1736" s="914"/>
    </row>
    <row r="1737" spans="1:7" x14ac:dyDescent="0.2">
      <c r="A1737" s="910" t="s">
        <v>38</v>
      </c>
      <c r="B1737" s="911"/>
      <c r="C1737" s="911"/>
      <c r="D1737" s="73" t="s">
        <v>891</v>
      </c>
      <c r="E1737" s="868" t="s">
        <v>142</v>
      </c>
      <c r="F1737" s="868"/>
      <c r="G1737" s="869"/>
    </row>
    <row r="1738" spans="1:7" ht="13.5" thickBot="1" x14ac:dyDescent="0.25">
      <c r="A1738" s="901" t="s">
        <v>39</v>
      </c>
      <c r="B1738" s="902"/>
      <c r="C1738" s="902"/>
      <c r="D1738" s="91" t="s">
        <v>892</v>
      </c>
      <c r="E1738" s="904" t="s">
        <v>0</v>
      </c>
      <c r="F1738" s="904"/>
      <c r="G1738" s="905"/>
    </row>
    <row r="1739" spans="1:7" ht="16.5" x14ac:dyDescent="0.25">
      <c r="A1739" s="885" t="s">
        <v>29</v>
      </c>
      <c r="B1739" s="886"/>
      <c r="C1739" s="886"/>
      <c r="D1739" s="886"/>
      <c r="E1739" s="886"/>
      <c r="F1739" s="886"/>
      <c r="G1739" s="887"/>
    </row>
    <row r="1740" spans="1:7" x14ac:dyDescent="0.2">
      <c r="A1740" s="888" t="s">
        <v>48</v>
      </c>
      <c r="B1740" s="889"/>
      <c r="C1740" s="889"/>
      <c r="D1740" s="889"/>
      <c r="E1740" s="889"/>
      <c r="F1740" s="889"/>
      <c r="G1740" s="890"/>
    </row>
    <row r="1741" spans="1:7" x14ac:dyDescent="0.2">
      <c r="A1741" s="915" t="s">
        <v>49</v>
      </c>
      <c r="B1741" s="916"/>
      <c r="C1741" s="916"/>
      <c r="D1741" s="916"/>
      <c r="E1741" s="916"/>
      <c r="F1741" s="916"/>
      <c r="G1741" s="917"/>
    </row>
    <row r="1742" spans="1:7" x14ac:dyDescent="0.2">
      <c r="A1742" s="6"/>
      <c r="B1742" s="99"/>
      <c r="C1742" s="8"/>
      <c r="D1742" s="9"/>
      <c r="E1742" s="99"/>
      <c r="F1742" s="10"/>
      <c r="G1742" s="11" t="s">
        <v>20</v>
      </c>
    </row>
    <row r="1743" spans="1:7" x14ac:dyDescent="0.2">
      <c r="A1743" s="12" t="s">
        <v>1</v>
      </c>
      <c r="B1743" s="13"/>
      <c r="C1743" s="14" t="s">
        <v>36</v>
      </c>
      <c r="D1743" s="13"/>
      <c r="E1743" s="362" t="s">
        <v>2374</v>
      </c>
      <c r="F1743" s="98"/>
      <c r="G1743" s="363" t="s">
        <v>2367</v>
      </c>
    </row>
    <row r="1744" spans="1:7" x14ac:dyDescent="0.2">
      <c r="A1744" s="17" t="s">
        <v>8</v>
      </c>
      <c r="B1744" s="100"/>
      <c r="C1744" s="19"/>
      <c r="D1744" s="4"/>
      <c r="E1744" s="918"/>
      <c r="F1744" s="919"/>
      <c r="G1744" s="20"/>
    </row>
    <row r="1745" spans="1:7" x14ac:dyDescent="0.2">
      <c r="A1745" s="21" t="s">
        <v>37</v>
      </c>
      <c r="B1745" s="22"/>
      <c r="C1745" s="22"/>
      <c r="D1745" s="22"/>
      <c r="E1745" s="23" t="s">
        <v>46</v>
      </c>
      <c r="F1745" s="24"/>
      <c r="G1745" s="20" t="s">
        <v>50</v>
      </c>
    </row>
    <row r="1746" spans="1:7" x14ac:dyDescent="0.2">
      <c r="A1746" s="6"/>
      <c r="B1746" s="99"/>
      <c r="C1746" s="8"/>
      <c r="D1746" s="8"/>
      <c r="E1746" s="920"/>
      <c r="F1746" s="921"/>
      <c r="G1746" s="25"/>
    </row>
    <row r="1747" spans="1:7" ht="26.25" thickBot="1" x14ac:dyDescent="0.25">
      <c r="A1747" s="207" t="s">
        <v>47</v>
      </c>
      <c r="B1747" s="28" t="s">
        <v>23</v>
      </c>
      <c r="C1747" s="28" t="s">
        <v>34</v>
      </c>
      <c r="D1747" s="110" t="s">
        <v>53</v>
      </c>
      <c r="E1747" s="114" t="s">
        <v>54</v>
      </c>
      <c r="F1747" s="111" t="s">
        <v>55</v>
      </c>
      <c r="G1747" s="112" t="s">
        <v>35</v>
      </c>
    </row>
    <row r="1748" spans="1:7" ht="13.5" thickTop="1" x14ac:dyDescent="0.2">
      <c r="A1748" s="364">
        <v>1</v>
      </c>
      <c r="B1748" s="401"/>
      <c r="C1748" s="371" t="s">
        <v>149</v>
      </c>
      <c r="D1748" s="370" t="s">
        <v>2204</v>
      </c>
      <c r="E1748" s="407">
        <v>50</v>
      </c>
      <c r="F1748" s="406">
        <v>200</v>
      </c>
      <c r="G1748" s="372">
        <f>F1748*E1748</f>
        <v>10000</v>
      </c>
    </row>
    <row r="1749" spans="1:7" x14ac:dyDescent="0.2">
      <c r="A1749" s="364"/>
      <c r="B1749" s="401"/>
      <c r="C1749" s="371"/>
      <c r="D1749" s="370" t="s">
        <v>2201</v>
      </c>
      <c r="E1749" s="407"/>
      <c r="F1749" s="406"/>
      <c r="G1749" s="372"/>
    </row>
    <row r="1750" spans="1:7" x14ac:dyDescent="0.2">
      <c r="A1750" s="364">
        <v>2</v>
      </c>
      <c r="B1750" s="408"/>
      <c r="C1750" s="371" t="s">
        <v>149</v>
      </c>
      <c r="D1750" s="376" t="s">
        <v>339</v>
      </c>
      <c r="E1750" s="409">
        <v>50</v>
      </c>
      <c r="F1750" s="403">
        <v>350</v>
      </c>
      <c r="G1750" s="372">
        <f>F1750*E1750</f>
        <v>17500</v>
      </c>
    </row>
    <row r="1751" spans="1:7" x14ac:dyDescent="0.2">
      <c r="A1751" s="364"/>
      <c r="B1751" s="408"/>
      <c r="C1751" s="371"/>
      <c r="D1751" s="376" t="s">
        <v>301</v>
      </c>
      <c r="E1751" s="409"/>
      <c r="F1751" s="403"/>
      <c r="G1751" s="372"/>
    </row>
    <row r="1752" spans="1:7" x14ac:dyDescent="0.2">
      <c r="A1752" s="364"/>
      <c r="B1752" s="408"/>
      <c r="C1752" s="371"/>
      <c r="D1752" s="376"/>
      <c r="E1752" s="409"/>
      <c r="F1752" s="403"/>
      <c r="G1752" s="372"/>
    </row>
    <row r="1753" spans="1:7" x14ac:dyDescent="0.2">
      <c r="A1753" s="364"/>
      <c r="B1753" s="408"/>
      <c r="C1753" s="371"/>
      <c r="D1753" s="376"/>
      <c r="E1753" s="409"/>
      <c r="F1753" s="403"/>
      <c r="G1753" s="372"/>
    </row>
    <row r="1754" spans="1:7" x14ac:dyDescent="0.2">
      <c r="A1754" s="364"/>
      <c r="B1754" s="410"/>
      <c r="C1754" s="385"/>
      <c r="D1754" s="383"/>
      <c r="E1754" s="407"/>
      <c r="F1754" s="549"/>
      <c r="G1754" s="372"/>
    </row>
    <row r="1755" spans="1:7" x14ac:dyDescent="0.2">
      <c r="A1755" s="364"/>
      <c r="B1755" s="401"/>
      <c r="C1755" s="371"/>
      <c r="D1755" s="383"/>
      <c r="E1755" s="414"/>
      <c r="F1755" s="451"/>
      <c r="G1755" s="372"/>
    </row>
    <row r="1756" spans="1:7" x14ac:dyDescent="0.2">
      <c r="A1756" s="364"/>
      <c r="B1756" s="413"/>
      <c r="C1756" s="371"/>
      <c r="D1756" s="376"/>
      <c r="E1756" s="414"/>
      <c r="F1756" s="451"/>
      <c r="G1756" s="372"/>
    </row>
    <row r="1757" spans="1:7" x14ac:dyDescent="0.2">
      <c r="A1757" s="364"/>
      <c r="B1757" s="408"/>
      <c r="C1757" s="371"/>
      <c r="D1757" s="376"/>
      <c r="E1757" s="407"/>
      <c r="F1757" s="631"/>
      <c r="G1757" s="372"/>
    </row>
    <row r="1758" spans="1:7" x14ac:dyDescent="0.2">
      <c r="A1758" s="364"/>
      <c r="B1758" s="416"/>
      <c r="C1758" s="371"/>
      <c r="D1758" s="376"/>
      <c r="E1758" s="417"/>
      <c r="F1758" s="451"/>
      <c r="G1758" s="372"/>
    </row>
    <row r="1759" spans="1:7" x14ac:dyDescent="0.2">
      <c r="A1759" s="364"/>
      <c r="B1759" s="416"/>
      <c r="C1759" s="371"/>
      <c r="D1759" s="384"/>
      <c r="E1759" s="417"/>
      <c r="F1759" s="451"/>
      <c r="G1759" s="372"/>
    </row>
    <row r="1760" spans="1:7" x14ac:dyDescent="0.2">
      <c r="A1760" s="364"/>
      <c r="B1760" s="401"/>
      <c r="C1760" s="371"/>
      <c r="D1760" s="384"/>
      <c r="E1760" s="407"/>
      <c r="F1760" s="451"/>
      <c r="G1760" s="372"/>
    </row>
    <row r="1761" spans="1:7" x14ac:dyDescent="0.2">
      <c r="A1761" s="364"/>
      <c r="B1761" s="401"/>
      <c r="C1761" s="371"/>
      <c r="D1761" s="383" t="s">
        <v>150</v>
      </c>
      <c r="E1761" s="417"/>
      <c r="F1761" s="451"/>
      <c r="G1761" s="372"/>
    </row>
    <row r="1762" spans="1:7" x14ac:dyDescent="0.2">
      <c r="A1762" s="364"/>
      <c r="B1762" s="413"/>
      <c r="C1762" s="371"/>
      <c r="D1762" s="384"/>
      <c r="E1762" s="414"/>
      <c r="F1762" s="550"/>
      <c r="G1762" s="372"/>
    </row>
    <row r="1763" spans="1:7" x14ac:dyDescent="0.2">
      <c r="A1763" s="364"/>
      <c r="B1763" s="408"/>
      <c r="C1763" s="371"/>
      <c r="D1763" s="419"/>
      <c r="E1763" s="414"/>
      <c r="F1763" s="550"/>
      <c r="G1763" s="372"/>
    </row>
    <row r="1764" spans="1:7" x14ac:dyDescent="0.2">
      <c r="A1764" s="364"/>
      <c r="B1764" s="408"/>
      <c r="C1764" s="371"/>
      <c r="D1764" s="384" t="s">
        <v>896</v>
      </c>
      <c r="E1764" s="414"/>
      <c r="F1764" s="550"/>
      <c r="G1764" s="372"/>
    </row>
    <row r="1765" spans="1:7" x14ac:dyDescent="0.2">
      <c r="A1765" s="29"/>
      <c r="B1765" s="101"/>
      <c r="C1765" s="41"/>
      <c r="D1765" s="384"/>
      <c r="E1765" s="104"/>
      <c r="F1765" s="266"/>
      <c r="G1765" s="372"/>
    </row>
    <row r="1766" spans="1:7" x14ac:dyDescent="0.2">
      <c r="A1766" s="29"/>
      <c r="B1766" s="101"/>
      <c r="C1766" s="371"/>
      <c r="D1766" s="376"/>
      <c r="E1766" s="104"/>
      <c r="F1766" s="266"/>
      <c r="G1766" s="372"/>
    </row>
    <row r="1767" spans="1:7" x14ac:dyDescent="0.2">
      <c r="A1767" s="29"/>
      <c r="B1767" s="101"/>
      <c r="C1767" s="41"/>
      <c r="D1767" s="376"/>
      <c r="E1767" s="104"/>
      <c r="F1767" s="266"/>
      <c r="G1767" s="372"/>
    </row>
    <row r="1768" spans="1:7" x14ac:dyDescent="0.2">
      <c r="A1768" s="29"/>
      <c r="B1768" s="101"/>
      <c r="C1768" s="41"/>
      <c r="D1768" s="444"/>
      <c r="E1768" s="104"/>
      <c r="F1768" s="266"/>
      <c r="G1768" s="372"/>
    </row>
    <row r="1769" spans="1:7" x14ac:dyDescent="0.2">
      <c r="A1769" s="29"/>
      <c r="B1769" s="101"/>
      <c r="C1769" s="371"/>
      <c r="D1769" s="384"/>
      <c r="E1769" s="104"/>
      <c r="F1769" s="266"/>
      <c r="G1769" s="372"/>
    </row>
    <row r="1770" spans="1:7" x14ac:dyDescent="0.2">
      <c r="A1770" s="29"/>
      <c r="B1770" s="101"/>
      <c r="C1770" s="41"/>
      <c r="D1770" s="384"/>
      <c r="E1770" s="104"/>
      <c r="F1770" s="266"/>
      <c r="G1770" s="372"/>
    </row>
    <row r="1771" spans="1:7" x14ac:dyDescent="0.2">
      <c r="A1771" s="29"/>
      <c r="B1771" s="101"/>
      <c r="C1771" s="371"/>
      <c r="D1771" s="384"/>
      <c r="E1771" s="104"/>
      <c r="F1771" s="266"/>
      <c r="G1771" s="372"/>
    </row>
    <row r="1772" spans="1:7" x14ac:dyDescent="0.2">
      <c r="A1772" s="29"/>
      <c r="B1772" s="101"/>
      <c r="C1772" s="41"/>
      <c r="D1772" s="384"/>
      <c r="E1772" s="104"/>
      <c r="F1772" s="266"/>
      <c r="G1772" s="372"/>
    </row>
    <row r="1773" spans="1:7" x14ac:dyDescent="0.2">
      <c r="A1773" s="29"/>
      <c r="B1773" s="101"/>
      <c r="C1773" s="371"/>
      <c r="D1773" s="376"/>
      <c r="E1773" s="108"/>
      <c r="F1773" s="69"/>
      <c r="G1773" s="372"/>
    </row>
    <row r="1774" spans="1:7" x14ac:dyDescent="0.2">
      <c r="A1774" s="29"/>
      <c r="B1774" s="101"/>
      <c r="C1774" s="41"/>
      <c r="D1774" s="358"/>
      <c r="E1774" s="153"/>
      <c r="F1774" s="69"/>
      <c r="G1774" s="372"/>
    </row>
    <row r="1775" spans="1:7" x14ac:dyDescent="0.2">
      <c r="A1775" s="29"/>
      <c r="B1775" s="101"/>
      <c r="C1775" s="371"/>
      <c r="D1775" s="419"/>
      <c r="E1775" s="102"/>
      <c r="F1775" s="69"/>
      <c r="G1775" s="372"/>
    </row>
    <row r="1776" spans="1:7" x14ac:dyDescent="0.2">
      <c r="A1776" s="29"/>
      <c r="B1776" s="101"/>
      <c r="C1776" s="371"/>
      <c r="D1776" s="419"/>
      <c r="E1776" s="102"/>
      <c r="F1776" s="69"/>
      <c r="G1776" s="372"/>
    </row>
    <row r="1777" spans="1:7" x14ac:dyDescent="0.2">
      <c r="A1777" s="29"/>
      <c r="B1777" s="101"/>
      <c r="C1777" s="31"/>
      <c r="D1777" s="419"/>
      <c r="E1777" s="131"/>
      <c r="F1777" s="267"/>
      <c r="G1777" s="372"/>
    </row>
    <row r="1778" spans="1:7" x14ac:dyDescent="0.2">
      <c r="A1778" s="29"/>
      <c r="B1778" s="101"/>
      <c r="C1778" s="371"/>
      <c r="D1778" s="425"/>
      <c r="E1778" s="108"/>
      <c r="F1778" s="263"/>
      <c r="G1778" s="372"/>
    </row>
    <row r="1779" spans="1:7" x14ac:dyDescent="0.2">
      <c r="A1779" s="29"/>
      <c r="B1779" s="101"/>
      <c r="C1779" s="41"/>
      <c r="D1779" s="383"/>
      <c r="E1779" s="108"/>
      <c r="F1779" s="263"/>
      <c r="G1779" s="372"/>
    </row>
    <row r="1780" spans="1:7" x14ac:dyDescent="0.2">
      <c r="A1780" s="29"/>
      <c r="B1780" s="101"/>
      <c r="C1780" s="371"/>
      <c r="E1780" s="108"/>
      <c r="F1780" s="149"/>
      <c r="G1780" s="372"/>
    </row>
    <row r="1781" spans="1:7" x14ac:dyDescent="0.2">
      <c r="A1781" s="61"/>
      <c r="B1781" s="101"/>
      <c r="C1781" s="41"/>
      <c r="D1781" s="383"/>
      <c r="E1781" s="108"/>
      <c r="F1781" s="149"/>
      <c r="G1781" s="372"/>
    </row>
    <row r="1782" spans="1:7" ht="13.5" thickBot="1" x14ac:dyDescent="0.25">
      <c r="A1782" s="209"/>
      <c r="B1782" s="132"/>
      <c r="C1782" s="115"/>
      <c r="D1782" s="115"/>
      <c r="E1782" s="132"/>
      <c r="F1782" s="49" t="s">
        <v>15</v>
      </c>
      <c r="G1782" s="210">
        <f>SUM(G1748:G1781)</f>
        <v>27500</v>
      </c>
    </row>
    <row r="1783" spans="1:7" ht="13.5" thickTop="1" x14ac:dyDescent="0.2">
      <c r="A1783" s="875" t="s">
        <v>2205</v>
      </c>
      <c r="B1783" s="899"/>
      <c r="C1783" s="899"/>
      <c r="D1783" s="899"/>
      <c r="E1783" s="899"/>
      <c r="F1783" s="899"/>
      <c r="G1783" s="900"/>
    </row>
    <row r="1784" spans="1:7" ht="13.5" thickBot="1" x14ac:dyDescent="0.25">
      <c r="A1784" s="378" t="s">
        <v>8</v>
      </c>
      <c r="B1784" s="103"/>
      <c r="C1784" s="374" t="s">
        <v>2206</v>
      </c>
      <c r="D1784" s="54"/>
      <c r="E1784" s="103"/>
      <c r="F1784" s="55"/>
      <c r="G1784" s="56"/>
    </row>
    <row r="1785" spans="1:7" ht="13.5" thickTop="1" x14ac:dyDescent="0.2">
      <c r="A1785" s="906"/>
      <c r="B1785" s="907"/>
      <c r="C1785" s="907"/>
      <c r="D1785" s="57" t="s">
        <v>11</v>
      </c>
      <c r="E1785" s="908" t="s">
        <v>12</v>
      </c>
      <c r="F1785" s="908"/>
      <c r="G1785" s="909"/>
    </row>
    <row r="1786" spans="1:7" x14ac:dyDescent="0.2">
      <c r="A1786" s="910" t="s">
        <v>17</v>
      </c>
      <c r="B1786" s="911"/>
      <c r="C1786" s="911"/>
      <c r="D1786" s="39"/>
      <c r="E1786" s="912"/>
      <c r="F1786" s="913"/>
      <c r="G1786" s="914"/>
    </row>
    <row r="1787" spans="1:7" x14ac:dyDescent="0.2">
      <c r="A1787" s="910" t="s">
        <v>38</v>
      </c>
      <c r="B1787" s="911"/>
      <c r="C1787" s="911"/>
      <c r="D1787" s="73" t="s">
        <v>891</v>
      </c>
      <c r="E1787" s="868" t="s">
        <v>142</v>
      </c>
      <c r="F1787" s="868"/>
      <c r="G1787" s="869"/>
    </row>
    <row r="1788" spans="1:7" ht="13.5" thickBot="1" x14ac:dyDescent="0.25">
      <c r="A1788" s="901" t="s">
        <v>39</v>
      </c>
      <c r="B1788" s="902"/>
      <c r="C1788" s="902"/>
      <c r="D1788" s="91" t="s">
        <v>892</v>
      </c>
      <c r="E1788" s="904" t="s">
        <v>0</v>
      </c>
      <c r="F1788" s="904"/>
      <c r="G1788" s="905"/>
    </row>
    <row r="1789" spans="1:7" ht="16.5" x14ac:dyDescent="0.25">
      <c r="A1789" s="885" t="s">
        <v>29</v>
      </c>
      <c r="B1789" s="886"/>
      <c r="C1789" s="886"/>
      <c r="D1789" s="886"/>
      <c r="E1789" s="886"/>
      <c r="F1789" s="886"/>
      <c r="G1789" s="887"/>
    </row>
    <row r="1790" spans="1:7" x14ac:dyDescent="0.2">
      <c r="A1790" s="888" t="s">
        <v>48</v>
      </c>
      <c r="B1790" s="889"/>
      <c r="C1790" s="889"/>
      <c r="D1790" s="889"/>
      <c r="E1790" s="889"/>
      <c r="F1790" s="889"/>
      <c r="G1790" s="890"/>
    </row>
    <row r="1791" spans="1:7" x14ac:dyDescent="0.2">
      <c r="A1791" s="915" t="s">
        <v>49</v>
      </c>
      <c r="B1791" s="916"/>
      <c r="C1791" s="916"/>
      <c r="D1791" s="916"/>
      <c r="E1791" s="916"/>
      <c r="F1791" s="916"/>
      <c r="G1791" s="917"/>
    </row>
    <row r="1792" spans="1:7" x14ac:dyDescent="0.2">
      <c r="A1792" s="6"/>
      <c r="B1792" s="99"/>
      <c r="C1792" s="8"/>
      <c r="D1792" s="9"/>
      <c r="E1792" s="99"/>
      <c r="F1792" s="10"/>
      <c r="G1792" s="11" t="s">
        <v>20</v>
      </c>
    </row>
    <row r="1793" spans="1:7" x14ac:dyDescent="0.2">
      <c r="A1793" s="12" t="s">
        <v>1</v>
      </c>
      <c r="B1793" s="13"/>
      <c r="C1793" s="14" t="s">
        <v>36</v>
      </c>
      <c r="D1793" s="13"/>
      <c r="E1793" s="362" t="s">
        <v>2375</v>
      </c>
      <c r="F1793" s="98"/>
      <c r="G1793" s="363" t="s">
        <v>2367</v>
      </c>
    </row>
    <row r="1794" spans="1:7" x14ac:dyDescent="0.2">
      <c r="A1794" s="17" t="s">
        <v>8</v>
      </c>
      <c r="B1794" s="100"/>
      <c r="C1794" s="19"/>
      <c r="D1794" s="4"/>
      <c r="E1794" s="918"/>
      <c r="F1794" s="919"/>
      <c r="G1794" s="20"/>
    </row>
    <row r="1795" spans="1:7" x14ac:dyDescent="0.2">
      <c r="A1795" s="21" t="s">
        <v>37</v>
      </c>
      <c r="B1795" s="22"/>
      <c r="C1795" s="22"/>
      <c r="D1795" s="22"/>
      <c r="E1795" s="23" t="s">
        <v>46</v>
      </c>
      <c r="F1795" s="24"/>
      <c r="G1795" s="20" t="s">
        <v>50</v>
      </c>
    </row>
    <row r="1796" spans="1:7" x14ac:dyDescent="0.2">
      <c r="A1796" s="6"/>
      <c r="B1796" s="99"/>
      <c r="C1796" s="8"/>
      <c r="D1796" s="8"/>
      <c r="E1796" s="920"/>
      <c r="F1796" s="921"/>
      <c r="G1796" s="25"/>
    </row>
    <row r="1797" spans="1:7" ht="26.25" thickBot="1" x14ac:dyDescent="0.25">
      <c r="A1797" s="207" t="s">
        <v>47</v>
      </c>
      <c r="B1797" s="28" t="s">
        <v>23</v>
      </c>
      <c r="C1797" s="28" t="s">
        <v>34</v>
      </c>
      <c r="D1797" s="110" t="s">
        <v>53</v>
      </c>
      <c r="E1797" s="114" t="s">
        <v>54</v>
      </c>
      <c r="F1797" s="111" t="s">
        <v>55</v>
      </c>
      <c r="G1797" s="112" t="s">
        <v>35</v>
      </c>
    </row>
    <row r="1798" spans="1:7" ht="13.5" thickTop="1" x14ac:dyDescent="0.2">
      <c r="A1798" s="364">
        <v>1</v>
      </c>
      <c r="B1798" s="401"/>
      <c r="C1798" s="371" t="s">
        <v>149</v>
      </c>
      <c r="D1798" s="370" t="s">
        <v>2207</v>
      </c>
      <c r="E1798" s="407">
        <v>40</v>
      </c>
      <c r="F1798" s="406">
        <v>200</v>
      </c>
      <c r="G1798" s="372">
        <f>F1798*E1798</f>
        <v>8000</v>
      </c>
    </row>
    <row r="1799" spans="1:7" x14ac:dyDescent="0.2">
      <c r="A1799" s="364"/>
      <c r="B1799" s="401"/>
      <c r="C1799" s="371"/>
      <c r="D1799" s="370" t="s">
        <v>1423</v>
      </c>
      <c r="E1799" s="407"/>
      <c r="F1799" s="406"/>
      <c r="G1799" s="372"/>
    </row>
    <row r="1800" spans="1:7" x14ac:dyDescent="0.2">
      <c r="A1800" s="364">
        <v>2</v>
      </c>
      <c r="B1800" s="408"/>
      <c r="C1800" s="371" t="s">
        <v>149</v>
      </c>
      <c r="D1800" s="376" t="s">
        <v>339</v>
      </c>
      <c r="E1800" s="409">
        <v>40</v>
      </c>
      <c r="F1800" s="403">
        <v>350</v>
      </c>
      <c r="G1800" s="372">
        <f>F1800*E1800</f>
        <v>14000</v>
      </c>
    </row>
    <row r="1801" spans="1:7" x14ac:dyDescent="0.2">
      <c r="A1801" s="364"/>
      <c r="B1801" s="408"/>
      <c r="C1801" s="371"/>
      <c r="D1801" s="376" t="s">
        <v>301</v>
      </c>
      <c r="E1801" s="409"/>
      <c r="F1801" s="403"/>
      <c r="G1801" s="372"/>
    </row>
    <row r="1802" spans="1:7" x14ac:dyDescent="0.2">
      <c r="A1802" s="364"/>
      <c r="B1802" s="408"/>
      <c r="C1802" s="371"/>
      <c r="D1802" s="376"/>
      <c r="E1802" s="409"/>
      <c r="F1802" s="403"/>
      <c r="G1802" s="372"/>
    </row>
    <row r="1803" spans="1:7" x14ac:dyDescent="0.2">
      <c r="A1803" s="364"/>
      <c r="B1803" s="408"/>
      <c r="C1803" s="371"/>
      <c r="D1803" s="376"/>
      <c r="E1803" s="409"/>
      <c r="F1803" s="403"/>
      <c r="G1803" s="372"/>
    </row>
    <row r="1804" spans="1:7" x14ac:dyDescent="0.2">
      <c r="A1804" s="364"/>
      <c r="B1804" s="410"/>
      <c r="C1804" s="385"/>
      <c r="D1804" s="383"/>
      <c r="E1804" s="407"/>
      <c r="F1804" s="549"/>
      <c r="G1804" s="372"/>
    </row>
    <row r="1805" spans="1:7" x14ac:dyDescent="0.2">
      <c r="A1805" s="364"/>
      <c r="B1805" s="401"/>
      <c r="C1805" s="371"/>
      <c r="D1805" s="383"/>
      <c r="E1805" s="414"/>
      <c r="F1805" s="451"/>
      <c r="G1805" s="372"/>
    </row>
    <row r="1806" spans="1:7" x14ac:dyDescent="0.2">
      <c r="A1806" s="364"/>
      <c r="B1806" s="413"/>
      <c r="C1806" s="371"/>
      <c r="D1806" s="376"/>
      <c r="E1806" s="414"/>
      <c r="F1806" s="451"/>
      <c r="G1806" s="372"/>
    </row>
    <row r="1807" spans="1:7" x14ac:dyDescent="0.2">
      <c r="A1807" s="364"/>
      <c r="B1807" s="408"/>
      <c r="C1807" s="371"/>
      <c r="D1807" s="376"/>
      <c r="E1807" s="407"/>
      <c r="F1807" s="631"/>
      <c r="G1807" s="372"/>
    </row>
    <row r="1808" spans="1:7" x14ac:dyDescent="0.2">
      <c r="A1808" s="364"/>
      <c r="B1808" s="416"/>
      <c r="C1808" s="371"/>
      <c r="D1808" s="376"/>
      <c r="E1808" s="417"/>
      <c r="F1808" s="451"/>
      <c r="G1808" s="372"/>
    </row>
    <row r="1809" spans="1:7" x14ac:dyDescent="0.2">
      <c r="A1809" s="364"/>
      <c r="B1809" s="416"/>
      <c r="C1809" s="371"/>
      <c r="D1809" s="384"/>
      <c r="E1809" s="417"/>
      <c r="F1809" s="451"/>
      <c r="G1809" s="372"/>
    </row>
    <row r="1810" spans="1:7" x14ac:dyDescent="0.2">
      <c r="A1810" s="364"/>
      <c r="B1810" s="401"/>
      <c r="C1810" s="371"/>
      <c r="D1810" s="384"/>
      <c r="E1810" s="407"/>
      <c r="F1810" s="451"/>
      <c r="G1810" s="372"/>
    </row>
    <row r="1811" spans="1:7" x14ac:dyDescent="0.2">
      <c r="A1811" s="364"/>
      <c r="B1811" s="401"/>
      <c r="C1811" s="371"/>
      <c r="D1811" s="383" t="s">
        <v>150</v>
      </c>
      <c r="E1811" s="417"/>
      <c r="F1811" s="451"/>
      <c r="G1811" s="372"/>
    </row>
    <row r="1812" spans="1:7" x14ac:dyDescent="0.2">
      <c r="A1812" s="364"/>
      <c r="B1812" s="413"/>
      <c r="C1812" s="371"/>
      <c r="D1812" s="384"/>
      <c r="E1812" s="414"/>
      <c r="F1812" s="550"/>
      <c r="G1812" s="372"/>
    </row>
    <row r="1813" spans="1:7" x14ac:dyDescent="0.2">
      <c r="A1813" s="364"/>
      <c r="B1813" s="408"/>
      <c r="C1813" s="371"/>
      <c r="D1813" s="419"/>
      <c r="E1813" s="414"/>
      <c r="F1813" s="550"/>
      <c r="G1813" s="372"/>
    </row>
    <row r="1814" spans="1:7" x14ac:dyDescent="0.2">
      <c r="A1814" s="364"/>
      <c r="B1814" s="408"/>
      <c r="C1814" s="371"/>
      <c r="D1814" s="384" t="s">
        <v>896</v>
      </c>
      <c r="E1814" s="414"/>
      <c r="F1814" s="550"/>
      <c r="G1814" s="372"/>
    </row>
    <row r="1815" spans="1:7" x14ac:dyDescent="0.2">
      <c r="A1815" s="29"/>
      <c r="B1815" s="101"/>
      <c r="C1815" s="41"/>
      <c r="D1815" s="384"/>
      <c r="E1815" s="104"/>
      <c r="F1815" s="266"/>
      <c r="G1815" s="372"/>
    </row>
    <row r="1816" spans="1:7" x14ac:dyDescent="0.2">
      <c r="A1816" s="29"/>
      <c r="B1816" s="101"/>
      <c r="C1816" s="371"/>
      <c r="D1816" s="376"/>
      <c r="E1816" s="104"/>
      <c r="F1816" s="266"/>
      <c r="G1816" s="372"/>
    </row>
    <row r="1817" spans="1:7" x14ac:dyDescent="0.2">
      <c r="A1817" s="29"/>
      <c r="B1817" s="101"/>
      <c r="C1817" s="41"/>
      <c r="D1817" s="376"/>
      <c r="E1817" s="104"/>
      <c r="F1817" s="266"/>
      <c r="G1817" s="372"/>
    </row>
    <row r="1818" spans="1:7" x14ac:dyDescent="0.2">
      <c r="A1818" s="29"/>
      <c r="B1818" s="101"/>
      <c r="C1818" s="41"/>
      <c r="D1818" s="444"/>
      <c r="E1818" s="104"/>
      <c r="F1818" s="266"/>
      <c r="G1818" s="372"/>
    </row>
    <row r="1819" spans="1:7" x14ac:dyDescent="0.2">
      <c r="A1819" s="29"/>
      <c r="B1819" s="101"/>
      <c r="C1819" s="371"/>
      <c r="D1819" s="384"/>
      <c r="E1819" s="104"/>
      <c r="F1819" s="266"/>
      <c r="G1819" s="372"/>
    </row>
    <row r="1820" spans="1:7" x14ac:dyDescent="0.2">
      <c r="A1820" s="29"/>
      <c r="B1820" s="101"/>
      <c r="C1820" s="41"/>
      <c r="D1820" s="384"/>
      <c r="E1820" s="104"/>
      <c r="F1820" s="266"/>
      <c r="G1820" s="372"/>
    </row>
    <row r="1821" spans="1:7" x14ac:dyDescent="0.2">
      <c r="A1821" s="29"/>
      <c r="B1821" s="101"/>
      <c r="C1821" s="371"/>
      <c r="D1821" s="384"/>
      <c r="E1821" s="104"/>
      <c r="F1821" s="266"/>
      <c r="G1821" s="372"/>
    </row>
    <row r="1822" spans="1:7" x14ac:dyDescent="0.2">
      <c r="A1822" s="29"/>
      <c r="B1822" s="101"/>
      <c r="C1822" s="41"/>
      <c r="D1822" s="384"/>
      <c r="E1822" s="104"/>
      <c r="F1822" s="266"/>
      <c r="G1822" s="372"/>
    </row>
    <row r="1823" spans="1:7" x14ac:dyDescent="0.2">
      <c r="A1823" s="29"/>
      <c r="B1823" s="101"/>
      <c r="C1823" s="371"/>
      <c r="D1823" s="376" t="s">
        <v>896</v>
      </c>
      <c r="E1823" s="108"/>
      <c r="F1823" s="69"/>
      <c r="G1823" s="372"/>
    </row>
    <row r="1824" spans="1:7" x14ac:dyDescent="0.2">
      <c r="A1824" s="29"/>
      <c r="B1824" s="101"/>
      <c r="C1824" s="41"/>
      <c r="D1824" s="358"/>
      <c r="E1824" s="153"/>
      <c r="F1824" s="69"/>
      <c r="G1824" s="372"/>
    </row>
    <row r="1825" spans="1:7" x14ac:dyDescent="0.2">
      <c r="A1825" s="29"/>
      <c r="B1825" s="101"/>
      <c r="C1825" s="371"/>
      <c r="D1825" s="419"/>
      <c r="E1825" s="102"/>
      <c r="F1825" s="69"/>
      <c r="G1825" s="372"/>
    </row>
    <row r="1826" spans="1:7" x14ac:dyDescent="0.2">
      <c r="A1826" s="29"/>
      <c r="B1826" s="101"/>
      <c r="C1826" s="371"/>
      <c r="D1826" s="419"/>
      <c r="E1826" s="102"/>
      <c r="F1826" s="69"/>
      <c r="G1826" s="372"/>
    </row>
    <row r="1827" spans="1:7" x14ac:dyDescent="0.2">
      <c r="A1827" s="29"/>
      <c r="B1827" s="101"/>
      <c r="C1827" s="31"/>
      <c r="D1827" s="419" t="s">
        <v>8</v>
      </c>
      <c r="E1827" s="131"/>
      <c r="F1827" s="267"/>
      <c r="G1827" s="372"/>
    </row>
    <row r="1828" spans="1:7" x14ac:dyDescent="0.2">
      <c r="A1828" s="29"/>
      <c r="B1828" s="101"/>
      <c r="C1828" s="371"/>
      <c r="D1828" s="425"/>
      <c r="E1828" s="108"/>
      <c r="F1828" s="263"/>
      <c r="G1828" s="372"/>
    </row>
    <row r="1829" spans="1:7" x14ac:dyDescent="0.2">
      <c r="A1829" s="29"/>
      <c r="B1829" s="101"/>
      <c r="C1829" s="41"/>
      <c r="D1829" s="383"/>
      <c r="E1829" s="108"/>
      <c r="F1829" s="263"/>
      <c r="G1829" s="372"/>
    </row>
    <row r="1830" spans="1:7" x14ac:dyDescent="0.2">
      <c r="A1830" s="29"/>
      <c r="B1830" s="101"/>
      <c r="C1830" s="371"/>
      <c r="E1830" s="108"/>
      <c r="F1830" s="149"/>
      <c r="G1830" s="372"/>
    </row>
    <row r="1831" spans="1:7" x14ac:dyDescent="0.2">
      <c r="A1831" s="61"/>
      <c r="B1831" s="101"/>
      <c r="C1831" s="41"/>
      <c r="D1831" s="383"/>
      <c r="E1831" s="108"/>
      <c r="F1831" s="149"/>
      <c r="G1831" s="372"/>
    </row>
    <row r="1832" spans="1:7" ht="13.5" thickBot="1" x14ac:dyDescent="0.25">
      <c r="A1832" s="209"/>
      <c r="B1832" s="132"/>
      <c r="C1832" s="115"/>
      <c r="D1832" s="115"/>
      <c r="E1832" s="132"/>
      <c r="F1832" s="49" t="s">
        <v>15</v>
      </c>
      <c r="G1832" s="210">
        <f>SUM(G1798:G1831)</f>
        <v>22000</v>
      </c>
    </row>
    <row r="1833" spans="1:7" ht="13.5" thickTop="1" x14ac:dyDescent="0.2">
      <c r="A1833" s="875" t="s">
        <v>2208</v>
      </c>
      <c r="B1833" s="899"/>
      <c r="C1833" s="899"/>
      <c r="D1833" s="899"/>
      <c r="E1833" s="899"/>
      <c r="F1833" s="899"/>
      <c r="G1833" s="900"/>
    </row>
    <row r="1834" spans="1:7" ht="13.5" thickBot="1" x14ac:dyDescent="0.25">
      <c r="A1834" s="378" t="s">
        <v>8</v>
      </c>
      <c r="B1834" s="103"/>
      <c r="C1834" s="374" t="s">
        <v>2209</v>
      </c>
      <c r="D1834" s="54"/>
      <c r="E1834" s="103"/>
      <c r="F1834" s="55"/>
      <c r="G1834" s="56"/>
    </row>
    <row r="1835" spans="1:7" ht="13.5" thickTop="1" x14ac:dyDescent="0.2">
      <c r="A1835" s="906"/>
      <c r="B1835" s="907"/>
      <c r="C1835" s="907"/>
      <c r="D1835" s="57" t="s">
        <v>11</v>
      </c>
      <c r="E1835" s="908" t="s">
        <v>12</v>
      </c>
      <c r="F1835" s="908"/>
      <c r="G1835" s="909"/>
    </row>
    <row r="1836" spans="1:7" x14ac:dyDescent="0.2">
      <c r="A1836" s="910" t="s">
        <v>17</v>
      </c>
      <c r="B1836" s="911"/>
      <c r="C1836" s="911"/>
      <c r="D1836" s="39"/>
      <c r="E1836" s="912"/>
      <c r="F1836" s="913"/>
      <c r="G1836" s="914"/>
    </row>
    <row r="1837" spans="1:7" x14ac:dyDescent="0.2">
      <c r="A1837" s="910" t="s">
        <v>38</v>
      </c>
      <c r="B1837" s="911"/>
      <c r="C1837" s="911"/>
      <c r="D1837" s="73" t="s">
        <v>891</v>
      </c>
      <c r="E1837" s="868" t="s">
        <v>142</v>
      </c>
      <c r="F1837" s="868"/>
      <c r="G1837" s="869"/>
    </row>
    <row r="1838" spans="1:7" ht="13.5" thickBot="1" x14ac:dyDescent="0.25">
      <c r="A1838" s="901" t="s">
        <v>39</v>
      </c>
      <c r="B1838" s="902"/>
      <c r="C1838" s="902"/>
      <c r="D1838" s="91" t="s">
        <v>892</v>
      </c>
      <c r="E1838" s="904" t="s">
        <v>0</v>
      </c>
      <c r="F1838" s="904"/>
      <c r="G1838" s="905"/>
    </row>
    <row r="1839" spans="1:7" ht="16.5" x14ac:dyDescent="0.25">
      <c r="A1839" s="885" t="s">
        <v>29</v>
      </c>
      <c r="B1839" s="886"/>
      <c r="C1839" s="886"/>
      <c r="D1839" s="886"/>
      <c r="E1839" s="886"/>
      <c r="F1839" s="886"/>
      <c r="G1839" s="887"/>
    </row>
    <row r="1840" spans="1:7" x14ac:dyDescent="0.2">
      <c r="A1840" s="888" t="s">
        <v>48</v>
      </c>
      <c r="B1840" s="889"/>
      <c r="C1840" s="889"/>
      <c r="D1840" s="889"/>
      <c r="E1840" s="889"/>
      <c r="F1840" s="889"/>
      <c r="G1840" s="890"/>
    </row>
    <row r="1841" spans="1:7" x14ac:dyDescent="0.2">
      <c r="A1841" s="915" t="s">
        <v>49</v>
      </c>
      <c r="B1841" s="916"/>
      <c r="C1841" s="916"/>
      <c r="D1841" s="916"/>
      <c r="E1841" s="916"/>
      <c r="F1841" s="916"/>
      <c r="G1841" s="917"/>
    </row>
    <row r="1842" spans="1:7" x14ac:dyDescent="0.2">
      <c r="A1842" s="6"/>
      <c r="B1842" s="99"/>
      <c r="C1842" s="8"/>
      <c r="D1842" s="9"/>
      <c r="E1842" s="99"/>
      <c r="F1842" s="10"/>
      <c r="G1842" s="11" t="s">
        <v>20</v>
      </c>
    </row>
    <row r="1843" spans="1:7" x14ac:dyDescent="0.2">
      <c r="A1843" s="12" t="s">
        <v>1</v>
      </c>
      <c r="B1843" s="13"/>
      <c r="C1843" s="14" t="s">
        <v>36</v>
      </c>
      <c r="D1843" s="13"/>
      <c r="E1843" s="362" t="s">
        <v>2272</v>
      </c>
      <c r="F1843" s="98"/>
      <c r="G1843" s="363" t="s">
        <v>2163</v>
      </c>
    </row>
    <row r="1844" spans="1:7" x14ac:dyDescent="0.2">
      <c r="A1844" s="17" t="s">
        <v>8</v>
      </c>
      <c r="B1844" s="100"/>
      <c r="C1844" s="19"/>
      <c r="D1844" s="4"/>
      <c r="E1844" s="918"/>
      <c r="F1844" s="919"/>
      <c r="G1844" s="20"/>
    </row>
    <row r="1845" spans="1:7" x14ac:dyDescent="0.2">
      <c r="A1845" s="21" t="s">
        <v>37</v>
      </c>
      <c r="B1845" s="22"/>
      <c r="C1845" s="22"/>
      <c r="D1845" s="22"/>
      <c r="E1845" s="23" t="s">
        <v>46</v>
      </c>
      <c r="F1845" s="24"/>
      <c r="G1845" s="20" t="s">
        <v>50</v>
      </c>
    </row>
    <row r="1846" spans="1:7" x14ac:dyDescent="0.2">
      <c r="A1846" s="6"/>
      <c r="B1846" s="99"/>
      <c r="C1846" s="8"/>
      <c r="D1846" s="8"/>
      <c r="E1846" s="920"/>
      <c r="F1846" s="921"/>
      <c r="G1846" s="25"/>
    </row>
    <row r="1847" spans="1:7" ht="26.25" thickBot="1" x14ac:dyDescent="0.25">
      <c r="A1847" s="207" t="s">
        <v>47</v>
      </c>
      <c r="B1847" s="28" t="s">
        <v>23</v>
      </c>
      <c r="C1847" s="28" t="s">
        <v>34</v>
      </c>
      <c r="D1847" s="110" t="s">
        <v>53</v>
      </c>
      <c r="E1847" s="114" t="s">
        <v>54</v>
      </c>
      <c r="F1847" s="111" t="s">
        <v>55</v>
      </c>
      <c r="G1847" s="112" t="s">
        <v>35</v>
      </c>
    </row>
    <row r="1848" spans="1:7" ht="13.5" thickTop="1" x14ac:dyDescent="0.2">
      <c r="A1848" s="364">
        <v>1</v>
      </c>
      <c r="B1848" s="401"/>
      <c r="C1848" s="371" t="s">
        <v>149</v>
      </c>
      <c r="D1848" s="370" t="s">
        <v>2219</v>
      </c>
      <c r="E1848" s="407">
        <v>30</v>
      </c>
      <c r="F1848" s="406">
        <v>200</v>
      </c>
      <c r="G1848" s="372">
        <f>F1848*E1848</f>
        <v>6000</v>
      </c>
    </row>
    <row r="1849" spans="1:7" x14ac:dyDescent="0.2">
      <c r="A1849" s="364"/>
      <c r="B1849" s="401"/>
      <c r="C1849" s="371"/>
      <c r="D1849" s="370" t="s">
        <v>338</v>
      </c>
      <c r="E1849" s="407"/>
      <c r="F1849" s="406"/>
      <c r="G1849" s="372"/>
    </row>
    <row r="1850" spans="1:7" x14ac:dyDescent="0.2">
      <c r="A1850" s="364">
        <v>2</v>
      </c>
      <c r="B1850" s="408"/>
      <c r="C1850" s="371" t="s">
        <v>149</v>
      </c>
      <c r="D1850" s="376" t="s">
        <v>339</v>
      </c>
      <c r="E1850" s="409">
        <v>30</v>
      </c>
      <c r="F1850" s="403">
        <v>350</v>
      </c>
      <c r="G1850" s="372">
        <f>F1850*E1850</f>
        <v>10500</v>
      </c>
    </row>
    <row r="1851" spans="1:7" x14ac:dyDescent="0.2">
      <c r="A1851" s="364"/>
      <c r="B1851" s="408"/>
      <c r="C1851" s="371"/>
      <c r="D1851" s="376" t="s">
        <v>301</v>
      </c>
      <c r="E1851" s="409"/>
      <c r="F1851" s="403"/>
      <c r="G1851" s="372"/>
    </row>
    <row r="1852" spans="1:7" x14ac:dyDescent="0.2">
      <c r="A1852" s="364"/>
      <c r="B1852" s="408"/>
      <c r="C1852" s="371"/>
      <c r="D1852" s="376"/>
      <c r="E1852" s="409"/>
      <c r="F1852" s="403"/>
      <c r="G1852" s="372"/>
    </row>
    <row r="1853" spans="1:7" x14ac:dyDescent="0.2">
      <c r="A1853" s="364"/>
      <c r="B1853" s="408"/>
      <c r="C1853" s="371"/>
      <c r="D1853" s="376"/>
      <c r="E1853" s="409"/>
      <c r="F1853" s="403"/>
      <c r="G1853" s="372"/>
    </row>
    <row r="1854" spans="1:7" x14ac:dyDescent="0.2">
      <c r="A1854" s="364"/>
      <c r="B1854" s="410"/>
      <c r="C1854" s="385"/>
      <c r="D1854" s="383"/>
      <c r="E1854" s="407"/>
      <c r="F1854" s="549"/>
      <c r="G1854" s="372"/>
    </row>
    <row r="1855" spans="1:7" x14ac:dyDescent="0.2">
      <c r="A1855" s="364"/>
      <c r="B1855" s="401"/>
      <c r="C1855" s="371"/>
      <c r="D1855" s="383"/>
      <c r="E1855" s="414"/>
      <c r="F1855" s="451"/>
      <c r="G1855" s="372"/>
    </row>
    <row r="1856" spans="1:7" x14ac:dyDescent="0.2">
      <c r="A1856" s="364"/>
      <c r="B1856" s="413"/>
      <c r="C1856" s="371"/>
      <c r="D1856" s="376"/>
      <c r="E1856" s="414"/>
      <c r="F1856" s="451"/>
      <c r="G1856" s="372"/>
    </row>
    <row r="1857" spans="1:7" x14ac:dyDescent="0.2">
      <c r="A1857" s="364"/>
      <c r="B1857" s="408"/>
      <c r="C1857" s="371"/>
      <c r="D1857" s="376"/>
      <c r="E1857" s="407"/>
      <c r="F1857" s="631"/>
      <c r="G1857" s="372"/>
    </row>
    <row r="1858" spans="1:7" x14ac:dyDescent="0.2">
      <c r="A1858" s="364"/>
      <c r="B1858" s="416"/>
      <c r="C1858" s="371"/>
      <c r="D1858" s="376"/>
      <c r="E1858" s="417"/>
      <c r="F1858" s="451"/>
      <c r="G1858" s="372"/>
    </row>
    <row r="1859" spans="1:7" x14ac:dyDescent="0.2">
      <c r="A1859" s="364"/>
      <c r="B1859" s="416"/>
      <c r="C1859" s="371"/>
      <c r="D1859" s="384"/>
      <c r="E1859" s="417"/>
      <c r="F1859" s="451"/>
      <c r="G1859" s="372"/>
    </row>
    <row r="1860" spans="1:7" x14ac:dyDescent="0.2">
      <c r="A1860" s="364"/>
      <c r="B1860" s="401"/>
      <c r="C1860" s="371"/>
      <c r="D1860" s="384"/>
      <c r="E1860" s="407"/>
      <c r="F1860" s="451"/>
      <c r="G1860" s="372"/>
    </row>
    <row r="1861" spans="1:7" x14ac:dyDescent="0.2">
      <c r="A1861" s="364"/>
      <c r="B1861" s="401"/>
      <c r="C1861" s="371"/>
      <c r="D1861" s="383" t="s">
        <v>150</v>
      </c>
      <c r="E1861" s="417"/>
      <c r="F1861" s="451"/>
      <c r="G1861" s="372"/>
    </row>
    <row r="1862" spans="1:7" x14ac:dyDescent="0.2">
      <c r="A1862" s="364"/>
      <c r="B1862" s="413"/>
      <c r="C1862" s="371"/>
      <c r="D1862" s="384"/>
      <c r="E1862" s="414"/>
      <c r="F1862" s="550"/>
      <c r="G1862" s="372"/>
    </row>
    <row r="1863" spans="1:7" x14ac:dyDescent="0.2">
      <c r="A1863" s="364"/>
      <c r="B1863" s="408"/>
      <c r="C1863" s="371"/>
      <c r="D1863" s="419"/>
      <c r="E1863" s="414"/>
      <c r="F1863" s="550"/>
      <c r="G1863" s="372"/>
    </row>
    <row r="1864" spans="1:7" x14ac:dyDescent="0.2">
      <c r="A1864" s="364"/>
      <c r="B1864" s="408"/>
      <c r="C1864" s="371"/>
      <c r="D1864" s="384" t="s">
        <v>896</v>
      </c>
      <c r="E1864" s="414"/>
      <c r="F1864" s="550"/>
      <c r="G1864" s="372"/>
    </row>
    <row r="1865" spans="1:7" x14ac:dyDescent="0.2">
      <c r="A1865" s="29"/>
      <c r="B1865" s="101"/>
      <c r="C1865" s="41"/>
      <c r="D1865" s="384"/>
      <c r="E1865" s="104"/>
      <c r="F1865" s="266"/>
      <c r="G1865" s="372"/>
    </row>
    <row r="1866" spans="1:7" x14ac:dyDescent="0.2">
      <c r="A1866" s="29"/>
      <c r="B1866" s="101"/>
      <c r="C1866" s="371"/>
      <c r="D1866" s="376"/>
      <c r="E1866" s="104"/>
      <c r="F1866" s="266"/>
      <c r="G1866" s="372"/>
    </row>
    <row r="1867" spans="1:7" x14ac:dyDescent="0.2">
      <c r="A1867" s="29"/>
      <c r="B1867" s="101"/>
      <c r="C1867" s="41"/>
      <c r="D1867" s="376"/>
      <c r="E1867" s="104"/>
      <c r="F1867" s="266"/>
      <c r="G1867" s="372"/>
    </row>
    <row r="1868" spans="1:7" x14ac:dyDescent="0.2">
      <c r="A1868" s="29"/>
      <c r="B1868" s="101"/>
      <c r="C1868" s="41"/>
      <c r="D1868" s="444"/>
      <c r="E1868" s="104"/>
      <c r="F1868" s="266"/>
      <c r="G1868" s="372"/>
    </row>
    <row r="1869" spans="1:7" x14ac:dyDescent="0.2">
      <c r="A1869" s="29"/>
      <c r="B1869" s="101"/>
      <c r="C1869" s="371"/>
      <c r="D1869" s="384"/>
      <c r="E1869" s="104"/>
      <c r="F1869" s="266"/>
      <c r="G1869" s="372"/>
    </row>
    <row r="1870" spans="1:7" x14ac:dyDescent="0.2">
      <c r="A1870" s="29"/>
      <c r="B1870" s="101"/>
      <c r="C1870" s="41"/>
      <c r="D1870" s="384"/>
      <c r="E1870" s="104"/>
      <c r="F1870" s="266"/>
      <c r="G1870" s="372"/>
    </row>
    <row r="1871" spans="1:7" x14ac:dyDescent="0.2">
      <c r="A1871" s="29"/>
      <c r="B1871" s="101"/>
      <c r="C1871" s="371"/>
      <c r="D1871" s="384"/>
      <c r="E1871" s="104"/>
      <c r="F1871" s="266"/>
      <c r="G1871" s="372"/>
    </row>
    <row r="1872" spans="1:7" x14ac:dyDescent="0.2">
      <c r="A1872" s="29"/>
      <c r="B1872" s="101"/>
      <c r="C1872" s="41"/>
      <c r="D1872" s="384"/>
      <c r="E1872" s="104"/>
      <c r="F1872" s="266"/>
      <c r="G1872" s="372"/>
    </row>
    <row r="1873" spans="1:7" x14ac:dyDescent="0.2">
      <c r="A1873" s="29"/>
      <c r="B1873" s="101"/>
      <c r="C1873" s="371"/>
      <c r="D1873" s="376" t="s">
        <v>896</v>
      </c>
      <c r="E1873" s="108"/>
      <c r="F1873" s="69"/>
      <c r="G1873" s="372"/>
    </row>
    <row r="1874" spans="1:7" x14ac:dyDescent="0.2">
      <c r="A1874" s="29"/>
      <c r="B1874" s="101"/>
      <c r="C1874" s="41"/>
      <c r="D1874" s="358"/>
      <c r="E1874" s="153"/>
      <c r="F1874" s="69"/>
      <c r="G1874" s="372"/>
    </row>
    <row r="1875" spans="1:7" x14ac:dyDescent="0.2">
      <c r="A1875" s="29"/>
      <c r="B1875" s="101"/>
      <c r="C1875" s="371"/>
      <c r="D1875" s="419"/>
      <c r="E1875" s="102"/>
      <c r="F1875" s="69"/>
      <c r="G1875" s="372"/>
    </row>
    <row r="1876" spans="1:7" x14ac:dyDescent="0.2">
      <c r="A1876" s="29"/>
      <c r="B1876" s="101"/>
      <c r="C1876" s="371"/>
      <c r="D1876" s="419"/>
      <c r="E1876" s="102"/>
      <c r="F1876" s="69"/>
      <c r="G1876" s="372"/>
    </row>
    <row r="1877" spans="1:7" x14ac:dyDescent="0.2">
      <c r="A1877" s="29"/>
      <c r="B1877" s="101"/>
      <c r="C1877" s="31"/>
      <c r="D1877" s="419" t="s">
        <v>8</v>
      </c>
      <c r="E1877" s="131"/>
      <c r="F1877" s="267"/>
      <c r="G1877" s="372"/>
    </row>
    <row r="1878" spans="1:7" x14ac:dyDescent="0.2">
      <c r="A1878" s="29"/>
      <c r="B1878" s="101"/>
      <c r="C1878" s="371"/>
      <c r="D1878" s="425"/>
      <c r="E1878" s="108"/>
      <c r="F1878" s="263"/>
      <c r="G1878" s="372"/>
    </row>
    <row r="1879" spans="1:7" x14ac:dyDescent="0.2">
      <c r="A1879" s="29"/>
      <c r="B1879" s="101"/>
      <c r="C1879" s="41"/>
      <c r="D1879" s="383"/>
      <c r="E1879" s="108"/>
      <c r="F1879" s="263"/>
      <c r="G1879" s="372"/>
    </row>
    <row r="1880" spans="1:7" x14ac:dyDescent="0.2">
      <c r="A1880" s="29"/>
      <c r="B1880" s="101"/>
      <c r="C1880" s="371"/>
      <c r="E1880" s="108"/>
      <c r="F1880" s="149"/>
      <c r="G1880" s="372"/>
    </row>
    <row r="1881" spans="1:7" x14ac:dyDescent="0.2">
      <c r="A1881" s="61"/>
      <c r="B1881" s="101"/>
      <c r="C1881" s="41"/>
      <c r="D1881" s="383"/>
      <c r="E1881" s="108"/>
      <c r="F1881" s="149"/>
      <c r="G1881" s="372"/>
    </row>
    <row r="1882" spans="1:7" ht="13.5" thickBot="1" x14ac:dyDescent="0.25">
      <c r="A1882" s="209"/>
      <c r="B1882" s="132"/>
      <c r="C1882" s="115"/>
      <c r="D1882" s="115"/>
      <c r="E1882" s="132"/>
      <c r="F1882" s="49" t="s">
        <v>15</v>
      </c>
      <c r="G1882" s="210">
        <f>SUM(G1848:G1881)</f>
        <v>16500</v>
      </c>
    </row>
    <row r="1883" spans="1:7" ht="13.5" thickTop="1" x14ac:dyDescent="0.2">
      <c r="A1883" s="875" t="s">
        <v>2220</v>
      </c>
      <c r="B1883" s="899"/>
      <c r="C1883" s="899"/>
      <c r="D1883" s="899"/>
      <c r="E1883" s="899"/>
      <c r="F1883" s="899"/>
      <c r="G1883" s="900"/>
    </row>
    <row r="1884" spans="1:7" ht="13.5" thickBot="1" x14ac:dyDescent="0.25">
      <c r="A1884" s="378" t="s">
        <v>8</v>
      </c>
      <c r="B1884" s="103"/>
      <c r="C1884" s="374" t="s">
        <v>2221</v>
      </c>
      <c r="D1884" s="54"/>
      <c r="E1884" s="103"/>
      <c r="F1884" s="55"/>
      <c r="G1884" s="56"/>
    </row>
    <row r="1885" spans="1:7" ht="13.5" thickTop="1" x14ac:dyDescent="0.2">
      <c r="A1885" s="906"/>
      <c r="B1885" s="907"/>
      <c r="C1885" s="907"/>
      <c r="D1885" s="57" t="s">
        <v>11</v>
      </c>
      <c r="E1885" s="908" t="s">
        <v>12</v>
      </c>
      <c r="F1885" s="908"/>
      <c r="G1885" s="909"/>
    </row>
    <row r="1886" spans="1:7" x14ac:dyDescent="0.2">
      <c r="A1886" s="910" t="s">
        <v>17</v>
      </c>
      <c r="B1886" s="911"/>
      <c r="C1886" s="911"/>
      <c r="D1886" s="39"/>
      <c r="E1886" s="912"/>
      <c r="F1886" s="913"/>
      <c r="G1886" s="914"/>
    </row>
    <row r="1887" spans="1:7" x14ac:dyDescent="0.2">
      <c r="A1887" s="910" t="s">
        <v>38</v>
      </c>
      <c r="B1887" s="911"/>
      <c r="C1887" s="911"/>
      <c r="D1887" s="73" t="s">
        <v>891</v>
      </c>
      <c r="E1887" s="868" t="s">
        <v>142</v>
      </c>
      <c r="F1887" s="868"/>
      <c r="G1887" s="869"/>
    </row>
    <row r="1888" spans="1:7" ht="13.5" thickBot="1" x14ac:dyDescent="0.25">
      <c r="A1888" s="901" t="s">
        <v>39</v>
      </c>
      <c r="B1888" s="902"/>
      <c r="C1888" s="902"/>
      <c r="D1888" s="91" t="s">
        <v>892</v>
      </c>
      <c r="E1888" s="904" t="s">
        <v>0</v>
      </c>
      <c r="F1888" s="904"/>
      <c r="G1888" s="905"/>
    </row>
    <row r="1889" spans="1:25" s="430" customFormat="1" ht="16.5" x14ac:dyDescent="0.25">
      <c r="A1889" s="885" t="s">
        <v>29</v>
      </c>
      <c r="B1889" s="886"/>
      <c r="C1889" s="886"/>
      <c r="D1889" s="886"/>
      <c r="E1889" s="886"/>
      <c r="F1889" s="886"/>
      <c r="G1889" s="887"/>
      <c r="H1889" s="247"/>
      <c r="I1889" s="247"/>
      <c r="J1889" s="247"/>
      <c r="K1889" s="247"/>
      <c r="L1889" s="247"/>
      <c r="M1889" s="247"/>
      <c r="N1889" s="247"/>
    </row>
    <row r="1890" spans="1:25" s="430" customFormat="1" x14ac:dyDescent="0.2">
      <c r="A1890" s="888" t="s">
        <v>48</v>
      </c>
      <c r="B1890" s="889"/>
      <c r="C1890" s="889"/>
      <c r="D1890" s="889"/>
      <c r="E1890" s="889"/>
      <c r="F1890" s="889"/>
      <c r="G1890" s="890"/>
      <c r="H1890" s="246"/>
      <c r="I1890" s="246"/>
      <c r="J1890" s="246"/>
      <c r="K1890" s="246"/>
      <c r="L1890" s="246"/>
      <c r="M1890" s="246"/>
      <c r="N1890" s="246"/>
    </row>
    <row r="1891" spans="1:25" s="430" customFormat="1" x14ac:dyDescent="0.2">
      <c r="A1891" s="891" t="s">
        <v>49</v>
      </c>
      <c r="B1891" s="892"/>
      <c r="C1891" s="892"/>
      <c r="D1891" s="892"/>
      <c r="E1891" s="892"/>
      <c r="F1891" s="892"/>
      <c r="G1891" s="893"/>
      <c r="H1891" s="386"/>
      <c r="I1891" s="386"/>
      <c r="J1891" s="386"/>
      <c r="K1891" s="386"/>
      <c r="L1891" s="386"/>
      <c r="M1891" s="386"/>
      <c r="N1891" s="386"/>
    </row>
    <row r="1892" spans="1:25" s="430" customFormat="1" x14ac:dyDescent="0.2">
      <c r="A1892" s="387"/>
      <c r="B1892" s="388"/>
      <c r="C1892" s="389"/>
      <c r="D1892" s="390"/>
      <c r="E1892" s="388"/>
      <c r="F1892" s="391"/>
      <c r="G1892" s="392" t="s">
        <v>334</v>
      </c>
      <c r="H1892" s="548"/>
      <c r="I1892" s="548"/>
      <c r="J1892" s="548"/>
      <c r="K1892" s="548"/>
      <c r="L1892" s="548"/>
      <c r="M1892" s="548"/>
      <c r="N1892" s="548"/>
    </row>
    <row r="1893" spans="1:25" s="430" customFormat="1" x14ac:dyDescent="0.2">
      <c r="A1893" s="393" t="s">
        <v>1</v>
      </c>
      <c r="B1893" s="394"/>
      <c r="C1893" s="14" t="s">
        <v>36</v>
      </c>
      <c r="D1893" s="394"/>
      <c r="E1893" s="362" t="s">
        <v>2340</v>
      </c>
      <c r="F1893" s="395"/>
      <c r="G1893" s="363" t="s">
        <v>2322</v>
      </c>
    </row>
    <row r="1894" spans="1:25" s="430" customFormat="1" x14ac:dyDescent="0.2">
      <c r="A1894" s="361" t="s">
        <v>8</v>
      </c>
      <c r="B1894" s="396"/>
      <c r="C1894" s="19"/>
      <c r="D1894" s="386"/>
      <c r="E1894" s="894"/>
      <c r="F1894" s="895"/>
      <c r="G1894" s="397"/>
    </row>
    <row r="1895" spans="1:25" s="430" customFormat="1" x14ac:dyDescent="0.2">
      <c r="A1895" s="373" t="s">
        <v>37</v>
      </c>
      <c r="B1895" s="377"/>
      <c r="C1895" s="377"/>
      <c r="D1895" s="377"/>
      <c r="E1895" s="398" t="s">
        <v>46</v>
      </c>
      <c r="F1895" s="399"/>
      <c r="G1895" s="397" t="s">
        <v>50</v>
      </c>
    </row>
    <row r="1896" spans="1:25" s="430" customFormat="1" x14ac:dyDescent="0.2">
      <c r="A1896" s="387"/>
      <c r="B1896" s="388"/>
      <c r="C1896" s="389"/>
      <c r="D1896" s="389"/>
      <c r="E1896" s="896"/>
      <c r="F1896" s="897"/>
      <c r="G1896" s="400"/>
    </row>
    <row r="1897" spans="1:25" s="430" customFormat="1" ht="26.25" thickBot="1" x14ac:dyDescent="0.25">
      <c r="A1897" s="207" t="s">
        <v>47</v>
      </c>
      <c r="B1897" s="28" t="s">
        <v>23</v>
      </c>
      <c r="C1897" s="28" t="s">
        <v>34</v>
      </c>
      <c r="D1897" s="110" t="s">
        <v>53</v>
      </c>
      <c r="E1897" s="114" t="s">
        <v>54</v>
      </c>
      <c r="F1897" s="111" t="s">
        <v>55</v>
      </c>
      <c r="G1897" s="112" t="s">
        <v>35</v>
      </c>
      <c r="H1897" s="249"/>
      <c r="I1897" s="249"/>
      <c r="J1897" s="249"/>
      <c r="K1897" s="249"/>
      <c r="L1897" s="249"/>
      <c r="M1897" s="249"/>
      <c r="N1897" s="249"/>
    </row>
    <row r="1898" spans="1:25" s="430" customFormat="1" ht="13.5" thickTop="1" x14ac:dyDescent="0.2">
      <c r="A1898" s="364">
        <v>1</v>
      </c>
      <c r="B1898" s="408"/>
      <c r="C1898" s="371" t="s">
        <v>1923</v>
      </c>
      <c r="D1898" s="376" t="s">
        <v>1925</v>
      </c>
      <c r="E1898" s="409">
        <v>2.08</v>
      </c>
      <c r="F1898" s="451">
        <v>184</v>
      </c>
      <c r="G1898" s="372">
        <f>F1898*E1898</f>
        <v>382.72</v>
      </c>
      <c r="H1898" s="438"/>
      <c r="I1898" s="438"/>
      <c r="J1898" s="438"/>
      <c r="K1898" s="438"/>
      <c r="L1898" s="438"/>
      <c r="M1898" s="438"/>
      <c r="N1898" s="438"/>
      <c r="Q1898" s="437"/>
      <c r="R1898" s="544"/>
      <c r="V1898" s="430">
        <v>2.08</v>
      </c>
      <c r="W1898" s="437">
        <v>184</v>
      </c>
    </row>
    <row r="1899" spans="1:25" s="430" customFormat="1" x14ac:dyDescent="0.2">
      <c r="A1899" s="364">
        <f>A1898+1</f>
        <v>2</v>
      </c>
      <c r="B1899" s="408"/>
      <c r="C1899" s="371" t="s">
        <v>1923</v>
      </c>
      <c r="D1899" s="376" t="s">
        <v>1949</v>
      </c>
      <c r="E1899" s="409">
        <v>10.4</v>
      </c>
      <c r="F1899" s="451">
        <v>194</v>
      </c>
      <c r="G1899" s="372">
        <f t="shared" ref="G1899:G1929" si="22">F1899*E1899</f>
        <v>2017.6000000000001</v>
      </c>
      <c r="H1899" s="438"/>
      <c r="I1899" s="438"/>
      <c r="J1899" s="438"/>
      <c r="K1899" s="438"/>
      <c r="L1899" s="438"/>
      <c r="M1899" s="430">
        <v>1.095</v>
      </c>
      <c r="N1899" s="437">
        <v>194</v>
      </c>
      <c r="O1899" s="437">
        <f>N1899*M1899</f>
        <v>212.43</v>
      </c>
      <c r="P1899" s="544"/>
      <c r="Q1899" s="437"/>
      <c r="R1899" s="544"/>
      <c r="V1899" s="430">
        <v>1.095</v>
      </c>
      <c r="W1899" s="437">
        <v>194</v>
      </c>
      <c r="X1899" s="437">
        <f>W1899*V1899</f>
        <v>212.43</v>
      </c>
      <c r="Y1899" s="544"/>
    </row>
    <row r="1900" spans="1:25" s="430" customFormat="1" x14ac:dyDescent="0.2">
      <c r="A1900" s="364">
        <f t="shared" ref="A1900:A1929" si="23">A1899+1</f>
        <v>3</v>
      </c>
      <c r="B1900" s="408"/>
      <c r="C1900" s="371" t="s">
        <v>1923</v>
      </c>
      <c r="D1900" s="376" t="s">
        <v>1924</v>
      </c>
      <c r="E1900" s="407">
        <v>4</v>
      </c>
      <c r="F1900" s="549">
        <v>254</v>
      </c>
      <c r="G1900" s="372">
        <f t="shared" si="22"/>
        <v>1016</v>
      </c>
      <c r="H1900" s="438"/>
      <c r="I1900" s="438"/>
      <c r="J1900" s="438"/>
      <c r="K1900" s="438"/>
      <c r="L1900" s="438"/>
      <c r="M1900" s="430">
        <v>1.0649999999999999</v>
      </c>
      <c r="N1900" s="437">
        <v>194</v>
      </c>
      <c r="O1900" s="437">
        <f t="shared" ref="O1900:O1908" si="24">N1900*M1900</f>
        <v>206.60999999999999</v>
      </c>
      <c r="P1900" s="544"/>
      <c r="Q1900" s="437"/>
      <c r="R1900" s="544"/>
      <c r="V1900" s="430">
        <v>1.0649999999999999</v>
      </c>
      <c r="W1900" s="437">
        <v>194</v>
      </c>
      <c r="X1900" s="437">
        <f t="shared" ref="X1900:X1908" si="25">W1900*V1900</f>
        <v>206.60999999999999</v>
      </c>
      <c r="Y1900" s="544"/>
    </row>
    <row r="1901" spans="1:25" s="430" customFormat="1" x14ac:dyDescent="0.2">
      <c r="A1901" s="364">
        <f t="shared" si="23"/>
        <v>4</v>
      </c>
      <c r="B1901" s="408"/>
      <c r="C1901" s="371" t="s">
        <v>1923</v>
      </c>
      <c r="D1901" s="376" t="s">
        <v>240</v>
      </c>
      <c r="E1901" s="409">
        <v>2.9049999999999998</v>
      </c>
      <c r="F1901" s="451">
        <v>297</v>
      </c>
      <c r="G1901" s="372">
        <f t="shared" si="22"/>
        <v>862.78499999999997</v>
      </c>
      <c r="H1901" s="438">
        <f>G1898+G1899+G1900+G1901</f>
        <v>4279.1050000000005</v>
      </c>
      <c r="I1901" s="438"/>
      <c r="J1901" s="438"/>
      <c r="K1901" s="438"/>
      <c r="L1901" s="438"/>
      <c r="M1901" s="430">
        <v>1.03</v>
      </c>
      <c r="N1901" s="437">
        <v>194</v>
      </c>
      <c r="O1901" s="437">
        <f t="shared" si="24"/>
        <v>199.82</v>
      </c>
      <c r="P1901" s="544"/>
      <c r="Q1901" s="437"/>
      <c r="R1901" s="544"/>
      <c r="V1901" s="430">
        <v>1.03</v>
      </c>
      <c r="W1901" s="437">
        <v>194</v>
      </c>
      <c r="X1901" s="437">
        <f t="shared" si="25"/>
        <v>199.82</v>
      </c>
      <c r="Y1901" s="544"/>
    </row>
    <row r="1902" spans="1:25" s="430" customFormat="1" x14ac:dyDescent="0.2">
      <c r="A1902" s="364">
        <f t="shared" si="23"/>
        <v>5</v>
      </c>
      <c r="B1902" s="408"/>
      <c r="C1902" s="371" t="s">
        <v>149</v>
      </c>
      <c r="D1902" s="376" t="s">
        <v>2109</v>
      </c>
      <c r="E1902" s="409">
        <v>10</v>
      </c>
      <c r="F1902" s="451">
        <v>75</v>
      </c>
      <c r="G1902" s="372">
        <f t="shared" si="22"/>
        <v>750</v>
      </c>
      <c r="H1902" s="438"/>
      <c r="I1902" s="438"/>
      <c r="J1902" s="438"/>
      <c r="K1902" s="438"/>
      <c r="L1902" s="438"/>
      <c r="M1902" s="430">
        <v>1.105</v>
      </c>
      <c r="N1902" s="437">
        <v>194</v>
      </c>
      <c r="O1902" s="437">
        <f t="shared" si="24"/>
        <v>214.37</v>
      </c>
      <c r="Q1902" s="437"/>
      <c r="V1902" s="430">
        <v>1.105</v>
      </c>
      <c r="W1902" s="437">
        <v>194</v>
      </c>
      <c r="X1902" s="437">
        <f t="shared" si="25"/>
        <v>214.37</v>
      </c>
    </row>
    <row r="1903" spans="1:25" s="430" customFormat="1" x14ac:dyDescent="0.2">
      <c r="A1903" s="364">
        <f t="shared" si="23"/>
        <v>6</v>
      </c>
      <c r="B1903" s="408"/>
      <c r="C1903" s="371" t="s">
        <v>2008</v>
      </c>
      <c r="D1903" s="383" t="s">
        <v>2293</v>
      </c>
      <c r="E1903" s="409">
        <v>3</v>
      </c>
      <c r="F1903" s="451">
        <v>1350</v>
      </c>
      <c r="G1903" s="372">
        <f t="shared" si="22"/>
        <v>4050</v>
      </c>
      <c r="H1903" s="438"/>
      <c r="I1903" s="438"/>
      <c r="J1903" s="438"/>
      <c r="K1903" s="438"/>
      <c r="L1903" s="438"/>
      <c r="M1903" s="430">
        <v>1.06</v>
      </c>
      <c r="N1903" s="437">
        <v>194</v>
      </c>
      <c r="O1903" s="437">
        <f t="shared" si="24"/>
        <v>205.64000000000001</v>
      </c>
      <c r="P1903" s="544"/>
      <c r="Q1903" s="437"/>
      <c r="V1903" s="430">
        <v>1.06</v>
      </c>
      <c r="W1903" s="437">
        <v>194</v>
      </c>
      <c r="X1903" s="437">
        <f t="shared" si="25"/>
        <v>205.64000000000001</v>
      </c>
      <c r="Y1903" s="544"/>
    </row>
    <row r="1904" spans="1:25" s="430" customFormat="1" x14ac:dyDescent="0.2">
      <c r="A1904" s="364">
        <f t="shared" si="23"/>
        <v>7</v>
      </c>
      <c r="B1904" s="410"/>
      <c r="C1904" s="371" t="s">
        <v>1930</v>
      </c>
      <c r="D1904" s="384" t="s">
        <v>1955</v>
      </c>
      <c r="E1904" s="407">
        <v>6</v>
      </c>
      <c r="F1904" s="549">
        <v>40.799999999999997</v>
      </c>
      <c r="G1904" s="372">
        <f t="shared" si="22"/>
        <v>244.79999999999998</v>
      </c>
      <c r="H1904" s="243"/>
      <c r="I1904" s="243"/>
      <c r="J1904" s="243"/>
      <c r="K1904" s="438"/>
      <c r="L1904" s="438"/>
      <c r="M1904" s="430">
        <v>1.075</v>
      </c>
      <c r="N1904" s="437">
        <v>194</v>
      </c>
      <c r="O1904" s="437">
        <f t="shared" si="24"/>
        <v>208.54999999999998</v>
      </c>
      <c r="Q1904" s="437"/>
      <c r="R1904" s="544"/>
      <c r="V1904" s="430">
        <v>1.075</v>
      </c>
      <c r="W1904" s="437">
        <v>194</v>
      </c>
      <c r="X1904" s="437">
        <f t="shared" si="25"/>
        <v>208.54999999999998</v>
      </c>
    </row>
    <row r="1905" spans="1:25" s="430" customFormat="1" x14ac:dyDescent="0.2">
      <c r="A1905" s="364">
        <f t="shared" si="23"/>
        <v>8</v>
      </c>
      <c r="B1905" s="401"/>
      <c r="C1905" s="371" t="s">
        <v>149</v>
      </c>
      <c r="D1905" s="383" t="s">
        <v>2294</v>
      </c>
      <c r="E1905" s="414">
        <v>2</v>
      </c>
      <c r="F1905" s="451">
        <v>96.25</v>
      </c>
      <c r="G1905" s="372">
        <f t="shared" si="22"/>
        <v>192.5</v>
      </c>
      <c r="H1905" s="438"/>
      <c r="I1905" s="438"/>
      <c r="J1905" s="438"/>
      <c r="K1905" s="438"/>
      <c r="L1905" s="438"/>
      <c r="M1905" s="430">
        <v>0.97</v>
      </c>
      <c r="N1905" s="437">
        <v>194</v>
      </c>
      <c r="O1905" s="437">
        <f t="shared" si="24"/>
        <v>188.18</v>
      </c>
      <c r="P1905" s="544"/>
      <c r="Q1905" s="437"/>
      <c r="R1905" s="544"/>
      <c r="V1905" s="430">
        <v>0.97</v>
      </c>
      <c r="W1905" s="437">
        <v>194</v>
      </c>
      <c r="X1905" s="437">
        <f t="shared" si="25"/>
        <v>188.18</v>
      </c>
      <c r="Y1905" s="544"/>
    </row>
    <row r="1906" spans="1:25" s="430" customFormat="1" x14ac:dyDescent="0.2">
      <c r="A1906" s="364">
        <f t="shared" si="23"/>
        <v>9</v>
      </c>
      <c r="B1906" s="413"/>
      <c r="C1906" s="371" t="s">
        <v>1923</v>
      </c>
      <c r="D1906" s="384" t="s">
        <v>1934</v>
      </c>
      <c r="E1906" s="414">
        <v>3</v>
      </c>
      <c r="F1906" s="550">
        <v>87</v>
      </c>
      <c r="G1906" s="372">
        <f t="shared" si="22"/>
        <v>261</v>
      </c>
      <c r="H1906" s="438"/>
      <c r="I1906" s="438"/>
      <c r="J1906" s="438"/>
      <c r="K1906" s="438"/>
      <c r="L1906" s="438"/>
      <c r="M1906" s="430">
        <v>1.0649999999999999</v>
      </c>
      <c r="N1906" s="437">
        <v>194</v>
      </c>
      <c r="O1906" s="437">
        <f t="shared" si="24"/>
        <v>206.60999999999999</v>
      </c>
      <c r="P1906" s="544"/>
      <c r="Q1906" s="437"/>
      <c r="R1906" s="544"/>
      <c r="V1906" s="430">
        <v>1.0649999999999999</v>
      </c>
      <c r="W1906" s="437">
        <v>194</v>
      </c>
      <c r="X1906" s="437">
        <f t="shared" si="25"/>
        <v>206.60999999999999</v>
      </c>
      <c r="Y1906" s="544"/>
    </row>
    <row r="1907" spans="1:25" s="430" customFormat="1" x14ac:dyDescent="0.2">
      <c r="A1907" s="364">
        <f t="shared" si="23"/>
        <v>10</v>
      </c>
      <c r="B1907" s="413"/>
      <c r="C1907" s="371" t="s">
        <v>149</v>
      </c>
      <c r="D1907" s="384" t="s">
        <v>1963</v>
      </c>
      <c r="E1907" s="414">
        <v>3</v>
      </c>
      <c r="F1907" s="451">
        <v>127</v>
      </c>
      <c r="G1907" s="372">
        <f t="shared" si="22"/>
        <v>381</v>
      </c>
      <c r="H1907" s="438"/>
      <c r="I1907" s="438"/>
      <c r="J1907" s="438"/>
      <c r="K1907" s="438"/>
      <c r="L1907" s="438"/>
      <c r="M1907" s="430">
        <v>0.93500000000000005</v>
      </c>
      <c r="N1907" s="437">
        <v>194</v>
      </c>
      <c r="O1907" s="437">
        <f t="shared" si="24"/>
        <v>181.39000000000001</v>
      </c>
      <c r="P1907" s="544"/>
      <c r="Q1907" s="437"/>
      <c r="R1907" s="544"/>
      <c r="V1907" s="430">
        <v>0.93500000000000005</v>
      </c>
      <c r="W1907" s="437">
        <v>194</v>
      </c>
      <c r="X1907" s="437">
        <f t="shared" si="25"/>
        <v>181.39000000000001</v>
      </c>
      <c r="Y1907" s="544"/>
    </row>
    <row r="1908" spans="1:25" s="430" customFormat="1" x14ac:dyDescent="0.2">
      <c r="A1908" s="364">
        <f t="shared" si="23"/>
        <v>11</v>
      </c>
      <c r="B1908" s="416"/>
      <c r="C1908" s="371" t="s">
        <v>149</v>
      </c>
      <c r="D1908" s="376" t="s">
        <v>2295</v>
      </c>
      <c r="E1908" s="417">
        <v>12</v>
      </c>
      <c r="F1908" s="451">
        <v>12.25</v>
      </c>
      <c r="G1908" s="372">
        <f t="shared" si="22"/>
        <v>147</v>
      </c>
      <c r="H1908" s="438"/>
      <c r="I1908" s="438"/>
      <c r="J1908" s="438"/>
      <c r="K1908" s="438"/>
      <c r="L1908" s="438"/>
      <c r="M1908" s="430">
        <v>1</v>
      </c>
      <c r="N1908" s="437">
        <v>194</v>
      </c>
      <c r="O1908" s="437">
        <f t="shared" si="24"/>
        <v>194</v>
      </c>
      <c r="P1908" s="544"/>
      <c r="Q1908" s="437"/>
      <c r="R1908" s="544"/>
      <c r="V1908" s="430">
        <v>1</v>
      </c>
      <c r="W1908" s="437">
        <v>194</v>
      </c>
      <c r="X1908" s="437">
        <f t="shared" si="25"/>
        <v>194</v>
      </c>
      <c r="Y1908" s="544"/>
    </row>
    <row r="1909" spans="1:25" s="430" customFormat="1" x14ac:dyDescent="0.2">
      <c r="A1909" s="364">
        <f t="shared" si="23"/>
        <v>12</v>
      </c>
      <c r="B1909" s="416"/>
      <c r="C1909" s="371" t="s">
        <v>149</v>
      </c>
      <c r="D1909" s="384" t="s">
        <v>2296</v>
      </c>
      <c r="E1909" s="417">
        <v>6</v>
      </c>
      <c r="F1909" s="451">
        <v>22.75</v>
      </c>
      <c r="G1909" s="372">
        <f t="shared" si="22"/>
        <v>136.5</v>
      </c>
      <c r="H1909" s="438"/>
      <c r="I1909" s="438"/>
      <c r="J1909" s="438"/>
      <c r="K1909" s="438"/>
      <c r="L1909" s="438"/>
      <c r="M1909" s="340">
        <f>SUM(M1899:M1908)</f>
        <v>10.4</v>
      </c>
      <c r="N1909" s="340"/>
      <c r="O1909" s="632">
        <f>SUM(O1899:O1908)</f>
        <v>2017.6</v>
      </c>
      <c r="P1909" s="544"/>
      <c r="Q1909" s="437"/>
      <c r="R1909" s="544"/>
      <c r="V1909" s="430">
        <v>0.5</v>
      </c>
      <c r="W1909" s="437">
        <v>254</v>
      </c>
      <c r="X1909" s="437">
        <f>W1909*V1909</f>
        <v>127</v>
      </c>
      <c r="Y1909" s="544"/>
    </row>
    <row r="1910" spans="1:25" s="430" customFormat="1" x14ac:dyDescent="0.2">
      <c r="A1910" s="364">
        <f t="shared" si="23"/>
        <v>13</v>
      </c>
      <c r="B1910" s="416"/>
      <c r="C1910" s="371" t="s">
        <v>149</v>
      </c>
      <c r="D1910" s="376" t="s">
        <v>2310</v>
      </c>
      <c r="E1910" s="414">
        <v>4</v>
      </c>
      <c r="F1910" s="451">
        <v>89.4</v>
      </c>
      <c r="G1910" s="372">
        <f t="shared" si="22"/>
        <v>357.6</v>
      </c>
      <c r="H1910" s="438"/>
      <c r="I1910" s="438"/>
      <c r="J1910" s="438"/>
      <c r="K1910" s="438"/>
      <c r="L1910" s="438"/>
      <c r="O1910" s="437"/>
      <c r="P1910" s="544"/>
      <c r="Q1910" s="437"/>
      <c r="R1910" s="544"/>
      <c r="V1910" s="430">
        <v>0.5</v>
      </c>
      <c r="W1910" s="437">
        <v>254</v>
      </c>
      <c r="X1910" s="437">
        <f t="shared" ref="X1910:X1916" si="26">W1910*V1910</f>
        <v>127</v>
      </c>
      <c r="Y1910" s="544"/>
    </row>
    <row r="1911" spans="1:25" s="430" customFormat="1" x14ac:dyDescent="0.2">
      <c r="A1911" s="364">
        <f t="shared" si="23"/>
        <v>14</v>
      </c>
      <c r="B1911" s="401"/>
      <c r="C1911" s="371" t="s">
        <v>149</v>
      </c>
      <c r="D1911" s="384" t="s">
        <v>1937</v>
      </c>
      <c r="E1911" s="407">
        <v>1</v>
      </c>
      <c r="F1911" s="451">
        <v>379.5</v>
      </c>
      <c r="G1911" s="372">
        <f t="shared" si="22"/>
        <v>379.5</v>
      </c>
      <c r="H1911" s="438"/>
      <c r="I1911" s="438"/>
      <c r="J1911" s="438"/>
      <c r="K1911" s="438"/>
      <c r="L1911" s="438"/>
      <c r="O1911" s="437"/>
      <c r="Q1911" s="437"/>
      <c r="R1911" s="437">
        <v>382.72</v>
      </c>
      <c r="V1911" s="430">
        <v>0.5</v>
      </c>
      <c r="W1911" s="437">
        <v>254</v>
      </c>
      <c r="X1911" s="437">
        <f t="shared" si="26"/>
        <v>127</v>
      </c>
    </row>
    <row r="1912" spans="1:25" s="430" customFormat="1" x14ac:dyDescent="0.2">
      <c r="A1912" s="364">
        <f t="shared" si="23"/>
        <v>15</v>
      </c>
      <c r="B1912" s="401"/>
      <c r="C1912" s="371" t="s">
        <v>149</v>
      </c>
      <c r="D1912" s="384" t="s">
        <v>1933</v>
      </c>
      <c r="E1912" s="417">
        <v>6</v>
      </c>
      <c r="F1912" s="550">
        <v>69.25</v>
      </c>
      <c r="G1912" s="372">
        <f t="shared" si="22"/>
        <v>415.5</v>
      </c>
      <c r="H1912" s="438"/>
      <c r="I1912" s="438"/>
      <c r="J1912" s="438"/>
      <c r="K1912" s="438"/>
      <c r="L1912" s="438"/>
      <c r="M1912" s="430">
        <v>0.5</v>
      </c>
      <c r="N1912" s="437">
        <v>254</v>
      </c>
      <c r="O1912" s="437">
        <f>N1912*M1912</f>
        <v>127</v>
      </c>
      <c r="P1912" s="544"/>
      <c r="Q1912" s="437"/>
      <c r="R1912" s="437">
        <v>2017.6</v>
      </c>
      <c r="T1912" s="544">
        <f>R1911+R1912</f>
        <v>2400.3199999999997</v>
      </c>
      <c r="V1912" s="430">
        <v>0.5</v>
      </c>
      <c r="W1912" s="437">
        <v>254</v>
      </c>
      <c r="X1912" s="437">
        <f t="shared" si="26"/>
        <v>127</v>
      </c>
      <c r="Y1912" s="544"/>
    </row>
    <row r="1913" spans="1:25" s="430" customFormat="1" x14ac:dyDescent="0.2">
      <c r="A1913" s="364">
        <f t="shared" si="23"/>
        <v>16</v>
      </c>
      <c r="B1913" s="408"/>
      <c r="C1913" s="371" t="s">
        <v>149</v>
      </c>
      <c r="D1913" s="376" t="s">
        <v>2297</v>
      </c>
      <c r="E1913" s="414">
        <v>1</v>
      </c>
      <c r="F1913" s="550">
        <v>73.2</v>
      </c>
      <c r="G1913" s="372">
        <f t="shared" si="22"/>
        <v>73.2</v>
      </c>
      <c r="H1913" s="438"/>
      <c r="I1913" s="438"/>
      <c r="J1913" s="438"/>
      <c r="K1913" s="438"/>
      <c r="L1913" s="438"/>
      <c r="M1913" s="430">
        <v>0.5</v>
      </c>
      <c r="N1913" s="437">
        <v>254</v>
      </c>
      <c r="O1913" s="437">
        <f t="shared" ref="O1913:O1919" si="27">N1913*M1913</f>
        <v>127</v>
      </c>
      <c r="Q1913" s="437"/>
      <c r="R1913" s="437">
        <v>1016</v>
      </c>
      <c r="T1913" s="544">
        <f>R1911+R1912+R1913</f>
        <v>3416.3199999999997</v>
      </c>
      <c r="V1913" s="430">
        <v>0.5</v>
      </c>
      <c r="W1913" s="437">
        <v>254</v>
      </c>
      <c r="X1913" s="437">
        <f t="shared" si="26"/>
        <v>127</v>
      </c>
    </row>
    <row r="1914" spans="1:25" s="430" customFormat="1" x14ac:dyDescent="0.2">
      <c r="A1914" s="364">
        <f t="shared" si="23"/>
        <v>17</v>
      </c>
      <c r="B1914" s="408"/>
      <c r="C1914" s="371" t="s">
        <v>149</v>
      </c>
      <c r="D1914" s="376" t="s">
        <v>2298</v>
      </c>
      <c r="E1914" s="414">
        <v>1</v>
      </c>
      <c r="F1914" s="550">
        <v>73.2</v>
      </c>
      <c r="G1914" s="372">
        <f t="shared" si="22"/>
        <v>73.2</v>
      </c>
      <c r="H1914" s="438"/>
      <c r="I1914" s="438"/>
      <c r="J1914" s="438"/>
      <c r="K1914" s="438"/>
      <c r="L1914" s="438"/>
      <c r="M1914" s="430">
        <v>0.5</v>
      </c>
      <c r="N1914" s="437">
        <v>254</v>
      </c>
      <c r="O1914" s="437">
        <f t="shared" si="27"/>
        <v>127</v>
      </c>
      <c r="Q1914" s="437"/>
      <c r="R1914" s="634">
        <v>862.78499999999997</v>
      </c>
      <c r="V1914" s="430">
        <v>0.5</v>
      </c>
      <c r="W1914" s="437">
        <v>254</v>
      </c>
      <c r="X1914" s="437">
        <f t="shared" si="26"/>
        <v>127</v>
      </c>
    </row>
    <row r="1915" spans="1:25" s="430" customFormat="1" x14ac:dyDescent="0.2">
      <c r="A1915" s="364">
        <f t="shared" si="23"/>
        <v>18</v>
      </c>
      <c r="B1915" s="408"/>
      <c r="C1915" s="371" t="s">
        <v>177</v>
      </c>
      <c r="D1915" s="384" t="s">
        <v>1936</v>
      </c>
      <c r="E1915" s="414">
        <v>2</v>
      </c>
      <c r="F1915" s="550">
        <v>47.6</v>
      </c>
      <c r="G1915" s="372">
        <f t="shared" si="22"/>
        <v>95.2</v>
      </c>
      <c r="H1915" s="438"/>
      <c r="I1915" s="438"/>
      <c r="J1915" s="438"/>
      <c r="K1915" s="438"/>
      <c r="L1915" s="438"/>
      <c r="M1915" s="430">
        <v>0.5</v>
      </c>
      <c r="N1915" s="437">
        <v>254</v>
      </c>
      <c r="O1915" s="437">
        <f t="shared" si="27"/>
        <v>127</v>
      </c>
      <c r="P1915" s="544"/>
      <c r="Q1915" s="437"/>
      <c r="R1915" s="544"/>
      <c r="V1915" s="430">
        <v>0.5</v>
      </c>
      <c r="W1915" s="437">
        <v>254</v>
      </c>
      <c r="X1915" s="437">
        <f t="shared" si="26"/>
        <v>127</v>
      </c>
      <c r="Y1915" s="544"/>
    </row>
    <row r="1916" spans="1:25" s="430" customFormat="1" x14ac:dyDescent="0.2">
      <c r="A1916" s="364">
        <f t="shared" si="23"/>
        <v>19</v>
      </c>
      <c r="B1916" s="401"/>
      <c r="C1916" s="371" t="s">
        <v>149</v>
      </c>
      <c r="D1916" s="384" t="s">
        <v>2299</v>
      </c>
      <c r="E1916" s="409">
        <v>2</v>
      </c>
      <c r="F1916" s="550">
        <v>60.5</v>
      </c>
      <c r="G1916" s="372">
        <f t="shared" si="22"/>
        <v>121</v>
      </c>
      <c r="H1916" s="438"/>
      <c r="I1916" s="438"/>
      <c r="J1916" s="438"/>
      <c r="K1916" s="438"/>
      <c r="L1916" s="438"/>
      <c r="M1916" s="430">
        <v>0.5</v>
      </c>
      <c r="N1916" s="437">
        <v>254</v>
      </c>
      <c r="O1916" s="437">
        <f t="shared" si="27"/>
        <v>127</v>
      </c>
      <c r="P1916" s="544"/>
      <c r="Q1916" s="437"/>
      <c r="R1916" s="544"/>
      <c r="V1916" s="430">
        <v>0.5</v>
      </c>
      <c r="W1916" s="437">
        <v>254</v>
      </c>
      <c r="X1916" s="437">
        <f t="shared" si="26"/>
        <v>127</v>
      </c>
      <c r="Y1916" s="544"/>
    </row>
    <row r="1917" spans="1:25" s="430" customFormat="1" x14ac:dyDescent="0.2">
      <c r="A1917" s="364">
        <f t="shared" si="23"/>
        <v>20</v>
      </c>
      <c r="B1917" s="401"/>
      <c r="C1917" s="371" t="s">
        <v>149</v>
      </c>
      <c r="D1917" s="376" t="s">
        <v>2300</v>
      </c>
      <c r="E1917" s="414">
        <v>2</v>
      </c>
      <c r="F1917" s="550">
        <v>62.5</v>
      </c>
      <c r="G1917" s="372">
        <f t="shared" si="22"/>
        <v>125</v>
      </c>
      <c r="H1917" s="438"/>
      <c r="I1917" s="438"/>
      <c r="J1917" s="438"/>
      <c r="K1917" s="438"/>
      <c r="L1917" s="438"/>
      <c r="M1917" s="430">
        <v>0.5</v>
      </c>
      <c r="N1917" s="437">
        <v>254</v>
      </c>
      <c r="O1917" s="437">
        <f t="shared" si="27"/>
        <v>127</v>
      </c>
      <c r="P1917" s="544"/>
      <c r="Q1917" s="437"/>
      <c r="V1917" s="430">
        <v>0.85499999999999998</v>
      </c>
      <c r="W1917" s="437">
        <v>297</v>
      </c>
      <c r="X1917" s="437">
        <f>W1917*V1917</f>
        <v>253.935</v>
      </c>
      <c r="Y1917" s="544"/>
    </row>
    <row r="1918" spans="1:25" s="430" customFormat="1" x14ac:dyDescent="0.2">
      <c r="A1918" s="364">
        <f t="shared" si="23"/>
        <v>21</v>
      </c>
      <c r="B1918" s="401"/>
      <c r="C1918" s="371" t="s">
        <v>149</v>
      </c>
      <c r="D1918" s="376" t="s">
        <v>2301</v>
      </c>
      <c r="E1918" s="414">
        <v>2</v>
      </c>
      <c r="F1918" s="550">
        <v>60.5</v>
      </c>
      <c r="G1918" s="372">
        <f t="shared" si="22"/>
        <v>121</v>
      </c>
      <c r="H1918" s="438"/>
      <c r="I1918" s="438"/>
      <c r="J1918" s="438"/>
      <c r="K1918" s="438"/>
      <c r="L1918" s="438"/>
      <c r="M1918" s="430">
        <v>0.5</v>
      </c>
      <c r="N1918" s="437">
        <v>254</v>
      </c>
      <c r="O1918" s="437">
        <f t="shared" si="27"/>
        <v>127</v>
      </c>
      <c r="P1918" s="544"/>
      <c r="Q1918" s="437"/>
      <c r="R1918" s="438"/>
      <c r="V1918" s="430">
        <v>0.97499999999999998</v>
      </c>
      <c r="W1918" s="437">
        <v>297</v>
      </c>
      <c r="X1918" s="437">
        <f t="shared" ref="X1918:X1919" si="28">W1918*V1918</f>
        <v>289.57499999999999</v>
      </c>
      <c r="Y1918" s="544"/>
    </row>
    <row r="1919" spans="1:25" s="430" customFormat="1" x14ac:dyDescent="0.2">
      <c r="A1919" s="364">
        <f t="shared" si="23"/>
        <v>22</v>
      </c>
      <c r="B1919" s="401"/>
      <c r="C1919" s="371" t="s">
        <v>149</v>
      </c>
      <c r="D1919" s="376" t="s">
        <v>2302</v>
      </c>
      <c r="E1919" s="414">
        <v>1</v>
      </c>
      <c r="F1919" s="550">
        <v>260.75</v>
      </c>
      <c r="G1919" s="372">
        <f t="shared" si="22"/>
        <v>260.75</v>
      </c>
      <c r="H1919" s="438"/>
      <c r="I1919" s="438"/>
      <c r="J1919" s="438"/>
      <c r="K1919" s="438"/>
      <c r="L1919" s="438"/>
      <c r="M1919" s="430">
        <v>0.5</v>
      </c>
      <c r="N1919" s="437">
        <v>254</v>
      </c>
      <c r="O1919" s="437">
        <f t="shared" si="27"/>
        <v>127</v>
      </c>
      <c r="P1919" s="544"/>
      <c r="Q1919" s="437"/>
      <c r="V1919" s="430">
        <v>1.075</v>
      </c>
      <c r="W1919" s="437">
        <v>297</v>
      </c>
      <c r="X1919" s="437">
        <f t="shared" si="28"/>
        <v>319.27499999999998</v>
      </c>
      <c r="Y1919" s="544"/>
    </row>
    <row r="1920" spans="1:25" s="430" customFormat="1" x14ac:dyDescent="0.2">
      <c r="A1920" s="364">
        <f t="shared" si="23"/>
        <v>23</v>
      </c>
      <c r="B1920" s="401"/>
      <c r="C1920" s="371" t="s">
        <v>1923</v>
      </c>
      <c r="D1920" s="384" t="s">
        <v>1964</v>
      </c>
      <c r="E1920" s="414">
        <v>3</v>
      </c>
      <c r="F1920" s="550">
        <v>82</v>
      </c>
      <c r="G1920" s="372">
        <f t="shared" si="22"/>
        <v>246</v>
      </c>
      <c r="H1920" s="438"/>
      <c r="I1920" s="438"/>
      <c r="J1920" s="430">
        <v>1.494</v>
      </c>
      <c r="K1920" s="438">
        <v>330</v>
      </c>
      <c r="L1920" s="438">
        <f>K1920*J1920</f>
        <v>493.02</v>
      </c>
      <c r="M1920" s="243">
        <f>SUM(M1912:M1919)</f>
        <v>4</v>
      </c>
      <c r="N1920" s="340"/>
      <c r="O1920" s="632">
        <f>SUM(O1912:O1919)</f>
        <v>1016</v>
      </c>
      <c r="P1920" s="544"/>
      <c r="Q1920" s="437"/>
      <c r="V1920" s="340" t="s">
        <v>8</v>
      </c>
      <c r="W1920" s="340"/>
      <c r="X1920" s="633" t="s">
        <v>8</v>
      </c>
      <c r="Y1920" s="544"/>
    </row>
    <row r="1921" spans="1:25" s="430" customFormat="1" x14ac:dyDescent="0.2">
      <c r="A1921" s="364">
        <f t="shared" si="23"/>
        <v>24</v>
      </c>
      <c r="B1921" s="401"/>
      <c r="C1921" s="371" t="s">
        <v>1923</v>
      </c>
      <c r="D1921" s="384" t="s">
        <v>2303</v>
      </c>
      <c r="E1921" s="414">
        <v>2.95</v>
      </c>
      <c r="F1921" s="550">
        <v>330</v>
      </c>
      <c r="G1921" s="372">
        <f t="shared" si="22"/>
        <v>973.50000000000011</v>
      </c>
      <c r="H1921" s="438"/>
      <c r="I1921" s="438"/>
      <c r="J1921" s="430">
        <v>1.456</v>
      </c>
      <c r="K1921" s="438">
        <v>330</v>
      </c>
      <c r="L1921" s="438">
        <f>K1921*J1921</f>
        <v>480.47999999999996</v>
      </c>
      <c r="M1921" s="438"/>
      <c r="O1921" s="437"/>
      <c r="P1921" s="544"/>
      <c r="Q1921" s="437"/>
      <c r="V1921" s="438"/>
      <c r="X1921" s="437"/>
      <c r="Y1921" s="544"/>
    </row>
    <row r="1922" spans="1:25" s="430" customFormat="1" x14ac:dyDescent="0.2">
      <c r="A1922" s="364">
        <f t="shared" si="23"/>
        <v>25</v>
      </c>
      <c r="B1922" s="401"/>
      <c r="C1922" s="371" t="s">
        <v>1923</v>
      </c>
      <c r="D1922" s="384" t="s">
        <v>1972</v>
      </c>
      <c r="E1922" s="635">
        <v>1.8560000000000001</v>
      </c>
      <c r="F1922" s="550">
        <v>270</v>
      </c>
      <c r="G1922" s="372">
        <f t="shared" si="22"/>
        <v>501.12</v>
      </c>
      <c r="H1922" s="438"/>
      <c r="I1922" s="438"/>
      <c r="J1922" s="243">
        <f>SUM(J1920:J1921)</f>
        <v>2.95</v>
      </c>
      <c r="K1922" s="243"/>
      <c r="L1922" s="243">
        <f>SUM(L1920:L1921)</f>
        <v>973.5</v>
      </c>
      <c r="M1922" s="430">
        <v>0.85499999999999998</v>
      </c>
      <c r="N1922" s="437">
        <v>297</v>
      </c>
      <c r="O1922" s="437">
        <f>N1922*M1922</f>
        <v>253.935</v>
      </c>
      <c r="P1922" s="544"/>
      <c r="Q1922" s="437"/>
      <c r="V1922" s="438"/>
      <c r="X1922" s="437"/>
      <c r="Y1922" s="544"/>
    </row>
    <row r="1923" spans="1:25" s="430" customFormat="1" x14ac:dyDescent="0.2">
      <c r="A1923" s="364">
        <f t="shared" si="23"/>
        <v>26</v>
      </c>
      <c r="B1923" s="401"/>
      <c r="C1923" s="371" t="s">
        <v>149</v>
      </c>
      <c r="D1923" s="376" t="s">
        <v>2304</v>
      </c>
      <c r="E1923" s="407">
        <v>3</v>
      </c>
      <c r="F1923" s="451">
        <v>197</v>
      </c>
      <c r="G1923" s="372">
        <f t="shared" si="22"/>
        <v>591</v>
      </c>
      <c r="H1923" s="438"/>
      <c r="I1923" s="438"/>
      <c r="J1923" s="438"/>
      <c r="K1923" s="438"/>
      <c r="L1923" s="438"/>
      <c r="M1923" s="430">
        <v>0.97499999999999998</v>
      </c>
      <c r="N1923" s="437">
        <v>297</v>
      </c>
      <c r="O1923" s="437">
        <f t="shared" ref="O1923:O1924" si="29">N1923*M1923</f>
        <v>289.57499999999999</v>
      </c>
      <c r="P1923" s="544"/>
      <c r="Q1923" s="437"/>
      <c r="V1923" s="438"/>
      <c r="X1923" s="437"/>
      <c r="Y1923" s="544"/>
    </row>
    <row r="1924" spans="1:25" s="430" customFormat="1" x14ac:dyDescent="0.2">
      <c r="A1924" s="364">
        <f t="shared" si="23"/>
        <v>27</v>
      </c>
      <c r="B1924" s="401"/>
      <c r="C1924" s="371" t="s">
        <v>1923</v>
      </c>
      <c r="D1924" s="376" t="s">
        <v>2305</v>
      </c>
      <c r="E1924" s="417">
        <v>1.0760000000000001</v>
      </c>
      <c r="F1924" s="451">
        <v>200</v>
      </c>
      <c r="G1924" s="372">
        <f t="shared" si="22"/>
        <v>215.20000000000002</v>
      </c>
      <c r="H1924" s="438"/>
      <c r="I1924" s="438"/>
      <c r="J1924" s="430">
        <v>0.6</v>
      </c>
      <c r="K1924" s="438">
        <v>270</v>
      </c>
      <c r="L1924" s="438">
        <f>K1924*J1924</f>
        <v>162</v>
      </c>
      <c r="M1924" s="430">
        <v>1.075</v>
      </c>
      <c r="N1924" s="437">
        <v>297</v>
      </c>
      <c r="O1924" s="437">
        <f t="shared" si="29"/>
        <v>319.27499999999998</v>
      </c>
      <c r="P1924" s="544"/>
      <c r="Q1924" s="437"/>
      <c r="V1924" s="438" t="s">
        <v>8</v>
      </c>
      <c r="X1924" s="437"/>
      <c r="Y1924" s="544"/>
    </row>
    <row r="1925" spans="1:25" s="430" customFormat="1" x14ac:dyDescent="0.2">
      <c r="A1925" s="364">
        <f t="shared" si="23"/>
        <v>28</v>
      </c>
      <c r="B1925" s="401"/>
      <c r="C1925" s="371" t="s">
        <v>176</v>
      </c>
      <c r="D1925" s="383" t="s">
        <v>2059</v>
      </c>
      <c r="E1925" s="409">
        <v>1</v>
      </c>
      <c r="F1925" s="451">
        <v>168.5</v>
      </c>
      <c r="G1925" s="372">
        <f t="shared" si="22"/>
        <v>168.5</v>
      </c>
      <c r="H1925" s="438"/>
      <c r="I1925" s="438"/>
      <c r="J1925" s="430">
        <v>0.65</v>
      </c>
      <c r="K1925" s="438">
        <v>270</v>
      </c>
      <c r="L1925" s="438">
        <f t="shared" ref="L1925:L1926" si="30">K1925*J1925</f>
        <v>175.5</v>
      </c>
      <c r="M1925" s="340">
        <f>SUM(M1922:M1924)</f>
        <v>2.9050000000000002</v>
      </c>
      <c r="N1925" s="340"/>
      <c r="O1925" s="633">
        <f>SUM(O1922:O1924)</f>
        <v>862.78499999999997</v>
      </c>
      <c r="P1925" s="544"/>
      <c r="Q1925" s="437"/>
      <c r="Y1925" s="544"/>
    </row>
    <row r="1926" spans="1:25" s="430" customFormat="1" x14ac:dyDescent="0.2">
      <c r="A1926" s="364">
        <f t="shared" si="23"/>
        <v>29</v>
      </c>
      <c r="B1926" s="401"/>
      <c r="C1926" s="371" t="s">
        <v>176</v>
      </c>
      <c r="D1926" s="384" t="s">
        <v>2306</v>
      </c>
      <c r="E1926" s="409">
        <v>1</v>
      </c>
      <c r="F1926" s="451">
        <v>136.75</v>
      </c>
      <c r="G1926" s="372">
        <f t="shared" si="22"/>
        <v>136.75</v>
      </c>
      <c r="H1926" s="438"/>
      <c r="I1926" s="438"/>
      <c r="J1926" s="430">
        <v>0.60599999999999998</v>
      </c>
      <c r="K1926" s="438">
        <v>270</v>
      </c>
      <c r="L1926" s="438">
        <f t="shared" si="30"/>
        <v>163.62</v>
      </c>
      <c r="M1926" s="438"/>
      <c r="O1926" s="437"/>
      <c r="P1926" s="544"/>
      <c r="Q1926" s="437"/>
      <c r="Y1926" s="544"/>
    </row>
    <row r="1927" spans="1:25" s="430" customFormat="1" x14ac:dyDescent="0.2">
      <c r="A1927" s="364">
        <f t="shared" si="23"/>
        <v>30</v>
      </c>
      <c r="B1927" s="401"/>
      <c r="C1927" s="371" t="s">
        <v>1938</v>
      </c>
      <c r="D1927" s="384" t="s">
        <v>2307</v>
      </c>
      <c r="E1927" s="423">
        <v>3</v>
      </c>
      <c r="F1927" s="551">
        <v>260</v>
      </c>
      <c r="G1927" s="372">
        <f t="shared" si="22"/>
        <v>780</v>
      </c>
      <c r="H1927" s="438"/>
      <c r="I1927" s="438"/>
      <c r="J1927" s="340">
        <f>SUM(J1924:J1926)</f>
        <v>1.8559999999999999</v>
      </c>
      <c r="K1927" s="243"/>
      <c r="L1927" s="243">
        <f>SUM(L1924:L1926)</f>
        <v>501.12</v>
      </c>
      <c r="M1927" s="438"/>
      <c r="O1927" s="437"/>
      <c r="P1927" s="544"/>
      <c r="Q1927" s="437"/>
      <c r="Y1927" s="544"/>
    </row>
    <row r="1928" spans="1:25" s="430" customFormat="1" x14ac:dyDescent="0.2">
      <c r="A1928" s="364">
        <f t="shared" si="23"/>
        <v>31</v>
      </c>
      <c r="B1928" s="401"/>
      <c r="C1928" s="371" t="s">
        <v>149</v>
      </c>
      <c r="D1928" s="376" t="s">
        <v>2308</v>
      </c>
      <c r="E1928" s="407">
        <v>4</v>
      </c>
      <c r="F1928" s="552">
        <v>65</v>
      </c>
      <c r="G1928" s="372">
        <f t="shared" si="22"/>
        <v>260</v>
      </c>
      <c r="H1928" s="438"/>
      <c r="I1928" s="438"/>
      <c r="J1928" s="438"/>
      <c r="K1928" s="438"/>
      <c r="L1928" s="438"/>
      <c r="M1928" s="438"/>
      <c r="O1928" s="437"/>
      <c r="P1928" s="544"/>
      <c r="Q1928" s="437"/>
      <c r="S1928" s="544">
        <f>Q1898+Q1903+Q1912+Q1913+Q1914+Q1917+Q1928</f>
        <v>0</v>
      </c>
      <c r="Y1928" s="544"/>
    </row>
    <row r="1929" spans="1:25" s="430" customFormat="1" x14ac:dyDescent="0.2">
      <c r="A1929" s="364">
        <f t="shared" si="23"/>
        <v>32</v>
      </c>
      <c r="B1929" s="401"/>
      <c r="C1929" s="371" t="s">
        <v>1923</v>
      </c>
      <c r="D1929" s="384" t="s">
        <v>1974</v>
      </c>
      <c r="E1929" s="407">
        <v>4</v>
      </c>
      <c r="F1929" s="406">
        <v>140</v>
      </c>
      <c r="G1929" s="372">
        <f t="shared" si="22"/>
        <v>560</v>
      </c>
      <c r="H1929" s="438">
        <f>SUM(G1914:G1929)</f>
        <v>5228.2199999999993</v>
      </c>
      <c r="I1929" s="438"/>
      <c r="J1929" s="438"/>
      <c r="K1929" s="438"/>
      <c r="L1929" s="438"/>
      <c r="M1929" s="438">
        <f>2.905*297</f>
        <v>862.78499999999997</v>
      </c>
      <c r="O1929" s="437"/>
      <c r="P1929" s="544">
        <f>G1898+O1909+O1920+O1925</f>
        <v>4279.1049999999996</v>
      </c>
      <c r="Y1929" s="544" t="s">
        <v>8</v>
      </c>
    </row>
    <row r="1930" spans="1:25" s="430" customFormat="1" x14ac:dyDescent="0.2">
      <c r="A1930" s="555"/>
      <c r="B1930" s="401"/>
      <c r="C1930" s="371"/>
      <c r="D1930" s="383" t="s">
        <v>8</v>
      </c>
      <c r="E1930" s="407"/>
      <c r="F1930" s="566"/>
      <c r="G1930" s="556"/>
      <c r="H1930" s="438"/>
      <c r="I1930" s="438"/>
      <c r="J1930" s="430">
        <v>0.34</v>
      </c>
      <c r="K1930" s="438">
        <v>200</v>
      </c>
      <c r="L1930" s="438">
        <f>K1930*J1930</f>
        <v>68</v>
      </c>
      <c r="M1930" s="438"/>
      <c r="O1930" s="437"/>
      <c r="P1930" s="544"/>
      <c r="Q1930" s="438"/>
    </row>
    <row r="1931" spans="1:25" s="430" customFormat="1" ht="13.5" thickBot="1" x14ac:dyDescent="0.25">
      <c r="A1931" s="553"/>
      <c r="B1931" s="427"/>
      <c r="C1931" s="428"/>
      <c r="D1931" s="428"/>
      <c r="E1931" s="427"/>
      <c r="F1931" s="49" t="s">
        <v>158</v>
      </c>
      <c r="G1931" s="210">
        <f>SUM(G1898:G1930)</f>
        <v>16895.925000000003</v>
      </c>
      <c r="H1931" s="243"/>
      <c r="I1931" s="243"/>
      <c r="J1931" s="430">
        <v>0.38200000000000001</v>
      </c>
      <c r="K1931" s="438">
        <v>200</v>
      </c>
      <c r="L1931" s="438">
        <f t="shared" ref="L1931:L1932" si="31">K1931*J1931</f>
        <v>76.400000000000006</v>
      </c>
      <c r="M1931" s="243"/>
      <c r="O1931" s="437"/>
    </row>
    <row r="1932" spans="1:25" s="430" customFormat="1" ht="13.5" thickTop="1" x14ac:dyDescent="0.2">
      <c r="A1932" s="875" t="s">
        <v>2292</v>
      </c>
      <c r="B1932" s="876"/>
      <c r="C1932" s="876"/>
      <c r="D1932" s="876"/>
      <c r="E1932" s="876"/>
      <c r="F1932" s="876"/>
      <c r="G1932" s="877"/>
      <c r="H1932" s="377"/>
      <c r="I1932" s="377"/>
      <c r="J1932" s="430">
        <v>0.35399999999999998</v>
      </c>
      <c r="K1932" s="636">
        <v>200</v>
      </c>
      <c r="L1932" s="438">
        <f t="shared" si="31"/>
        <v>70.8</v>
      </c>
      <c r="M1932" s="377"/>
      <c r="O1932" s="437"/>
      <c r="P1932" s="544"/>
    </row>
    <row r="1933" spans="1:25" s="430" customFormat="1" ht="13.5" thickBot="1" x14ac:dyDescent="0.25">
      <c r="A1933" s="378"/>
      <c r="B1933" s="374"/>
      <c r="C1933" s="374"/>
      <c r="D1933" s="379"/>
      <c r="E1933" s="374"/>
      <c r="F1933" s="380"/>
      <c r="G1933" s="381"/>
      <c r="J1933" s="340">
        <f>SUM(J1930:J1932)</f>
        <v>1.0760000000000001</v>
      </c>
      <c r="K1933" s="340"/>
      <c r="L1933" s="243">
        <f>SUM(L1930:L1932)</f>
        <v>215.2</v>
      </c>
      <c r="N1933" s="438"/>
    </row>
    <row r="1934" spans="1:25" s="430" customFormat="1" ht="13.5" thickTop="1" x14ac:dyDescent="0.2">
      <c r="A1934" s="878"/>
      <c r="B1934" s="879"/>
      <c r="C1934" s="879"/>
      <c r="D1934" s="433" t="s">
        <v>11</v>
      </c>
      <c r="E1934" s="880" t="s">
        <v>12</v>
      </c>
      <c r="F1934" s="880"/>
      <c r="G1934" s="881"/>
      <c r="H1934" s="386"/>
      <c r="I1934" s="386"/>
      <c r="J1934" s="386"/>
      <c r="K1934" s="386"/>
      <c r="L1934" s="386"/>
      <c r="M1934" s="626"/>
      <c r="N1934" s="438"/>
    </row>
    <row r="1935" spans="1:25" s="430" customFormat="1" x14ac:dyDescent="0.2">
      <c r="A1935" s="866" t="s">
        <v>17</v>
      </c>
      <c r="B1935" s="867"/>
      <c r="C1935" s="867"/>
      <c r="D1935" s="434"/>
      <c r="E1935" s="882"/>
      <c r="F1935" s="883"/>
      <c r="G1935" s="884"/>
      <c r="H1935" s="429"/>
      <c r="I1935" s="429"/>
      <c r="J1935" s="429"/>
      <c r="K1935" s="625"/>
      <c r="L1935" s="625"/>
      <c r="M1935" s="627"/>
      <c r="N1935" s="438"/>
    </row>
    <row r="1936" spans="1:25" s="430" customFormat="1" x14ac:dyDescent="0.2">
      <c r="A1936" s="866" t="s">
        <v>38</v>
      </c>
      <c r="B1936" s="867"/>
      <c r="C1936" s="867"/>
      <c r="D1936" s="73" t="s">
        <v>891</v>
      </c>
      <c r="E1936" s="868" t="s">
        <v>142</v>
      </c>
      <c r="F1936" s="868"/>
      <c r="G1936" s="869"/>
      <c r="H1936" s="1"/>
      <c r="I1936" s="1"/>
      <c r="J1936" s="1"/>
      <c r="K1936" s="386"/>
      <c r="L1936" s="386"/>
      <c r="M1936" s="626"/>
      <c r="N1936" s="438"/>
    </row>
    <row r="1937" spans="1:17" s="430" customFormat="1" ht="13.5" thickBot="1" x14ac:dyDescent="0.25">
      <c r="A1937" s="870" t="s">
        <v>39</v>
      </c>
      <c r="B1937" s="871"/>
      <c r="C1937" s="871"/>
      <c r="D1937" s="554" t="s">
        <v>892</v>
      </c>
      <c r="E1937" s="873" t="s">
        <v>0</v>
      </c>
      <c r="F1937" s="873"/>
      <c r="G1937" s="874"/>
      <c r="H1937" s="386"/>
      <c r="I1937" s="386"/>
      <c r="J1937" s="386"/>
      <c r="K1937" s="386"/>
      <c r="L1937" s="386"/>
      <c r="M1937" s="386"/>
    </row>
    <row r="1938" spans="1:17" s="430" customFormat="1" ht="16.5" x14ac:dyDescent="0.25">
      <c r="A1938" s="885" t="s">
        <v>29</v>
      </c>
      <c r="B1938" s="886"/>
      <c r="C1938" s="886"/>
      <c r="D1938" s="886"/>
      <c r="E1938" s="886"/>
      <c r="F1938" s="886"/>
      <c r="G1938" s="887"/>
      <c r="H1938" s="247"/>
      <c r="I1938" s="247"/>
      <c r="J1938" s="247"/>
      <c r="K1938" s="629"/>
      <c r="L1938" s="629"/>
      <c r="M1938" s="247"/>
      <c r="N1938" s="628"/>
    </row>
    <row r="1939" spans="1:17" s="430" customFormat="1" x14ac:dyDescent="0.2">
      <c r="A1939" s="888" t="s">
        <v>48</v>
      </c>
      <c r="B1939" s="889"/>
      <c r="C1939" s="889"/>
      <c r="D1939" s="889"/>
      <c r="E1939" s="889"/>
      <c r="F1939" s="889"/>
      <c r="G1939" s="890"/>
      <c r="H1939" s="246"/>
      <c r="I1939" s="246"/>
      <c r="J1939" s="246"/>
      <c r="K1939" s="246"/>
      <c r="L1939" s="246"/>
      <c r="M1939" s="246"/>
      <c r="N1939" s="429"/>
    </row>
    <row r="1940" spans="1:17" s="430" customFormat="1" x14ac:dyDescent="0.2">
      <c r="A1940" s="891" t="s">
        <v>49</v>
      </c>
      <c r="B1940" s="892"/>
      <c r="C1940" s="892"/>
      <c r="D1940" s="892"/>
      <c r="E1940" s="892"/>
      <c r="F1940" s="892"/>
      <c r="G1940" s="893"/>
      <c r="H1940" s="386"/>
      <c r="I1940" s="386"/>
      <c r="J1940" s="386"/>
      <c r="K1940" s="386"/>
      <c r="L1940" s="386"/>
      <c r="M1940" s="386"/>
      <c r="N1940" s="1"/>
    </row>
    <row r="1941" spans="1:17" s="430" customFormat="1" x14ac:dyDescent="0.2">
      <c r="A1941" s="387"/>
      <c r="B1941" s="388"/>
      <c r="C1941" s="389"/>
      <c r="D1941" s="390"/>
      <c r="E1941" s="388"/>
      <c r="F1941" s="391"/>
      <c r="G1941" s="392" t="s">
        <v>335</v>
      </c>
      <c r="H1941" s="548"/>
      <c r="I1941" s="548"/>
      <c r="J1941" s="548"/>
      <c r="K1941" s="548"/>
      <c r="L1941" s="548"/>
      <c r="M1941" s="548"/>
      <c r="N1941" s="386"/>
    </row>
    <row r="1942" spans="1:17" s="430" customFormat="1" ht="16.5" x14ac:dyDescent="0.25">
      <c r="A1942" s="393" t="s">
        <v>1</v>
      </c>
      <c r="B1942" s="394"/>
      <c r="C1942" s="14" t="s">
        <v>36</v>
      </c>
      <c r="D1942" s="394"/>
      <c r="E1942" s="362" t="s">
        <v>2340</v>
      </c>
      <c r="F1942" s="395"/>
      <c r="G1942" s="363" t="s">
        <v>2322</v>
      </c>
      <c r="N1942" s="247"/>
    </row>
    <row r="1943" spans="1:17" s="430" customFormat="1" x14ac:dyDescent="0.2">
      <c r="A1943" s="361" t="s">
        <v>8</v>
      </c>
      <c r="B1943" s="396"/>
      <c r="C1943" s="19"/>
      <c r="D1943" s="386"/>
      <c r="E1943" s="894"/>
      <c r="F1943" s="895"/>
      <c r="G1943" s="397"/>
      <c r="N1943" s="246"/>
    </row>
    <row r="1944" spans="1:17" s="430" customFormat="1" x14ac:dyDescent="0.2">
      <c r="A1944" s="373" t="s">
        <v>37</v>
      </c>
      <c r="B1944" s="377"/>
      <c r="C1944" s="377"/>
      <c r="D1944" s="377"/>
      <c r="E1944" s="398" t="s">
        <v>46</v>
      </c>
      <c r="F1944" s="399"/>
      <c r="G1944" s="397" t="s">
        <v>50</v>
      </c>
      <c r="N1944" s="386"/>
    </row>
    <row r="1945" spans="1:17" s="430" customFormat="1" x14ac:dyDescent="0.2">
      <c r="A1945" s="387"/>
      <c r="B1945" s="388"/>
      <c r="C1945" s="389"/>
      <c r="D1945" s="389"/>
      <c r="E1945" s="896"/>
      <c r="F1945" s="897"/>
      <c r="G1945" s="400"/>
      <c r="N1945" s="548"/>
    </row>
    <row r="1946" spans="1:17" s="430" customFormat="1" ht="26.25" thickBot="1" x14ac:dyDescent="0.25">
      <c r="A1946" s="207" t="s">
        <v>47</v>
      </c>
      <c r="B1946" s="28" t="s">
        <v>23</v>
      </c>
      <c r="C1946" s="28" t="s">
        <v>34</v>
      </c>
      <c r="D1946" s="110" t="s">
        <v>53</v>
      </c>
      <c r="E1946" s="114" t="s">
        <v>54</v>
      </c>
      <c r="F1946" s="111" t="s">
        <v>55</v>
      </c>
      <c r="G1946" s="112" t="s">
        <v>35</v>
      </c>
      <c r="H1946" s="249"/>
      <c r="I1946" s="249" t="s">
        <v>150</v>
      </c>
      <c r="J1946" s="249"/>
      <c r="K1946" s="249"/>
      <c r="L1946" s="249"/>
      <c r="M1946" s="249"/>
    </row>
    <row r="1947" spans="1:17" s="430" customFormat="1" ht="13.5" thickTop="1" x14ac:dyDescent="0.2">
      <c r="A1947" s="364"/>
      <c r="B1947" s="408"/>
      <c r="C1947" s="371"/>
      <c r="D1947" s="202" t="s">
        <v>160</v>
      </c>
      <c r="E1947" s="409"/>
      <c r="F1947" s="451"/>
      <c r="G1947" s="200">
        <f>G1931</f>
        <v>16895.925000000003</v>
      </c>
      <c r="H1947" s="243"/>
      <c r="I1947" s="243"/>
      <c r="J1947" s="243"/>
      <c r="K1947" s="243"/>
      <c r="L1947" s="243"/>
      <c r="M1947" s="243"/>
    </row>
    <row r="1948" spans="1:17" s="430" customFormat="1" x14ac:dyDescent="0.2">
      <c r="A1948" s="364">
        <v>33</v>
      </c>
      <c r="B1948" s="408"/>
      <c r="C1948" s="371" t="s">
        <v>1923</v>
      </c>
      <c r="D1948" s="384" t="s">
        <v>1939</v>
      </c>
      <c r="E1948" s="409">
        <v>6</v>
      </c>
      <c r="F1948" s="451">
        <v>115</v>
      </c>
      <c r="G1948" s="372">
        <f t="shared" ref="G1948:G1954" si="32">F1948*E1948</f>
        <v>690</v>
      </c>
      <c r="H1948" s="438"/>
      <c r="I1948" s="438"/>
      <c r="J1948" s="438"/>
      <c r="K1948" s="438"/>
      <c r="L1948" s="438"/>
      <c r="M1948" s="438"/>
    </row>
    <row r="1949" spans="1:17" s="430" customFormat="1" x14ac:dyDescent="0.2">
      <c r="A1949" s="364">
        <f>A1948+1</f>
        <v>34</v>
      </c>
      <c r="B1949" s="408"/>
      <c r="C1949" s="371" t="s">
        <v>1923</v>
      </c>
      <c r="D1949" s="383" t="s">
        <v>1944</v>
      </c>
      <c r="E1949" s="409">
        <v>2</v>
      </c>
      <c r="F1949" s="451">
        <v>120</v>
      </c>
      <c r="G1949" s="372">
        <f t="shared" si="32"/>
        <v>240</v>
      </c>
      <c r="H1949" s="438"/>
      <c r="I1949" s="438"/>
      <c r="J1949" s="438"/>
      <c r="K1949" s="438"/>
      <c r="L1949" s="438"/>
      <c r="M1949" s="438"/>
    </row>
    <row r="1950" spans="1:17" s="430" customFormat="1" x14ac:dyDescent="0.2">
      <c r="A1950" s="364">
        <f t="shared" ref="A1950:A1956" si="33">A1949+1</f>
        <v>35</v>
      </c>
      <c r="B1950" s="408"/>
      <c r="C1950" s="371" t="s">
        <v>1923</v>
      </c>
      <c r="D1950" s="376" t="s">
        <v>1940</v>
      </c>
      <c r="E1950" s="409">
        <v>2</v>
      </c>
      <c r="F1950" s="451">
        <v>110</v>
      </c>
      <c r="G1950" s="372">
        <f t="shared" si="32"/>
        <v>220</v>
      </c>
      <c r="H1950" s="438"/>
      <c r="I1950" s="438"/>
      <c r="J1950" s="438"/>
      <c r="K1950" s="243"/>
      <c r="L1950" s="243"/>
      <c r="M1950" s="438"/>
      <c r="N1950" s="249"/>
    </row>
    <row r="1951" spans="1:17" s="430" customFormat="1" x14ac:dyDescent="0.2">
      <c r="A1951" s="364">
        <f t="shared" si="33"/>
        <v>36</v>
      </c>
      <c r="B1951" s="408"/>
      <c r="C1951" s="371" t="s">
        <v>1923</v>
      </c>
      <c r="D1951" s="376" t="s">
        <v>1942</v>
      </c>
      <c r="E1951" s="407">
        <v>6</v>
      </c>
      <c r="F1951" s="549">
        <v>90</v>
      </c>
      <c r="G1951" s="372">
        <f t="shared" si="32"/>
        <v>540</v>
      </c>
      <c r="H1951" s="438"/>
      <c r="I1951" s="438"/>
      <c r="J1951" s="438"/>
      <c r="K1951" s="438"/>
      <c r="L1951" s="438"/>
      <c r="M1951" s="438"/>
      <c r="N1951" s="243"/>
    </row>
    <row r="1952" spans="1:17" s="430" customFormat="1" x14ac:dyDescent="0.2">
      <c r="A1952" s="364">
        <f t="shared" si="33"/>
        <v>37</v>
      </c>
      <c r="B1952" s="408"/>
      <c r="C1952" s="371" t="s">
        <v>1923</v>
      </c>
      <c r="D1952" s="376" t="s">
        <v>191</v>
      </c>
      <c r="E1952" s="409">
        <v>4</v>
      </c>
      <c r="F1952" s="451">
        <v>85</v>
      </c>
      <c r="G1952" s="372">
        <f t="shared" si="32"/>
        <v>340</v>
      </c>
      <c r="H1952" s="438"/>
      <c r="I1952" s="438"/>
      <c r="J1952" s="438"/>
      <c r="K1952" s="438"/>
      <c r="L1952" s="438"/>
      <c r="M1952" s="438"/>
      <c r="N1952" s="438"/>
      <c r="Q1952" s="544"/>
    </row>
    <row r="1953" spans="1:17" s="430" customFormat="1" x14ac:dyDescent="0.2">
      <c r="A1953" s="364">
        <f t="shared" si="33"/>
        <v>38</v>
      </c>
      <c r="B1953" s="410"/>
      <c r="C1953" s="371" t="s">
        <v>1923</v>
      </c>
      <c r="D1953" s="376" t="s">
        <v>1941</v>
      </c>
      <c r="E1953" s="409">
        <v>2</v>
      </c>
      <c r="F1953" s="451">
        <v>100</v>
      </c>
      <c r="G1953" s="372">
        <f t="shared" si="32"/>
        <v>200</v>
      </c>
      <c r="H1953" s="438"/>
      <c r="I1953" s="438"/>
      <c r="J1953" s="438"/>
      <c r="K1953" s="438"/>
      <c r="L1953" s="438"/>
      <c r="M1953" s="438"/>
      <c r="N1953" s="438"/>
      <c r="Q1953" s="544"/>
    </row>
    <row r="1954" spans="1:17" s="430" customFormat="1" x14ac:dyDescent="0.2">
      <c r="A1954" s="364">
        <f t="shared" si="33"/>
        <v>39</v>
      </c>
      <c r="B1954" s="401"/>
      <c r="C1954" s="371" t="s">
        <v>1923</v>
      </c>
      <c r="D1954" s="383" t="s">
        <v>1943</v>
      </c>
      <c r="E1954" s="409">
        <v>3</v>
      </c>
      <c r="F1954" s="451">
        <v>140</v>
      </c>
      <c r="G1954" s="372">
        <f t="shared" si="32"/>
        <v>420</v>
      </c>
      <c r="H1954" s="438"/>
      <c r="I1954" s="438"/>
      <c r="J1954" s="438"/>
      <c r="K1954" s="438"/>
      <c r="L1954" s="438"/>
      <c r="M1954" s="243"/>
      <c r="N1954" s="438"/>
      <c r="Q1954" s="544"/>
    </row>
    <row r="1955" spans="1:17" s="430" customFormat="1" x14ac:dyDescent="0.2">
      <c r="A1955" s="364">
        <f t="shared" si="33"/>
        <v>40</v>
      </c>
      <c r="B1955" s="413"/>
      <c r="C1955" s="371" t="s">
        <v>1923</v>
      </c>
      <c r="D1955" s="383" t="s">
        <v>1977</v>
      </c>
      <c r="E1955" s="407">
        <v>2</v>
      </c>
      <c r="F1955" s="549">
        <v>110</v>
      </c>
      <c r="G1955" s="372">
        <f>F1955*E1955</f>
        <v>220</v>
      </c>
      <c r="H1955" s="438"/>
      <c r="I1955" s="438"/>
      <c r="J1955" s="438"/>
      <c r="K1955" s="438"/>
      <c r="L1955" s="438"/>
      <c r="M1955" s="438"/>
      <c r="N1955" s="438"/>
      <c r="Q1955" s="544"/>
    </row>
    <row r="1956" spans="1:17" s="430" customFormat="1" x14ac:dyDescent="0.2">
      <c r="A1956" s="364">
        <f t="shared" si="33"/>
        <v>41</v>
      </c>
      <c r="B1956" s="413"/>
      <c r="C1956" s="371" t="s">
        <v>1923</v>
      </c>
      <c r="D1956" s="383" t="s">
        <v>2309</v>
      </c>
      <c r="E1956" s="414">
        <v>3.9009999999999998</v>
      </c>
      <c r="F1956" s="451">
        <v>60</v>
      </c>
      <c r="G1956" s="372">
        <f t="shared" ref="G1956" si="34">F1956*E1956</f>
        <v>234.06</v>
      </c>
      <c r="H1956" s="438">
        <f>SUM(G1948:G1956)</f>
        <v>3104.06</v>
      </c>
      <c r="I1956" s="438">
        <f>H1929+H1956</f>
        <v>8332.2799999999988</v>
      </c>
      <c r="J1956" s="438"/>
      <c r="K1956" s="438"/>
      <c r="L1956" s="438"/>
      <c r="M1956" s="438"/>
      <c r="N1956" s="438"/>
      <c r="P1956" s="437"/>
    </row>
    <row r="1957" spans="1:17" s="430" customFormat="1" x14ac:dyDescent="0.2">
      <c r="A1957" s="364"/>
      <c r="B1957" s="416"/>
      <c r="C1957" s="371"/>
      <c r="D1957" s="376"/>
      <c r="E1957" s="414"/>
      <c r="F1957" s="451" t="s">
        <v>152</v>
      </c>
      <c r="G1957" s="372"/>
      <c r="H1957" s="438"/>
      <c r="I1957" s="438"/>
      <c r="J1957" s="438"/>
      <c r="K1957" s="438"/>
      <c r="L1957" s="438"/>
      <c r="M1957" s="438"/>
      <c r="N1957" s="438"/>
      <c r="P1957" s="437"/>
    </row>
    <row r="1958" spans="1:17" s="430" customFormat="1" x14ac:dyDescent="0.2">
      <c r="A1958" s="364"/>
      <c r="B1958" s="416"/>
      <c r="C1958" s="371"/>
      <c r="D1958" s="376"/>
      <c r="E1958" s="414"/>
      <c r="F1958" s="451"/>
      <c r="G1958" s="372"/>
      <c r="H1958" s="438"/>
      <c r="I1958" s="438"/>
      <c r="J1958" s="438"/>
      <c r="K1958" s="438"/>
      <c r="L1958" s="438"/>
      <c r="M1958" s="438"/>
      <c r="N1958" s="438"/>
      <c r="P1958" s="437"/>
    </row>
    <row r="1959" spans="1:17" s="430" customFormat="1" x14ac:dyDescent="0.2">
      <c r="A1959" s="364"/>
      <c r="B1959" s="416"/>
      <c r="C1959" s="371"/>
      <c r="D1959" s="376"/>
      <c r="E1959" s="417"/>
      <c r="F1959" s="451"/>
      <c r="G1959" s="372"/>
      <c r="H1959" s="438"/>
      <c r="I1959" s="438"/>
      <c r="J1959" s="438"/>
      <c r="K1959" s="438"/>
      <c r="L1959" s="438"/>
      <c r="M1959" s="438"/>
      <c r="N1959" s="438"/>
    </row>
    <row r="1960" spans="1:17" s="430" customFormat="1" x14ac:dyDescent="0.2">
      <c r="A1960" s="364"/>
      <c r="B1960" s="401"/>
      <c r="C1960" s="371"/>
      <c r="D1960" s="384"/>
      <c r="E1960" s="417"/>
      <c r="F1960" s="451"/>
      <c r="G1960" s="372"/>
      <c r="H1960" s="438"/>
      <c r="I1960" s="438"/>
      <c r="J1960" s="438"/>
      <c r="K1960" s="438"/>
      <c r="L1960" s="438"/>
      <c r="M1960" s="438"/>
      <c r="N1960" s="438"/>
    </row>
    <row r="1961" spans="1:17" s="430" customFormat="1" x14ac:dyDescent="0.2">
      <c r="A1961" s="364"/>
      <c r="B1961" s="401"/>
      <c r="C1961" s="371"/>
      <c r="D1961" s="384"/>
      <c r="E1961" s="417"/>
      <c r="F1961" s="451"/>
      <c r="G1961" s="372"/>
      <c r="H1961" s="438"/>
      <c r="I1961" s="438"/>
      <c r="J1961" s="438"/>
      <c r="K1961" s="438"/>
      <c r="L1961" s="438"/>
      <c r="M1961" s="438"/>
      <c r="N1961" s="438"/>
    </row>
    <row r="1962" spans="1:17" s="430" customFormat="1" x14ac:dyDescent="0.2">
      <c r="A1962" s="364"/>
      <c r="B1962" s="408"/>
      <c r="C1962" s="371"/>
      <c r="D1962" s="384"/>
      <c r="E1962" s="407"/>
      <c r="F1962" s="451"/>
      <c r="G1962" s="372"/>
      <c r="H1962" s="438"/>
      <c r="I1962" s="438"/>
      <c r="J1962" s="438"/>
      <c r="K1962" s="438"/>
      <c r="L1962" s="438"/>
      <c r="M1962" s="438"/>
      <c r="N1962" s="438"/>
    </row>
    <row r="1963" spans="1:17" s="430" customFormat="1" x14ac:dyDescent="0.2">
      <c r="A1963" s="364"/>
      <c r="B1963" s="408"/>
      <c r="C1963" s="371"/>
      <c r="D1963" s="383"/>
      <c r="E1963" s="417"/>
      <c r="F1963" s="451"/>
      <c r="G1963" s="372"/>
      <c r="H1963" s="438"/>
      <c r="I1963" s="438"/>
      <c r="J1963" s="438"/>
      <c r="K1963" s="438"/>
      <c r="L1963" s="438"/>
      <c r="M1963" s="438"/>
      <c r="N1963" s="438"/>
    </row>
    <row r="1964" spans="1:17" s="430" customFormat="1" x14ac:dyDescent="0.2">
      <c r="A1964" s="364"/>
      <c r="B1964" s="408"/>
      <c r="C1964" s="371"/>
      <c r="D1964" s="384"/>
      <c r="E1964" s="414"/>
      <c r="F1964" s="550"/>
      <c r="G1964" s="372"/>
      <c r="H1964" s="438"/>
      <c r="I1964" s="438"/>
      <c r="J1964" s="438"/>
      <c r="K1964" s="438"/>
      <c r="L1964" s="438"/>
      <c r="M1964" s="438"/>
      <c r="N1964" s="438"/>
    </row>
    <row r="1965" spans="1:17" s="430" customFormat="1" x14ac:dyDescent="0.2">
      <c r="A1965" s="364"/>
      <c r="B1965" s="401"/>
      <c r="C1965" s="371"/>
      <c r="D1965" s="384"/>
      <c r="E1965" s="414"/>
      <c r="F1965" s="550"/>
      <c r="G1965" s="372"/>
      <c r="H1965" s="438"/>
      <c r="I1965" s="438"/>
      <c r="J1965" s="438"/>
      <c r="K1965" s="438"/>
      <c r="L1965" s="438"/>
      <c r="M1965" s="438"/>
      <c r="N1965" s="438"/>
    </row>
    <row r="1966" spans="1:17" s="430" customFormat="1" x14ac:dyDescent="0.2">
      <c r="A1966" s="364"/>
      <c r="B1966" s="401"/>
      <c r="C1966" s="371"/>
      <c r="D1966" s="376"/>
      <c r="E1966" s="414"/>
      <c r="F1966" s="550"/>
      <c r="G1966" s="372"/>
      <c r="H1966" s="438"/>
      <c r="I1966" s="438"/>
      <c r="J1966" s="438"/>
      <c r="K1966" s="438"/>
      <c r="L1966" s="438"/>
      <c r="M1966" s="438"/>
      <c r="N1966" s="438"/>
    </row>
    <row r="1967" spans="1:17" s="430" customFormat="1" x14ac:dyDescent="0.2">
      <c r="A1967" s="364"/>
      <c r="B1967" s="401"/>
      <c r="C1967" s="371"/>
      <c r="D1967" s="376"/>
      <c r="E1967" s="414"/>
      <c r="F1967" s="550"/>
      <c r="G1967" s="372"/>
      <c r="H1967" s="438"/>
      <c r="I1967" s="438"/>
      <c r="J1967" s="438"/>
      <c r="K1967" s="438"/>
      <c r="L1967" s="438"/>
      <c r="M1967" s="438"/>
      <c r="N1967" s="438"/>
    </row>
    <row r="1968" spans="1:17" s="430" customFormat="1" x14ac:dyDescent="0.2">
      <c r="A1968" s="364"/>
      <c r="B1968" s="401"/>
      <c r="C1968" s="371"/>
      <c r="D1968" s="376"/>
      <c r="E1968" s="414"/>
      <c r="F1968" s="550"/>
      <c r="G1968" s="372"/>
      <c r="H1968" s="438"/>
      <c r="I1968" s="438"/>
      <c r="J1968" s="438"/>
      <c r="K1968" s="438"/>
      <c r="L1968" s="438"/>
      <c r="M1968" s="438"/>
      <c r="N1968" s="438"/>
    </row>
    <row r="1969" spans="1:24" s="430" customFormat="1" x14ac:dyDescent="0.2">
      <c r="A1969" s="364"/>
      <c r="B1969" s="401"/>
      <c r="C1969" s="371"/>
      <c r="D1969" s="384"/>
      <c r="E1969" s="414"/>
      <c r="F1969" s="550"/>
      <c r="G1969" s="372"/>
      <c r="H1969" s="438"/>
      <c r="I1969" s="438"/>
      <c r="J1969" s="438"/>
      <c r="K1969" s="438" t="s">
        <v>150</v>
      </c>
      <c r="L1969" s="438"/>
      <c r="M1969" s="438"/>
      <c r="N1969" s="438"/>
    </row>
    <row r="1970" spans="1:24" s="430" customFormat="1" x14ac:dyDescent="0.2">
      <c r="A1970" s="364"/>
      <c r="B1970" s="401"/>
      <c r="C1970" s="371"/>
      <c r="D1970" s="384"/>
      <c r="E1970" s="414"/>
      <c r="F1970" s="550"/>
      <c r="G1970" s="372"/>
      <c r="H1970" s="438"/>
      <c r="I1970" s="438"/>
      <c r="J1970" s="438"/>
      <c r="K1970" s="438"/>
      <c r="L1970" s="438"/>
      <c r="M1970" s="438"/>
      <c r="N1970" s="438"/>
    </row>
    <row r="1971" spans="1:24" s="430" customFormat="1" x14ac:dyDescent="0.2">
      <c r="A1971" s="364"/>
      <c r="B1971" s="401"/>
      <c r="C1971" s="371"/>
      <c r="D1971" s="384"/>
      <c r="E1971" s="414"/>
      <c r="F1971" s="550"/>
      <c r="G1971" s="372"/>
      <c r="H1971" s="438"/>
      <c r="I1971" s="438"/>
      <c r="J1971" s="438"/>
      <c r="K1971" s="438"/>
      <c r="L1971" s="438"/>
      <c r="M1971" s="438"/>
      <c r="N1971" s="438"/>
    </row>
    <row r="1972" spans="1:24" s="430" customFormat="1" x14ac:dyDescent="0.2">
      <c r="A1972" s="364"/>
      <c r="B1972" s="401"/>
      <c r="C1972" s="371"/>
      <c r="D1972" s="384"/>
      <c r="E1972" s="414"/>
      <c r="F1972" s="550"/>
      <c r="G1972" s="372"/>
      <c r="H1972" s="438"/>
      <c r="I1972" s="438"/>
      <c r="J1972" s="438"/>
      <c r="K1972" s="438"/>
      <c r="L1972" s="438"/>
      <c r="M1972" s="438"/>
      <c r="N1972" s="438"/>
    </row>
    <row r="1973" spans="1:24" s="430" customFormat="1" x14ac:dyDescent="0.2">
      <c r="A1973" s="364"/>
      <c r="B1973" s="401"/>
      <c r="C1973" s="371"/>
      <c r="D1973" s="384"/>
      <c r="E1973" s="414"/>
      <c r="F1973" s="550"/>
      <c r="G1973" s="372"/>
      <c r="H1973" s="438"/>
      <c r="I1973" s="438"/>
      <c r="J1973" s="438"/>
      <c r="K1973" s="438"/>
      <c r="L1973" s="438"/>
      <c r="M1973" s="438"/>
      <c r="N1973" s="438"/>
    </row>
    <row r="1974" spans="1:24" s="430" customFormat="1" x14ac:dyDescent="0.2">
      <c r="A1974" s="364"/>
      <c r="B1974" s="401"/>
      <c r="C1974" s="371"/>
      <c r="D1974" s="376"/>
      <c r="E1974" s="407"/>
      <c r="F1974" s="451"/>
      <c r="G1974" s="372"/>
      <c r="H1974" s="438"/>
      <c r="I1974" s="438"/>
      <c r="J1974" s="438"/>
      <c r="K1974" s="438"/>
      <c r="L1974" s="438"/>
      <c r="M1974" s="438"/>
      <c r="N1974" s="438"/>
    </row>
    <row r="1975" spans="1:24" s="430" customFormat="1" x14ac:dyDescent="0.2">
      <c r="A1975" s="364"/>
      <c r="B1975" s="401"/>
      <c r="C1975" s="371"/>
      <c r="D1975" s="383"/>
      <c r="E1975" s="409"/>
      <c r="F1975" s="451"/>
      <c r="G1975" s="372"/>
      <c r="H1975" s="438"/>
      <c r="I1975" s="438"/>
      <c r="J1975" s="438"/>
      <c r="K1975" s="438"/>
      <c r="L1975" s="438"/>
      <c r="M1975" s="438"/>
      <c r="N1975" s="438"/>
    </row>
    <row r="1976" spans="1:24" s="430" customFormat="1" x14ac:dyDescent="0.2">
      <c r="A1976" s="364"/>
      <c r="B1976" s="401"/>
      <c r="C1976" s="371"/>
      <c r="D1976" s="419"/>
      <c r="E1976" s="409"/>
      <c r="F1976" s="451"/>
      <c r="G1976" s="372"/>
      <c r="H1976" s="438"/>
      <c r="I1976" s="438"/>
      <c r="J1976" s="438"/>
      <c r="K1976" s="438"/>
      <c r="L1976" s="438"/>
      <c r="M1976" s="438"/>
      <c r="N1976" s="438"/>
    </row>
    <row r="1977" spans="1:24" s="430" customFormat="1" x14ac:dyDescent="0.2">
      <c r="A1977" s="364"/>
      <c r="B1977" s="401"/>
      <c r="C1977" s="422"/>
      <c r="D1977" s="419"/>
      <c r="E1977" s="423"/>
      <c r="F1977" s="551"/>
      <c r="G1977" s="372"/>
      <c r="H1977" s="438"/>
      <c r="I1977" s="438"/>
      <c r="J1977" s="438"/>
      <c r="K1977" s="438"/>
      <c r="L1977" s="438"/>
      <c r="M1977" s="438"/>
      <c r="N1977" s="438"/>
    </row>
    <row r="1978" spans="1:24" s="430" customFormat="1" x14ac:dyDescent="0.2">
      <c r="A1978" s="364"/>
      <c r="B1978" s="401"/>
      <c r="C1978" s="371"/>
      <c r="D1978" s="425"/>
      <c r="E1978" s="407"/>
      <c r="F1978" s="552"/>
      <c r="G1978" s="372"/>
      <c r="H1978" s="438"/>
      <c r="I1978" s="438"/>
      <c r="J1978" s="438"/>
      <c r="K1978" s="438"/>
      <c r="L1978" s="438"/>
      <c r="M1978" s="438"/>
      <c r="N1978" s="438"/>
    </row>
    <row r="1979" spans="1:24" s="430" customFormat="1" x14ac:dyDescent="0.2">
      <c r="A1979" s="555"/>
      <c r="B1979" s="401"/>
      <c r="C1979" s="371"/>
      <c r="D1979" s="383"/>
      <c r="E1979" s="407"/>
      <c r="F1979" s="406"/>
      <c r="G1979" s="556">
        <v>0.01</v>
      </c>
      <c r="H1979" s="542"/>
      <c r="I1979" s="542"/>
      <c r="J1979" s="542"/>
      <c r="K1979" s="542"/>
      <c r="L1979" s="542"/>
      <c r="M1979" s="542"/>
      <c r="N1979" s="438"/>
    </row>
    <row r="1980" spans="1:24" s="430" customFormat="1" ht="13.5" thickBot="1" x14ac:dyDescent="0.25">
      <c r="A1980" s="553"/>
      <c r="B1980" s="427"/>
      <c r="C1980" s="428"/>
      <c r="D1980" s="428"/>
      <c r="E1980" s="427"/>
      <c r="F1980" s="49" t="s">
        <v>15</v>
      </c>
      <c r="G1980" s="210">
        <f>SUM(G1947:G1979)</f>
        <v>19999.995000000003</v>
      </c>
      <c r="H1980" s="243"/>
      <c r="I1980" s="243"/>
      <c r="J1980" s="243"/>
      <c r="K1980" s="243"/>
      <c r="L1980" s="243"/>
      <c r="M1980" s="243"/>
      <c r="N1980" s="438"/>
    </row>
    <row r="1981" spans="1:24" s="430" customFormat="1" ht="13.5" thickTop="1" x14ac:dyDescent="0.2">
      <c r="A1981" s="875" t="s">
        <v>2292</v>
      </c>
      <c r="B1981" s="876"/>
      <c r="C1981" s="876"/>
      <c r="D1981" s="876"/>
      <c r="E1981" s="876"/>
      <c r="F1981" s="876"/>
      <c r="G1981" s="877"/>
      <c r="H1981" s="377"/>
      <c r="I1981" s="377"/>
      <c r="J1981" s="377"/>
      <c r="K1981" s="377"/>
      <c r="L1981" s="377"/>
      <c r="M1981" s="377"/>
      <c r="N1981" s="438"/>
    </row>
    <row r="1982" spans="1:24" s="430" customFormat="1" ht="13.5" thickBot="1" x14ac:dyDescent="0.25">
      <c r="A1982" s="378"/>
      <c r="B1982" s="374"/>
      <c r="C1982" s="374"/>
      <c r="D1982" s="379"/>
      <c r="E1982" s="374"/>
      <c r="F1982" s="380"/>
      <c r="G1982" s="381"/>
      <c r="N1982" s="438"/>
      <c r="V1982" s="2"/>
      <c r="W1982" s="2"/>
      <c r="X1982" s="2"/>
    </row>
    <row r="1983" spans="1:24" s="430" customFormat="1" ht="13.5" thickTop="1" x14ac:dyDescent="0.2">
      <c r="A1983" s="878"/>
      <c r="B1983" s="879"/>
      <c r="C1983" s="879"/>
      <c r="D1983" s="433" t="s">
        <v>11</v>
      </c>
      <c r="E1983" s="880" t="s">
        <v>12</v>
      </c>
      <c r="F1983" s="880"/>
      <c r="G1983" s="881"/>
      <c r="H1983" s="386"/>
      <c r="I1983" s="386"/>
      <c r="J1983" s="386"/>
      <c r="K1983" s="386"/>
      <c r="L1983" s="386"/>
      <c r="M1983" s="386"/>
      <c r="N1983" s="542"/>
      <c r="V1983" s="2"/>
      <c r="W1983" s="2"/>
      <c r="X1983" s="2"/>
    </row>
    <row r="1984" spans="1:24" s="430" customFormat="1" x14ac:dyDescent="0.2">
      <c r="A1984" s="866" t="s">
        <v>17</v>
      </c>
      <c r="B1984" s="867"/>
      <c r="C1984" s="867"/>
      <c r="D1984" s="434"/>
      <c r="E1984" s="882"/>
      <c r="F1984" s="883"/>
      <c r="G1984" s="884"/>
      <c r="H1984" s="429"/>
      <c r="I1984" s="429"/>
      <c r="J1984" s="429"/>
      <c r="K1984" s="429"/>
      <c r="L1984" s="429"/>
      <c r="M1984" s="429"/>
      <c r="N1984" s="243"/>
      <c r="V1984" s="2"/>
      <c r="W1984" s="2"/>
      <c r="X1984" s="2"/>
    </row>
    <row r="1985" spans="1:24" s="430" customFormat="1" x14ac:dyDescent="0.2">
      <c r="A1985" s="866" t="s">
        <v>38</v>
      </c>
      <c r="B1985" s="867"/>
      <c r="C1985" s="867"/>
      <c r="D1985" s="73" t="s">
        <v>891</v>
      </c>
      <c r="E1985" s="868" t="s">
        <v>142</v>
      </c>
      <c r="F1985" s="868"/>
      <c r="G1985" s="869"/>
      <c r="H1985" s="1"/>
      <c r="I1985" s="1"/>
      <c r="J1985" s="1"/>
      <c r="K1985" s="1"/>
      <c r="L1985" s="1"/>
      <c r="M1985" s="1"/>
      <c r="N1985" s="377"/>
      <c r="V1985" s="2"/>
      <c r="W1985" s="2"/>
      <c r="X1985" s="2"/>
    </row>
    <row r="1986" spans="1:24" s="430" customFormat="1" ht="13.5" thickBot="1" x14ac:dyDescent="0.25">
      <c r="A1986" s="870" t="s">
        <v>39</v>
      </c>
      <c r="B1986" s="871"/>
      <c r="C1986" s="871"/>
      <c r="D1986" s="554" t="s">
        <v>892</v>
      </c>
      <c r="E1986" s="873" t="s">
        <v>0</v>
      </c>
      <c r="F1986" s="873"/>
      <c r="G1986" s="874"/>
      <c r="H1986" s="386"/>
      <c r="I1986" s="386"/>
      <c r="J1986" s="386"/>
      <c r="K1986" s="386"/>
      <c r="L1986" s="386"/>
      <c r="M1986" s="386"/>
      <c r="V1986" s="2"/>
      <c r="W1986" s="2"/>
      <c r="X1986" s="2"/>
    </row>
    <row r="1987" spans="1:24" ht="16.5" x14ac:dyDescent="0.25">
      <c r="A1987" s="885" t="s">
        <v>29</v>
      </c>
      <c r="B1987" s="886"/>
      <c r="C1987" s="886"/>
      <c r="D1987" s="886"/>
      <c r="E1987" s="886"/>
      <c r="F1987" s="886"/>
      <c r="G1987" s="887"/>
    </row>
    <row r="1988" spans="1:24" x14ac:dyDescent="0.2">
      <c r="A1988" s="888" t="s">
        <v>48</v>
      </c>
      <c r="B1988" s="889"/>
      <c r="C1988" s="889"/>
      <c r="D1988" s="889"/>
      <c r="E1988" s="889"/>
      <c r="F1988" s="889"/>
      <c r="G1988" s="890"/>
    </row>
    <row r="1989" spans="1:24" x14ac:dyDescent="0.2">
      <c r="A1989" s="891" t="s">
        <v>49</v>
      </c>
      <c r="B1989" s="892"/>
      <c r="C1989" s="892"/>
      <c r="D1989" s="892"/>
      <c r="E1989" s="892"/>
      <c r="F1989" s="892"/>
      <c r="G1989" s="893"/>
    </row>
    <row r="1990" spans="1:24" x14ac:dyDescent="0.2">
      <c r="A1990" s="387"/>
      <c r="B1990" s="388"/>
      <c r="C1990" s="389"/>
      <c r="D1990" s="390"/>
      <c r="E1990" s="388"/>
      <c r="F1990" s="391"/>
      <c r="G1990" s="392" t="s">
        <v>334</v>
      </c>
    </row>
    <row r="1991" spans="1:24" x14ac:dyDescent="0.2">
      <c r="A1991" s="393" t="s">
        <v>1</v>
      </c>
      <c r="B1991" s="394"/>
      <c r="C1991" s="14" t="s">
        <v>36</v>
      </c>
      <c r="D1991" s="394"/>
      <c r="E1991" s="362" t="s">
        <v>2709</v>
      </c>
      <c r="F1991" s="395"/>
      <c r="G1991" s="363" t="s">
        <v>2680</v>
      </c>
    </row>
    <row r="1992" spans="1:24" x14ac:dyDescent="0.2">
      <c r="A1992" s="361" t="s">
        <v>8</v>
      </c>
      <c r="B1992" s="396"/>
      <c r="C1992" s="19"/>
      <c r="D1992" s="386"/>
      <c r="E1992" s="894"/>
      <c r="F1992" s="895"/>
      <c r="G1992" s="397"/>
    </row>
    <row r="1993" spans="1:24" x14ac:dyDescent="0.2">
      <c r="A1993" s="373" t="s">
        <v>37</v>
      </c>
      <c r="B1993" s="377"/>
      <c r="C1993" s="377"/>
      <c r="D1993" s="377"/>
      <c r="E1993" s="398" t="s">
        <v>46</v>
      </c>
      <c r="F1993" s="399"/>
      <c r="G1993" s="397" t="s">
        <v>50</v>
      </c>
    </row>
    <row r="1994" spans="1:24" x14ac:dyDescent="0.2">
      <c r="A1994" s="387"/>
      <c r="B1994" s="388"/>
      <c r="C1994" s="389"/>
      <c r="D1994" s="389"/>
      <c r="E1994" s="896"/>
      <c r="F1994" s="897"/>
      <c r="G1994" s="400"/>
    </row>
    <row r="1995" spans="1:24" ht="26.25" thickBot="1" x14ac:dyDescent="0.25">
      <c r="A1995" s="207" t="s">
        <v>47</v>
      </c>
      <c r="B1995" s="28" t="s">
        <v>23</v>
      </c>
      <c r="C1995" s="28" t="s">
        <v>34</v>
      </c>
      <c r="D1995" s="110" t="s">
        <v>53</v>
      </c>
      <c r="E1995" s="114" t="s">
        <v>54</v>
      </c>
      <c r="F1995" s="111" t="s">
        <v>55</v>
      </c>
      <c r="G1995" s="112" t="s">
        <v>35</v>
      </c>
    </row>
    <row r="1996" spans="1:24" ht="13.5" thickTop="1" x14ac:dyDescent="0.2">
      <c r="A1996" s="364">
        <v>1</v>
      </c>
      <c r="B1996" s="408"/>
      <c r="C1996" s="371" t="s">
        <v>1923</v>
      </c>
      <c r="D1996" s="376" t="s">
        <v>1924</v>
      </c>
      <c r="E1996" s="409">
        <v>4</v>
      </c>
      <c r="F1996" s="451">
        <v>254</v>
      </c>
      <c r="G1996" s="372">
        <f>F1996*E1996</f>
        <v>1016</v>
      </c>
      <c r="K1996" s="2">
        <v>0.5</v>
      </c>
    </row>
    <row r="1997" spans="1:24" x14ac:dyDescent="0.2">
      <c r="A1997" s="364">
        <f>A1996+1</f>
        <v>2</v>
      </c>
      <c r="B1997" s="408"/>
      <c r="C1997" s="371" t="s">
        <v>1923</v>
      </c>
      <c r="D1997" s="376" t="s">
        <v>240</v>
      </c>
      <c r="E1997" s="409">
        <v>3.34</v>
      </c>
      <c r="F1997" s="451">
        <v>297</v>
      </c>
      <c r="G1997" s="372">
        <v>991.99</v>
      </c>
      <c r="H1997" s="663"/>
      <c r="I1997" s="430" t="s">
        <v>2681</v>
      </c>
      <c r="K1997" s="2">
        <f>K1996*8</f>
        <v>4</v>
      </c>
      <c r="L1997" s="211">
        <v>254</v>
      </c>
      <c r="M1997" s="211">
        <f>L1997*K1997</f>
        <v>1016</v>
      </c>
    </row>
    <row r="1998" spans="1:24" x14ac:dyDescent="0.2">
      <c r="A1998" s="364">
        <f t="shared" ref="A1998:A2027" si="35">A1997+1</f>
        <v>3</v>
      </c>
      <c r="B1998" s="408"/>
      <c r="C1998" s="371" t="s">
        <v>1923</v>
      </c>
      <c r="D1998" s="376" t="s">
        <v>1926</v>
      </c>
      <c r="E1998" s="407">
        <v>1.94</v>
      </c>
      <c r="F1998" s="549">
        <v>124</v>
      </c>
      <c r="G1998" s="372">
        <f t="shared" ref="G1998:G2027" si="36">F1998*E1998</f>
        <v>240.56</v>
      </c>
    </row>
    <row r="1999" spans="1:24" x14ac:dyDescent="0.2">
      <c r="A1999" s="364">
        <f t="shared" si="35"/>
        <v>4</v>
      </c>
      <c r="B1999" s="408"/>
      <c r="C1999" s="371" t="s">
        <v>1923</v>
      </c>
      <c r="D1999" s="376" t="s">
        <v>1925</v>
      </c>
      <c r="E1999" s="409">
        <v>2.0299999999999998</v>
      </c>
      <c r="F1999" s="451">
        <v>184</v>
      </c>
      <c r="G1999" s="372">
        <f t="shared" si="36"/>
        <v>373.52</v>
      </c>
      <c r="K1999" s="430"/>
    </row>
    <row r="2000" spans="1:24" x14ac:dyDescent="0.2">
      <c r="A2000" s="364">
        <f t="shared" si="35"/>
        <v>5</v>
      </c>
      <c r="B2000" s="408"/>
      <c r="C2000" s="371" t="s">
        <v>1923</v>
      </c>
      <c r="D2000" s="376" t="s">
        <v>2138</v>
      </c>
      <c r="E2000" s="409">
        <v>1.74</v>
      </c>
      <c r="F2000" s="451">
        <v>178</v>
      </c>
      <c r="G2000" s="372">
        <f t="shared" si="36"/>
        <v>309.71999999999997</v>
      </c>
      <c r="K2000" s="430"/>
    </row>
    <row r="2001" spans="1:18" x14ac:dyDescent="0.2">
      <c r="A2001" s="364">
        <f t="shared" si="35"/>
        <v>6</v>
      </c>
      <c r="B2001" s="408"/>
      <c r="C2001" s="371" t="s">
        <v>1923</v>
      </c>
      <c r="D2001" s="383" t="s">
        <v>1927</v>
      </c>
      <c r="E2001" s="409">
        <v>11.255000000000001</v>
      </c>
      <c r="F2001" s="451">
        <v>189</v>
      </c>
      <c r="G2001" s="372">
        <v>2127.21</v>
      </c>
      <c r="H2001" s="663"/>
      <c r="I2001" s="430" t="s">
        <v>2682</v>
      </c>
    </row>
    <row r="2002" spans="1:18" x14ac:dyDescent="0.2">
      <c r="A2002" s="364">
        <f t="shared" si="35"/>
        <v>7</v>
      </c>
      <c r="B2002" s="410"/>
      <c r="C2002" s="371" t="s">
        <v>1923</v>
      </c>
      <c r="D2002" s="384" t="s">
        <v>1949</v>
      </c>
      <c r="E2002" s="407">
        <v>3.665</v>
      </c>
      <c r="F2002" s="549">
        <v>189</v>
      </c>
      <c r="G2002" s="372">
        <f t="shared" si="36"/>
        <v>692.68500000000006</v>
      </c>
      <c r="H2002" s="212">
        <f>SUM(G1996:G2002)</f>
        <v>5751.6850000000004</v>
      </c>
      <c r="J2002" s="2">
        <v>0.5</v>
      </c>
      <c r="K2002" s="211">
        <v>254</v>
      </c>
      <c r="L2002" s="164">
        <f>K2002*J2002</f>
        <v>127</v>
      </c>
      <c r="N2002" s="2">
        <v>0.62</v>
      </c>
      <c r="O2002" s="437">
        <v>178</v>
      </c>
      <c r="P2002" s="164">
        <f>O2002*N2002</f>
        <v>110.36</v>
      </c>
    </row>
    <row r="2003" spans="1:18" x14ac:dyDescent="0.2">
      <c r="A2003" s="364">
        <f t="shared" si="35"/>
        <v>8</v>
      </c>
      <c r="B2003" s="401"/>
      <c r="C2003" s="371" t="s">
        <v>153</v>
      </c>
      <c r="D2003" s="383" t="s">
        <v>2694</v>
      </c>
      <c r="E2003" s="414">
        <v>25</v>
      </c>
      <c r="F2003" s="451">
        <v>8.75</v>
      </c>
      <c r="G2003" s="372">
        <f t="shared" si="36"/>
        <v>218.75</v>
      </c>
      <c r="J2003" s="2">
        <v>0.5</v>
      </c>
      <c r="K2003" s="211">
        <v>254</v>
      </c>
      <c r="L2003" s="164">
        <f t="shared" ref="L2003:L2009" si="37">K2003*J2003</f>
        <v>127</v>
      </c>
      <c r="N2003" s="2">
        <v>0.51500000000000001</v>
      </c>
      <c r="O2003" s="437">
        <v>178</v>
      </c>
      <c r="P2003" s="164">
        <f t="shared" ref="P2003:P2004" si="38">O2003*N2003</f>
        <v>91.67</v>
      </c>
    </row>
    <row r="2004" spans="1:18" x14ac:dyDescent="0.2">
      <c r="A2004" s="364">
        <f t="shared" si="35"/>
        <v>9</v>
      </c>
      <c r="B2004" s="413"/>
      <c r="C2004" s="371" t="s">
        <v>153</v>
      </c>
      <c r="D2004" s="384" t="s">
        <v>2695</v>
      </c>
      <c r="E2004" s="414">
        <v>25</v>
      </c>
      <c r="F2004" s="550">
        <v>8.75</v>
      </c>
      <c r="G2004" s="372">
        <f t="shared" si="36"/>
        <v>218.75</v>
      </c>
      <c r="J2004" s="2">
        <v>0.5</v>
      </c>
      <c r="K2004" s="211">
        <v>254</v>
      </c>
      <c r="L2004" s="164">
        <f t="shared" si="37"/>
        <v>127</v>
      </c>
      <c r="N2004" s="2">
        <v>0.60499999999999998</v>
      </c>
      <c r="O2004" s="437">
        <v>178</v>
      </c>
      <c r="P2004" s="164">
        <f t="shared" si="38"/>
        <v>107.69</v>
      </c>
    </row>
    <row r="2005" spans="1:18" x14ac:dyDescent="0.2">
      <c r="A2005" s="364">
        <f t="shared" si="35"/>
        <v>10</v>
      </c>
      <c r="B2005" s="413"/>
      <c r="C2005" s="371" t="s">
        <v>149</v>
      </c>
      <c r="D2005" s="384" t="s">
        <v>2683</v>
      </c>
      <c r="E2005" s="414">
        <v>3</v>
      </c>
      <c r="F2005" s="451">
        <v>70</v>
      </c>
      <c r="G2005" s="372">
        <f t="shared" si="36"/>
        <v>210</v>
      </c>
      <c r="J2005" s="2">
        <v>0.5</v>
      </c>
      <c r="K2005" s="211">
        <v>254</v>
      </c>
      <c r="L2005" s="164">
        <f t="shared" si="37"/>
        <v>127</v>
      </c>
      <c r="N2005" s="340">
        <f>SUM(N2002:N2004)</f>
        <v>1.74</v>
      </c>
      <c r="O2005" s="340"/>
      <c r="P2005" s="463">
        <f>SUM(P2002:P2004)</f>
        <v>309.72000000000003</v>
      </c>
    </row>
    <row r="2006" spans="1:18" x14ac:dyDescent="0.2">
      <c r="A2006" s="364">
        <f t="shared" si="35"/>
        <v>11</v>
      </c>
      <c r="B2006" s="416"/>
      <c r="C2006" s="371" t="s">
        <v>1923</v>
      </c>
      <c r="D2006" s="376" t="s">
        <v>2305</v>
      </c>
      <c r="E2006" s="417">
        <v>0.83799999999999997</v>
      </c>
      <c r="F2006" s="451">
        <v>220</v>
      </c>
      <c r="G2006" s="372">
        <f t="shared" si="36"/>
        <v>184.35999999999999</v>
      </c>
      <c r="J2006" s="2">
        <v>0.5</v>
      </c>
      <c r="K2006" s="211">
        <v>254</v>
      </c>
      <c r="L2006" s="164">
        <f t="shared" si="37"/>
        <v>127</v>
      </c>
    </row>
    <row r="2007" spans="1:18" x14ac:dyDescent="0.2">
      <c r="A2007" s="364">
        <f t="shared" si="35"/>
        <v>12</v>
      </c>
      <c r="B2007" s="416"/>
      <c r="C2007" s="371" t="s">
        <v>149</v>
      </c>
      <c r="D2007" s="384" t="s">
        <v>2684</v>
      </c>
      <c r="E2007" s="417">
        <v>3</v>
      </c>
      <c r="F2007" s="451">
        <v>67</v>
      </c>
      <c r="G2007" s="372">
        <f t="shared" si="36"/>
        <v>201</v>
      </c>
      <c r="J2007" s="2">
        <v>0.5</v>
      </c>
      <c r="K2007" s="211">
        <v>254</v>
      </c>
      <c r="L2007" s="164">
        <f t="shared" si="37"/>
        <v>127</v>
      </c>
    </row>
    <row r="2008" spans="1:18" x14ac:dyDescent="0.2">
      <c r="A2008" s="364">
        <f t="shared" si="35"/>
        <v>13</v>
      </c>
      <c r="B2008" s="416"/>
      <c r="C2008" s="371" t="s">
        <v>149</v>
      </c>
      <c r="D2008" s="376" t="s">
        <v>1973</v>
      </c>
      <c r="E2008" s="414">
        <v>3</v>
      </c>
      <c r="F2008" s="451">
        <v>197</v>
      </c>
      <c r="G2008" s="372">
        <f t="shared" si="36"/>
        <v>591</v>
      </c>
      <c r="J2008" s="2">
        <v>0.5</v>
      </c>
      <c r="K2008" s="211">
        <v>254</v>
      </c>
      <c r="L2008" s="164">
        <f t="shared" si="37"/>
        <v>127</v>
      </c>
      <c r="N2008" s="2">
        <v>1.85</v>
      </c>
      <c r="O2008" s="437">
        <v>189</v>
      </c>
      <c r="P2008" s="211">
        <f>O2008*N2008</f>
        <v>349.65000000000003</v>
      </c>
    </row>
    <row r="2009" spans="1:18" x14ac:dyDescent="0.2">
      <c r="A2009" s="364">
        <f t="shared" si="35"/>
        <v>14</v>
      </c>
      <c r="B2009" s="401"/>
      <c r="C2009" s="371" t="s">
        <v>2705</v>
      </c>
      <c r="D2009" s="384" t="s">
        <v>2685</v>
      </c>
      <c r="E2009" s="407">
        <v>5</v>
      </c>
      <c r="F2009" s="451">
        <v>49.5</v>
      </c>
      <c r="G2009" s="372">
        <f t="shared" si="36"/>
        <v>247.5</v>
      </c>
      <c r="J2009" s="2">
        <v>0.5</v>
      </c>
      <c r="K2009" s="211">
        <v>254</v>
      </c>
      <c r="L2009" s="164">
        <f t="shared" si="37"/>
        <v>127</v>
      </c>
      <c r="N2009" s="2">
        <v>1.4950000000000001</v>
      </c>
      <c r="O2009" s="437">
        <v>189</v>
      </c>
      <c r="P2009" s="211">
        <f t="shared" ref="P2009:P2014" si="39">O2009*N2009</f>
        <v>282.55500000000001</v>
      </c>
    </row>
    <row r="2010" spans="1:18" x14ac:dyDescent="0.2">
      <c r="A2010" s="364">
        <f t="shared" si="35"/>
        <v>15</v>
      </c>
      <c r="B2010" s="401"/>
      <c r="C2010" s="371" t="s">
        <v>149</v>
      </c>
      <c r="D2010" s="384" t="s">
        <v>1967</v>
      </c>
      <c r="E2010" s="417">
        <v>5</v>
      </c>
      <c r="F2010" s="550">
        <v>17.3</v>
      </c>
      <c r="G2010" s="372">
        <f t="shared" si="36"/>
        <v>86.5</v>
      </c>
      <c r="J2010" s="340">
        <f>SUM(J2002:J2009)</f>
        <v>4</v>
      </c>
      <c r="K2010" s="340"/>
      <c r="L2010" s="463">
        <f>SUM(L2002:L2009)</f>
        <v>1016</v>
      </c>
      <c r="N2010" s="2">
        <v>1.68</v>
      </c>
      <c r="O2010" s="437">
        <v>189</v>
      </c>
      <c r="P2010" s="211">
        <f t="shared" si="39"/>
        <v>317.52</v>
      </c>
    </row>
    <row r="2011" spans="1:18" x14ac:dyDescent="0.2">
      <c r="A2011" s="364">
        <f t="shared" si="35"/>
        <v>16</v>
      </c>
      <c r="B2011" s="408"/>
      <c r="C2011" s="371" t="s">
        <v>1923</v>
      </c>
      <c r="D2011" s="376" t="s">
        <v>2686</v>
      </c>
      <c r="E2011" s="414">
        <v>2.0859999999999999</v>
      </c>
      <c r="F2011" s="550">
        <v>250</v>
      </c>
      <c r="G2011" s="372">
        <f t="shared" si="36"/>
        <v>521.5</v>
      </c>
      <c r="N2011" s="430">
        <v>1.675</v>
      </c>
      <c r="O2011" s="437">
        <v>189</v>
      </c>
      <c r="P2011" s="211">
        <f t="shared" si="39"/>
        <v>316.57499999999999</v>
      </c>
    </row>
    <row r="2012" spans="1:18" x14ac:dyDescent="0.2">
      <c r="A2012" s="364">
        <f t="shared" si="35"/>
        <v>17</v>
      </c>
      <c r="B2012" s="408"/>
      <c r="C2012" s="371" t="s">
        <v>149</v>
      </c>
      <c r="D2012" s="376" t="s">
        <v>2687</v>
      </c>
      <c r="E2012" s="414">
        <v>5</v>
      </c>
      <c r="F2012" s="550">
        <v>56</v>
      </c>
      <c r="G2012" s="372">
        <f t="shared" si="36"/>
        <v>280</v>
      </c>
      <c r="N2012" s="430">
        <v>1.4650000000000001</v>
      </c>
      <c r="O2012" s="437">
        <v>189</v>
      </c>
      <c r="P2012" s="211">
        <f t="shared" si="39"/>
        <v>276.88499999999999</v>
      </c>
    </row>
    <row r="2013" spans="1:18" x14ac:dyDescent="0.2">
      <c r="A2013" s="364">
        <f t="shared" si="35"/>
        <v>18</v>
      </c>
      <c r="B2013" s="408"/>
      <c r="C2013" s="371" t="s">
        <v>1938</v>
      </c>
      <c r="D2013" s="384" t="s">
        <v>2688</v>
      </c>
      <c r="E2013" s="414">
        <v>4</v>
      </c>
      <c r="F2013" s="550">
        <v>260</v>
      </c>
      <c r="G2013" s="372">
        <f t="shared" si="36"/>
        <v>1040</v>
      </c>
      <c r="J2013" s="2">
        <v>1.105</v>
      </c>
      <c r="K2013" s="211">
        <v>297</v>
      </c>
      <c r="L2013" s="164">
        <f>K2013*J2013</f>
        <v>328.185</v>
      </c>
      <c r="N2013" s="430">
        <v>1.45</v>
      </c>
      <c r="O2013" s="437">
        <v>189</v>
      </c>
      <c r="P2013" s="211">
        <f t="shared" si="39"/>
        <v>274.05</v>
      </c>
    </row>
    <row r="2014" spans="1:18" x14ac:dyDescent="0.2">
      <c r="A2014" s="364">
        <f t="shared" si="35"/>
        <v>19</v>
      </c>
      <c r="B2014" s="401"/>
      <c r="C2014" s="371" t="s">
        <v>149</v>
      </c>
      <c r="D2014" s="384" t="s">
        <v>1937</v>
      </c>
      <c r="E2014" s="409">
        <v>1</v>
      </c>
      <c r="F2014" s="550">
        <v>379.5</v>
      </c>
      <c r="G2014" s="372">
        <f t="shared" si="36"/>
        <v>379.5</v>
      </c>
      <c r="J2014" s="2">
        <v>1.115</v>
      </c>
      <c r="K2014" s="211">
        <v>297</v>
      </c>
      <c r="L2014" s="164">
        <f t="shared" ref="L2014:L2015" si="40">K2014*J2014</f>
        <v>331.15499999999997</v>
      </c>
      <c r="N2014" s="430">
        <v>1.64</v>
      </c>
      <c r="O2014" s="437">
        <v>189</v>
      </c>
      <c r="P2014" s="211">
        <f t="shared" si="39"/>
        <v>309.95999999999998</v>
      </c>
    </row>
    <row r="2015" spans="1:18" x14ac:dyDescent="0.2">
      <c r="A2015" s="364">
        <f t="shared" si="35"/>
        <v>20</v>
      </c>
      <c r="B2015" s="401"/>
      <c r="C2015" s="371" t="s">
        <v>149</v>
      </c>
      <c r="D2015" s="376" t="s">
        <v>2689</v>
      </c>
      <c r="E2015" s="414">
        <v>2</v>
      </c>
      <c r="F2015" s="550">
        <v>98.75</v>
      </c>
      <c r="G2015" s="372">
        <f t="shared" si="36"/>
        <v>197.5</v>
      </c>
      <c r="J2015" s="2">
        <v>1.1200000000000001</v>
      </c>
      <c r="K2015" s="211">
        <v>297</v>
      </c>
      <c r="L2015" s="164">
        <f t="shared" si="40"/>
        <v>332.64000000000004</v>
      </c>
      <c r="N2015" s="340">
        <f>SUM(N2008:N2014)</f>
        <v>11.255000000000001</v>
      </c>
      <c r="O2015" s="340"/>
      <c r="P2015" s="243">
        <v>2127.21</v>
      </c>
      <c r="R2015" s="2">
        <f>P2015/O2014</f>
        <v>11.255079365079366</v>
      </c>
    </row>
    <row r="2016" spans="1:18" x14ac:dyDescent="0.2">
      <c r="A2016" s="364">
        <f t="shared" si="35"/>
        <v>21</v>
      </c>
      <c r="B2016" s="401"/>
      <c r="C2016" s="371" t="s">
        <v>149</v>
      </c>
      <c r="D2016" s="376" t="s">
        <v>2690</v>
      </c>
      <c r="E2016" s="414">
        <v>1</v>
      </c>
      <c r="F2016" s="550">
        <v>98.75</v>
      </c>
      <c r="G2016" s="372">
        <f t="shared" si="36"/>
        <v>98.75</v>
      </c>
      <c r="J2016" s="340">
        <f>SUM(J2013:J2015)</f>
        <v>3.34</v>
      </c>
      <c r="K2016" s="340"/>
      <c r="L2016" s="463">
        <v>991.99</v>
      </c>
    </row>
    <row r="2017" spans="1:16" x14ac:dyDescent="0.2">
      <c r="A2017" s="364">
        <f t="shared" si="35"/>
        <v>22</v>
      </c>
      <c r="B2017" s="401"/>
      <c r="C2017" s="371" t="s">
        <v>177</v>
      </c>
      <c r="D2017" s="376" t="s">
        <v>2691</v>
      </c>
      <c r="E2017" s="414">
        <v>1</v>
      </c>
      <c r="F2017" s="550">
        <v>1924</v>
      </c>
      <c r="G2017" s="372">
        <f t="shared" si="36"/>
        <v>1924</v>
      </c>
    </row>
    <row r="2018" spans="1:16" x14ac:dyDescent="0.2">
      <c r="A2018" s="364">
        <f t="shared" si="35"/>
        <v>23</v>
      </c>
      <c r="B2018" s="401"/>
      <c r="C2018" s="371" t="s">
        <v>179</v>
      </c>
      <c r="D2018" s="384" t="s">
        <v>2692</v>
      </c>
      <c r="E2018" s="414">
        <v>5</v>
      </c>
      <c r="F2018" s="550">
        <v>15</v>
      </c>
      <c r="G2018" s="372">
        <f t="shared" si="36"/>
        <v>75</v>
      </c>
      <c r="N2018" s="2">
        <v>1.1499999999999999</v>
      </c>
      <c r="O2018" s="211">
        <v>189</v>
      </c>
      <c r="P2018" s="164">
        <f>O2018*N2018</f>
        <v>217.35</v>
      </c>
    </row>
    <row r="2019" spans="1:16" x14ac:dyDescent="0.2">
      <c r="A2019" s="364">
        <f t="shared" si="35"/>
        <v>24</v>
      </c>
      <c r="B2019" s="401"/>
      <c r="C2019" s="371" t="s">
        <v>179</v>
      </c>
      <c r="D2019" s="384" t="s">
        <v>2693</v>
      </c>
      <c r="E2019" s="414">
        <v>5</v>
      </c>
      <c r="F2019" s="550">
        <v>15</v>
      </c>
      <c r="G2019" s="372">
        <f t="shared" si="36"/>
        <v>75</v>
      </c>
      <c r="N2019" s="2">
        <v>1.3049999999999999</v>
      </c>
      <c r="O2019" s="211">
        <v>189</v>
      </c>
      <c r="P2019" s="164">
        <f t="shared" ref="P2019:P2020" si="41">O2019*N2019</f>
        <v>246.64499999999998</v>
      </c>
    </row>
    <row r="2020" spans="1:16" x14ac:dyDescent="0.2">
      <c r="A2020" s="364">
        <f t="shared" si="35"/>
        <v>25</v>
      </c>
      <c r="B2020" s="401"/>
      <c r="C2020" s="371" t="s">
        <v>2008</v>
      </c>
      <c r="D2020" s="384" t="s">
        <v>2293</v>
      </c>
      <c r="E2020" s="414">
        <v>3</v>
      </c>
      <c r="F2020" s="550">
        <v>1525</v>
      </c>
      <c r="G2020" s="372">
        <f t="shared" si="36"/>
        <v>4575</v>
      </c>
      <c r="H2020" s="212">
        <f>SUM(G2003:G2020)</f>
        <v>11124.11</v>
      </c>
      <c r="J2020" s="164">
        <f>L2010+L2016</f>
        <v>2007.99</v>
      </c>
      <c r="N2020" s="2">
        <v>1.21</v>
      </c>
      <c r="O2020" s="211">
        <v>189</v>
      </c>
      <c r="P2020" s="164">
        <f t="shared" si="41"/>
        <v>228.69</v>
      </c>
    </row>
    <row r="2021" spans="1:16" x14ac:dyDescent="0.2">
      <c r="A2021" s="364">
        <f t="shared" si="35"/>
        <v>26</v>
      </c>
      <c r="B2021" s="401"/>
      <c r="C2021" s="371" t="s">
        <v>1923</v>
      </c>
      <c r="D2021" s="376" t="s">
        <v>1974</v>
      </c>
      <c r="E2021" s="407">
        <v>12</v>
      </c>
      <c r="F2021" s="451">
        <v>120</v>
      </c>
      <c r="G2021" s="372">
        <f t="shared" si="36"/>
        <v>1440</v>
      </c>
      <c r="N2021" s="340">
        <f>SUM(N2018:N2020)</f>
        <v>3.665</v>
      </c>
      <c r="O2021" s="340"/>
      <c r="P2021" s="463">
        <f>SUM(P2018:P2020)</f>
        <v>692.68499999999995</v>
      </c>
    </row>
    <row r="2022" spans="1:16" x14ac:dyDescent="0.2">
      <c r="A2022" s="364">
        <f t="shared" si="35"/>
        <v>27</v>
      </c>
      <c r="B2022" s="401"/>
      <c r="C2022" s="371" t="s">
        <v>1923</v>
      </c>
      <c r="D2022" s="376" t="s">
        <v>193</v>
      </c>
      <c r="E2022" s="417">
        <v>10</v>
      </c>
      <c r="F2022" s="451">
        <v>100</v>
      </c>
      <c r="G2022" s="372">
        <f t="shared" si="36"/>
        <v>1000</v>
      </c>
    </row>
    <row r="2023" spans="1:16" x14ac:dyDescent="0.2">
      <c r="A2023" s="364">
        <f t="shared" si="35"/>
        <v>28</v>
      </c>
      <c r="B2023" s="401"/>
      <c r="C2023" s="371" t="s">
        <v>1923</v>
      </c>
      <c r="D2023" s="383" t="s">
        <v>1939</v>
      </c>
      <c r="E2023" s="409">
        <v>7</v>
      </c>
      <c r="F2023" s="451">
        <v>130</v>
      </c>
      <c r="G2023" s="372">
        <f t="shared" si="36"/>
        <v>910</v>
      </c>
    </row>
    <row r="2024" spans="1:16" x14ac:dyDescent="0.2">
      <c r="A2024" s="364">
        <f t="shared" si="35"/>
        <v>29</v>
      </c>
      <c r="B2024" s="401"/>
      <c r="C2024" s="371" t="s">
        <v>1923</v>
      </c>
      <c r="D2024" s="384" t="s">
        <v>1942</v>
      </c>
      <c r="E2024" s="409">
        <v>8</v>
      </c>
      <c r="F2024" s="451">
        <v>120</v>
      </c>
      <c r="G2024" s="372">
        <f t="shared" si="36"/>
        <v>960</v>
      </c>
      <c r="K2024" s="343"/>
    </row>
    <row r="2025" spans="1:16" x14ac:dyDescent="0.2">
      <c r="A2025" s="364">
        <f t="shared" si="35"/>
        <v>30</v>
      </c>
      <c r="B2025" s="401"/>
      <c r="C2025" s="371" t="s">
        <v>1923</v>
      </c>
      <c r="D2025" s="384" t="s">
        <v>2124</v>
      </c>
      <c r="E2025" s="423">
        <v>5</v>
      </c>
      <c r="F2025" s="551">
        <v>135</v>
      </c>
      <c r="G2025" s="372">
        <f t="shared" si="36"/>
        <v>675</v>
      </c>
    </row>
    <row r="2026" spans="1:16" x14ac:dyDescent="0.2">
      <c r="A2026" s="364">
        <f t="shared" si="35"/>
        <v>31</v>
      </c>
      <c r="B2026" s="401"/>
      <c r="C2026" s="371" t="s">
        <v>1923</v>
      </c>
      <c r="D2026" s="376" t="s">
        <v>2132</v>
      </c>
      <c r="E2026" s="407">
        <v>7</v>
      </c>
      <c r="F2026" s="552">
        <v>110</v>
      </c>
      <c r="G2026" s="372">
        <f t="shared" si="36"/>
        <v>770</v>
      </c>
      <c r="J2026" s="2">
        <v>0.188</v>
      </c>
      <c r="K2026" s="211">
        <v>220</v>
      </c>
      <c r="L2026" s="164">
        <f>K2026*J2026</f>
        <v>41.36</v>
      </c>
      <c r="N2026" s="2">
        <v>0.69799999999999995</v>
      </c>
      <c r="O2026" s="437">
        <v>250</v>
      </c>
      <c r="P2026" s="164">
        <f>O2026*N2026</f>
        <v>174.5</v>
      </c>
    </row>
    <row r="2027" spans="1:16" x14ac:dyDescent="0.2">
      <c r="A2027" s="364">
        <f t="shared" si="35"/>
        <v>32</v>
      </c>
      <c r="B2027" s="401"/>
      <c r="C2027" s="371" t="s">
        <v>1923</v>
      </c>
      <c r="D2027" s="384" t="s">
        <v>1943</v>
      </c>
      <c r="E2027" s="407">
        <v>6</v>
      </c>
      <c r="F2027" s="406">
        <v>140</v>
      </c>
      <c r="G2027" s="372">
        <f t="shared" si="36"/>
        <v>840</v>
      </c>
      <c r="J2027" s="2">
        <v>0.22800000000000001</v>
      </c>
      <c r="K2027" s="211">
        <v>220</v>
      </c>
      <c r="L2027" s="164">
        <f>K2027*J2027</f>
        <v>50.160000000000004</v>
      </c>
      <c r="N2027" s="2">
        <v>0.66</v>
      </c>
      <c r="O2027" s="437">
        <v>250</v>
      </c>
      <c r="P2027" s="164">
        <f t="shared" ref="P2027:P2028" si="42">O2027*N2027</f>
        <v>165</v>
      </c>
    </row>
    <row r="2028" spans="1:16" x14ac:dyDescent="0.2">
      <c r="A2028" s="555"/>
      <c r="B2028" s="401"/>
      <c r="C2028" s="371"/>
      <c r="D2028" s="383"/>
      <c r="E2028" s="407" t="s">
        <v>8</v>
      </c>
      <c r="F2028" s="566"/>
      <c r="G2028" s="556"/>
      <c r="J2028" s="430">
        <v>0.19400000000000001</v>
      </c>
      <c r="K2028" s="437">
        <v>220</v>
      </c>
      <c r="L2028" s="164">
        <f>K2028*J2028</f>
        <v>42.68</v>
      </c>
      <c r="N2028" s="2">
        <v>0.72799999999999998</v>
      </c>
      <c r="O2028" s="211">
        <v>250</v>
      </c>
      <c r="P2028" s="164">
        <f t="shared" si="42"/>
        <v>182</v>
      </c>
    </row>
    <row r="2029" spans="1:16" ht="13.5" thickBot="1" x14ac:dyDescent="0.25">
      <c r="A2029" s="553"/>
      <c r="B2029" s="427"/>
      <c r="C2029" s="428"/>
      <c r="D2029" s="428"/>
      <c r="E2029" s="427"/>
      <c r="F2029" s="49" t="s">
        <v>158</v>
      </c>
      <c r="G2029" s="210">
        <f>SUM(G1996:G2028)</f>
        <v>23470.794999999998</v>
      </c>
      <c r="J2029" s="430">
        <v>0.22800000000000001</v>
      </c>
      <c r="K2029" s="437">
        <v>220</v>
      </c>
      <c r="L2029" s="164">
        <f>K2029*J2029</f>
        <v>50.160000000000004</v>
      </c>
      <c r="N2029" s="340">
        <f>SUM(N2026:N2028)</f>
        <v>2.0860000000000003</v>
      </c>
      <c r="O2029" s="340"/>
      <c r="P2029" s="463">
        <f>SUM(P2026:P2028)</f>
        <v>521.5</v>
      </c>
    </row>
    <row r="2030" spans="1:16" ht="13.5" thickTop="1" x14ac:dyDescent="0.2">
      <c r="A2030" s="875" t="s">
        <v>2704</v>
      </c>
      <c r="B2030" s="876"/>
      <c r="C2030" s="876"/>
      <c r="D2030" s="876"/>
      <c r="E2030" s="876"/>
      <c r="F2030" s="876"/>
      <c r="G2030" s="877"/>
      <c r="J2030" s="340">
        <f>SUM(J2026:J2029)</f>
        <v>0.83800000000000008</v>
      </c>
      <c r="K2030" s="340"/>
      <c r="L2030" s="463">
        <f>SUM(L2026:L2029)</f>
        <v>184.36</v>
      </c>
    </row>
    <row r="2031" spans="1:16" ht="13.5" thickBot="1" x14ac:dyDescent="0.25">
      <c r="A2031" s="378"/>
      <c r="B2031" s="374"/>
      <c r="C2031" s="374"/>
      <c r="D2031" s="379"/>
      <c r="E2031" s="374"/>
      <c r="F2031" s="380"/>
      <c r="G2031" s="381"/>
    </row>
    <row r="2032" spans="1:16" ht="13.5" thickTop="1" x14ac:dyDescent="0.2">
      <c r="A2032" s="878"/>
      <c r="B2032" s="879"/>
      <c r="C2032" s="879"/>
      <c r="D2032" s="433" t="s">
        <v>11</v>
      </c>
      <c r="E2032" s="880" t="s">
        <v>12</v>
      </c>
      <c r="F2032" s="880"/>
      <c r="G2032" s="881"/>
    </row>
    <row r="2033" spans="1:7" x14ac:dyDescent="0.2">
      <c r="A2033" s="866" t="s">
        <v>17</v>
      </c>
      <c r="B2033" s="867"/>
      <c r="C2033" s="867"/>
      <c r="D2033" s="434"/>
      <c r="E2033" s="882"/>
      <c r="F2033" s="883"/>
      <c r="G2033" s="884"/>
    </row>
    <row r="2034" spans="1:7" x14ac:dyDescent="0.2">
      <c r="A2034" s="866" t="s">
        <v>38</v>
      </c>
      <c r="B2034" s="867"/>
      <c r="C2034" s="867"/>
      <c r="D2034" s="73" t="s">
        <v>891</v>
      </c>
      <c r="E2034" s="868" t="s">
        <v>142</v>
      </c>
      <c r="F2034" s="868"/>
      <c r="G2034" s="869"/>
    </row>
    <row r="2035" spans="1:7" ht="13.5" thickBot="1" x14ac:dyDescent="0.25">
      <c r="A2035" s="870" t="s">
        <v>39</v>
      </c>
      <c r="B2035" s="871"/>
      <c r="C2035" s="871"/>
      <c r="D2035" s="554" t="s">
        <v>892</v>
      </c>
      <c r="E2035" s="873" t="s">
        <v>0</v>
      </c>
      <c r="F2035" s="873"/>
      <c r="G2035" s="874"/>
    </row>
    <row r="2036" spans="1:7" ht="16.5" x14ac:dyDescent="0.25">
      <c r="A2036" s="885" t="s">
        <v>29</v>
      </c>
      <c r="B2036" s="886"/>
      <c r="C2036" s="886"/>
      <c r="D2036" s="886"/>
      <c r="E2036" s="886"/>
      <c r="F2036" s="886"/>
      <c r="G2036" s="887"/>
    </row>
    <row r="2037" spans="1:7" x14ac:dyDescent="0.2">
      <c r="A2037" s="888" t="s">
        <v>48</v>
      </c>
      <c r="B2037" s="889"/>
      <c r="C2037" s="889"/>
      <c r="D2037" s="889"/>
      <c r="E2037" s="889"/>
      <c r="F2037" s="889"/>
      <c r="G2037" s="890"/>
    </row>
    <row r="2038" spans="1:7" x14ac:dyDescent="0.2">
      <c r="A2038" s="891" t="s">
        <v>49</v>
      </c>
      <c r="B2038" s="892"/>
      <c r="C2038" s="892"/>
      <c r="D2038" s="892"/>
      <c r="E2038" s="892"/>
      <c r="F2038" s="892"/>
      <c r="G2038" s="893"/>
    </row>
    <row r="2039" spans="1:7" x14ac:dyDescent="0.2">
      <c r="A2039" s="387"/>
      <c r="B2039" s="388"/>
      <c r="C2039" s="389"/>
      <c r="D2039" s="390"/>
      <c r="E2039" s="388"/>
      <c r="F2039" s="391"/>
      <c r="G2039" s="392" t="s">
        <v>335</v>
      </c>
    </row>
    <row r="2040" spans="1:7" x14ac:dyDescent="0.2">
      <c r="A2040" s="393" t="s">
        <v>1</v>
      </c>
      <c r="B2040" s="394"/>
      <c r="C2040" s="14" t="s">
        <v>36</v>
      </c>
      <c r="D2040" s="394"/>
      <c r="E2040" s="362" t="s">
        <v>2709</v>
      </c>
      <c r="F2040" s="395"/>
      <c r="G2040" s="363" t="s">
        <v>2680</v>
      </c>
    </row>
    <row r="2041" spans="1:7" x14ac:dyDescent="0.2">
      <c r="A2041" s="361" t="s">
        <v>8</v>
      </c>
      <c r="B2041" s="396"/>
      <c r="C2041" s="19"/>
      <c r="D2041" s="386"/>
      <c r="E2041" s="894"/>
      <c r="F2041" s="895"/>
      <c r="G2041" s="397"/>
    </row>
    <row r="2042" spans="1:7" x14ac:dyDescent="0.2">
      <c r="A2042" s="373" t="s">
        <v>37</v>
      </c>
      <c r="B2042" s="377"/>
      <c r="C2042" s="377"/>
      <c r="D2042" s="377"/>
      <c r="E2042" s="398" t="s">
        <v>46</v>
      </c>
      <c r="F2042" s="399"/>
      <c r="G2042" s="397" t="s">
        <v>50</v>
      </c>
    </row>
    <row r="2043" spans="1:7" x14ac:dyDescent="0.2">
      <c r="A2043" s="387"/>
      <c r="B2043" s="388"/>
      <c r="C2043" s="389"/>
      <c r="D2043" s="389"/>
      <c r="E2043" s="896"/>
      <c r="F2043" s="897"/>
      <c r="G2043" s="400"/>
    </row>
    <row r="2044" spans="1:7" ht="26.25" thickBot="1" x14ac:dyDescent="0.25">
      <c r="A2044" s="207" t="s">
        <v>47</v>
      </c>
      <c r="B2044" s="28" t="s">
        <v>23</v>
      </c>
      <c r="C2044" s="28" t="s">
        <v>34</v>
      </c>
      <c r="D2044" s="110" t="s">
        <v>53</v>
      </c>
      <c r="E2044" s="114" t="s">
        <v>54</v>
      </c>
      <c r="F2044" s="111" t="s">
        <v>55</v>
      </c>
      <c r="G2044" s="112" t="s">
        <v>35</v>
      </c>
    </row>
    <row r="2045" spans="1:7" ht="13.5" thickTop="1" x14ac:dyDescent="0.2">
      <c r="A2045" s="364"/>
      <c r="B2045" s="408"/>
      <c r="C2045" s="371"/>
      <c r="D2045" s="202" t="s">
        <v>160</v>
      </c>
      <c r="E2045" s="409"/>
      <c r="F2045" s="451"/>
      <c r="G2045" s="200">
        <f>G2029</f>
        <v>23470.794999999998</v>
      </c>
    </row>
    <row r="2046" spans="1:7" x14ac:dyDescent="0.2">
      <c r="A2046" s="364">
        <v>33</v>
      </c>
      <c r="B2046" s="408"/>
      <c r="C2046" s="371" t="s">
        <v>1923</v>
      </c>
      <c r="D2046" s="384" t="s">
        <v>1977</v>
      </c>
      <c r="E2046" s="409">
        <v>6</v>
      </c>
      <c r="F2046" s="451">
        <v>120</v>
      </c>
      <c r="G2046" s="372">
        <f t="shared" ref="G2046:G2052" si="43">F2046*E2046</f>
        <v>720</v>
      </c>
    </row>
    <row r="2047" spans="1:7" x14ac:dyDescent="0.2">
      <c r="A2047" s="364">
        <f>A2046+1</f>
        <v>34</v>
      </c>
      <c r="B2047" s="408"/>
      <c r="C2047" s="371" t="s">
        <v>1923</v>
      </c>
      <c r="D2047" s="383" t="s">
        <v>1976</v>
      </c>
      <c r="E2047" s="409">
        <v>1</v>
      </c>
      <c r="F2047" s="451">
        <v>150</v>
      </c>
      <c r="G2047" s="372">
        <f t="shared" si="43"/>
        <v>150</v>
      </c>
    </row>
    <row r="2048" spans="1:7" x14ac:dyDescent="0.2">
      <c r="A2048" s="364">
        <f t="shared" ref="A2048:A2059" si="44">A2047+1</f>
        <v>35</v>
      </c>
      <c r="B2048" s="408"/>
      <c r="C2048" s="371" t="s">
        <v>1923</v>
      </c>
      <c r="D2048" s="376" t="s">
        <v>2696</v>
      </c>
      <c r="E2048" s="409">
        <v>6</v>
      </c>
      <c r="F2048" s="451">
        <v>65</v>
      </c>
      <c r="G2048" s="372">
        <f t="shared" si="43"/>
        <v>390</v>
      </c>
    </row>
    <row r="2049" spans="1:7" x14ac:dyDescent="0.2">
      <c r="A2049" s="364">
        <f t="shared" si="44"/>
        <v>36</v>
      </c>
      <c r="B2049" s="408"/>
      <c r="C2049" s="371" t="s">
        <v>149</v>
      </c>
      <c r="D2049" s="376" t="s">
        <v>2697</v>
      </c>
      <c r="E2049" s="407">
        <v>6</v>
      </c>
      <c r="F2049" s="549">
        <v>40</v>
      </c>
      <c r="G2049" s="372">
        <f t="shared" si="43"/>
        <v>240</v>
      </c>
    </row>
    <row r="2050" spans="1:7" x14ac:dyDescent="0.2">
      <c r="A2050" s="364">
        <f t="shared" si="44"/>
        <v>37</v>
      </c>
      <c r="B2050" s="408"/>
      <c r="C2050" s="371" t="s">
        <v>149</v>
      </c>
      <c r="D2050" s="376" t="s">
        <v>1975</v>
      </c>
      <c r="E2050" s="409">
        <v>6</v>
      </c>
      <c r="F2050" s="451">
        <v>25</v>
      </c>
      <c r="G2050" s="372">
        <f t="shared" si="43"/>
        <v>150</v>
      </c>
    </row>
    <row r="2051" spans="1:7" x14ac:dyDescent="0.2">
      <c r="A2051" s="364">
        <f t="shared" si="44"/>
        <v>38</v>
      </c>
      <c r="B2051" s="410"/>
      <c r="C2051" s="371" t="s">
        <v>1923</v>
      </c>
      <c r="D2051" s="376" t="s">
        <v>2309</v>
      </c>
      <c r="E2051" s="409">
        <v>7.8894000000000002</v>
      </c>
      <c r="F2051" s="451">
        <v>65</v>
      </c>
      <c r="G2051" s="372">
        <f t="shared" si="43"/>
        <v>512.81100000000004</v>
      </c>
    </row>
    <row r="2052" spans="1:7" x14ac:dyDescent="0.2">
      <c r="A2052" s="364">
        <f t="shared" si="44"/>
        <v>39</v>
      </c>
      <c r="B2052" s="401"/>
      <c r="C2052" s="371" t="s">
        <v>1923</v>
      </c>
      <c r="D2052" s="383" t="s">
        <v>2698</v>
      </c>
      <c r="E2052" s="409">
        <v>7.0198</v>
      </c>
      <c r="F2052" s="451">
        <v>70</v>
      </c>
      <c r="G2052" s="372">
        <f t="shared" si="43"/>
        <v>491.38600000000002</v>
      </c>
    </row>
    <row r="2053" spans="1:7" x14ac:dyDescent="0.2">
      <c r="A2053" s="364">
        <f t="shared" si="44"/>
        <v>40</v>
      </c>
      <c r="B2053" s="413"/>
      <c r="C2053" s="371" t="s">
        <v>1923</v>
      </c>
      <c r="D2053" s="383" t="s">
        <v>1940</v>
      </c>
      <c r="E2053" s="407">
        <v>5</v>
      </c>
      <c r="F2053" s="549">
        <v>65</v>
      </c>
      <c r="G2053" s="372">
        <f>F2053*E2053</f>
        <v>325</v>
      </c>
    </row>
    <row r="2054" spans="1:7" x14ac:dyDescent="0.2">
      <c r="A2054" s="364">
        <f t="shared" si="44"/>
        <v>41</v>
      </c>
      <c r="B2054" s="413"/>
      <c r="C2054" s="371" t="s">
        <v>1923</v>
      </c>
      <c r="D2054" s="383" t="s">
        <v>2131</v>
      </c>
      <c r="E2054" s="414">
        <v>3</v>
      </c>
      <c r="F2054" s="451">
        <v>140</v>
      </c>
      <c r="G2054" s="372">
        <f t="shared" ref="G2054:G2059" si="45">F2054*E2054</f>
        <v>420</v>
      </c>
    </row>
    <row r="2055" spans="1:7" x14ac:dyDescent="0.2">
      <c r="A2055" s="364">
        <f t="shared" si="44"/>
        <v>42</v>
      </c>
      <c r="B2055" s="416"/>
      <c r="C2055" s="371" t="s">
        <v>1923</v>
      </c>
      <c r="D2055" s="376" t="s">
        <v>2699</v>
      </c>
      <c r="E2055" s="414">
        <v>10</v>
      </c>
      <c r="F2055" s="451">
        <v>160</v>
      </c>
      <c r="G2055" s="372">
        <f t="shared" si="45"/>
        <v>1600</v>
      </c>
    </row>
    <row r="2056" spans="1:7" x14ac:dyDescent="0.2">
      <c r="A2056" s="364">
        <f t="shared" si="44"/>
        <v>43</v>
      </c>
      <c r="B2056" s="416"/>
      <c r="C2056" s="371" t="s">
        <v>1923</v>
      </c>
      <c r="D2056" s="376" t="s">
        <v>2700</v>
      </c>
      <c r="E2056" s="414">
        <v>10</v>
      </c>
      <c r="F2056" s="451">
        <v>250</v>
      </c>
      <c r="G2056" s="372">
        <f t="shared" si="45"/>
        <v>2500</v>
      </c>
    </row>
    <row r="2057" spans="1:7" x14ac:dyDescent="0.2">
      <c r="A2057" s="364">
        <f t="shared" si="44"/>
        <v>44</v>
      </c>
      <c r="B2057" s="416"/>
      <c r="C2057" s="371" t="s">
        <v>1923</v>
      </c>
      <c r="D2057" s="376" t="s">
        <v>2701</v>
      </c>
      <c r="E2057" s="417">
        <v>9</v>
      </c>
      <c r="F2057" s="451">
        <v>180</v>
      </c>
      <c r="G2057" s="372">
        <f t="shared" si="45"/>
        <v>1620</v>
      </c>
    </row>
    <row r="2058" spans="1:7" x14ac:dyDescent="0.2">
      <c r="A2058" s="364">
        <f t="shared" si="44"/>
        <v>45</v>
      </c>
      <c r="B2058" s="401"/>
      <c r="C2058" s="371" t="s">
        <v>1923</v>
      </c>
      <c r="D2058" s="384" t="s">
        <v>2702</v>
      </c>
      <c r="E2058" s="417">
        <v>8</v>
      </c>
      <c r="F2058" s="451">
        <v>170</v>
      </c>
      <c r="G2058" s="372">
        <f t="shared" si="45"/>
        <v>1360</v>
      </c>
    </row>
    <row r="2059" spans="1:7" x14ac:dyDescent="0.2">
      <c r="A2059" s="364">
        <f t="shared" si="44"/>
        <v>46</v>
      </c>
      <c r="B2059" s="401"/>
      <c r="C2059" s="371" t="s">
        <v>1923</v>
      </c>
      <c r="D2059" s="384" t="s">
        <v>2703</v>
      </c>
      <c r="E2059" s="417">
        <v>7</v>
      </c>
      <c r="F2059" s="451">
        <v>150</v>
      </c>
      <c r="G2059" s="372">
        <f t="shared" si="45"/>
        <v>1050</v>
      </c>
    </row>
    <row r="2060" spans="1:7" x14ac:dyDescent="0.2">
      <c r="A2060" s="364"/>
      <c r="B2060" s="408"/>
      <c r="C2060" s="371"/>
      <c r="D2060" s="384"/>
      <c r="E2060" s="407"/>
      <c r="F2060" s="451"/>
      <c r="G2060" s="372"/>
    </row>
    <row r="2061" spans="1:7" x14ac:dyDescent="0.2">
      <c r="A2061" s="364"/>
      <c r="B2061" s="408"/>
      <c r="C2061" s="371"/>
      <c r="D2061" s="383"/>
      <c r="E2061" s="417"/>
      <c r="F2061" s="451"/>
      <c r="G2061" s="372"/>
    </row>
    <row r="2062" spans="1:7" x14ac:dyDescent="0.2">
      <c r="A2062" s="364"/>
      <c r="B2062" s="408"/>
      <c r="C2062" s="371"/>
      <c r="D2062" s="384"/>
      <c r="E2062" s="414"/>
      <c r="F2062" s="550"/>
      <c r="G2062" s="372"/>
    </row>
    <row r="2063" spans="1:7" x14ac:dyDescent="0.2">
      <c r="A2063" s="364"/>
      <c r="B2063" s="401"/>
      <c r="C2063" s="371"/>
      <c r="D2063" s="384"/>
      <c r="E2063" s="414"/>
      <c r="F2063" s="550"/>
      <c r="G2063" s="372"/>
    </row>
    <row r="2064" spans="1:7" x14ac:dyDescent="0.2">
      <c r="A2064" s="364"/>
      <c r="B2064" s="401"/>
      <c r="C2064" s="371"/>
      <c r="D2064" s="376"/>
      <c r="E2064" s="414"/>
      <c r="F2064" s="550"/>
      <c r="G2064" s="372"/>
    </row>
    <row r="2065" spans="1:7" x14ac:dyDescent="0.2">
      <c r="A2065" s="364"/>
      <c r="B2065" s="401"/>
      <c r="C2065" s="371"/>
      <c r="D2065" s="376"/>
      <c r="E2065" s="414"/>
      <c r="F2065" s="550"/>
      <c r="G2065" s="372"/>
    </row>
    <row r="2066" spans="1:7" x14ac:dyDescent="0.2">
      <c r="A2066" s="364"/>
      <c r="B2066" s="401"/>
      <c r="C2066" s="371"/>
      <c r="D2066" s="376"/>
      <c r="E2066" s="414"/>
      <c r="F2066" s="550"/>
      <c r="G2066" s="372"/>
    </row>
    <row r="2067" spans="1:7" x14ac:dyDescent="0.2">
      <c r="A2067" s="364"/>
      <c r="B2067" s="401"/>
      <c r="C2067" s="371"/>
      <c r="D2067" s="384"/>
      <c r="E2067" s="414"/>
      <c r="F2067" s="550"/>
      <c r="G2067" s="372"/>
    </row>
    <row r="2068" spans="1:7" x14ac:dyDescent="0.2">
      <c r="A2068" s="364"/>
      <c r="B2068" s="401"/>
      <c r="C2068" s="371"/>
      <c r="D2068" s="384"/>
      <c r="E2068" s="414"/>
      <c r="F2068" s="550"/>
      <c r="G2068" s="372"/>
    </row>
    <row r="2069" spans="1:7" x14ac:dyDescent="0.2">
      <c r="A2069" s="364"/>
      <c r="B2069" s="401"/>
      <c r="C2069" s="371"/>
      <c r="D2069" s="384"/>
      <c r="E2069" s="414"/>
      <c r="F2069" s="550"/>
      <c r="G2069" s="372"/>
    </row>
    <row r="2070" spans="1:7" x14ac:dyDescent="0.2">
      <c r="A2070" s="364"/>
      <c r="B2070" s="401"/>
      <c r="C2070" s="371"/>
      <c r="D2070" s="384"/>
      <c r="E2070" s="414"/>
      <c r="F2070" s="550"/>
      <c r="G2070" s="372"/>
    </row>
    <row r="2071" spans="1:7" x14ac:dyDescent="0.2">
      <c r="A2071" s="364"/>
      <c r="B2071" s="401"/>
      <c r="C2071" s="371"/>
      <c r="D2071" s="384"/>
      <c r="E2071" s="414"/>
      <c r="F2071" s="550"/>
      <c r="G2071" s="372"/>
    </row>
    <row r="2072" spans="1:7" x14ac:dyDescent="0.2">
      <c r="A2072" s="364"/>
      <c r="B2072" s="401"/>
      <c r="C2072" s="371"/>
      <c r="D2072" s="376"/>
      <c r="E2072" s="407"/>
      <c r="F2072" s="451"/>
      <c r="G2072" s="372"/>
    </row>
    <row r="2073" spans="1:7" x14ac:dyDescent="0.2">
      <c r="A2073" s="364"/>
      <c r="B2073" s="401"/>
      <c r="C2073" s="371"/>
      <c r="D2073" s="383"/>
      <c r="E2073" s="409"/>
      <c r="F2073" s="451"/>
      <c r="G2073" s="372"/>
    </row>
    <row r="2074" spans="1:7" x14ac:dyDescent="0.2">
      <c r="A2074" s="364"/>
      <c r="B2074" s="401"/>
      <c r="C2074" s="371"/>
      <c r="D2074" s="419"/>
      <c r="E2074" s="409"/>
      <c r="F2074" s="451"/>
      <c r="G2074" s="372"/>
    </row>
    <row r="2075" spans="1:7" x14ac:dyDescent="0.2">
      <c r="A2075" s="364"/>
      <c r="B2075" s="401"/>
      <c r="C2075" s="422"/>
      <c r="D2075" s="419"/>
      <c r="E2075" s="423"/>
      <c r="F2075" s="551"/>
      <c r="G2075" s="372"/>
    </row>
    <row r="2076" spans="1:7" x14ac:dyDescent="0.2">
      <c r="A2076" s="364"/>
      <c r="B2076" s="401"/>
      <c r="C2076" s="371"/>
      <c r="D2076" s="425"/>
      <c r="E2076" s="407"/>
      <c r="F2076" s="552"/>
      <c r="G2076" s="372"/>
    </row>
    <row r="2077" spans="1:7" x14ac:dyDescent="0.2">
      <c r="A2077" s="555"/>
      <c r="B2077" s="401"/>
      <c r="C2077" s="371"/>
      <c r="D2077" s="383"/>
      <c r="E2077" s="407"/>
      <c r="F2077" s="406"/>
      <c r="G2077" s="556">
        <v>0.01</v>
      </c>
    </row>
    <row r="2078" spans="1:7" ht="13.5" thickBot="1" x14ac:dyDescent="0.25">
      <c r="A2078" s="553"/>
      <c r="B2078" s="427"/>
      <c r="C2078" s="428"/>
      <c r="D2078" s="428"/>
      <c r="E2078" s="427"/>
      <c r="F2078" s="49" t="s">
        <v>15</v>
      </c>
      <c r="G2078" s="210">
        <f>SUM(G2045:G2077)</f>
        <v>35000.002</v>
      </c>
    </row>
    <row r="2079" spans="1:7" ht="13.5" thickTop="1" x14ac:dyDescent="0.2">
      <c r="A2079" s="875" t="s">
        <v>2704</v>
      </c>
      <c r="B2079" s="876"/>
      <c r="C2079" s="876"/>
      <c r="D2079" s="876"/>
      <c r="E2079" s="876"/>
      <c r="F2079" s="876"/>
      <c r="G2079" s="877"/>
    </row>
    <row r="2080" spans="1:7" ht="13.5" thickBot="1" x14ac:dyDescent="0.25">
      <c r="A2080" s="378"/>
      <c r="B2080" s="374"/>
      <c r="C2080" s="374"/>
      <c r="D2080" s="379"/>
      <c r="E2080" s="374"/>
      <c r="F2080" s="380"/>
      <c r="G2080" s="381"/>
    </row>
    <row r="2081" spans="1:7" ht="13.5" thickTop="1" x14ac:dyDescent="0.2">
      <c r="A2081" s="878"/>
      <c r="B2081" s="879"/>
      <c r="C2081" s="879"/>
      <c r="D2081" s="433" t="s">
        <v>11</v>
      </c>
      <c r="E2081" s="880" t="s">
        <v>12</v>
      </c>
      <c r="F2081" s="880"/>
      <c r="G2081" s="881"/>
    </row>
    <row r="2082" spans="1:7" x14ac:dyDescent="0.2">
      <c r="A2082" s="866" t="s">
        <v>17</v>
      </c>
      <c r="B2082" s="867"/>
      <c r="C2082" s="867"/>
      <c r="D2082" s="434"/>
      <c r="E2082" s="882"/>
      <c r="F2082" s="883"/>
      <c r="G2082" s="884"/>
    </row>
    <row r="2083" spans="1:7" x14ac:dyDescent="0.2">
      <c r="A2083" s="866" t="s">
        <v>38</v>
      </c>
      <c r="B2083" s="867"/>
      <c r="C2083" s="867"/>
      <c r="D2083" s="73" t="s">
        <v>891</v>
      </c>
      <c r="E2083" s="868" t="s">
        <v>142</v>
      </c>
      <c r="F2083" s="868"/>
      <c r="G2083" s="869"/>
    </row>
    <row r="2084" spans="1:7" ht="13.5" thickBot="1" x14ac:dyDescent="0.25">
      <c r="A2084" s="870" t="s">
        <v>39</v>
      </c>
      <c r="B2084" s="871"/>
      <c r="C2084" s="871"/>
      <c r="D2084" s="554" t="s">
        <v>892</v>
      </c>
      <c r="E2084" s="873" t="s">
        <v>0</v>
      </c>
      <c r="F2084" s="873"/>
      <c r="G2084" s="874"/>
    </row>
  </sheetData>
  <mergeCells count="588">
    <mergeCell ref="A1887:C1887"/>
    <mergeCell ref="E1887:G1887"/>
    <mergeCell ref="A1888:C1888"/>
    <mergeCell ref="E1888:G1888"/>
    <mergeCell ref="A1839:G1839"/>
    <mergeCell ref="A1840:G1840"/>
    <mergeCell ref="A1841:G1841"/>
    <mergeCell ref="E1844:F1844"/>
    <mergeCell ref="E1846:F1846"/>
    <mergeCell ref="A1883:G1883"/>
    <mergeCell ref="A1885:C1885"/>
    <mergeCell ref="E1885:G1885"/>
    <mergeCell ref="A1886:C1886"/>
    <mergeCell ref="E1886:G1886"/>
    <mergeCell ref="A1237:C1237"/>
    <mergeCell ref="E1237:G1237"/>
    <mergeCell ref="A1238:C1238"/>
    <mergeCell ref="E1238:G1238"/>
    <mergeCell ref="A1189:G1189"/>
    <mergeCell ref="A1190:G1190"/>
    <mergeCell ref="A1191:G1191"/>
    <mergeCell ref="E1194:F1194"/>
    <mergeCell ref="E1196:F1196"/>
    <mergeCell ref="A1233:G1233"/>
    <mergeCell ref="A1235:C1235"/>
    <mergeCell ref="E1235:G1235"/>
    <mergeCell ref="A1236:C1236"/>
    <mergeCell ref="E1236:G1236"/>
    <mergeCell ref="A1085:G1085"/>
    <mergeCell ref="A1087:C1087"/>
    <mergeCell ref="E1087:G1087"/>
    <mergeCell ref="A1088:C1088"/>
    <mergeCell ref="E1088:G1088"/>
    <mergeCell ref="A1089:C1089"/>
    <mergeCell ref="E1089:G1089"/>
    <mergeCell ref="A1090:C1090"/>
    <mergeCell ref="E1090:G1090"/>
    <mergeCell ref="A1039:C1039"/>
    <mergeCell ref="E1039:G1039"/>
    <mergeCell ref="A1040:C1040"/>
    <mergeCell ref="E1040:G1040"/>
    <mergeCell ref="A1041:G1041"/>
    <mergeCell ref="A1042:G1042"/>
    <mergeCell ref="A1043:G1043"/>
    <mergeCell ref="E1046:F1046"/>
    <mergeCell ref="E1048:F1048"/>
    <mergeCell ref="A992:G992"/>
    <mergeCell ref="A993:G993"/>
    <mergeCell ref="A994:G994"/>
    <mergeCell ref="E997:F997"/>
    <mergeCell ref="E999:F999"/>
    <mergeCell ref="A1035:G1035"/>
    <mergeCell ref="A1037:C1037"/>
    <mergeCell ref="E1037:G1037"/>
    <mergeCell ref="A1038:C1038"/>
    <mergeCell ref="E1038:G1038"/>
    <mergeCell ref="A990:C990"/>
    <mergeCell ref="E990:G990"/>
    <mergeCell ref="A991:C991"/>
    <mergeCell ref="E991:G991"/>
    <mergeCell ref="A942:G942"/>
    <mergeCell ref="A943:G943"/>
    <mergeCell ref="A944:G944"/>
    <mergeCell ref="E947:F947"/>
    <mergeCell ref="E949:F949"/>
    <mergeCell ref="A986:G986"/>
    <mergeCell ref="A988:C988"/>
    <mergeCell ref="E988:G988"/>
    <mergeCell ref="A989:C989"/>
    <mergeCell ref="E989:G989"/>
    <mergeCell ref="A890:C890"/>
    <mergeCell ref="E890:G890"/>
    <mergeCell ref="A891:C891"/>
    <mergeCell ref="E891:G891"/>
    <mergeCell ref="A842:G842"/>
    <mergeCell ref="A843:G843"/>
    <mergeCell ref="A844:G844"/>
    <mergeCell ref="E847:F847"/>
    <mergeCell ref="E849:F849"/>
    <mergeCell ref="A886:G886"/>
    <mergeCell ref="A888:C888"/>
    <mergeCell ref="E888:G888"/>
    <mergeCell ref="A889:C889"/>
    <mergeCell ref="E889:G889"/>
    <mergeCell ref="A836:G836"/>
    <mergeCell ref="A838:C838"/>
    <mergeCell ref="E838:G838"/>
    <mergeCell ref="A839:C839"/>
    <mergeCell ref="E839:G839"/>
    <mergeCell ref="A840:C840"/>
    <mergeCell ref="E840:G840"/>
    <mergeCell ref="A841:C841"/>
    <mergeCell ref="E841:G841"/>
    <mergeCell ref="A789:C789"/>
    <mergeCell ref="E789:G789"/>
    <mergeCell ref="A790:C790"/>
    <mergeCell ref="E790:G790"/>
    <mergeCell ref="A792:G792"/>
    <mergeCell ref="A793:G793"/>
    <mergeCell ref="A794:G794"/>
    <mergeCell ref="E797:F797"/>
    <mergeCell ref="E799:F799"/>
    <mergeCell ref="A742:G742"/>
    <mergeCell ref="A743:G743"/>
    <mergeCell ref="A744:G744"/>
    <mergeCell ref="E747:F747"/>
    <mergeCell ref="E749:F749"/>
    <mergeCell ref="A785:G785"/>
    <mergeCell ref="A787:C787"/>
    <mergeCell ref="E787:G787"/>
    <mergeCell ref="A788:C788"/>
    <mergeCell ref="E788:G788"/>
    <mergeCell ref="A736:G736"/>
    <mergeCell ref="A738:C738"/>
    <mergeCell ref="E738:G738"/>
    <mergeCell ref="A739:C739"/>
    <mergeCell ref="E739:G739"/>
    <mergeCell ref="A740:C740"/>
    <mergeCell ref="E740:G740"/>
    <mergeCell ref="A741:C741"/>
    <mergeCell ref="E741:G741"/>
    <mergeCell ref="A691:C691"/>
    <mergeCell ref="E691:G691"/>
    <mergeCell ref="A692:C692"/>
    <mergeCell ref="E692:G692"/>
    <mergeCell ref="A693:G693"/>
    <mergeCell ref="A694:G694"/>
    <mergeCell ref="A695:G695"/>
    <mergeCell ref="E698:F698"/>
    <mergeCell ref="E700:F700"/>
    <mergeCell ref="A644:G644"/>
    <mergeCell ref="A645:G645"/>
    <mergeCell ref="A646:G646"/>
    <mergeCell ref="E649:F649"/>
    <mergeCell ref="E651:F651"/>
    <mergeCell ref="A687:G687"/>
    <mergeCell ref="A689:C689"/>
    <mergeCell ref="E689:G689"/>
    <mergeCell ref="A690:C690"/>
    <mergeCell ref="E690:G690"/>
    <mergeCell ref="A638:G638"/>
    <mergeCell ref="A640:C640"/>
    <mergeCell ref="E640:G640"/>
    <mergeCell ref="A641:C641"/>
    <mergeCell ref="E641:G641"/>
    <mergeCell ref="A642:C642"/>
    <mergeCell ref="E642:G642"/>
    <mergeCell ref="A643:C643"/>
    <mergeCell ref="E643:G643"/>
    <mergeCell ref="A593:C593"/>
    <mergeCell ref="E593:G593"/>
    <mergeCell ref="A594:C594"/>
    <mergeCell ref="E594:G594"/>
    <mergeCell ref="A595:G595"/>
    <mergeCell ref="A596:G596"/>
    <mergeCell ref="A597:G597"/>
    <mergeCell ref="E600:F600"/>
    <mergeCell ref="E602:F602"/>
    <mergeCell ref="A546:G546"/>
    <mergeCell ref="A547:G547"/>
    <mergeCell ref="A548:G548"/>
    <mergeCell ref="E551:F551"/>
    <mergeCell ref="E553:F553"/>
    <mergeCell ref="A589:G589"/>
    <mergeCell ref="A591:C591"/>
    <mergeCell ref="E591:G591"/>
    <mergeCell ref="A592:C592"/>
    <mergeCell ref="E592:G592"/>
    <mergeCell ref="A540:G540"/>
    <mergeCell ref="A542:C542"/>
    <mergeCell ref="E542:G542"/>
    <mergeCell ref="A543:C543"/>
    <mergeCell ref="E543:G543"/>
    <mergeCell ref="A544:C544"/>
    <mergeCell ref="E544:G544"/>
    <mergeCell ref="A545:C545"/>
    <mergeCell ref="E545:G545"/>
    <mergeCell ref="A495:C495"/>
    <mergeCell ref="E495:G495"/>
    <mergeCell ref="A496:C496"/>
    <mergeCell ref="E496:G496"/>
    <mergeCell ref="A497:G497"/>
    <mergeCell ref="A498:G498"/>
    <mergeCell ref="A499:G499"/>
    <mergeCell ref="E502:F502"/>
    <mergeCell ref="E504:F504"/>
    <mergeCell ref="A448:G448"/>
    <mergeCell ref="A449:G449"/>
    <mergeCell ref="A450:G450"/>
    <mergeCell ref="E453:F453"/>
    <mergeCell ref="E455:F455"/>
    <mergeCell ref="A491:G491"/>
    <mergeCell ref="A493:C493"/>
    <mergeCell ref="E493:G493"/>
    <mergeCell ref="A494:C494"/>
    <mergeCell ref="E494:G494"/>
    <mergeCell ref="E253:F253"/>
    <mergeCell ref="E255:F255"/>
    <mergeCell ref="A296:C296"/>
    <mergeCell ref="E296:G296"/>
    <mergeCell ref="A297:C297"/>
    <mergeCell ref="E297:G297"/>
    <mergeCell ref="A292:G292"/>
    <mergeCell ref="A294:C294"/>
    <mergeCell ref="E294:G294"/>
    <mergeCell ref="A295:C295"/>
    <mergeCell ref="E295:G295"/>
    <mergeCell ref="A44:G44"/>
    <mergeCell ref="A1:G1"/>
    <mergeCell ref="A2:G2"/>
    <mergeCell ref="A3:G3"/>
    <mergeCell ref="E6:F6"/>
    <mergeCell ref="E8:F8"/>
    <mergeCell ref="A248:G248"/>
    <mergeCell ref="A249:G249"/>
    <mergeCell ref="A250:G250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149:G149"/>
    <mergeCell ref="A150:G150"/>
    <mergeCell ref="E153:F153"/>
    <mergeCell ref="E155:F155"/>
    <mergeCell ref="A192:G192"/>
    <mergeCell ref="A146:C146"/>
    <mergeCell ref="E146:G146"/>
    <mergeCell ref="A147:C147"/>
    <mergeCell ref="E147:G147"/>
    <mergeCell ref="A148:G148"/>
    <mergeCell ref="A197:C197"/>
    <mergeCell ref="E197:G197"/>
    <mergeCell ref="A198:G198"/>
    <mergeCell ref="A199:G199"/>
    <mergeCell ref="A200:G200"/>
    <mergeCell ref="A194:C194"/>
    <mergeCell ref="E194:G194"/>
    <mergeCell ref="A195:C195"/>
    <mergeCell ref="E195:G195"/>
    <mergeCell ref="A196:C196"/>
    <mergeCell ref="E196:G196"/>
    <mergeCell ref="A245:C245"/>
    <mergeCell ref="E245:G245"/>
    <mergeCell ref="A246:C246"/>
    <mergeCell ref="E246:G246"/>
    <mergeCell ref="A247:C247"/>
    <mergeCell ref="E247:G247"/>
    <mergeCell ref="E203:F203"/>
    <mergeCell ref="E205:F205"/>
    <mergeCell ref="A242:G242"/>
    <mergeCell ref="A244:C244"/>
    <mergeCell ref="E244:G244"/>
    <mergeCell ref="A342:G342"/>
    <mergeCell ref="A344:C344"/>
    <mergeCell ref="E344:G344"/>
    <mergeCell ref="A345:C345"/>
    <mergeCell ref="E345:G345"/>
    <mergeCell ref="A298:G298"/>
    <mergeCell ref="A299:G299"/>
    <mergeCell ref="A300:G300"/>
    <mergeCell ref="E303:F303"/>
    <mergeCell ref="E305:F305"/>
    <mergeCell ref="A349:G349"/>
    <mergeCell ref="A350:G350"/>
    <mergeCell ref="E353:F353"/>
    <mergeCell ref="E355:F355"/>
    <mergeCell ref="A392:G392"/>
    <mergeCell ref="A346:C346"/>
    <mergeCell ref="E346:G346"/>
    <mergeCell ref="A347:C347"/>
    <mergeCell ref="E347:G347"/>
    <mergeCell ref="A348:G348"/>
    <mergeCell ref="A397:C397"/>
    <mergeCell ref="E397:G397"/>
    <mergeCell ref="A398:G398"/>
    <mergeCell ref="A399:G399"/>
    <mergeCell ref="A400:G400"/>
    <mergeCell ref="A394:C394"/>
    <mergeCell ref="E394:G394"/>
    <mergeCell ref="A395:C395"/>
    <mergeCell ref="E395:G395"/>
    <mergeCell ref="A396:C396"/>
    <mergeCell ref="E396:G396"/>
    <mergeCell ref="A445:C445"/>
    <mergeCell ref="E445:G445"/>
    <mergeCell ref="A446:C446"/>
    <mergeCell ref="E446:G446"/>
    <mergeCell ref="A447:C447"/>
    <mergeCell ref="E447:G447"/>
    <mergeCell ref="E403:F403"/>
    <mergeCell ref="E405:F405"/>
    <mergeCell ref="A442:G442"/>
    <mergeCell ref="A444:C444"/>
    <mergeCell ref="E444:G444"/>
    <mergeCell ref="A940:C940"/>
    <mergeCell ref="E940:G940"/>
    <mergeCell ref="A941:C941"/>
    <mergeCell ref="E941:G941"/>
    <mergeCell ref="A892:G892"/>
    <mergeCell ref="A893:G893"/>
    <mergeCell ref="A894:G894"/>
    <mergeCell ref="E897:F897"/>
    <mergeCell ref="E899:F899"/>
    <mergeCell ref="A936:G936"/>
    <mergeCell ref="A938:C938"/>
    <mergeCell ref="E938:G938"/>
    <mergeCell ref="A939:C939"/>
    <mergeCell ref="E939:G939"/>
    <mergeCell ref="A1091:G1091"/>
    <mergeCell ref="A1092:G1092"/>
    <mergeCell ref="A1093:G1093"/>
    <mergeCell ref="E1096:F1096"/>
    <mergeCell ref="E1098:F1098"/>
    <mergeCell ref="A1134:G1134"/>
    <mergeCell ref="A1136:C1136"/>
    <mergeCell ref="E1136:G1136"/>
    <mergeCell ref="A1137:C1137"/>
    <mergeCell ref="E1137:G1137"/>
    <mergeCell ref="A1138:C1138"/>
    <mergeCell ref="E1138:G1138"/>
    <mergeCell ref="A1139:C1139"/>
    <mergeCell ref="E1139:G1139"/>
    <mergeCell ref="A1140:G1140"/>
    <mergeCell ref="A1141:G1141"/>
    <mergeCell ref="A1142:G1142"/>
    <mergeCell ref="E1145:F1145"/>
    <mergeCell ref="E1147:F1147"/>
    <mergeCell ref="A1183:G1183"/>
    <mergeCell ref="A1185:C1185"/>
    <mergeCell ref="E1185:G1185"/>
    <mergeCell ref="A1186:C1186"/>
    <mergeCell ref="E1186:G1186"/>
    <mergeCell ref="A1187:C1187"/>
    <mergeCell ref="E1187:G1187"/>
    <mergeCell ref="A1188:C1188"/>
    <mergeCell ref="E1188:G1188"/>
    <mergeCell ref="A1289:G1289"/>
    <mergeCell ref="A1290:G1290"/>
    <mergeCell ref="A1291:G1291"/>
    <mergeCell ref="E1294:F1294"/>
    <mergeCell ref="E1296:F1296"/>
    <mergeCell ref="A1333:G1333"/>
    <mergeCell ref="A1335:C1335"/>
    <mergeCell ref="E1335:G1335"/>
    <mergeCell ref="A1336:C1336"/>
    <mergeCell ref="E1336:G1336"/>
    <mergeCell ref="A1337:C1337"/>
    <mergeCell ref="E1337:G1337"/>
    <mergeCell ref="A1338:C1338"/>
    <mergeCell ref="E1338:G1338"/>
    <mergeCell ref="A1389:G1389"/>
    <mergeCell ref="A1390:G1390"/>
    <mergeCell ref="A1391:G1391"/>
    <mergeCell ref="E1394:F1394"/>
    <mergeCell ref="E1396:F1396"/>
    <mergeCell ref="A1385:C1385"/>
    <mergeCell ref="E1385:G1385"/>
    <mergeCell ref="A1386:C1386"/>
    <mergeCell ref="E1386:G1386"/>
    <mergeCell ref="A1387:C1387"/>
    <mergeCell ref="E1387:G1387"/>
    <mergeCell ref="A1388:C1388"/>
    <mergeCell ref="E1388:G1388"/>
    <mergeCell ref="A1433:G1433"/>
    <mergeCell ref="A1435:C1435"/>
    <mergeCell ref="E1435:G1435"/>
    <mergeCell ref="A1436:C1436"/>
    <mergeCell ref="E1436:G1436"/>
    <mergeCell ref="A1437:C1437"/>
    <mergeCell ref="E1437:G1437"/>
    <mergeCell ref="A1438:C1438"/>
    <mergeCell ref="E1438:G1438"/>
    <mergeCell ref="A1439:G1439"/>
    <mergeCell ref="A1440:G1440"/>
    <mergeCell ref="A1441:G1441"/>
    <mergeCell ref="E1444:F1444"/>
    <mergeCell ref="E1446:F1446"/>
    <mergeCell ref="A1483:G1483"/>
    <mergeCell ref="A1485:C1485"/>
    <mergeCell ref="E1485:G1485"/>
    <mergeCell ref="A1486:C1486"/>
    <mergeCell ref="E1486:G1486"/>
    <mergeCell ref="A1487:C1487"/>
    <mergeCell ref="E1487:G1487"/>
    <mergeCell ref="A1488:C1488"/>
    <mergeCell ref="E1488:G1488"/>
    <mergeCell ref="A1239:G1239"/>
    <mergeCell ref="A1240:G1240"/>
    <mergeCell ref="A1241:G1241"/>
    <mergeCell ref="E1244:F1244"/>
    <mergeCell ref="E1246:F1246"/>
    <mergeCell ref="A1283:G1283"/>
    <mergeCell ref="A1285:C1285"/>
    <mergeCell ref="E1285:G1285"/>
    <mergeCell ref="A1286:C1286"/>
    <mergeCell ref="E1286:G1286"/>
    <mergeCell ref="A1287:C1287"/>
    <mergeCell ref="E1287:G1287"/>
    <mergeCell ref="A1288:C1288"/>
    <mergeCell ref="E1288:G1288"/>
    <mergeCell ref="A1339:G1339"/>
    <mergeCell ref="A1340:G1340"/>
    <mergeCell ref="A1341:G1341"/>
    <mergeCell ref="E1344:F1344"/>
    <mergeCell ref="E1346:F1346"/>
    <mergeCell ref="A1383:G1383"/>
    <mergeCell ref="A1489:G1489"/>
    <mergeCell ref="A1490:G1490"/>
    <mergeCell ref="A1491:G1491"/>
    <mergeCell ref="E1494:F1494"/>
    <mergeCell ref="E1496:F1496"/>
    <mergeCell ref="A1533:G1533"/>
    <mergeCell ref="A1535:C1535"/>
    <mergeCell ref="E1535:G1535"/>
    <mergeCell ref="A1536:C1536"/>
    <mergeCell ref="E1536:G1536"/>
    <mergeCell ref="A1537:C1537"/>
    <mergeCell ref="E1537:G1537"/>
    <mergeCell ref="A1538:C1538"/>
    <mergeCell ref="E1538:G1538"/>
    <mergeCell ref="A1539:G1539"/>
    <mergeCell ref="A1540:G1540"/>
    <mergeCell ref="A1541:G1541"/>
    <mergeCell ref="E1544:F1544"/>
    <mergeCell ref="E1546:F1546"/>
    <mergeCell ref="A1583:G1583"/>
    <mergeCell ref="A1585:C1585"/>
    <mergeCell ref="E1585:G1585"/>
    <mergeCell ref="A1586:C1586"/>
    <mergeCell ref="E1586:G1586"/>
    <mergeCell ref="A1587:C1587"/>
    <mergeCell ref="E1587:G1587"/>
    <mergeCell ref="A1588:C1588"/>
    <mergeCell ref="E1588:G1588"/>
    <mergeCell ref="A1589:G1589"/>
    <mergeCell ref="A1590:G1590"/>
    <mergeCell ref="A1591:G1591"/>
    <mergeCell ref="E1594:F1594"/>
    <mergeCell ref="E1596:F1596"/>
    <mergeCell ref="A1633:G1633"/>
    <mergeCell ref="A1635:C1635"/>
    <mergeCell ref="E1635:G1635"/>
    <mergeCell ref="A1636:C1636"/>
    <mergeCell ref="E1636:G1636"/>
    <mergeCell ref="A1637:C1637"/>
    <mergeCell ref="E1637:G1637"/>
    <mergeCell ref="A1638:C1638"/>
    <mergeCell ref="E1638:G1638"/>
    <mergeCell ref="A1639:G1639"/>
    <mergeCell ref="A1640:G1640"/>
    <mergeCell ref="A1641:G1641"/>
    <mergeCell ref="E1644:F1644"/>
    <mergeCell ref="E1646:F1646"/>
    <mergeCell ref="A1683:G1683"/>
    <mergeCell ref="A1685:C1685"/>
    <mergeCell ref="E1685:G1685"/>
    <mergeCell ref="A1686:C1686"/>
    <mergeCell ref="E1686:G1686"/>
    <mergeCell ref="A1687:C1687"/>
    <mergeCell ref="E1687:G1687"/>
    <mergeCell ref="A1688:C1688"/>
    <mergeCell ref="E1688:G1688"/>
    <mergeCell ref="A1689:G1689"/>
    <mergeCell ref="A1690:G1690"/>
    <mergeCell ref="A1691:G1691"/>
    <mergeCell ref="E1694:F1694"/>
    <mergeCell ref="E1696:F1696"/>
    <mergeCell ref="A1733:G1733"/>
    <mergeCell ref="A1735:C1735"/>
    <mergeCell ref="E1735:G1735"/>
    <mergeCell ref="A1736:C1736"/>
    <mergeCell ref="E1736:G1736"/>
    <mergeCell ref="A1737:C1737"/>
    <mergeCell ref="E1737:G1737"/>
    <mergeCell ref="A1738:C1738"/>
    <mergeCell ref="E1738:G1738"/>
    <mergeCell ref="A1739:G1739"/>
    <mergeCell ref="A1740:G1740"/>
    <mergeCell ref="A1741:G1741"/>
    <mergeCell ref="E1744:F1744"/>
    <mergeCell ref="E1746:F1746"/>
    <mergeCell ref="A1783:G1783"/>
    <mergeCell ref="A1785:C1785"/>
    <mergeCell ref="E1785:G1785"/>
    <mergeCell ref="A1786:C1786"/>
    <mergeCell ref="E1786:G1786"/>
    <mergeCell ref="A1787:C1787"/>
    <mergeCell ref="E1787:G1787"/>
    <mergeCell ref="A1788:C1788"/>
    <mergeCell ref="E1788:G1788"/>
    <mergeCell ref="A1837:C1837"/>
    <mergeCell ref="E1837:G1837"/>
    <mergeCell ref="A1838:C1838"/>
    <mergeCell ref="E1838:G1838"/>
    <mergeCell ref="A1789:G1789"/>
    <mergeCell ref="A1790:G1790"/>
    <mergeCell ref="A1791:G1791"/>
    <mergeCell ref="E1794:F1794"/>
    <mergeCell ref="E1796:F1796"/>
    <mergeCell ref="A1833:G1833"/>
    <mergeCell ref="A1835:C1835"/>
    <mergeCell ref="E1835:G1835"/>
    <mergeCell ref="A1836:C1836"/>
    <mergeCell ref="E1836:G1836"/>
    <mergeCell ref="A1889:G1889"/>
    <mergeCell ref="A1890:G1890"/>
    <mergeCell ref="A1891:G1891"/>
    <mergeCell ref="E1894:F1894"/>
    <mergeCell ref="E1896:F1896"/>
    <mergeCell ref="A1932:G1932"/>
    <mergeCell ref="A1934:C1934"/>
    <mergeCell ref="E1934:G1934"/>
    <mergeCell ref="A1935:C1935"/>
    <mergeCell ref="E1935:G1935"/>
    <mergeCell ref="A1936:C1936"/>
    <mergeCell ref="E1936:G1936"/>
    <mergeCell ref="A1937:C1937"/>
    <mergeCell ref="E1937:G1937"/>
    <mergeCell ref="A1938:G1938"/>
    <mergeCell ref="A1939:G1939"/>
    <mergeCell ref="A1940:G1940"/>
    <mergeCell ref="E1943:F1943"/>
    <mergeCell ref="E1945:F1945"/>
    <mergeCell ref="A1981:G1981"/>
    <mergeCell ref="A1983:C1983"/>
    <mergeCell ref="E1983:G1983"/>
    <mergeCell ref="A1984:C1984"/>
    <mergeCell ref="E1984:G1984"/>
    <mergeCell ref="A1985:C1985"/>
    <mergeCell ref="E1985:G1985"/>
    <mergeCell ref="A1986:C1986"/>
    <mergeCell ref="E1986:G1986"/>
    <mergeCell ref="A1987:G1987"/>
    <mergeCell ref="A1988:G1988"/>
    <mergeCell ref="A1989:G1989"/>
    <mergeCell ref="E1992:F1992"/>
    <mergeCell ref="E1994:F1994"/>
    <mergeCell ref="A2030:G2030"/>
    <mergeCell ref="A2032:C2032"/>
    <mergeCell ref="E2032:G2032"/>
    <mergeCell ref="A2033:C2033"/>
    <mergeCell ref="E2033:G2033"/>
    <mergeCell ref="A2034:C2034"/>
    <mergeCell ref="E2034:G2034"/>
    <mergeCell ref="A2035:C2035"/>
    <mergeCell ref="E2035:G2035"/>
    <mergeCell ref="A2036:G2036"/>
    <mergeCell ref="A2037:G2037"/>
    <mergeCell ref="A2038:G2038"/>
    <mergeCell ref="E2041:F2041"/>
    <mergeCell ref="E2043:F2043"/>
    <mergeCell ref="A2079:G2079"/>
    <mergeCell ref="A2081:C2081"/>
    <mergeCell ref="E2081:G2081"/>
    <mergeCell ref="A2082:C2082"/>
    <mergeCell ref="E2082:G2082"/>
    <mergeCell ref="A2083:C2083"/>
    <mergeCell ref="E2083:G2083"/>
    <mergeCell ref="A2084:C2084"/>
    <mergeCell ref="E2084:G2084"/>
  </mergeCells>
  <phoneticPr fontId="44" type="noConversion"/>
  <pageMargins left="0.5" right="0.5" top="1" bottom="1" header="0.3" footer="0.3"/>
  <pageSetup fitToWidth="0" orientation="portrait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8A3CC4"/>
  </sheetPr>
  <dimension ref="A1:O48"/>
  <sheetViews>
    <sheetView topLeftCell="A14" zoomScale="115" zoomScaleNormal="115" workbookViewId="0">
      <selection activeCell="D31" sqref="D3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6.140625" style="2" customWidth="1"/>
    <col min="10" max="10" width="4.5703125" style="2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39.140625" style="2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2" ht="16.5" x14ac:dyDescent="0.25">
      <c r="A1" s="885" t="s">
        <v>29</v>
      </c>
      <c r="B1" s="886"/>
      <c r="C1" s="886"/>
      <c r="D1" s="886"/>
      <c r="E1" s="886"/>
      <c r="F1" s="886"/>
      <c r="G1" s="887"/>
      <c r="L1" s="211"/>
    </row>
    <row r="2" spans="1:12" x14ac:dyDescent="0.2">
      <c r="A2" s="888" t="s">
        <v>48</v>
      </c>
      <c r="B2" s="889"/>
      <c r="C2" s="889"/>
      <c r="D2" s="889"/>
      <c r="E2" s="889"/>
      <c r="F2" s="889"/>
      <c r="G2" s="890"/>
      <c r="K2" s="211"/>
      <c r="L2" s="211"/>
    </row>
    <row r="3" spans="1:12" x14ac:dyDescent="0.2">
      <c r="A3" s="915" t="s">
        <v>49</v>
      </c>
      <c r="B3" s="916"/>
      <c r="C3" s="916"/>
      <c r="D3" s="916"/>
      <c r="E3" s="916"/>
      <c r="F3" s="916"/>
      <c r="G3" s="917"/>
      <c r="K3" s="211"/>
      <c r="L3" s="211"/>
    </row>
    <row r="4" spans="1:12" x14ac:dyDescent="0.2">
      <c r="A4" s="6"/>
      <c r="B4" s="99"/>
      <c r="C4" s="8"/>
      <c r="D4" s="9"/>
      <c r="E4" s="99"/>
      <c r="F4" s="10"/>
      <c r="G4" s="11" t="s">
        <v>20</v>
      </c>
      <c r="K4" s="211"/>
      <c r="L4" s="211"/>
    </row>
    <row r="5" spans="1:12" x14ac:dyDescent="0.2">
      <c r="A5" s="12" t="s">
        <v>42</v>
      </c>
      <c r="B5" s="13"/>
      <c r="C5" s="13"/>
      <c r="D5" s="13"/>
      <c r="E5" s="362" t="s">
        <v>68</v>
      </c>
      <c r="F5" s="98"/>
      <c r="G5" s="363" t="s">
        <v>70</v>
      </c>
      <c r="K5" s="211"/>
      <c r="L5" s="211"/>
    </row>
    <row r="6" spans="1:12" x14ac:dyDescent="0.2">
      <c r="A6" s="17" t="s">
        <v>8</v>
      </c>
      <c r="B6" s="100"/>
      <c r="C6" s="19"/>
      <c r="D6" s="4"/>
      <c r="E6" s="918"/>
      <c r="F6" s="919"/>
      <c r="G6" s="20"/>
      <c r="K6" s="211"/>
      <c r="L6" s="211"/>
    </row>
    <row r="7" spans="1:12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  <c r="K7" s="211"/>
      <c r="L7" s="211"/>
    </row>
    <row r="8" spans="1:12" x14ac:dyDescent="0.2">
      <c r="A8" s="6"/>
      <c r="B8" s="99"/>
      <c r="C8" s="8"/>
      <c r="D8" s="8"/>
      <c r="E8" s="920"/>
      <c r="F8" s="921"/>
      <c r="G8" s="25"/>
      <c r="K8" s="211"/>
      <c r="L8" s="211"/>
    </row>
    <row r="9" spans="1:12" ht="26.25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" t="s">
        <v>1002</v>
      </c>
      <c r="K9" s="211"/>
      <c r="L9" s="211"/>
    </row>
    <row r="10" spans="1:12" ht="13.5" thickTop="1" x14ac:dyDescent="0.2">
      <c r="A10" s="29"/>
      <c r="B10" s="101"/>
      <c r="C10" s="41"/>
      <c r="D10" s="136"/>
      <c r="E10" s="158"/>
      <c r="F10" s="128"/>
      <c r="G10" s="35" t="s">
        <v>8</v>
      </c>
      <c r="K10" s="211"/>
      <c r="L10" s="211"/>
    </row>
    <row r="11" spans="1:12" x14ac:dyDescent="0.2">
      <c r="A11" s="29"/>
      <c r="B11" s="101"/>
      <c r="C11" s="41"/>
      <c r="D11" s="129"/>
      <c r="E11" s="108"/>
      <c r="F11" s="128"/>
      <c r="G11" s="35">
        <f>F11*E11</f>
        <v>0</v>
      </c>
      <c r="K11" s="211"/>
      <c r="L11" s="211"/>
    </row>
    <row r="12" spans="1:12" x14ac:dyDescent="0.2">
      <c r="A12" s="29"/>
      <c r="B12" s="101"/>
      <c r="C12" s="41"/>
      <c r="D12" s="129"/>
      <c r="E12" s="205"/>
      <c r="F12" s="149"/>
      <c r="G12" s="35">
        <f t="shared" ref="G12:G22" si="0">F12*E12</f>
        <v>0</v>
      </c>
      <c r="K12" s="211"/>
      <c r="L12" s="211"/>
    </row>
    <row r="13" spans="1:12" x14ac:dyDescent="0.2">
      <c r="A13" s="29"/>
      <c r="B13" s="101"/>
      <c r="C13" s="41"/>
      <c r="D13" s="129"/>
      <c r="E13" s="108"/>
      <c r="F13" s="128"/>
      <c r="G13" s="35">
        <f t="shared" si="0"/>
        <v>0</v>
      </c>
      <c r="K13" s="211"/>
      <c r="L13" s="211"/>
    </row>
    <row r="14" spans="1:12" x14ac:dyDescent="0.2">
      <c r="A14" s="29"/>
      <c r="B14" s="105"/>
      <c r="C14" s="41"/>
      <c r="D14" s="136"/>
      <c r="E14" s="102"/>
      <c r="F14" s="128"/>
      <c r="G14" s="35" t="s">
        <v>152</v>
      </c>
      <c r="L14" s="211"/>
    </row>
    <row r="15" spans="1:12" x14ac:dyDescent="0.2">
      <c r="A15" s="29"/>
      <c r="B15" s="105"/>
      <c r="C15" s="41"/>
      <c r="D15" s="136"/>
      <c r="E15" s="102"/>
      <c r="F15" s="128"/>
      <c r="G15" s="35" t="s">
        <v>8</v>
      </c>
      <c r="L15" s="211"/>
    </row>
    <row r="16" spans="1:12" x14ac:dyDescent="0.2">
      <c r="A16" s="29"/>
      <c r="B16" s="151"/>
      <c r="C16" s="119"/>
      <c r="D16" s="136"/>
      <c r="E16" s="108"/>
      <c r="F16" s="150"/>
      <c r="G16" s="35">
        <f t="shared" si="0"/>
        <v>0</v>
      </c>
      <c r="L16" s="211"/>
    </row>
    <row r="17" spans="1:12" x14ac:dyDescent="0.2">
      <c r="A17" s="29"/>
      <c r="B17" s="151"/>
      <c r="C17" s="119"/>
      <c r="D17" s="144"/>
      <c r="E17" s="108"/>
      <c r="F17" s="150"/>
      <c r="G17" s="35">
        <f t="shared" si="0"/>
        <v>0</v>
      </c>
      <c r="L17" s="211"/>
    </row>
    <row r="18" spans="1:12" x14ac:dyDescent="0.2">
      <c r="A18" s="29"/>
      <c r="B18" s="101"/>
      <c r="C18" s="41"/>
      <c r="D18" s="144"/>
      <c r="E18" s="155"/>
      <c r="F18" s="128"/>
      <c r="G18" s="35">
        <f t="shared" si="0"/>
        <v>0</v>
      </c>
    </row>
    <row r="19" spans="1:12" x14ac:dyDescent="0.2">
      <c r="A19" s="29"/>
      <c r="B19" s="106"/>
      <c r="C19" s="41"/>
      <c r="D19" s="136"/>
      <c r="E19" s="104"/>
      <c r="F19" s="128"/>
      <c r="G19" s="35" t="s">
        <v>8</v>
      </c>
    </row>
    <row r="20" spans="1:12" x14ac:dyDescent="0.2">
      <c r="A20" s="29"/>
      <c r="B20" s="105"/>
      <c r="C20" s="41"/>
      <c r="D20" s="136"/>
      <c r="E20" s="108"/>
      <c r="F20" s="152"/>
      <c r="G20" s="35">
        <f t="shared" si="0"/>
        <v>0</v>
      </c>
    </row>
    <row r="21" spans="1:12" x14ac:dyDescent="0.2">
      <c r="A21" s="29"/>
      <c r="B21" s="107"/>
      <c r="C21" s="41"/>
      <c r="D21" s="136"/>
      <c r="E21" s="153"/>
      <c r="F21" s="128"/>
      <c r="G21" s="35">
        <f t="shared" si="0"/>
        <v>0</v>
      </c>
    </row>
    <row r="22" spans="1:12" x14ac:dyDescent="0.2">
      <c r="A22" s="29"/>
      <c r="B22" s="107"/>
      <c r="C22" s="41"/>
      <c r="D22" s="67"/>
      <c r="E22" s="153"/>
      <c r="F22" s="128"/>
      <c r="G22" s="35">
        <f t="shared" si="0"/>
        <v>0</v>
      </c>
    </row>
    <row r="23" spans="1:12" x14ac:dyDescent="0.2">
      <c r="A23" s="29"/>
      <c r="B23" s="101"/>
      <c r="C23" s="41"/>
      <c r="D23" s="67"/>
      <c r="E23" s="108"/>
      <c r="F23" s="128"/>
      <c r="G23" s="35"/>
      <c r="L23" s="211"/>
    </row>
    <row r="24" spans="1:12" x14ac:dyDescent="0.2">
      <c r="A24" s="29"/>
      <c r="B24" s="101"/>
      <c r="C24" s="41"/>
      <c r="D24" s="67"/>
      <c r="E24" s="153"/>
      <c r="F24" s="128"/>
      <c r="G24" s="35"/>
      <c r="L24" s="211"/>
    </row>
    <row r="25" spans="1:12" x14ac:dyDescent="0.2">
      <c r="A25" s="29"/>
      <c r="B25" s="106"/>
      <c r="C25" s="41"/>
      <c r="D25" s="67"/>
      <c r="E25" s="104"/>
      <c r="F25" s="154"/>
      <c r="G25" s="35"/>
    </row>
    <row r="26" spans="1:12" x14ac:dyDescent="0.2">
      <c r="A26" s="29"/>
      <c r="B26" s="105"/>
      <c r="C26" s="41"/>
      <c r="D26" s="130"/>
      <c r="E26" s="104"/>
      <c r="F26" s="154"/>
      <c r="G26" s="35"/>
    </row>
    <row r="27" spans="1:12" x14ac:dyDescent="0.2">
      <c r="A27" s="29"/>
      <c r="B27" s="105"/>
      <c r="C27" s="41"/>
      <c r="D27" s="67"/>
      <c r="E27" s="104"/>
      <c r="F27" s="154"/>
      <c r="G27" s="35"/>
    </row>
    <row r="28" spans="1:12" x14ac:dyDescent="0.2">
      <c r="A28" s="29"/>
      <c r="B28" s="101"/>
      <c r="C28" s="41"/>
      <c r="D28" s="67"/>
      <c r="E28" s="104"/>
      <c r="F28" s="154"/>
      <c r="G28" s="35"/>
    </row>
    <row r="29" spans="1:12" x14ac:dyDescent="0.2">
      <c r="A29" s="29"/>
      <c r="B29" s="101"/>
      <c r="C29" s="41"/>
      <c r="D29" s="136" t="s">
        <v>896</v>
      </c>
      <c r="E29" s="104"/>
      <c r="F29" s="154"/>
      <c r="G29" s="35"/>
    </row>
    <row r="30" spans="1:12" x14ac:dyDescent="0.2">
      <c r="A30" s="29"/>
      <c r="B30" s="101"/>
      <c r="C30" s="41"/>
      <c r="D30" s="136" t="s">
        <v>150</v>
      </c>
      <c r="E30" s="104"/>
      <c r="F30" s="154"/>
      <c r="G30" s="35"/>
    </row>
    <row r="31" spans="1:12" x14ac:dyDescent="0.2">
      <c r="A31" s="29"/>
      <c r="B31" s="101"/>
      <c r="C31" s="41"/>
      <c r="D31" s="62"/>
      <c r="E31" s="104"/>
      <c r="F31" s="154"/>
      <c r="G31" s="35"/>
    </row>
    <row r="32" spans="1:12" x14ac:dyDescent="0.2">
      <c r="A32" s="29"/>
      <c r="B32" s="101"/>
      <c r="C32" s="41"/>
      <c r="D32" s="62"/>
      <c r="E32" s="104"/>
      <c r="F32" s="154"/>
      <c r="G32" s="35"/>
    </row>
    <row r="33" spans="1:15" x14ac:dyDescent="0.2">
      <c r="A33" s="29"/>
      <c r="B33" s="101"/>
      <c r="C33" s="41"/>
      <c r="D33" s="62"/>
      <c r="E33" s="104"/>
      <c r="F33" s="154"/>
      <c r="G33" s="35"/>
    </row>
    <row r="34" spans="1:15" x14ac:dyDescent="0.2">
      <c r="A34" s="29"/>
      <c r="B34" s="101"/>
      <c r="C34" s="41"/>
      <c r="D34" s="67"/>
      <c r="E34" s="104"/>
      <c r="F34" s="154"/>
      <c r="G34" s="35"/>
    </row>
    <row r="35" spans="1:15" x14ac:dyDescent="0.2">
      <c r="A35" s="29"/>
      <c r="B35" s="101"/>
      <c r="C35" s="41"/>
      <c r="D35" s="159"/>
      <c r="E35" s="104"/>
      <c r="F35" s="154"/>
      <c r="G35" s="35"/>
    </row>
    <row r="36" spans="1:15" x14ac:dyDescent="0.2">
      <c r="A36" s="29"/>
      <c r="B36" s="101"/>
      <c r="C36" s="41"/>
      <c r="D36" s="136"/>
      <c r="E36" s="153"/>
      <c r="F36" s="128"/>
      <c r="G36" s="35"/>
    </row>
    <row r="37" spans="1:15" x14ac:dyDescent="0.2">
      <c r="A37" s="29"/>
      <c r="B37" s="101"/>
      <c r="C37" s="41"/>
      <c r="D37" s="136"/>
      <c r="E37" s="102"/>
      <c r="F37" s="128"/>
      <c r="G37" s="35"/>
    </row>
    <row r="38" spans="1:15" x14ac:dyDescent="0.2">
      <c r="A38" s="29"/>
      <c r="B38" s="101"/>
      <c r="C38" s="31"/>
      <c r="D38" s="67"/>
      <c r="E38" s="131"/>
      <c r="F38" s="117"/>
      <c r="G38" s="35"/>
    </row>
    <row r="39" spans="1:15" x14ac:dyDescent="0.2">
      <c r="A39" s="29"/>
      <c r="B39" s="101"/>
      <c r="C39" s="41"/>
      <c r="D39" s="118"/>
      <c r="E39" s="108"/>
      <c r="F39" s="149"/>
      <c r="G39" s="35"/>
    </row>
    <row r="40" spans="1:15" x14ac:dyDescent="0.2">
      <c r="A40" s="29"/>
      <c r="B40" s="101"/>
      <c r="C40" s="41"/>
      <c r="D40" s="144"/>
      <c r="E40" s="108"/>
      <c r="F40" s="149"/>
      <c r="G40" s="35"/>
    </row>
    <row r="41" spans="1:15" ht="13.5" thickBot="1" x14ac:dyDescent="0.25">
      <c r="A41" s="45"/>
      <c r="B41" s="132"/>
      <c r="C41" s="115"/>
      <c r="D41" s="115"/>
      <c r="E41" s="132"/>
      <c r="F41" s="49" t="s">
        <v>15</v>
      </c>
      <c r="G41" s="50">
        <f>SUM(G10:G40)</f>
        <v>0</v>
      </c>
    </row>
    <row r="42" spans="1:15" ht="13.5" thickTop="1" x14ac:dyDescent="0.2">
      <c r="A42" s="875" t="s">
        <v>1003</v>
      </c>
      <c r="B42" s="899"/>
      <c r="C42" s="899"/>
      <c r="D42" s="899"/>
      <c r="E42" s="899"/>
      <c r="F42" s="899"/>
      <c r="G42" s="900"/>
      <c r="I42" s="898" t="s">
        <v>998</v>
      </c>
      <c r="J42" s="899"/>
      <c r="K42" s="899"/>
      <c r="L42" s="899"/>
      <c r="M42" s="899"/>
      <c r="N42" s="899"/>
      <c r="O42" s="900"/>
    </row>
    <row r="43" spans="1:15" x14ac:dyDescent="0.2">
      <c r="A43" s="21"/>
      <c r="B43" s="22"/>
      <c r="C43" s="876" t="s">
        <v>8</v>
      </c>
      <c r="D43" s="899"/>
      <c r="E43" s="899"/>
      <c r="F43" s="899"/>
      <c r="G43" s="900"/>
      <c r="I43" s="21"/>
      <c r="J43" s="22"/>
      <c r="K43" s="100" t="s">
        <v>999</v>
      </c>
      <c r="L43" s="22"/>
      <c r="M43" s="22"/>
      <c r="N43" s="22"/>
      <c r="O43" s="352"/>
    </row>
    <row r="44" spans="1:15" ht="13.5" thickBot="1" x14ac:dyDescent="0.25">
      <c r="A44" s="52"/>
      <c r="B44" s="103"/>
      <c r="C44" s="927" t="s">
        <v>8</v>
      </c>
      <c r="D44" s="1059"/>
      <c r="E44" s="103"/>
      <c r="F44" s="55"/>
      <c r="G44" s="56"/>
      <c r="I44" s="52"/>
      <c r="J44" s="103" t="s">
        <v>8</v>
      </c>
      <c r="K44" s="356" t="s">
        <v>1000</v>
      </c>
      <c r="L44" s="54"/>
      <c r="M44" s="103"/>
      <c r="N44" s="55"/>
      <c r="O44" s="56"/>
    </row>
    <row r="45" spans="1:15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15" x14ac:dyDescent="0.2">
      <c r="A46" s="910" t="s">
        <v>17</v>
      </c>
      <c r="B46" s="911"/>
      <c r="C46" s="911"/>
      <c r="D46" s="39"/>
      <c r="E46" s="912"/>
      <c r="F46" s="913"/>
      <c r="G46" s="914"/>
    </row>
    <row r="47" spans="1:15" x14ac:dyDescent="0.2">
      <c r="A47" s="910" t="s">
        <v>38</v>
      </c>
      <c r="B47" s="911"/>
      <c r="C47" s="911"/>
      <c r="D47" s="58" t="s">
        <v>917</v>
      </c>
      <c r="E47" s="868" t="s">
        <v>142</v>
      </c>
      <c r="F47" s="868"/>
      <c r="G47" s="869"/>
    </row>
    <row r="48" spans="1:15" ht="13.5" thickBot="1" x14ac:dyDescent="0.25">
      <c r="A48" s="901" t="s">
        <v>39</v>
      </c>
      <c r="B48" s="902"/>
      <c r="C48" s="902"/>
      <c r="D48" s="59" t="s">
        <v>918</v>
      </c>
      <c r="E48" s="904" t="s">
        <v>0</v>
      </c>
      <c r="F48" s="904"/>
      <c r="G48" s="905"/>
    </row>
  </sheetData>
  <mergeCells count="17">
    <mergeCell ref="I42:O42"/>
    <mergeCell ref="C43:G43"/>
    <mergeCell ref="C44:D44"/>
    <mergeCell ref="A1:G1"/>
    <mergeCell ref="A2:G2"/>
    <mergeCell ref="A3:G3"/>
    <mergeCell ref="E6:F6"/>
    <mergeCell ref="E8:F8"/>
    <mergeCell ref="A42:G42"/>
    <mergeCell ref="A48:C48"/>
    <mergeCell ref="E48:G48"/>
    <mergeCell ref="A45:C45"/>
    <mergeCell ref="E45:G45"/>
    <mergeCell ref="A46:C46"/>
    <mergeCell ref="E46:G46"/>
    <mergeCell ref="A47:C47"/>
    <mergeCell ref="E47:G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8A3CC4"/>
  </sheetPr>
  <dimension ref="A1:Q849"/>
  <sheetViews>
    <sheetView topLeftCell="A714" zoomScale="110" zoomScaleNormal="110" workbookViewId="0">
      <selection activeCell="D760" sqref="D76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9.7109375" style="2" customWidth="1"/>
    <col min="15" max="15" width="10.42578125" style="2" bestFit="1" customWidth="1"/>
    <col min="16" max="16" width="9.28515625" style="2" bestFit="1" customWidth="1"/>
    <col min="17" max="17" width="16" style="2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911</v>
      </c>
      <c r="D5" s="13"/>
      <c r="E5" s="362" t="s">
        <v>1240</v>
      </c>
      <c r="F5" s="98"/>
      <c r="G5" s="363" t="s">
        <v>1230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376" t="s">
        <v>991</v>
      </c>
      <c r="E10" s="158"/>
      <c r="F10" s="128"/>
      <c r="G10" s="35"/>
    </row>
    <row r="11" spans="1:7" x14ac:dyDescent="0.2">
      <c r="A11" s="29"/>
      <c r="B11" s="101"/>
      <c r="C11" s="41"/>
      <c r="D11" s="376" t="s">
        <v>1996</v>
      </c>
      <c r="E11" s="158"/>
      <c r="F11" s="128"/>
      <c r="G11" s="35"/>
    </row>
    <row r="12" spans="1:7" x14ac:dyDescent="0.2">
      <c r="A12" s="29">
        <v>1</v>
      </c>
      <c r="B12" s="101"/>
      <c r="C12" s="371" t="s">
        <v>910</v>
      </c>
      <c r="D12" s="370" t="s">
        <v>1231</v>
      </c>
      <c r="E12" s="108">
        <v>1</v>
      </c>
      <c r="F12" s="149">
        <v>18000</v>
      </c>
      <c r="G12" s="35">
        <f>F12*E12</f>
        <v>18000</v>
      </c>
    </row>
    <row r="13" spans="1:7" x14ac:dyDescent="0.2">
      <c r="A13" s="29"/>
      <c r="B13" s="101"/>
      <c r="C13" s="41"/>
      <c r="D13" s="370" t="s">
        <v>1247</v>
      </c>
      <c r="E13" s="108"/>
      <c r="F13" s="128"/>
      <c r="G13" s="35"/>
    </row>
    <row r="14" spans="1:7" x14ac:dyDescent="0.2">
      <c r="A14" s="29">
        <v>2</v>
      </c>
      <c r="B14" s="101"/>
      <c r="C14" s="385" t="s">
        <v>1234</v>
      </c>
      <c r="D14" s="376" t="s">
        <v>1233</v>
      </c>
      <c r="E14" s="108">
        <v>1</v>
      </c>
      <c r="F14" s="150">
        <v>3000</v>
      </c>
      <c r="G14" s="35">
        <f>F14*E14</f>
        <v>3000</v>
      </c>
    </row>
    <row r="15" spans="1:7" x14ac:dyDescent="0.2">
      <c r="A15" s="29"/>
      <c r="B15" s="101"/>
      <c r="C15" s="385"/>
      <c r="D15" s="376" t="s">
        <v>1997</v>
      </c>
      <c r="E15" s="108"/>
      <c r="F15" s="150"/>
      <c r="G15" s="35"/>
    </row>
    <row r="16" spans="1:7" x14ac:dyDescent="0.2">
      <c r="A16" s="29">
        <v>3</v>
      </c>
      <c r="B16" s="105"/>
      <c r="C16" s="371" t="s">
        <v>910</v>
      </c>
      <c r="D16" s="376" t="s">
        <v>1232</v>
      </c>
      <c r="E16" s="409">
        <v>1</v>
      </c>
      <c r="F16" s="128">
        <v>15000</v>
      </c>
      <c r="G16" s="35">
        <f>F16*E16</f>
        <v>15000</v>
      </c>
    </row>
    <row r="17" spans="1:8" x14ac:dyDescent="0.2">
      <c r="A17" s="29"/>
      <c r="B17" s="105"/>
      <c r="C17" s="41"/>
      <c r="D17" s="370" t="s">
        <v>1998</v>
      </c>
      <c r="E17" s="102"/>
      <c r="F17" s="128"/>
      <c r="G17" s="35"/>
    </row>
    <row r="18" spans="1:8" x14ac:dyDescent="0.2">
      <c r="A18" s="29"/>
      <c r="B18" s="151"/>
      <c r="C18" s="385"/>
      <c r="D18" s="376"/>
      <c r="E18" s="108"/>
      <c r="F18" s="150"/>
      <c r="G18" s="35"/>
    </row>
    <row r="19" spans="1:8" x14ac:dyDescent="0.2">
      <c r="A19" s="29"/>
      <c r="B19" s="151"/>
      <c r="C19" s="119"/>
      <c r="D19" s="383"/>
      <c r="E19" s="108"/>
      <c r="F19" s="150"/>
      <c r="G19" s="35"/>
    </row>
    <row r="20" spans="1:8" x14ac:dyDescent="0.2">
      <c r="A20" s="29"/>
      <c r="B20" s="101"/>
      <c r="C20" s="41"/>
      <c r="D20" s="144"/>
      <c r="E20" s="104"/>
      <c r="F20" s="128"/>
      <c r="G20" s="35"/>
      <c r="H20" s="1" t="s">
        <v>2318</v>
      </c>
    </row>
    <row r="21" spans="1:8" x14ac:dyDescent="0.2">
      <c r="A21" s="29"/>
      <c r="B21" s="101"/>
      <c r="C21" s="41"/>
      <c r="D21" s="144"/>
      <c r="E21" s="104"/>
      <c r="F21" s="128"/>
      <c r="G21" s="35"/>
    </row>
    <row r="22" spans="1:8" x14ac:dyDescent="0.2">
      <c r="A22" s="29"/>
      <c r="B22" s="105"/>
      <c r="C22" s="41"/>
      <c r="D22" s="129"/>
      <c r="E22" s="108"/>
      <c r="F22" s="152"/>
      <c r="G22" s="35"/>
    </row>
    <row r="23" spans="1:8" x14ac:dyDescent="0.2">
      <c r="A23" s="29"/>
      <c r="B23" s="101"/>
      <c r="C23" s="41"/>
      <c r="D23" s="136"/>
      <c r="E23" s="108"/>
      <c r="F23" s="128"/>
      <c r="G23" s="35"/>
    </row>
    <row r="24" spans="1:8" x14ac:dyDescent="0.2">
      <c r="A24" s="29"/>
      <c r="B24" s="101"/>
      <c r="C24" s="41"/>
      <c r="D24" s="136"/>
      <c r="E24" s="153"/>
      <c r="F24" s="128"/>
      <c r="G24" s="35"/>
    </row>
    <row r="25" spans="1:8" x14ac:dyDescent="0.2">
      <c r="A25" s="29"/>
      <c r="B25" s="106"/>
      <c r="C25" s="41"/>
      <c r="D25" s="144"/>
      <c r="E25" s="104"/>
      <c r="F25" s="154"/>
      <c r="G25" s="35"/>
    </row>
    <row r="26" spans="1:8" x14ac:dyDescent="0.2">
      <c r="A26" s="29"/>
      <c r="B26" s="105"/>
      <c r="C26" s="41"/>
      <c r="D26" s="67"/>
      <c r="E26" s="104"/>
      <c r="F26" s="154"/>
      <c r="G26" s="35"/>
    </row>
    <row r="27" spans="1:8" x14ac:dyDescent="0.2">
      <c r="A27" s="29"/>
      <c r="B27" s="101"/>
      <c r="C27" s="41"/>
      <c r="D27" s="67"/>
      <c r="E27" s="104"/>
      <c r="F27" s="154"/>
      <c r="G27" s="35"/>
    </row>
    <row r="28" spans="1:8" x14ac:dyDescent="0.2">
      <c r="A28" s="29"/>
      <c r="B28" s="101"/>
      <c r="C28" s="41"/>
      <c r="D28" s="67"/>
      <c r="E28" s="104"/>
      <c r="F28" s="154"/>
      <c r="G28" s="35"/>
    </row>
    <row r="29" spans="1:8" x14ac:dyDescent="0.2">
      <c r="A29" s="29"/>
      <c r="B29" s="101"/>
      <c r="C29" s="41"/>
      <c r="D29" s="67"/>
      <c r="E29" s="104"/>
      <c r="F29" s="154"/>
      <c r="G29" s="35"/>
    </row>
    <row r="30" spans="1:8" x14ac:dyDescent="0.2">
      <c r="A30" s="29"/>
      <c r="B30" s="101"/>
      <c r="C30" s="41"/>
      <c r="D30" s="67"/>
      <c r="E30" s="104"/>
      <c r="F30" s="154"/>
      <c r="G30" s="35"/>
    </row>
    <row r="31" spans="1:8" x14ac:dyDescent="0.2">
      <c r="A31" s="29"/>
      <c r="B31" s="101"/>
      <c r="C31" s="41"/>
      <c r="D31" s="136" t="s">
        <v>152</v>
      </c>
      <c r="E31" s="104"/>
      <c r="F31" s="154"/>
      <c r="G31" s="35"/>
    </row>
    <row r="32" spans="1:8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SUM(G12:G43)</f>
        <v>36000</v>
      </c>
    </row>
    <row r="45" spans="1:7" ht="13.5" thickTop="1" x14ac:dyDescent="0.2">
      <c r="A45" s="875" t="s">
        <v>1235</v>
      </c>
      <c r="B45" s="899"/>
      <c r="C45" s="899"/>
      <c r="D45" s="899"/>
      <c r="E45" s="899"/>
      <c r="F45" s="899"/>
      <c r="G45" s="900"/>
    </row>
    <row r="46" spans="1:7" ht="13.5" thickBot="1" x14ac:dyDescent="0.25">
      <c r="A46" s="52"/>
      <c r="B46" s="103"/>
      <c r="C46" s="374" t="s">
        <v>1999</v>
      </c>
      <c r="D46" s="54"/>
      <c r="E46" s="103"/>
      <c r="F46" s="55"/>
      <c r="G46" s="56"/>
    </row>
    <row r="47" spans="1:7" ht="13.5" thickTop="1" x14ac:dyDescent="0.2">
      <c r="A47" s="906"/>
      <c r="B47" s="907"/>
      <c r="C47" s="907"/>
      <c r="D47" s="57" t="s">
        <v>11</v>
      </c>
      <c r="E47" s="908" t="s">
        <v>12</v>
      </c>
      <c r="F47" s="908"/>
      <c r="G47" s="909"/>
    </row>
    <row r="48" spans="1:7" x14ac:dyDescent="0.2">
      <c r="A48" s="910" t="s">
        <v>17</v>
      </c>
      <c r="B48" s="911"/>
      <c r="C48" s="911"/>
      <c r="D48" s="39"/>
      <c r="E48" s="912"/>
      <c r="F48" s="913"/>
      <c r="G48" s="914"/>
    </row>
    <row r="49" spans="1:17" x14ac:dyDescent="0.2">
      <c r="A49" s="910" t="s">
        <v>38</v>
      </c>
      <c r="B49" s="911"/>
      <c r="C49" s="911"/>
      <c r="D49" s="58" t="s">
        <v>908</v>
      </c>
      <c r="E49" s="868" t="s">
        <v>142</v>
      </c>
      <c r="F49" s="868"/>
      <c r="G49" s="869"/>
    </row>
    <row r="50" spans="1:17" ht="13.5" thickBot="1" x14ac:dyDescent="0.25">
      <c r="A50" s="901" t="s">
        <v>39</v>
      </c>
      <c r="B50" s="902"/>
      <c r="C50" s="902"/>
      <c r="D50" s="59" t="s">
        <v>909</v>
      </c>
      <c r="E50" s="904" t="s">
        <v>0</v>
      </c>
      <c r="F50" s="904"/>
      <c r="G50" s="905"/>
    </row>
    <row r="51" spans="1:17" ht="16.5" x14ac:dyDescent="0.25">
      <c r="A51" s="885" t="s">
        <v>29</v>
      </c>
      <c r="B51" s="886"/>
      <c r="C51" s="886"/>
      <c r="D51" s="886"/>
      <c r="E51" s="886"/>
      <c r="F51" s="886"/>
      <c r="G51" s="887"/>
      <c r="K51" s="885" t="s">
        <v>29</v>
      </c>
      <c r="L51" s="886"/>
      <c r="M51" s="886"/>
      <c r="N51" s="886"/>
      <c r="O51" s="886"/>
      <c r="P51" s="886"/>
      <c r="Q51" s="887"/>
    </row>
    <row r="52" spans="1:17" x14ac:dyDescent="0.2">
      <c r="A52" s="888" t="s">
        <v>48</v>
      </c>
      <c r="B52" s="889"/>
      <c r="C52" s="889"/>
      <c r="D52" s="889"/>
      <c r="E52" s="889"/>
      <c r="F52" s="889"/>
      <c r="G52" s="890"/>
      <c r="K52" s="888" t="s">
        <v>48</v>
      </c>
      <c r="L52" s="889"/>
      <c r="M52" s="889"/>
      <c r="N52" s="889"/>
      <c r="O52" s="889"/>
      <c r="P52" s="889"/>
      <c r="Q52" s="890"/>
    </row>
    <row r="53" spans="1:17" x14ac:dyDescent="0.2">
      <c r="A53" s="915" t="s">
        <v>49</v>
      </c>
      <c r="B53" s="916"/>
      <c r="C53" s="916"/>
      <c r="D53" s="916"/>
      <c r="E53" s="916"/>
      <c r="F53" s="916"/>
      <c r="G53" s="917"/>
      <c r="K53" s="915" t="s">
        <v>49</v>
      </c>
      <c r="L53" s="916"/>
      <c r="M53" s="916"/>
      <c r="N53" s="916"/>
      <c r="O53" s="916"/>
      <c r="P53" s="916"/>
      <c r="Q53" s="917"/>
    </row>
    <row r="54" spans="1:17" x14ac:dyDescent="0.2">
      <c r="A54" s="6"/>
      <c r="B54" s="99"/>
      <c r="C54" s="8"/>
      <c r="D54" s="9"/>
      <c r="E54" s="99"/>
      <c r="F54" s="10"/>
      <c r="G54" s="11" t="s">
        <v>20</v>
      </c>
      <c r="K54" s="6"/>
      <c r="L54" s="99"/>
      <c r="M54" s="8"/>
      <c r="N54" s="9"/>
      <c r="O54" s="99"/>
      <c r="P54" s="10"/>
      <c r="Q54" s="11" t="s">
        <v>20</v>
      </c>
    </row>
    <row r="55" spans="1:17" x14ac:dyDescent="0.2">
      <c r="A55" s="12" t="s">
        <v>1</v>
      </c>
      <c r="B55" s="13"/>
      <c r="C55" s="14" t="s">
        <v>911</v>
      </c>
      <c r="D55" s="13"/>
      <c r="E55" s="362" t="s">
        <v>1241</v>
      </c>
      <c r="F55" s="98"/>
      <c r="G55" s="363" t="s">
        <v>1230</v>
      </c>
      <c r="K55" s="12" t="s">
        <v>1</v>
      </c>
      <c r="L55" s="13"/>
      <c r="M55" s="14" t="s">
        <v>911</v>
      </c>
      <c r="N55" s="13"/>
      <c r="O55" s="362" t="s">
        <v>1241</v>
      </c>
      <c r="P55" s="98"/>
      <c r="Q55" s="363" t="s">
        <v>1230</v>
      </c>
    </row>
    <row r="56" spans="1:17" x14ac:dyDescent="0.2">
      <c r="A56" s="17" t="s">
        <v>8</v>
      </c>
      <c r="B56" s="100"/>
      <c r="C56" s="19"/>
      <c r="D56" s="4"/>
      <c r="E56" s="918"/>
      <c r="F56" s="919"/>
      <c r="G56" s="20"/>
      <c r="K56" s="17" t="s">
        <v>8</v>
      </c>
      <c r="L56" s="100"/>
      <c r="M56" s="19"/>
      <c r="N56" s="4"/>
      <c r="O56" s="918"/>
      <c r="P56" s="919"/>
      <c r="Q56" s="20"/>
    </row>
    <row r="57" spans="1:1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  <c r="K57" s="21" t="s">
        <v>37</v>
      </c>
      <c r="L57" s="22"/>
      <c r="M57" s="22"/>
      <c r="N57" s="22"/>
      <c r="O57" s="23" t="s">
        <v>46</v>
      </c>
      <c r="P57" s="24"/>
      <c r="Q57" s="20" t="s">
        <v>50</v>
      </c>
    </row>
    <row r="58" spans="1:17" x14ac:dyDescent="0.2">
      <c r="A58" s="6"/>
      <c r="B58" s="99"/>
      <c r="C58" s="8"/>
      <c r="D58" s="8"/>
      <c r="E58" s="920"/>
      <c r="F58" s="921"/>
      <c r="G58" s="25"/>
      <c r="K58" s="6"/>
      <c r="L58" s="99"/>
      <c r="M58" s="8"/>
      <c r="N58" s="8"/>
      <c r="O58" s="920"/>
      <c r="P58" s="921"/>
      <c r="Q58" s="25"/>
    </row>
    <row r="59" spans="1:1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  <c r="K59" s="26" t="s">
        <v>47</v>
      </c>
      <c r="L59" s="26" t="s">
        <v>23</v>
      </c>
      <c r="M59" s="28" t="s">
        <v>34</v>
      </c>
      <c r="N59" s="110" t="s">
        <v>53</v>
      </c>
      <c r="O59" s="114" t="s">
        <v>54</v>
      </c>
      <c r="P59" s="111" t="s">
        <v>55</v>
      </c>
      <c r="Q59" s="112" t="s">
        <v>35</v>
      </c>
    </row>
    <row r="60" spans="1:17" ht="13.5" thickTop="1" x14ac:dyDescent="0.2">
      <c r="A60" s="29"/>
      <c r="B60" s="101"/>
      <c r="C60" s="41"/>
      <c r="D60" s="376" t="s">
        <v>991</v>
      </c>
      <c r="E60" s="158"/>
      <c r="F60" s="128"/>
      <c r="G60" s="35"/>
      <c r="K60" s="29"/>
      <c r="L60" s="101"/>
      <c r="M60" s="41"/>
      <c r="N60" s="376" t="s">
        <v>991</v>
      </c>
      <c r="O60" s="158"/>
      <c r="P60" s="128"/>
      <c r="Q60" s="35"/>
    </row>
    <row r="61" spans="1:17" x14ac:dyDescent="0.2">
      <c r="A61" s="29"/>
      <c r="B61" s="101"/>
      <c r="C61" s="41"/>
      <c r="D61" s="370" t="s">
        <v>1248</v>
      </c>
      <c r="E61" s="108"/>
      <c r="F61" s="128"/>
      <c r="G61" s="35"/>
      <c r="K61" s="29"/>
      <c r="L61" s="101"/>
      <c r="M61" s="41"/>
      <c r="N61" s="370" t="s">
        <v>1248</v>
      </c>
      <c r="O61" s="108"/>
      <c r="P61" s="128"/>
      <c r="Q61" s="35"/>
    </row>
    <row r="62" spans="1:17" x14ac:dyDescent="0.2">
      <c r="A62" s="29">
        <v>1</v>
      </c>
      <c r="B62" s="101"/>
      <c r="C62" s="371" t="s">
        <v>910</v>
      </c>
      <c r="D62" s="370" t="s">
        <v>1993</v>
      </c>
      <c r="E62" s="108">
        <v>1</v>
      </c>
      <c r="F62" s="149">
        <v>12000</v>
      </c>
      <c r="G62" s="35">
        <f>F62*E62</f>
        <v>12000</v>
      </c>
      <c r="K62" s="29">
        <v>1</v>
      </c>
      <c r="L62" s="101"/>
      <c r="M62" s="371" t="s">
        <v>910</v>
      </c>
      <c r="N62" s="370" t="s">
        <v>1236</v>
      </c>
      <c r="O62" s="108">
        <v>1</v>
      </c>
      <c r="P62" s="149">
        <v>4000</v>
      </c>
      <c r="Q62" s="35">
        <f>P62*O62</f>
        <v>4000</v>
      </c>
    </row>
    <row r="63" spans="1:17" x14ac:dyDescent="0.2">
      <c r="A63" s="29">
        <v>2</v>
      </c>
      <c r="B63" s="101"/>
      <c r="C63" s="371" t="s">
        <v>910</v>
      </c>
      <c r="D63" s="370" t="s">
        <v>1994</v>
      </c>
      <c r="E63" s="108">
        <v>1</v>
      </c>
      <c r="F63" s="128">
        <v>14000</v>
      </c>
      <c r="G63" s="35">
        <f>F63*E63</f>
        <v>14000</v>
      </c>
      <c r="K63" s="29">
        <v>2</v>
      </c>
      <c r="L63" s="101"/>
      <c r="M63" s="371" t="s">
        <v>910</v>
      </c>
      <c r="N63" s="370" t="s">
        <v>1237</v>
      </c>
      <c r="O63" s="108">
        <v>1</v>
      </c>
      <c r="P63" s="128">
        <v>7250</v>
      </c>
      <c r="Q63" s="35">
        <f>P63*O63</f>
        <v>7250</v>
      </c>
    </row>
    <row r="64" spans="1:17" x14ac:dyDescent="0.2">
      <c r="A64" s="29"/>
      <c r="B64" s="105"/>
      <c r="C64" s="371"/>
      <c r="D64" s="376"/>
      <c r="E64" s="102"/>
      <c r="F64" s="128"/>
      <c r="G64" s="35"/>
      <c r="K64" s="29"/>
      <c r="L64" s="105"/>
      <c r="M64" s="371"/>
      <c r="N64" s="376"/>
      <c r="O64" s="102"/>
      <c r="P64" s="128"/>
      <c r="Q64" s="35"/>
    </row>
    <row r="65" spans="1:17" x14ac:dyDescent="0.2">
      <c r="A65" s="29"/>
      <c r="B65" s="105"/>
      <c r="C65" s="41"/>
      <c r="D65" s="376"/>
      <c r="E65" s="102"/>
      <c r="F65" s="128"/>
      <c r="G65" s="35"/>
      <c r="K65" s="29"/>
      <c r="L65" s="105"/>
      <c r="M65" s="41"/>
      <c r="N65" s="376"/>
      <c r="O65" s="102"/>
      <c r="P65" s="128"/>
      <c r="Q65" s="35"/>
    </row>
    <row r="66" spans="1:17" x14ac:dyDescent="0.2">
      <c r="A66" s="29"/>
      <c r="B66" s="151"/>
      <c r="C66" s="385"/>
      <c r="D66" s="376"/>
      <c r="E66" s="108"/>
      <c r="F66" s="150"/>
      <c r="G66" s="35"/>
      <c r="K66" s="29"/>
      <c r="L66" s="151"/>
      <c r="M66" s="385"/>
      <c r="N66" s="376"/>
      <c r="O66" s="108"/>
      <c r="P66" s="150"/>
      <c r="Q66" s="35"/>
    </row>
    <row r="67" spans="1:17" x14ac:dyDescent="0.2">
      <c r="A67" s="29"/>
      <c r="B67" s="151"/>
      <c r="C67" s="119"/>
      <c r="D67" s="383"/>
      <c r="E67" s="108"/>
      <c r="F67" s="150"/>
      <c r="G67" s="35"/>
      <c r="K67" s="29"/>
      <c r="L67" s="151"/>
      <c r="M67" s="119"/>
      <c r="N67" s="383"/>
      <c r="O67" s="108"/>
      <c r="P67" s="150"/>
      <c r="Q67" s="35"/>
    </row>
    <row r="68" spans="1:17" x14ac:dyDescent="0.2">
      <c r="A68" s="29"/>
      <c r="B68" s="101"/>
      <c r="C68" s="41"/>
      <c r="D68" s="144"/>
      <c r="E68" s="104"/>
      <c r="F68" s="128"/>
      <c r="G68" s="35"/>
      <c r="K68" s="29"/>
      <c r="L68" s="101"/>
      <c r="M68" s="41"/>
      <c r="N68" s="144"/>
      <c r="O68" s="104"/>
      <c r="P68" s="128"/>
      <c r="Q68" s="35"/>
    </row>
    <row r="69" spans="1:17" x14ac:dyDescent="0.2">
      <c r="A69" s="29"/>
      <c r="B69" s="106"/>
      <c r="C69" s="41"/>
      <c r="D69" s="129"/>
      <c r="E69" s="104"/>
      <c r="F69" s="128"/>
      <c r="G69" s="35"/>
      <c r="K69" s="29"/>
      <c r="L69" s="106"/>
      <c r="M69" s="41"/>
      <c r="N69" s="129"/>
      <c r="O69" s="104"/>
      <c r="P69" s="128"/>
      <c r="Q69" s="35"/>
    </row>
    <row r="70" spans="1:17" x14ac:dyDescent="0.2">
      <c r="A70" s="29"/>
      <c r="B70" s="105"/>
      <c r="C70" s="41"/>
      <c r="D70" s="129"/>
      <c r="E70" s="108"/>
      <c r="F70" s="152"/>
      <c r="G70" s="35"/>
      <c r="K70" s="29"/>
      <c r="L70" s="105"/>
      <c r="M70" s="41"/>
      <c r="N70" s="129"/>
      <c r="O70" s="108"/>
      <c r="P70" s="152"/>
      <c r="Q70" s="35"/>
    </row>
    <row r="71" spans="1:17" x14ac:dyDescent="0.2">
      <c r="A71" s="29"/>
      <c r="B71" s="107"/>
      <c r="C71" s="41"/>
      <c r="D71" s="129"/>
      <c r="E71" s="153"/>
      <c r="F71" s="128"/>
      <c r="G71" s="35"/>
      <c r="K71" s="29"/>
      <c r="L71" s="107"/>
      <c r="M71" s="41"/>
      <c r="N71" s="129"/>
      <c r="O71" s="153"/>
      <c r="P71" s="128"/>
      <c r="Q71" s="35"/>
    </row>
    <row r="72" spans="1:17" x14ac:dyDescent="0.2">
      <c r="A72" s="29"/>
      <c r="B72" s="107"/>
      <c r="C72" s="41"/>
      <c r="D72" s="136"/>
      <c r="E72" s="153"/>
      <c r="F72" s="128"/>
      <c r="G72" s="35"/>
      <c r="K72" s="29"/>
      <c r="L72" s="107"/>
      <c r="M72" s="41"/>
      <c r="N72" s="136"/>
      <c r="O72" s="153"/>
      <c r="P72" s="128"/>
      <c r="Q72" s="35"/>
    </row>
    <row r="73" spans="1:17" x14ac:dyDescent="0.2">
      <c r="A73" s="29"/>
      <c r="B73" s="101"/>
      <c r="C73" s="41"/>
      <c r="D73" s="136"/>
      <c r="E73" s="108"/>
      <c r="F73" s="128"/>
      <c r="G73" s="35"/>
      <c r="K73" s="29"/>
      <c r="L73" s="101"/>
      <c r="M73" s="41"/>
      <c r="N73" s="136"/>
      <c r="O73" s="108"/>
      <c r="P73" s="128"/>
      <c r="Q73" s="35"/>
    </row>
    <row r="74" spans="1:17" x14ac:dyDescent="0.2">
      <c r="A74" s="29"/>
      <c r="B74" s="101"/>
      <c r="C74" s="41"/>
      <c r="D74" s="136"/>
      <c r="E74" s="153"/>
      <c r="F74" s="128"/>
      <c r="G74" s="35"/>
      <c r="K74" s="29"/>
      <c r="L74" s="101"/>
      <c r="M74" s="41"/>
      <c r="N74" s="136"/>
      <c r="O74" s="153"/>
      <c r="P74" s="128"/>
      <c r="Q74" s="35"/>
    </row>
    <row r="75" spans="1:17" x14ac:dyDescent="0.2">
      <c r="A75" s="29"/>
      <c r="B75" s="106"/>
      <c r="C75" s="41"/>
      <c r="D75" s="144"/>
      <c r="E75" s="104"/>
      <c r="F75" s="154"/>
      <c r="G75" s="35"/>
      <c r="K75" s="29"/>
      <c r="L75" s="106"/>
      <c r="M75" s="41"/>
      <c r="N75" s="144"/>
      <c r="O75" s="104"/>
      <c r="P75" s="154"/>
      <c r="Q75" s="35"/>
    </row>
    <row r="76" spans="1:17" x14ac:dyDescent="0.2">
      <c r="A76" s="29"/>
      <c r="B76" s="105"/>
      <c r="C76" s="41"/>
      <c r="D76" s="130"/>
      <c r="E76" s="104"/>
      <c r="F76" s="154"/>
      <c r="G76" s="35"/>
      <c r="K76" s="29"/>
      <c r="L76" s="105"/>
      <c r="M76" s="41"/>
      <c r="N76" s="130"/>
      <c r="O76" s="104"/>
      <c r="P76" s="154"/>
      <c r="Q76" s="35"/>
    </row>
    <row r="77" spans="1:17" x14ac:dyDescent="0.2">
      <c r="A77" s="29"/>
      <c r="B77" s="105"/>
      <c r="C77" s="41"/>
      <c r="D77" s="67"/>
      <c r="E77" s="104"/>
      <c r="F77" s="154"/>
      <c r="G77" s="35"/>
      <c r="K77" s="29"/>
      <c r="L77" s="105"/>
      <c r="M77" s="41"/>
      <c r="N77" s="67"/>
      <c r="O77" s="104"/>
      <c r="P77" s="154"/>
      <c r="Q77" s="35"/>
    </row>
    <row r="78" spans="1:17" x14ac:dyDescent="0.2">
      <c r="A78" s="29"/>
      <c r="B78" s="101"/>
      <c r="C78" s="41"/>
      <c r="D78" s="67"/>
      <c r="E78" s="104"/>
      <c r="F78" s="154"/>
      <c r="G78" s="35"/>
      <c r="K78" s="29"/>
      <c r="L78" s="101"/>
      <c r="M78" s="41"/>
      <c r="N78" s="67"/>
      <c r="O78" s="104"/>
      <c r="P78" s="154"/>
      <c r="Q78" s="35"/>
    </row>
    <row r="79" spans="1:17" x14ac:dyDescent="0.2">
      <c r="A79" s="29"/>
      <c r="B79" s="101"/>
      <c r="C79" s="41"/>
      <c r="D79" s="136" t="s">
        <v>152</v>
      </c>
      <c r="E79" s="104"/>
      <c r="F79" s="154"/>
      <c r="G79" s="35"/>
      <c r="K79" s="29"/>
      <c r="L79" s="101"/>
      <c r="M79" s="41"/>
      <c r="N79" s="136" t="s">
        <v>152</v>
      </c>
      <c r="O79" s="104"/>
      <c r="P79" s="154"/>
      <c r="Q79" s="35"/>
    </row>
    <row r="80" spans="1:17" x14ac:dyDescent="0.2">
      <c r="A80" s="29"/>
      <c r="B80" s="101"/>
      <c r="C80" s="41"/>
      <c r="D80" s="136"/>
      <c r="E80" s="104"/>
      <c r="F80" s="154"/>
      <c r="G80" s="35"/>
      <c r="K80" s="29"/>
      <c r="L80" s="101"/>
      <c r="M80" s="41"/>
      <c r="N80" s="136"/>
      <c r="O80" s="104"/>
      <c r="P80" s="154"/>
      <c r="Q80" s="35"/>
    </row>
    <row r="81" spans="1:17" x14ac:dyDescent="0.2">
      <c r="A81" s="29"/>
      <c r="B81" s="101"/>
      <c r="C81" s="41"/>
      <c r="D81" s="67"/>
      <c r="E81" s="104"/>
      <c r="F81" s="154"/>
      <c r="G81" s="35"/>
      <c r="K81" s="29"/>
      <c r="L81" s="101"/>
      <c r="M81" s="41"/>
      <c r="N81" s="67"/>
      <c r="O81" s="104"/>
      <c r="P81" s="154"/>
      <c r="Q81" s="35"/>
    </row>
    <row r="82" spans="1:17" x14ac:dyDescent="0.2">
      <c r="A82" s="29"/>
      <c r="B82" s="101"/>
      <c r="C82" s="41"/>
      <c r="D82" s="159"/>
      <c r="E82" s="104"/>
      <c r="F82" s="154"/>
      <c r="G82" s="35"/>
      <c r="K82" s="29"/>
      <c r="L82" s="101"/>
      <c r="M82" s="41"/>
      <c r="N82" s="159"/>
      <c r="O82" s="104"/>
      <c r="P82" s="154"/>
      <c r="Q82" s="35"/>
    </row>
    <row r="83" spans="1:17" x14ac:dyDescent="0.2">
      <c r="A83" s="29"/>
      <c r="B83" s="101"/>
      <c r="C83" s="41"/>
      <c r="D83" s="160"/>
      <c r="E83" s="108"/>
      <c r="F83" s="128"/>
      <c r="G83" s="35"/>
      <c r="K83" s="29"/>
      <c r="L83" s="101"/>
      <c r="M83" s="41"/>
      <c r="N83" s="160"/>
      <c r="O83" s="108"/>
      <c r="P83" s="128"/>
      <c r="Q83" s="35"/>
    </row>
    <row r="84" spans="1:17" x14ac:dyDescent="0.2">
      <c r="A84" s="29"/>
      <c r="B84" s="101"/>
      <c r="C84" s="41"/>
      <c r="D84" s="136"/>
      <c r="E84" s="153"/>
      <c r="F84" s="128"/>
      <c r="G84" s="35"/>
      <c r="K84" s="29"/>
      <c r="L84" s="101"/>
      <c r="M84" s="41"/>
      <c r="N84" s="136"/>
      <c r="O84" s="153"/>
      <c r="P84" s="128"/>
      <c r="Q84" s="35"/>
    </row>
    <row r="85" spans="1:17" x14ac:dyDescent="0.2">
      <c r="A85" s="29"/>
      <c r="B85" s="101"/>
      <c r="C85" s="41"/>
      <c r="D85" s="136"/>
      <c r="E85" s="153"/>
      <c r="F85" s="128"/>
      <c r="G85" s="35"/>
      <c r="K85" s="29"/>
      <c r="L85" s="101"/>
      <c r="M85" s="41"/>
      <c r="N85" s="136"/>
      <c r="O85" s="153"/>
      <c r="P85" s="128"/>
      <c r="Q85" s="35"/>
    </row>
    <row r="86" spans="1:17" x14ac:dyDescent="0.2">
      <c r="A86" s="29"/>
      <c r="B86" s="101"/>
      <c r="C86" s="41"/>
      <c r="D86" s="136"/>
      <c r="E86" s="153"/>
      <c r="F86" s="128"/>
      <c r="G86" s="35"/>
      <c r="K86" s="29"/>
      <c r="L86" s="101"/>
      <c r="M86" s="41"/>
      <c r="N86" s="136"/>
      <c r="O86" s="153"/>
      <c r="P86" s="128"/>
      <c r="Q86" s="35"/>
    </row>
    <row r="87" spans="1:17" x14ac:dyDescent="0.2">
      <c r="A87" s="29"/>
      <c r="B87" s="101"/>
      <c r="C87" s="41"/>
      <c r="D87" s="136"/>
      <c r="E87" s="153"/>
      <c r="F87" s="128"/>
      <c r="G87" s="35"/>
      <c r="K87" s="29"/>
      <c r="L87" s="101"/>
      <c r="M87" s="41"/>
      <c r="N87" s="136"/>
      <c r="O87" s="153"/>
      <c r="P87" s="128"/>
      <c r="Q87" s="35"/>
    </row>
    <row r="88" spans="1:17" x14ac:dyDescent="0.2">
      <c r="A88" s="29"/>
      <c r="B88" s="101"/>
      <c r="C88" s="41"/>
      <c r="D88" s="136"/>
      <c r="E88" s="153"/>
      <c r="F88" s="128"/>
      <c r="G88" s="35"/>
      <c r="K88" s="29"/>
      <c r="L88" s="101"/>
      <c r="M88" s="41"/>
      <c r="N88" s="136"/>
      <c r="O88" s="153"/>
      <c r="P88" s="128"/>
      <c r="Q88" s="35"/>
    </row>
    <row r="89" spans="1:17" x14ac:dyDescent="0.2">
      <c r="A89" s="29"/>
      <c r="B89" s="101"/>
      <c r="C89" s="41"/>
      <c r="D89" s="136"/>
      <c r="E89" s="102"/>
      <c r="F89" s="128"/>
      <c r="G89" s="35"/>
      <c r="K89" s="29"/>
      <c r="L89" s="101"/>
      <c r="M89" s="41"/>
      <c r="N89" s="136"/>
      <c r="O89" s="102"/>
      <c r="P89" s="128"/>
      <c r="Q89" s="35"/>
    </row>
    <row r="90" spans="1:17" x14ac:dyDescent="0.2">
      <c r="A90" s="29"/>
      <c r="B90" s="101"/>
      <c r="C90" s="31"/>
      <c r="D90" s="67"/>
      <c r="E90" s="131"/>
      <c r="F90" s="117"/>
      <c r="G90" s="35"/>
      <c r="K90" s="29"/>
      <c r="L90" s="101"/>
      <c r="M90" s="31"/>
      <c r="N90" s="67"/>
      <c r="O90" s="131"/>
      <c r="P90" s="117"/>
      <c r="Q90" s="35"/>
    </row>
    <row r="91" spans="1:17" x14ac:dyDescent="0.2">
      <c r="A91" s="29"/>
      <c r="B91" s="101"/>
      <c r="C91" s="41"/>
      <c r="D91" s="118"/>
      <c r="E91" s="108"/>
      <c r="F91" s="149"/>
      <c r="G91" s="35"/>
      <c r="K91" s="29"/>
      <c r="L91" s="101"/>
      <c r="M91" s="41"/>
      <c r="N91" s="118"/>
      <c r="O91" s="108"/>
      <c r="P91" s="149"/>
      <c r="Q91" s="35"/>
    </row>
    <row r="92" spans="1:17" x14ac:dyDescent="0.2">
      <c r="A92" s="29"/>
      <c r="B92" s="101"/>
      <c r="C92" s="41"/>
      <c r="D92" s="144"/>
      <c r="E92" s="108"/>
      <c r="F92" s="149"/>
      <c r="G92" s="35"/>
      <c r="K92" s="29"/>
      <c r="L92" s="101"/>
      <c r="M92" s="41"/>
      <c r="N92" s="144"/>
      <c r="O92" s="108"/>
      <c r="P92" s="149"/>
      <c r="Q92" s="35"/>
    </row>
    <row r="93" spans="1:1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SUM(G60:G92)</f>
        <v>26000</v>
      </c>
      <c r="K93" s="45"/>
      <c r="L93" s="132"/>
      <c r="M93" s="115"/>
      <c r="N93" s="115"/>
      <c r="O93" s="132"/>
      <c r="P93" s="49" t="s">
        <v>15</v>
      </c>
      <c r="Q93" s="50">
        <f>SUM(Q60:Q92)</f>
        <v>11250</v>
      </c>
    </row>
    <row r="94" spans="1:17" ht="13.5" thickTop="1" x14ac:dyDescent="0.2">
      <c r="A94" s="875" t="s">
        <v>1235</v>
      </c>
      <c r="B94" s="899"/>
      <c r="C94" s="899"/>
      <c r="D94" s="899"/>
      <c r="E94" s="899"/>
      <c r="F94" s="899"/>
      <c r="G94" s="900"/>
      <c r="K94" s="875" t="s">
        <v>1235</v>
      </c>
      <c r="L94" s="899"/>
      <c r="M94" s="899"/>
      <c r="N94" s="899"/>
      <c r="O94" s="899"/>
      <c r="P94" s="899"/>
      <c r="Q94" s="900"/>
    </row>
    <row r="95" spans="1:17" ht="13.5" thickBot="1" x14ac:dyDescent="0.25">
      <c r="A95" s="52"/>
      <c r="B95" s="103"/>
      <c r="C95" s="374" t="s">
        <v>1995</v>
      </c>
      <c r="D95" s="54"/>
      <c r="E95" s="103"/>
      <c r="F95" s="55"/>
      <c r="G95" s="56"/>
      <c r="K95" s="52"/>
      <c r="L95" s="103"/>
      <c r="M95" s="374" t="s">
        <v>1238</v>
      </c>
      <c r="N95" s="54"/>
      <c r="O95" s="103"/>
      <c r="P95" s="55"/>
      <c r="Q95" s="56"/>
    </row>
    <row r="96" spans="1:17" ht="13.5" thickTop="1" x14ac:dyDescent="0.2">
      <c r="A96" s="906"/>
      <c r="B96" s="907"/>
      <c r="C96" s="907"/>
      <c r="D96" s="57" t="s">
        <v>11</v>
      </c>
      <c r="E96" s="908" t="s">
        <v>12</v>
      </c>
      <c r="F96" s="908"/>
      <c r="G96" s="909"/>
      <c r="K96" s="906"/>
      <c r="L96" s="907"/>
      <c r="M96" s="907"/>
      <c r="N96" s="57" t="s">
        <v>11</v>
      </c>
      <c r="O96" s="908" t="s">
        <v>12</v>
      </c>
      <c r="P96" s="908"/>
      <c r="Q96" s="909"/>
    </row>
    <row r="97" spans="1:17" x14ac:dyDescent="0.2">
      <c r="A97" s="910" t="s">
        <v>17</v>
      </c>
      <c r="B97" s="911"/>
      <c r="C97" s="911"/>
      <c r="D97" s="39"/>
      <c r="E97" s="912"/>
      <c r="F97" s="913"/>
      <c r="G97" s="914"/>
      <c r="K97" s="910" t="s">
        <v>17</v>
      </c>
      <c r="L97" s="911"/>
      <c r="M97" s="911"/>
      <c r="N97" s="39"/>
      <c r="O97" s="912"/>
      <c r="P97" s="913"/>
      <c r="Q97" s="914"/>
    </row>
    <row r="98" spans="1:17" x14ac:dyDescent="0.2">
      <c r="A98" s="910" t="s">
        <v>38</v>
      </c>
      <c r="B98" s="911"/>
      <c r="C98" s="911"/>
      <c r="D98" s="58" t="s">
        <v>908</v>
      </c>
      <c r="E98" s="868" t="s">
        <v>142</v>
      </c>
      <c r="F98" s="868"/>
      <c r="G98" s="869"/>
      <c r="K98" s="910" t="s">
        <v>38</v>
      </c>
      <c r="L98" s="911"/>
      <c r="M98" s="911"/>
      <c r="N98" s="58" t="s">
        <v>908</v>
      </c>
      <c r="O98" s="868" t="s">
        <v>142</v>
      </c>
      <c r="P98" s="868"/>
      <c r="Q98" s="869"/>
    </row>
    <row r="99" spans="1:17" ht="13.5" thickBot="1" x14ac:dyDescent="0.25">
      <c r="A99" s="901" t="s">
        <v>39</v>
      </c>
      <c r="B99" s="902"/>
      <c r="C99" s="902"/>
      <c r="D99" s="59" t="s">
        <v>909</v>
      </c>
      <c r="E99" s="904" t="s">
        <v>0</v>
      </c>
      <c r="F99" s="904"/>
      <c r="G99" s="905"/>
      <c r="K99" s="901" t="s">
        <v>39</v>
      </c>
      <c r="L99" s="902"/>
      <c r="M99" s="902"/>
      <c r="N99" s="59" t="s">
        <v>909</v>
      </c>
      <c r="O99" s="904" t="s">
        <v>0</v>
      </c>
      <c r="P99" s="904"/>
      <c r="Q99" s="905"/>
    </row>
    <row r="100" spans="1:17" ht="16.5" x14ac:dyDescent="0.25">
      <c r="A100" s="885" t="s">
        <v>29</v>
      </c>
      <c r="B100" s="886"/>
      <c r="C100" s="886"/>
      <c r="D100" s="886"/>
      <c r="E100" s="886"/>
      <c r="F100" s="886"/>
      <c r="G100" s="887"/>
    </row>
    <row r="101" spans="1:17" x14ac:dyDescent="0.2">
      <c r="A101" s="888" t="s">
        <v>48</v>
      </c>
      <c r="B101" s="889"/>
      <c r="C101" s="889"/>
      <c r="D101" s="889"/>
      <c r="E101" s="889"/>
      <c r="F101" s="889"/>
      <c r="G101" s="890"/>
    </row>
    <row r="102" spans="1:17" x14ac:dyDescent="0.2">
      <c r="A102" s="915" t="s">
        <v>49</v>
      </c>
      <c r="B102" s="916"/>
      <c r="C102" s="916"/>
      <c r="D102" s="916"/>
      <c r="E102" s="916"/>
      <c r="F102" s="916"/>
      <c r="G102" s="917"/>
    </row>
    <row r="103" spans="1:1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17" x14ac:dyDescent="0.2">
      <c r="A104" s="12" t="s">
        <v>1</v>
      </c>
      <c r="B104" s="13"/>
      <c r="C104" s="14" t="s">
        <v>911</v>
      </c>
      <c r="D104" s="13"/>
      <c r="E104" s="362" t="s">
        <v>1242</v>
      </c>
      <c r="F104" s="98"/>
      <c r="G104" s="363" t="s">
        <v>1230</v>
      </c>
    </row>
    <row r="105" spans="1:17" x14ac:dyDescent="0.2">
      <c r="A105" s="17" t="s">
        <v>8</v>
      </c>
      <c r="B105" s="100"/>
      <c r="C105" s="19"/>
      <c r="D105" s="4"/>
      <c r="E105" s="918"/>
      <c r="F105" s="919"/>
      <c r="G105" s="20"/>
    </row>
    <row r="106" spans="1:1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17" x14ac:dyDescent="0.2">
      <c r="A107" s="6"/>
      <c r="B107" s="99"/>
      <c r="C107" s="8"/>
      <c r="D107" s="8"/>
      <c r="E107" s="920"/>
      <c r="F107" s="921"/>
      <c r="G107" s="25"/>
    </row>
    <row r="108" spans="1:17" ht="26.25" thickBot="1" x14ac:dyDescent="0.25">
      <c r="A108" s="26" t="s">
        <v>47</v>
      </c>
      <c r="B108" s="26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17" ht="13.5" thickTop="1" x14ac:dyDescent="0.2">
      <c r="A109" s="29"/>
      <c r="B109" s="101"/>
      <c r="C109" s="41"/>
      <c r="D109" s="376" t="s">
        <v>991</v>
      </c>
      <c r="E109" s="158"/>
      <c r="F109" s="128"/>
      <c r="G109" s="35"/>
    </row>
    <row r="110" spans="1:17" x14ac:dyDescent="0.2">
      <c r="A110" s="29"/>
      <c r="B110" s="101"/>
      <c r="C110" s="41"/>
      <c r="D110" s="370" t="s">
        <v>1248</v>
      </c>
      <c r="E110" s="108"/>
      <c r="F110" s="128"/>
      <c r="G110" s="35"/>
    </row>
    <row r="111" spans="1:17" x14ac:dyDescent="0.2">
      <c r="A111" s="29">
        <v>1</v>
      </c>
      <c r="B111" s="101"/>
      <c r="C111" s="371" t="s">
        <v>910</v>
      </c>
      <c r="D111" s="370" t="s">
        <v>1239</v>
      </c>
      <c r="E111" s="108">
        <v>2</v>
      </c>
      <c r="F111" s="149">
        <v>8850</v>
      </c>
      <c r="G111" s="35">
        <f>F111*E111</f>
        <v>17700</v>
      </c>
    </row>
    <row r="112" spans="1:17" x14ac:dyDescent="0.2">
      <c r="A112" s="29"/>
      <c r="B112" s="101"/>
      <c r="C112" s="371"/>
      <c r="D112" s="370"/>
      <c r="E112" s="108"/>
      <c r="F112" s="128"/>
      <c r="G112" s="35"/>
    </row>
    <row r="113" spans="1:7" x14ac:dyDescent="0.2">
      <c r="A113" s="29"/>
      <c r="B113" s="105"/>
      <c r="C113" s="371"/>
      <c r="D113" s="376"/>
      <c r="E113" s="102"/>
      <c r="F113" s="128"/>
      <c r="G113" s="35"/>
    </row>
    <row r="114" spans="1:7" x14ac:dyDescent="0.2">
      <c r="A114" s="29"/>
      <c r="B114" s="105"/>
      <c r="C114" s="41"/>
      <c r="D114" s="376"/>
      <c r="E114" s="102"/>
      <c r="F114" s="128"/>
      <c r="G114" s="35"/>
    </row>
    <row r="115" spans="1:7" x14ac:dyDescent="0.2">
      <c r="A115" s="29"/>
      <c r="B115" s="151"/>
      <c r="C115" s="385"/>
      <c r="D115" s="376"/>
      <c r="E115" s="108"/>
      <c r="F115" s="150"/>
      <c r="G115" s="35"/>
    </row>
    <row r="116" spans="1:7" x14ac:dyDescent="0.2">
      <c r="A116" s="29"/>
      <c r="B116" s="151"/>
      <c r="C116" s="119"/>
      <c r="D116" s="383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04"/>
      <c r="F117" s="403" t="s">
        <v>152</v>
      </c>
      <c r="G117" s="35"/>
    </row>
    <row r="118" spans="1:7" x14ac:dyDescent="0.2">
      <c r="A118" s="29"/>
      <c r="B118" s="106"/>
      <c r="C118" s="41"/>
      <c r="D118" s="129"/>
      <c r="E118" s="104"/>
      <c r="F118" s="128"/>
      <c r="G118" s="35"/>
    </row>
    <row r="119" spans="1:7" x14ac:dyDescent="0.2">
      <c r="A119" s="29"/>
      <c r="B119" s="105"/>
      <c r="C119" s="41"/>
      <c r="D119" s="129"/>
      <c r="E119" s="108"/>
      <c r="F119" s="152"/>
      <c r="G119" s="35"/>
    </row>
    <row r="120" spans="1:7" x14ac:dyDescent="0.2">
      <c r="A120" s="29"/>
      <c r="B120" s="107"/>
      <c r="C120" s="41"/>
      <c r="D120" s="129"/>
      <c r="E120" s="153"/>
      <c r="F120" s="128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1"/>
      <c r="C122" s="41"/>
      <c r="D122" s="136"/>
      <c r="E122" s="108"/>
      <c r="F122" s="128"/>
      <c r="G122" s="35"/>
    </row>
    <row r="123" spans="1:7" x14ac:dyDescent="0.2">
      <c r="A123" s="29"/>
      <c r="B123" s="101"/>
      <c r="C123" s="41"/>
      <c r="D123" s="136"/>
      <c r="E123" s="153"/>
      <c r="F123" s="128"/>
      <c r="G123" s="35"/>
    </row>
    <row r="124" spans="1:7" x14ac:dyDescent="0.2">
      <c r="A124" s="29"/>
      <c r="B124" s="106"/>
      <c r="C124" s="41"/>
      <c r="D124" s="144"/>
      <c r="E124" s="104"/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 t="s">
        <v>152</v>
      </c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159"/>
      <c r="E132" s="104"/>
      <c r="F132" s="154"/>
      <c r="G132" s="35"/>
    </row>
    <row r="133" spans="1:7" x14ac:dyDescent="0.2">
      <c r="A133" s="29"/>
      <c r="B133" s="101"/>
      <c r="C133" s="41"/>
      <c r="D133" s="160"/>
      <c r="E133" s="108"/>
      <c r="F133" s="128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53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17700</v>
      </c>
    </row>
    <row r="144" spans="1:7" ht="13.5" thickTop="1" x14ac:dyDescent="0.2">
      <c r="A144" s="875" t="s">
        <v>1235</v>
      </c>
      <c r="B144" s="899"/>
      <c r="C144" s="899"/>
      <c r="D144" s="899"/>
      <c r="E144" s="899"/>
      <c r="F144" s="899"/>
      <c r="G144" s="900"/>
    </row>
    <row r="145" spans="1:7" ht="13.5" thickBot="1" x14ac:dyDescent="0.25">
      <c r="A145" s="52"/>
      <c r="B145" s="103"/>
      <c r="C145" s="374" t="s">
        <v>1995</v>
      </c>
      <c r="D145" s="54"/>
      <c r="E145" s="103"/>
      <c r="F145" s="55"/>
      <c r="G145" s="56"/>
    </row>
    <row r="146" spans="1:7" ht="13.5" thickTop="1" x14ac:dyDescent="0.2">
      <c r="A146" s="906"/>
      <c r="B146" s="907"/>
      <c r="C146" s="907"/>
      <c r="D146" s="57" t="s">
        <v>11</v>
      </c>
      <c r="E146" s="908" t="s">
        <v>12</v>
      </c>
      <c r="F146" s="908"/>
      <c r="G146" s="909"/>
    </row>
    <row r="147" spans="1:7" x14ac:dyDescent="0.2">
      <c r="A147" s="910" t="s">
        <v>17</v>
      </c>
      <c r="B147" s="911"/>
      <c r="C147" s="911"/>
      <c r="D147" s="39"/>
      <c r="E147" s="912"/>
      <c r="F147" s="913"/>
      <c r="G147" s="914"/>
    </row>
    <row r="148" spans="1:7" x14ac:dyDescent="0.2">
      <c r="A148" s="910" t="s">
        <v>38</v>
      </c>
      <c r="B148" s="911"/>
      <c r="C148" s="911"/>
      <c r="D148" s="58" t="s">
        <v>908</v>
      </c>
      <c r="E148" s="868" t="s">
        <v>142</v>
      </c>
      <c r="F148" s="868"/>
      <c r="G148" s="869"/>
    </row>
    <row r="149" spans="1:7" ht="13.5" thickBot="1" x14ac:dyDescent="0.25">
      <c r="A149" s="901" t="s">
        <v>39</v>
      </c>
      <c r="B149" s="902"/>
      <c r="C149" s="902"/>
      <c r="D149" s="59" t="s">
        <v>909</v>
      </c>
      <c r="E149" s="904" t="s">
        <v>0</v>
      </c>
      <c r="F149" s="904"/>
      <c r="G149" s="905"/>
    </row>
    <row r="150" spans="1:7" ht="16.5" x14ac:dyDescent="0.25">
      <c r="A150" s="885" t="s">
        <v>29</v>
      </c>
      <c r="B150" s="886"/>
      <c r="C150" s="886"/>
      <c r="D150" s="886"/>
      <c r="E150" s="886"/>
      <c r="F150" s="886"/>
      <c r="G150" s="887"/>
    </row>
    <row r="151" spans="1:7" x14ac:dyDescent="0.2">
      <c r="A151" s="888" t="s">
        <v>48</v>
      </c>
      <c r="B151" s="889"/>
      <c r="C151" s="889"/>
      <c r="D151" s="889"/>
      <c r="E151" s="889"/>
      <c r="F151" s="889"/>
      <c r="G151" s="890"/>
    </row>
    <row r="152" spans="1:7" x14ac:dyDescent="0.2">
      <c r="A152" s="915" t="s">
        <v>49</v>
      </c>
      <c r="B152" s="916"/>
      <c r="C152" s="916"/>
      <c r="D152" s="916"/>
      <c r="E152" s="916"/>
      <c r="F152" s="916"/>
      <c r="G152" s="917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911</v>
      </c>
      <c r="D154" s="13"/>
      <c r="E154" s="362" t="s">
        <v>1261</v>
      </c>
      <c r="F154" s="98"/>
      <c r="G154" s="363" t="s">
        <v>1230</v>
      </c>
    </row>
    <row r="155" spans="1:7" x14ac:dyDescent="0.2">
      <c r="A155" s="17" t="s">
        <v>8</v>
      </c>
      <c r="B155" s="100"/>
      <c r="C155" s="19"/>
      <c r="D155" s="4"/>
      <c r="E155" s="918"/>
      <c r="F155" s="919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920"/>
      <c r="F157" s="921"/>
      <c r="G157" s="25"/>
    </row>
    <row r="158" spans="1:7" ht="26.25" thickBot="1" x14ac:dyDescent="0.25">
      <c r="A158" s="207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/>
      <c r="B159" s="101"/>
      <c r="C159" s="41"/>
      <c r="D159" s="357" t="s">
        <v>1263</v>
      </c>
      <c r="E159" s="158"/>
      <c r="F159" s="128"/>
      <c r="G159" s="35"/>
    </row>
    <row r="160" spans="1:7" x14ac:dyDescent="0.2">
      <c r="A160" s="29">
        <v>1</v>
      </c>
      <c r="B160" s="101"/>
      <c r="C160" s="371" t="s">
        <v>242</v>
      </c>
      <c r="D160" s="370" t="s">
        <v>1262</v>
      </c>
      <c r="E160" s="108">
        <v>12</v>
      </c>
      <c r="F160" s="128">
        <v>250</v>
      </c>
      <c r="G160" s="35">
        <f>F160*E160</f>
        <v>3000</v>
      </c>
    </row>
    <row r="161" spans="1:7" x14ac:dyDescent="0.2">
      <c r="A161" s="29">
        <v>2</v>
      </c>
      <c r="B161" s="101"/>
      <c r="C161" s="371" t="s">
        <v>242</v>
      </c>
      <c r="D161" s="370" t="s">
        <v>325</v>
      </c>
      <c r="E161" s="108">
        <v>12</v>
      </c>
      <c r="F161" s="149">
        <v>350</v>
      </c>
      <c r="G161" s="35">
        <f t="shared" ref="G161:G188" si="0">F161*E161</f>
        <v>4200</v>
      </c>
    </row>
    <row r="162" spans="1:7" x14ac:dyDescent="0.2">
      <c r="A162" s="29"/>
      <c r="B162" s="101"/>
      <c r="C162" s="371"/>
      <c r="D162" s="359" t="s">
        <v>1264</v>
      </c>
      <c r="E162" s="108"/>
      <c r="F162" s="128"/>
      <c r="G162" s="372" t="s">
        <v>8</v>
      </c>
    </row>
    <row r="163" spans="1:7" x14ac:dyDescent="0.2">
      <c r="A163" s="29">
        <v>3</v>
      </c>
      <c r="B163" s="105"/>
      <c r="C163" s="371" t="s">
        <v>242</v>
      </c>
      <c r="D163" s="370" t="s">
        <v>1262</v>
      </c>
      <c r="E163" s="108">
        <v>12</v>
      </c>
      <c r="F163" s="128">
        <v>250</v>
      </c>
      <c r="G163" s="35">
        <f t="shared" si="0"/>
        <v>3000</v>
      </c>
    </row>
    <row r="164" spans="1:7" x14ac:dyDescent="0.2">
      <c r="A164" s="29">
        <v>4</v>
      </c>
      <c r="B164" s="105"/>
      <c r="C164" s="371" t="s">
        <v>242</v>
      </c>
      <c r="D164" s="376" t="s">
        <v>325</v>
      </c>
      <c r="E164" s="108">
        <v>12</v>
      </c>
      <c r="F164" s="149">
        <v>350</v>
      </c>
      <c r="G164" s="35">
        <f t="shared" si="0"/>
        <v>4200</v>
      </c>
    </row>
    <row r="165" spans="1:7" x14ac:dyDescent="0.2">
      <c r="A165" s="29"/>
      <c r="B165" s="151"/>
      <c r="C165" s="385"/>
      <c r="D165" s="357" t="s">
        <v>1265</v>
      </c>
      <c r="E165" s="108"/>
      <c r="F165" s="150"/>
      <c r="G165" s="372" t="s">
        <v>8</v>
      </c>
    </row>
    <row r="166" spans="1:7" x14ac:dyDescent="0.2">
      <c r="A166" s="29">
        <v>5</v>
      </c>
      <c r="B166" s="151"/>
      <c r="C166" s="371" t="s">
        <v>242</v>
      </c>
      <c r="D166" s="370" t="s">
        <v>1262</v>
      </c>
      <c r="E166" s="108">
        <v>12</v>
      </c>
      <c r="F166" s="128">
        <v>250</v>
      </c>
      <c r="G166" s="35">
        <f t="shared" si="0"/>
        <v>3000</v>
      </c>
    </row>
    <row r="167" spans="1:7" x14ac:dyDescent="0.2">
      <c r="A167" s="29">
        <v>6</v>
      </c>
      <c r="B167" s="101"/>
      <c r="C167" s="371" t="s">
        <v>242</v>
      </c>
      <c r="D167" s="383" t="s">
        <v>325</v>
      </c>
      <c r="E167" s="108">
        <v>12</v>
      </c>
      <c r="F167" s="149">
        <v>350</v>
      </c>
      <c r="G167" s="35">
        <f t="shared" si="0"/>
        <v>4200</v>
      </c>
    </row>
    <row r="168" spans="1:7" x14ac:dyDescent="0.2">
      <c r="A168" s="29"/>
      <c r="B168" s="106"/>
      <c r="C168" s="41"/>
      <c r="D168" s="359" t="s">
        <v>1266</v>
      </c>
      <c r="E168" s="104"/>
      <c r="F168" s="128"/>
      <c r="G168" s="372" t="s">
        <v>8</v>
      </c>
    </row>
    <row r="169" spans="1:7" x14ac:dyDescent="0.2">
      <c r="A169" s="29">
        <v>7</v>
      </c>
      <c r="B169" s="105"/>
      <c r="C169" s="371" t="s">
        <v>242</v>
      </c>
      <c r="D169" s="370" t="s">
        <v>1262</v>
      </c>
      <c r="E169" s="108">
        <v>12</v>
      </c>
      <c r="F169" s="128">
        <v>250</v>
      </c>
      <c r="G169" s="35">
        <f t="shared" si="0"/>
        <v>3000</v>
      </c>
    </row>
    <row r="170" spans="1:7" x14ac:dyDescent="0.2">
      <c r="A170" s="29">
        <v>8</v>
      </c>
      <c r="B170" s="107"/>
      <c r="C170" s="371" t="s">
        <v>242</v>
      </c>
      <c r="D170" s="370" t="s">
        <v>325</v>
      </c>
      <c r="E170" s="108">
        <v>12</v>
      </c>
      <c r="F170" s="149">
        <v>350</v>
      </c>
      <c r="G170" s="35">
        <f t="shared" si="0"/>
        <v>4200</v>
      </c>
    </row>
    <row r="171" spans="1:7" x14ac:dyDescent="0.2">
      <c r="A171" s="29"/>
      <c r="B171" s="107"/>
      <c r="C171" s="41"/>
      <c r="D171" s="357" t="s">
        <v>1267</v>
      </c>
      <c r="E171" s="153"/>
      <c r="F171" s="403" t="s">
        <v>8</v>
      </c>
      <c r="G171" s="372" t="s">
        <v>8</v>
      </c>
    </row>
    <row r="172" spans="1:7" x14ac:dyDescent="0.2">
      <c r="A172" s="29">
        <v>9</v>
      </c>
      <c r="B172" s="101"/>
      <c r="C172" s="371" t="s">
        <v>242</v>
      </c>
      <c r="D172" s="370" t="s">
        <v>1262</v>
      </c>
      <c r="E172" s="108">
        <v>12</v>
      </c>
      <c r="F172" s="128">
        <v>250</v>
      </c>
      <c r="G172" s="35">
        <f t="shared" si="0"/>
        <v>3000</v>
      </c>
    </row>
    <row r="173" spans="1:7" x14ac:dyDescent="0.2">
      <c r="A173" s="29">
        <v>10</v>
      </c>
      <c r="B173" s="101"/>
      <c r="C173" s="371" t="s">
        <v>242</v>
      </c>
      <c r="D173" s="376" t="s">
        <v>325</v>
      </c>
      <c r="E173" s="108">
        <v>12</v>
      </c>
      <c r="F173" s="149">
        <v>350</v>
      </c>
      <c r="G173" s="35">
        <f t="shared" si="0"/>
        <v>4200</v>
      </c>
    </row>
    <row r="174" spans="1:7" x14ac:dyDescent="0.2">
      <c r="A174" s="29"/>
      <c r="B174" s="106"/>
      <c r="C174" s="41"/>
      <c r="D174" s="358" t="s">
        <v>1268</v>
      </c>
      <c r="E174" s="104"/>
      <c r="F174" s="154"/>
      <c r="G174" s="372" t="s">
        <v>8</v>
      </c>
    </row>
    <row r="175" spans="1:7" x14ac:dyDescent="0.2">
      <c r="A175" s="29">
        <v>11</v>
      </c>
      <c r="B175" s="105"/>
      <c r="C175" s="41" t="s">
        <v>242</v>
      </c>
      <c r="D175" s="370" t="s">
        <v>1262</v>
      </c>
      <c r="E175" s="108">
        <v>12</v>
      </c>
      <c r="F175" s="128">
        <v>250</v>
      </c>
      <c r="G175" s="35">
        <f t="shared" si="0"/>
        <v>3000</v>
      </c>
    </row>
    <row r="176" spans="1:7" x14ac:dyDescent="0.2">
      <c r="A176" s="29">
        <v>12</v>
      </c>
      <c r="B176" s="105"/>
      <c r="C176" s="41" t="s">
        <v>242</v>
      </c>
      <c r="D176" s="384" t="s">
        <v>325</v>
      </c>
      <c r="E176" s="108">
        <v>12</v>
      </c>
      <c r="F176" s="149">
        <v>350</v>
      </c>
      <c r="G176" s="35">
        <f t="shared" si="0"/>
        <v>4200</v>
      </c>
    </row>
    <row r="177" spans="1:7" x14ac:dyDescent="0.2">
      <c r="A177" s="29"/>
      <c r="B177" s="101"/>
      <c r="C177" s="41"/>
      <c r="D177" s="444" t="s">
        <v>1269</v>
      </c>
      <c r="E177" s="104"/>
      <c r="F177" s="154"/>
      <c r="G177" s="372" t="s">
        <v>8</v>
      </c>
    </row>
    <row r="178" spans="1:7" x14ac:dyDescent="0.2">
      <c r="A178" s="29">
        <v>13</v>
      </c>
      <c r="B178" s="101"/>
      <c r="C178" s="41" t="s">
        <v>242</v>
      </c>
      <c r="D178" s="370" t="s">
        <v>1262</v>
      </c>
      <c r="E178" s="108">
        <v>12</v>
      </c>
      <c r="F178" s="128">
        <v>250</v>
      </c>
      <c r="G178" s="35">
        <f t="shared" si="0"/>
        <v>3000</v>
      </c>
    </row>
    <row r="179" spans="1:7" x14ac:dyDescent="0.2">
      <c r="A179" s="29">
        <v>14</v>
      </c>
      <c r="B179" s="101"/>
      <c r="C179" s="41" t="s">
        <v>242</v>
      </c>
      <c r="D179" s="376" t="s">
        <v>325</v>
      </c>
      <c r="E179" s="108">
        <v>12</v>
      </c>
      <c r="F179" s="149">
        <v>350</v>
      </c>
      <c r="G179" s="35">
        <f t="shared" si="0"/>
        <v>4200</v>
      </c>
    </row>
    <row r="180" spans="1:7" x14ac:dyDescent="0.2">
      <c r="A180" s="29"/>
      <c r="B180" s="101"/>
      <c r="C180" s="41"/>
      <c r="D180" s="445" t="s">
        <v>1270</v>
      </c>
      <c r="E180" s="104"/>
      <c r="F180" s="154"/>
      <c r="G180" s="372" t="s">
        <v>8</v>
      </c>
    </row>
    <row r="181" spans="1:7" x14ac:dyDescent="0.2">
      <c r="A181" s="29">
        <v>15</v>
      </c>
      <c r="B181" s="101"/>
      <c r="C181" s="41" t="s">
        <v>242</v>
      </c>
      <c r="D181" s="370" t="s">
        <v>1262</v>
      </c>
      <c r="E181" s="108">
        <v>12</v>
      </c>
      <c r="F181" s="128">
        <v>250</v>
      </c>
      <c r="G181" s="35">
        <f t="shared" si="0"/>
        <v>3000</v>
      </c>
    </row>
    <row r="182" spans="1:7" x14ac:dyDescent="0.2">
      <c r="A182" s="29">
        <v>16</v>
      </c>
      <c r="B182" s="101"/>
      <c r="C182" s="41" t="s">
        <v>242</v>
      </c>
      <c r="D182" s="383" t="s">
        <v>325</v>
      </c>
      <c r="E182" s="108">
        <v>12</v>
      </c>
      <c r="F182" s="149">
        <v>350</v>
      </c>
      <c r="G182" s="35">
        <f t="shared" si="0"/>
        <v>4200</v>
      </c>
    </row>
    <row r="183" spans="1:7" x14ac:dyDescent="0.2">
      <c r="A183" s="29"/>
      <c r="B183" s="101"/>
      <c r="C183" s="41"/>
      <c r="D183" s="358" t="s">
        <v>1271</v>
      </c>
      <c r="E183" s="108"/>
      <c r="F183" s="128"/>
      <c r="G183" s="372" t="s">
        <v>8</v>
      </c>
    </row>
    <row r="184" spans="1:7" x14ac:dyDescent="0.2">
      <c r="A184" s="29">
        <v>17</v>
      </c>
      <c r="B184" s="101"/>
      <c r="C184" s="41" t="s">
        <v>242</v>
      </c>
      <c r="D184" s="370" t="s">
        <v>1262</v>
      </c>
      <c r="E184" s="108">
        <v>12</v>
      </c>
      <c r="F184" s="128">
        <v>250</v>
      </c>
      <c r="G184" s="35">
        <f t="shared" si="0"/>
        <v>3000</v>
      </c>
    </row>
    <row r="185" spans="1:7" x14ac:dyDescent="0.2">
      <c r="A185" s="29">
        <v>18</v>
      </c>
      <c r="B185" s="101"/>
      <c r="C185" s="41" t="s">
        <v>242</v>
      </c>
      <c r="D185" s="383" t="s">
        <v>325</v>
      </c>
      <c r="E185" s="108">
        <v>12</v>
      </c>
      <c r="F185" s="149">
        <v>350</v>
      </c>
      <c r="G185" s="35">
        <f t="shared" si="0"/>
        <v>4200</v>
      </c>
    </row>
    <row r="186" spans="1:7" x14ac:dyDescent="0.2">
      <c r="A186" s="29"/>
      <c r="B186" s="101"/>
      <c r="C186" s="41"/>
      <c r="D186" s="358" t="s">
        <v>1272</v>
      </c>
      <c r="E186" s="153"/>
      <c r="F186" s="128"/>
      <c r="G186" s="372" t="s">
        <v>8</v>
      </c>
    </row>
    <row r="187" spans="1:7" x14ac:dyDescent="0.2">
      <c r="A187" s="29">
        <v>19</v>
      </c>
      <c r="B187" s="101"/>
      <c r="C187" s="41" t="s">
        <v>242</v>
      </c>
      <c r="D187" s="370" t="s">
        <v>1262</v>
      </c>
      <c r="E187" s="108">
        <v>12</v>
      </c>
      <c r="F187" s="128">
        <v>250</v>
      </c>
      <c r="G187" s="35">
        <f t="shared" si="0"/>
        <v>3000</v>
      </c>
    </row>
    <row r="188" spans="1:7" x14ac:dyDescent="0.2">
      <c r="A188" s="29">
        <v>20</v>
      </c>
      <c r="B188" s="101"/>
      <c r="C188" s="41" t="s">
        <v>242</v>
      </c>
      <c r="D188" s="383" t="s">
        <v>325</v>
      </c>
      <c r="E188" s="108">
        <v>12</v>
      </c>
      <c r="F188" s="149">
        <v>350</v>
      </c>
      <c r="G188" s="35">
        <f t="shared" si="0"/>
        <v>4200</v>
      </c>
    </row>
    <row r="189" spans="1:7" x14ac:dyDescent="0.2">
      <c r="A189" s="29"/>
      <c r="B189" s="101"/>
      <c r="C189" s="41"/>
      <c r="D189" s="383"/>
      <c r="E189" s="102"/>
      <c r="F189" s="128"/>
      <c r="G189" s="35"/>
    </row>
    <row r="190" spans="1:7" x14ac:dyDescent="0.2">
      <c r="A190" s="29"/>
      <c r="B190" s="101"/>
      <c r="C190" s="31"/>
      <c r="D190" s="419"/>
      <c r="E190" s="131"/>
      <c r="F190" s="117"/>
      <c r="G190" s="35"/>
    </row>
    <row r="191" spans="1:7" x14ac:dyDescent="0.2">
      <c r="A191" s="29"/>
      <c r="B191" s="101"/>
      <c r="C191" s="41"/>
      <c r="D191" s="425"/>
      <c r="E191" s="108"/>
      <c r="F191" s="149"/>
      <c r="G191" s="35"/>
    </row>
    <row r="192" spans="1:7" x14ac:dyDescent="0.2">
      <c r="A192" s="29"/>
      <c r="B192" s="101"/>
      <c r="C192" s="41"/>
      <c r="D192" s="383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72000</v>
      </c>
    </row>
    <row r="194" spans="1:7" ht="13.5" thickTop="1" x14ac:dyDescent="0.2">
      <c r="A194" s="875" t="s">
        <v>1273</v>
      </c>
      <c r="B194" s="899"/>
      <c r="C194" s="899"/>
      <c r="D194" s="899"/>
      <c r="E194" s="899"/>
      <c r="F194" s="899"/>
      <c r="G194" s="900"/>
    </row>
    <row r="195" spans="1:7" ht="13.5" thickBot="1" x14ac:dyDescent="0.25">
      <c r="A195" s="52"/>
      <c r="B195" s="103"/>
      <c r="C195" s="374" t="s">
        <v>8</v>
      </c>
      <c r="D195" s="54"/>
      <c r="E195" s="103"/>
      <c r="F195" s="55"/>
      <c r="G195" s="56"/>
    </row>
    <row r="196" spans="1:7" ht="13.5" thickTop="1" x14ac:dyDescent="0.2">
      <c r="A196" s="906"/>
      <c r="B196" s="907"/>
      <c r="C196" s="907"/>
      <c r="D196" s="57" t="s">
        <v>11</v>
      </c>
      <c r="E196" s="908" t="s">
        <v>12</v>
      </c>
      <c r="F196" s="908"/>
      <c r="G196" s="909"/>
    </row>
    <row r="197" spans="1:7" x14ac:dyDescent="0.2">
      <c r="A197" s="866" t="s">
        <v>8</v>
      </c>
      <c r="B197" s="911"/>
      <c r="C197" s="911"/>
      <c r="D197" s="39"/>
      <c r="E197" s="912"/>
      <c r="F197" s="913"/>
      <c r="G197" s="914"/>
    </row>
    <row r="198" spans="1:7" x14ac:dyDescent="0.2">
      <c r="A198" s="910" t="s">
        <v>38</v>
      </c>
      <c r="B198" s="911"/>
      <c r="C198" s="911"/>
      <c r="D198" s="58" t="s">
        <v>908</v>
      </c>
      <c r="E198" s="868" t="s">
        <v>142</v>
      </c>
      <c r="F198" s="868"/>
      <c r="G198" s="869"/>
    </row>
    <row r="199" spans="1:7" ht="13.5" thickBot="1" x14ac:dyDescent="0.25">
      <c r="A199" s="901" t="s">
        <v>39</v>
      </c>
      <c r="B199" s="902"/>
      <c r="C199" s="902"/>
      <c r="D199" s="59" t="s">
        <v>909</v>
      </c>
      <c r="E199" s="904" t="s">
        <v>0</v>
      </c>
      <c r="F199" s="904"/>
      <c r="G199" s="905"/>
    </row>
    <row r="200" spans="1:7" ht="16.5" x14ac:dyDescent="0.25">
      <c r="A200" s="885" t="s">
        <v>29</v>
      </c>
      <c r="B200" s="886"/>
      <c r="C200" s="886"/>
      <c r="D200" s="886"/>
      <c r="E200" s="886"/>
      <c r="F200" s="886"/>
      <c r="G200" s="887"/>
    </row>
    <row r="201" spans="1:7" x14ac:dyDescent="0.2">
      <c r="A201" s="888" t="s">
        <v>48</v>
      </c>
      <c r="B201" s="889"/>
      <c r="C201" s="889"/>
      <c r="D201" s="889"/>
      <c r="E201" s="889"/>
      <c r="F201" s="889"/>
      <c r="G201" s="890"/>
    </row>
    <row r="202" spans="1:7" x14ac:dyDescent="0.2">
      <c r="A202" s="915" t="s">
        <v>49</v>
      </c>
      <c r="B202" s="916"/>
      <c r="C202" s="916"/>
      <c r="D202" s="916"/>
      <c r="E202" s="916"/>
      <c r="F202" s="916"/>
      <c r="G202" s="917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911</v>
      </c>
      <c r="D204" s="13"/>
      <c r="E204" s="362" t="s">
        <v>1371</v>
      </c>
      <c r="F204" s="98"/>
      <c r="G204" s="363" t="s">
        <v>1352</v>
      </c>
    </row>
    <row r="205" spans="1:7" x14ac:dyDescent="0.2">
      <c r="A205" s="17" t="s">
        <v>8</v>
      </c>
      <c r="B205" s="100"/>
      <c r="C205" s="19"/>
      <c r="D205" s="4"/>
      <c r="E205" s="918"/>
      <c r="F205" s="919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920"/>
      <c r="F207" s="921"/>
      <c r="G207" s="25"/>
    </row>
    <row r="208" spans="1:7" ht="26.25" thickBot="1" x14ac:dyDescent="0.25">
      <c r="A208" s="207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71" t="s">
        <v>242</v>
      </c>
      <c r="D209" s="376" t="s">
        <v>1294</v>
      </c>
      <c r="E209" s="158">
        <v>50</v>
      </c>
      <c r="F209" s="128">
        <v>250</v>
      </c>
      <c r="G209" s="35">
        <f>F209*E209</f>
        <v>12500</v>
      </c>
    </row>
    <row r="210" spans="1:7" x14ac:dyDescent="0.2">
      <c r="A210" s="29">
        <v>2</v>
      </c>
      <c r="B210" s="101"/>
      <c r="C210" s="371" t="s">
        <v>242</v>
      </c>
      <c r="D210" s="370" t="s">
        <v>325</v>
      </c>
      <c r="E210" s="108">
        <v>50</v>
      </c>
      <c r="F210" s="128">
        <v>350</v>
      </c>
      <c r="G210" s="35">
        <f>F210*E210</f>
        <v>17500</v>
      </c>
    </row>
    <row r="211" spans="1:7" x14ac:dyDescent="0.2">
      <c r="A211" s="29"/>
      <c r="B211" s="101"/>
      <c r="C211" s="371"/>
      <c r="D211" s="370"/>
      <c r="E211" s="108"/>
      <c r="F211" s="149"/>
      <c r="G211" s="35"/>
    </row>
    <row r="212" spans="1:7" x14ac:dyDescent="0.2">
      <c r="A212" s="29"/>
      <c r="B212" s="101"/>
      <c r="C212" s="371"/>
      <c r="D212" s="359"/>
      <c r="E212" s="108"/>
      <c r="F212" s="128"/>
      <c r="G212" s="372"/>
    </row>
    <row r="213" spans="1:7" x14ac:dyDescent="0.2">
      <c r="A213" s="29"/>
      <c r="B213" s="105"/>
      <c r="C213" s="371"/>
      <c r="D213" s="370"/>
      <c r="E213" s="108"/>
      <c r="F213" s="128"/>
      <c r="G213" s="35"/>
    </row>
    <row r="214" spans="1:7" x14ac:dyDescent="0.2">
      <c r="A214" s="29"/>
      <c r="B214" s="105"/>
      <c r="C214" s="371"/>
      <c r="D214" s="376"/>
      <c r="E214" s="108"/>
      <c r="F214" s="149"/>
      <c r="G214" s="35"/>
    </row>
    <row r="215" spans="1:7" x14ac:dyDescent="0.2">
      <c r="A215" s="29"/>
      <c r="B215" s="151"/>
      <c r="C215" s="385"/>
      <c r="D215" s="357"/>
      <c r="E215" s="108"/>
      <c r="F215" s="150"/>
      <c r="G215" s="372"/>
    </row>
    <row r="216" spans="1:7" x14ac:dyDescent="0.2">
      <c r="A216" s="29"/>
      <c r="B216" s="151"/>
      <c r="C216" s="371"/>
      <c r="D216" s="370"/>
      <c r="E216" s="108"/>
      <c r="F216" s="128"/>
      <c r="G216" s="35"/>
    </row>
    <row r="217" spans="1:7" x14ac:dyDescent="0.2">
      <c r="A217" s="29"/>
      <c r="B217" s="101"/>
      <c r="C217" s="371"/>
      <c r="D217" s="383"/>
      <c r="E217" s="108"/>
      <c r="F217" s="149"/>
      <c r="G217" s="35"/>
    </row>
    <row r="218" spans="1:7" x14ac:dyDescent="0.2">
      <c r="A218" s="29"/>
      <c r="B218" s="106"/>
      <c r="C218" s="41"/>
      <c r="D218" s="359"/>
      <c r="E218" s="104"/>
      <c r="F218" s="128"/>
      <c r="G218" s="372"/>
    </row>
    <row r="219" spans="1:7" x14ac:dyDescent="0.2">
      <c r="A219" s="29"/>
      <c r="B219" s="105"/>
      <c r="C219" s="371"/>
      <c r="D219" s="370"/>
      <c r="E219" s="108"/>
      <c r="F219" s="128"/>
      <c r="G219" s="35"/>
    </row>
    <row r="220" spans="1:7" x14ac:dyDescent="0.2">
      <c r="A220" s="29"/>
      <c r="B220" s="107"/>
      <c r="C220" s="371"/>
      <c r="D220" s="370"/>
      <c r="E220" s="108"/>
      <c r="F220" s="149"/>
      <c r="G220" s="35"/>
    </row>
    <row r="221" spans="1:7" x14ac:dyDescent="0.2">
      <c r="A221" s="29"/>
      <c r="B221" s="107"/>
      <c r="C221" s="41"/>
      <c r="D221" s="357"/>
      <c r="E221" s="153"/>
      <c r="F221" s="403"/>
      <c r="G221" s="372"/>
    </row>
    <row r="222" spans="1:7" x14ac:dyDescent="0.2">
      <c r="A222" s="29"/>
      <c r="B222" s="101"/>
      <c r="C222" s="371"/>
      <c r="D222" s="370"/>
      <c r="E222" s="108"/>
      <c r="F222" s="128"/>
      <c r="G222" s="35"/>
    </row>
    <row r="223" spans="1:7" x14ac:dyDescent="0.2">
      <c r="A223" s="29"/>
      <c r="B223" s="101"/>
      <c r="C223" s="371"/>
      <c r="D223" s="376"/>
      <c r="E223" s="108"/>
      <c r="F223" s="149"/>
      <c r="G223" s="35"/>
    </row>
    <row r="224" spans="1:7" x14ac:dyDescent="0.2">
      <c r="A224" s="29"/>
      <c r="B224" s="106"/>
      <c r="C224" s="41"/>
      <c r="D224" s="358"/>
      <c r="E224" s="104"/>
      <c r="F224" s="154"/>
      <c r="G224" s="372"/>
    </row>
    <row r="225" spans="1:7" x14ac:dyDescent="0.2">
      <c r="A225" s="29"/>
      <c r="B225" s="105"/>
      <c r="C225" s="41"/>
      <c r="D225" s="370"/>
      <c r="E225" s="108"/>
      <c r="F225" s="128"/>
      <c r="G225" s="35"/>
    </row>
    <row r="226" spans="1:7" x14ac:dyDescent="0.2">
      <c r="A226" s="29"/>
      <c r="B226" s="105"/>
      <c r="C226" s="41"/>
      <c r="D226" s="384"/>
      <c r="E226" s="108"/>
      <c r="F226" s="149"/>
      <c r="G226" s="35"/>
    </row>
    <row r="227" spans="1:7" x14ac:dyDescent="0.2">
      <c r="A227" s="29"/>
      <c r="B227" s="101"/>
      <c r="C227" s="41"/>
      <c r="D227" s="444"/>
      <c r="E227" s="104"/>
      <c r="F227" s="154"/>
      <c r="G227" s="372"/>
    </row>
    <row r="228" spans="1:7" x14ac:dyDescent="0.2">
      <c r="A228" s="29"/>
      <c r="B228" s="101"/>
      <c r="C228" s="41"/>
      <c r="D228" s="370"/>
      <c r="E228" s="108"/>
      <c r="F228" s="128"/>
      <c r="G228" s="35"/>
    </row>
    <row r="229" spans="1:7" x14ac:dyDescent="0.2">
      <c r="A229" s="29"/>
      <c r="B229" s="101"/>
      <c r="C229" s="41"/>
      <c r="D229" s="376"/>
      <c r="E229" s="108"/>
      <c r="F229" s="149"/>
      <c r="G229" s="35"/>
    </row>
    <row r="230" spans="1:7" x14ac:dyDescent="0.2">
      <c r="A230" s="29"/>
      <c r="B230" s="101"/>
      <c r="C230" s="41"/>
      <c r="D230" s="445"/>
      <c r="E230" s="104"/>
      <c r="F230" s="154"/>
      <c r="G230" s="372"/>
    </row>
    <row r="231" spans="1:7" x14ac:dyDescent="0.2">
      <c r="A231" s="29"/>
      <c r="B231" s="101"/>
      <c r="C231" s="41"/>
      <c r="D231" s="370"/>
      <c r="E231" s="108"/>
      <c r="F231" s="128"/>
      <c r="G231" s="35"/>
    </row>
    <row r="232" spans="1:7" x14ac:dyDescent="0.2">
      <c r="A232" s="29"/>
      <c r="B232" s="101"/>
      <c r="C232" s="41"/>
      <c r="D232" s="383"/>
      <c r="E232" s="108"/>
      <c r="F232" s="149"/>
      <c r="G232" s="35"/>
    </row>
    <row r="233" spans="1:7" x14ac:dyDescent="0.2">
      <c r="A233" s="29"/>
      <c r="B233" s="101"/>
      <c r="C233" s="41"/>
      <c r="D233" s="358"/>
      <c r="E233" s="108"/>
      <c r="F233" s="128"/>
      <c r="G233" s="372"/>
    </row>
    <row r="234" spans="1:7" x14ac:dyDescent="0.2">
      <c r="A234" s="29"/>
      <c r="B234" s="101"/>
      <c r="C234" s="41"/>
      <c r="D234" s="370"/>
      <c r="E234" s="108"/>
      <c r="F234" s="128"/>
      <c r="G234" s="35"/>
    </row>
    <row r="235" spans="1:7" x14ac:dyDescent="0.2">
      <c r="A235" s="29"/>
      <c r="B235" s="101"/>
      <c r="C235" s="41"/>
      <c r="D235" s="383"/>
      <c r="E235" s="108"/>
      <c r="F235" s="149"/>
      <c r="G235" s="35"/>
    </row>
    <row r="236" spans="1:7" x14ac:dyDescent="0.2">
      <c r="A236" s="29"/>
      <c r="B236" s="101"/>
      <c r="C236" s="41"/>
      <c r="D236" s="358"/>
      <c r="E236" s="153"/>
      <c r="F236" s="128"/>
      <c r="G236" s="372"/>
    </row>
    <row r="237" spans="1:7" x14ac:dyDescent="0.2">
      <c r="A237" s="29"/>
      <c r="B237" s="101"/>
      <c r="C237" s="41"/>
      <c r="D237" s="370" t="s">
        <v>8</v>
      </c>
      <c r="E237" s="108"/>
      <c r="F237" s="128"/>
      <c r="G237" s="35"/>
    </row>
    <row r="238" spans="1:7" x14ac:dyDescent="0.2">
      <c r="A238" s="29"/>
      <c r="B238" s="101"/>
      <c r="C238" s="41"/>
      <c r="D238" s="383"/>
      <c r="E238" s="108"/>
      <c r="F238" s="149"/>
      <c r="G238" s="35"/>
    </row>
    <row r="239" spans="1:7" x14ac:dyDescent="0.2">
      <c r="A239" s="29"/>
      <c r="B239" s="101"/>
      <c r="C239" s="41"/>
      <c r="D239" s="383"/>
      <c r="E239" s="102"/>
      <c r="F239" s="128"/>
      <c r="G239" s="35"/>
    </row>
    <row r="240" spans="1:7" x14ac:dyDescent="0.2">
      <c r="A240" s="29"/>
      <c r="B240" s="101"/>
      <c r="C240" s="31"/>
      <c r="D240" s="419"/>
      <c r="E240" s="131"/>
      <c r="F240" s="117"/>
      <c r="G240" s="35"/>
    </row>
    <row r="241" spans="1:7" x14ac:dyDescent="0.2">
      <c r="A241" s="29"/>
      <c r="B241" s="101"/>
      <c r="C241" s="41"/>
      <c r="D241" s="425"/>
      <c r="E241" s="108"/>
      <c r="F241" s="149"/>
      <c r="G241" s="35"/>
    </row>
    <row r="242" spans="1:7" x14ac:dyDescent="0.2">
      <c r="A242" s="29"/>
      <c r="B242" s="101"/>
      <c r="C242" s="41"/>
      <c r="D242" s="383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30000</v>
      </c>
    </row>
    <row r="244" spans="1:7" ht="13.5" thickTop="1" x14ac:dyDescent="0.2">
      <c r="A244" s="875" t="s">
        <v>1295</v>
      </c>
      <c r="B244" s="899"/>
      <c r="C244" s="899"/>
      <c r="D244" s="899"/>
      <c r="E244" s="899"/>
      <c r="F244" s="899"/>
      <c r="G244" s="900"/>
    </row>
    <row r="245" spans="1:7" ht="13.5" thickBot="1" x14ac:dyDescent="0.25">
      <c r="A245" s="52"/>
      <c r="B245" s="103"/>
      <c r="C245" s="374" t="s">
        <v>1296</v>
      </c>
      <c r="D245" s="54"/>
      <c r="E245" s="103"/>
      <c r="F245" s="55"/>
      <c r="G245" s="56"/>
    </row>
    <row r="246" spans="1:7" ht="13.5" thickTop="1" x14ac:dyDescent="0.2">
      <c r="A246" s="906"/>
      <c r="B246" s="907"/>
      <c r="C246" s="907"/>
      <c r="D246" s="57" t="s">
        <v>11</v>
      </c>
      <c r="E246" s="908" t="s">
        <v>12</v>
      </c>
      <c r="F246" s="908"/>
      <c r="G246" s="909"/>
    </row>
    <row r="247" spans="1:7" x14ac:dyDescent="0.2">
      <c r="A247" s="866" t="s">
        <v>8</v>
      </c>
      <c r="B247" s="911"/>
      <c r="C247" s="911"/>
      <c r="D247" s="39"/>
      <c r="E247" s="912"/>
      <c r="F247" s="913"/>
      <c r="G247" s="914"/>
    </row>
    <row r="248" spans="1:7" x14ac:dyDescent="0.2">
      <c r="A248" s="910" t="s">
        <v>38</v>
      </c>
      <c r="B248" s="911"/>
      <c r="C248" s="911"/>
      <c r="D248" s="58" t="s">
        <v>908</v>
      </c>
      <c r="E248" s="868" t="s">
        <v>142</v>
      </c>
      <c r="F248" s="868"/>
      <c r="G248" s="869"/>
    </row>
    <row r="249" spans="1:7" ht="13.5" thickBot="1" x14ac:dyDescent="0.25">
      <c r="A249" s="901" t="s">
        <v>39</v>
      </c>
      <c r="B249" s="902"/>
      <c r="C249" s="902"/>
      <c r="D249" s="59" t="s">
        <v>909</v>
      </c>
      <c r="E249" s="904" t="s">
        <v>0</v>
      </c>
      <c r="F249" s="904"/>
      <c r="G249" s="905"/>
    </row>
    <row r="250" spans="1:7" ht="16.5" x14ac:dyDescent="0.25">
      <c r="A250" s="885" t="s">
        <v>29</v>
      </c>
      <c r="B250" s="886"/>
      <c r="C250" s="886"/>
      <c r="D250" s="886"/>
      <c r="E250" s="886"/>
      <c r="F250" s="886"/>
      <c r="G250" s="887"/>
    </row>
    <row r="251" spans="1:7" x14ac:dyDescent="0.2">
      <c r="A251" s="888" t="s">
        <v>48</v>
      </c>
      <c r="B251" s="889"/>
      <c r="C251" s="889"/>
      <c r="D251" s="889"/>
      <c r="E251" s="889"/>
      <c r="F251" s="889"/>
      <c r="G251" s="890"/>
    </row>
    <row r="252" spans="1:7" x14ac:dyDescent="0.2">
      <c r="A252" s="915" t="s">
        <v>49</v>
      </c>
      <c r="B252" s="916"/>
      <c r="C252" s="916"/>
      <c r="D252" s="916"/>
      <c r="E252" s="916"/>
      <c r="F252" s="916"/>
      <c r="G252" s="917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911</v>
      </c>
      <c r="D254" s="13"/>
      <c r="E254" s="362" t="s">
        <v>1377</v>
      </c>
      <c r="F254" s="98"/>
      <c r="G254" s="363" t="s">
        <v>1352</v>
      </c>
    </row>
    <row r="255" spans="1:7" x14ac:dyDescent="0.2">
      <c r="A255" s="17" t="s">
        <v>8</v>
      </c>
      <c r="B255" s="100"/>
      <c r="C255" s="19"/>
      <c r="D255" s="4"/>
      <c r="E255" s="918"/>
      <c r="F255" s="919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920"/>
      <c r="F257" s="921"/>
      <c r="G257" s="25"/>
    </row>
    <row r="258" spans="1:7" ht="26.25" thickBot="1" x14ac:dyDescent="0.25">
      <c r="A258" s="207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71" t="s">
        <v>242</v>
      </c>
      <c r="D259" s="376" t="s">
        <v>1294</v>
      </c>
      <c r="E259" s="158">
        <v>45</v>
      </c>
      <c r="F259" s="128">
        <v>250</v>
      </c>
      <c r="G259" s="35">
        <f>F259*E259</f>
        <v>11250</v>
      </c>
    </row>
    <row r="260" spans="1:7" x14ac:dyDescent="0.2">
      <c r="A260" s="29">
        <v>2</v>
      </c>
      <c r="B260" s="101"/>
      <c r="C260" s="371" t="s">
        <v>242</v>
      </c>
      <c r="D260" s="370" t="s">
        <v>325</v>
      </c>
      <c r="E260" s="108">
        <v>45</v>
      </c>
      <c r="F260" s="128">
        <v>350</v>
      </c>
      <c r="G260" s="35">
        <f>F260*E260</f>
        <v>15750</v>
      </c>
    </row>
    <row r="261" spans="1:7" x14ac:dyDescent="0.2">
      <c r="A261" s="29">
        <v>3</v>
      </c>
      <c r="B261" s="101"/>
      <c r="C261" s="371" t="s">
        <v>242</v>
      </c>
      <c r="D261" s="370" t="s">
        <v>1298</v>
      </c>
      <c r="E261" s="108">
        <v>45</v>
      </c>
      <c r="F261" s="149">
        <v>250</v>
      </c>
      <c r="G261" s="35">
        <f>F261*E261</f>
        <v>11250</v>
      </c>
    </row>
    <row r="262" spans="1:7" x14ac:dyDescent="0.2">
      <c r="A262" s="29"/>
      <c r="B262" s="101"/>
      <c r="C262" s="371"/>
      <c r="D262" s="359"/>
      <c r="E262" s="108"/>
      <c r="F262" s="128"/>
      <c r="G262" s="372"/>
    </row>
    <row r="263" spans="1:7" x14ac:dyDescent="0.2">
      <c r="A263" s="29"/>
      <c r="B263" s="105"/>
      <c r="C263" s="371"/>
      <c r="D263" s="370"/>
      <c r="E263" s="108"/>
      <c r="F263" s="128"/>
      <c r="G263" s="35"/>
    </row>
    <row r="264" spans="1:7" x14ac:dyDescent="0.2">
      <c r="A264" s="29"/>
      <c r="B264" s="105"/>
      <c r="C264" s="371"/>
      <c r="D264" s="376"/>
      <c r="E264" s="108"/>
      <c r="F264" s="149"/>
      <c r="G264" s="35"/>
    </row>
    <row r="265" spans="1:7" x14ac:dyDescent="0.2">
      <c r="A265" s="29"/>
      <c r="B265" s="151"/>
      <c r="C265" s="385"/>
      <c r="D265" s="357"/>
      <c r="E265" s="108"/>
      <c r="F265" s="150"/>
      <c r="G265" s="372"/>
    </row>
    <row r="266" spans="1:7" x14ac:dyDescent="0.2">
      <c r="A266" s="29"/>
      <c r="B266" s="151"/>
      <c r="C266" s="371"/>
      <c r="D266" s="370"/>
      <c r="E266" s="108"/>
      <c r="F266" s="128"/>
      <c r="G266" s="35"/>
    </row>
    <row r="267" spans="1:7" x14ac:dyDescent="0.2">
      <c r="A267" s="29"/>
      <c r="B267" s="101"/>
      <c r="C267" s="371"/>
      <c r="D267" s="383"/>
      <c r="E267" s="108"/>
      <c r="F267" s="149"/>
      <c r="G267" s="35"/>
    </row>
    <row r="268" spans="1:7" x14ac:dyDescent="0.2">
      <c r="A268" s="29"/>
      <c r="B268" s="106"/>
      <c r="C268" s="41"/>
      <c r="D268" s="359"/>
      <c r="E268" s="104"/>
      <c r="F268" s="128"/>
      <c r="G268" s="372"/>
    </row>
    <row r="269" spans="1:7" x14ac:dyDescent="0.2">
      <c r="A269" s="29"/>
      <c r="B269" s="105"/>
      <c r="C269" s="371"/>
      <c r="D269" s="370"/>
      <c r="E269" s="108"/>
      <c r="F269" s="128"/>
      <c r="G269" s="35"/>
    </row>
    <row r="270" spans="1:7" x14ac:dyDescent="0.2">
      <c r="A270" s="29"/>
      <c r="B270" s="107"/>
      <c r="C270" s="371"/>
      <c r="D270" s="370"/>
      <c r="E270" s="108"/>
      <c r="F270" s="149"/>
      <c r="G270" s="35"/>
    </row>
    <row r="271" spans="1:7" x14ac:dyDescent="0.2">
      <c r="A271" s="29"/>
      <c r="B271" s="107"/>
      <c r="C271" s="41"/>
      <c r="D271" s="357"/>
      <c r="E271" s="153"/>
      <c r="F271" s="403"/>
      <c r="G271" s="372"/>
    </row>
    <row r="272" spans="1:7" x14ac:dyDescent="0.2">
      <c r="A272" s="29"/>
      <c r="B272" s="101"/>
      <c r="C272" s="371"/>
      <c r="D272" s="370"/>
      <c r="E272" s="108"/>
      <c r="F272" s="128"/>
      <c r="G272" s="35"/>
    </row>
    <row r="273" spans="1:7" x14ac:dyDescent="0.2">
      <c r="A273" s="29"/>
      <c r="B273" s="101"/>
      <c r="C273" s="371"/>
      <c r="D273" s="376"/>
      <c r="E273" s="108"/>
      <c r="F273" s="149"/>
      <c r="G273" s="35"/>
    </row>
    <row r="274" spans="1:7" x14ac:dyDescent="0.2">
      <c r="A274" s="29"/>
      <c r="B274" s="106"/>
      <c r="C274" s="41"/>
      <c r="D274" s="358"/>
      <c r="E274" s="104"/>
      <c r="F274" s="154"/>
      <c r="G274" s="372"/>
    </row>
    <row r="275" spans="1:7" x14ac:dyDescent="0.2">
      <c r="A275" s="29"/>
      <c r="B275" s="105"/>
      <c r="C275" s="41"/>
      <c r="D275" s="370"/>
      <c r="E275" s="108"/>
      <c r="F275" s="128"/>
      <c r="G275" s="35"/>
    </row>
    <row r="276" spans="1:7" x14ac:dyDescent="0.2">
      <c r="A276" s="29"/>
      <c r="B276" s="105"/>
      <c r="C276" s="41"/>
      <c r="D276" s="384"/>
      <c r="E276" s="108"/>
      <c r="F276" s="149"/>
      <c r="G276" s="35"/>
    </row>
    <row r="277" spans="1:7" x14ac:dyDescent="0.2">
      <c r="A277" s="29"/>
      <c r="B277" s="101"/>
      <c r="C277" s="41"/>
      <c r="D277" s="444"/>
      <c r="E277" s="104"/>
      <c r="F277" s="154"/>
      <c r="G277" s="372"/>
    </row>
    <row r="278" spans="1:7" x14ac:dyDescent="0.2">
      <c r="A278" s="29"/>
      <c r="B278" s="101"/>
      <c r="C278" s="41"/>
      <c r="D278" s="370"/>
      <c r="E278" s="108"/>
      <c r="F278" s="128"/>
      <c r="G278" s="35"/>
    </row>
    <row r="279" spans="1:7" x14ac:dyDescent="0.2">
      <c r="A279" s="29"/>
      <c r="B279" s="101"/>
      <c r="C279" s="41"/>
      <c r="D279" s="376"/>
      <c r="E279" s="108"/>
      <c r="F279" s="149"/>
      <c r="G279" s="35"/>
    </row>
    <row r="280" spans="1:7" x14ac:dyDescent="0.2">
      <c r="A280" s="29"/>
      <c r="B280" s="101"/>
      <c r="C280" s="41"/>
      <c r="D280" s="445"/>
      <c r="E280" s="104"/>
      <c r="F280" s="154"/>
      <c r="G280" s="372"/>
    </row>
    <row r="281" spans="1:7" x14ac:dyDescent="0.2">
      <c r="A281" s="29"/>
      <c r="B281" s="101"/>
      <c r="C281" s="41"/>
      <c r="D281" s="370"/>
      <c r="E281" s="108"/>
      <c r="F281" s="128"/>
      <c r="G281" s="35"/>
    </row>
    <row r="282" spans="1:7" x14ac:dyDescent="0.2">
      <c r="A282" s="29"/>
      <c r="B282" s="101"/>
      <c r="C282" s="41"/>
      <c r="D282" s="383"/>
      <c r="E282" s="108"/>
      <c r="F282" s="149"/>
      <c r="G282" s="35"/>
    </row>
    <row r="283" spans="1:7" x14ac:dyDescent="0.2">
      <c r="A283" s="29"/>
      <c r="B283" s="101"/>
      <c r="C283" s="41"/>
      <c r="D283" s="358"/>
      <c r="E283" s="108"/>
      <c r="F283" s="128"/>
      <c r="G283" s="372"/>
    </row>
    <row r="284" spans="1:7" x14ac:dyDescent="0.2">
      <c r="A284" s="29"/>
      <c r="B284" s="101"/>
      <c r="C284" s="41"/>
      <c r="D284" s="370"/>
      <c r="E284" s="108"/>
      <c r="F284" s="128"/>
      <c r="G284" s="35"/>
    </row>
    <row r="285" spans="1:7" x14ac:dyDescent="0.2">
      <c r="A285" s="29"/>
      <c r="B285" s="101"/>
      <c r="C285" s="41"/>
      <c r="D285" s="383"/>
      <c r="E285" s="108"/>
      <c r="F285" s="149"/>
      <c r="G285" s="35"/>
    </row>
    <row r="286" spans="1:7" x14ac:dyDescent="0.2">
      <c r="A286" s="29"/>
      <c r="B286" s="101"/>
      <c r="C286" s="41"/>
      <c r="D286" s="358" t="s">
        <v>152</v>
      </c>
      <c r="E286" s="153"/>
      <c r="F286" s="128"/>
      <c r="G286" s="372"/>
    </row>
    <row r="287" spans="1:7" x14ac:dyDescent="0.2">
      <c r="A287" s="29"/>
      <c r="B287" s="101"/>
      <c r="C287" s="41"/>
      <c r="D287" s="370"/>
      <c r="E287" s="108"/>
      <c r="F287" s="128"/>
      <c r="G287" s="35"/>
    </row>
    <row r="288" spans="1:7" x14ac:dyDescent="0.2">
      <c r="A288" s="29"/>
      <c r="B288" s="101"/>
      <c r="C288" s="41"/>
      <c r="D288" s="383"/>
      <c r="E288" s="108"/>
      <c r="F288" s="149"/>
      <c r="G288" s="35"/>
    </row>
    <row r="289" spans="1:11" x14ac:dyDescent="0.2">
      <c r="A289" s="29"/>
      <c r="B289" s="101"/>
      <c r="C289" s="41"/>
      <c r="D289" s="383"/>
      <c r="E289" s="102"/>
      <c r="F289" s="128"/>
      <c r="G289" s="35"/>
      <c r="K289" s="430" t="s">
        <v>979</v>
      </c>
    </row>
    <row r="290" spans="1:11" x14ac:dyDescent="0.2">
      <c r="A290" s="29"/>
      <c r="B290" s="101"/>
      <c r="C290" s="31"/>
      <c r="D290" s="419"/>
      <c r="E290" s="131"/>
      <c r="F290" s="117"/>
      <c r="G290" s="35"/>
    </row>
    <row r="291" spans="1:11" x14ac:dyDescent="0.2">
      <c r="A291" s="29"/>
      <c r="B291" s="101"/>
      <c r="C291" s="41"/>
      <c r="D291" s="425"/>
      <c r="E291" s="108"/>
      <c r="F291" s="149"/>
      <c r="G291" s="35"/>
    </row>
    <row r="292" spans="1:11" x14ac:dyDescent="0.2">
      <c r="A292" s="29"/>
      <c r="B292" s="101"/>
      <c r="C292" s="41"/>
      <c r="D292" s="383"/>
      <c r="E292" s="108"/>
      <c r="F292" s="149"/>
      <c r="G292" s="35"/>
    </row>
    <row r="293" spans="1:11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38250</v>
      </c>
    </row>
    <row r="294" spans="1:11" ht="13.5" thickTop="1" x14ac:dyDescent="0.2">
      <c r="A294" s="875" t="s">
        <v>1299</v>
      </c>
      <c r="B294" s="899"/>
      <c r="C294" s="899"/>
      <c r="D294" s="899"/>
      <c r="E294" s="899"/>
      <c r="F294" s="899"/>
      <c r="G294" s="900"/>
    </row>
    <row r="295" spans="1:11" ht="13.5" thickBot="1" x14ac:dyDescent="0.25">
      <c r="A295" s="52"/>
      <c r="B295" s="103"/>
      <c r="C295" s="374" t="s">
        <v>8</v>
      </c>
      <c r="D295" s="54"/>
      <c r="E295" s="103"/>
      <c r="F295" s="55"/>
      <c r="G295" s="56"/>
    </row>
    <row r="296" spans="1:11" ht="13.5" thickTop="1" x14ac:dyDescent="0.2">
      <c r="A296" s="906"/>
      <c r="B296" s="907"/>
      <c r="C296" s="907"/>
      <c r="D296" s="57" t="s">
        <v>11</v>
      </c>
      <c r="E296" s="908" t="s">
        <v>12</v>
      </c>
      <c r="F296" s="908"/>
      <c r="G296" s="909"/>
    </row>
    <row r="297" spans="1:11" x14ac:dyDescent="0.2">
      <c r="A297" s="866" t="s">
        <v>8</v>
      </c>
      <c r="B297" s="911"/>
      <c r="C297" s="911"/>
      <c r="D297" s="39"/>
      <c r="E297" s="912"/>
      <c r="F297" s="913"/>
      <c r="G297" s="914"/>
    </row>
    <row r="298" spans="1:11" x14ac:dyDescent="0.2">
      <c r="A298" s="910" t="s">
        <v>38</v>
      </c>
      <c r="B298" s="911"/>
      <c r="C298" s="911"/>
      <c r="D298" s="58" t="s">
        <v>908</v>
      </c>
      <c r="E298" s="868" t="s">
        <v>142</v>
      </c>
      <c r="F298" s="868"/>
      <c r="G298" s="869"/>
    </row>
    <row r="299" spans="1:11" ht="13.5" thickBot="1" x14ac:dyDescent="0.25">
      <c r="A299" s="901" t="s">
        <v>39</v>
      </c>
      <c r="B299" s="902"/>
      <c r="C299" s="902"/>
      <c r="D299" s="59" t="s">
        <v>909</v>
      </c>
      <c r="E299" s="904" t="s">
        <v>0</v>
      </c>
      <c r="F299" s="904"/>
      <c r="G299" s="905"/>
    </row>
    <row r="300" spans="1:11" ht="16.5" x14ac:dyDescent="0.25">
      <c r="A300" s="885" t="s">
        <v>29</v>
      </c>
      <c r="B300" s="886"/>
      <c r="C300" s="886"/>
      <c r="D300" s="886"/>
      <c r="E300" s="886"/>
      <c r="F300" s="886"/>
      <c r="G300" s="887"/>
    </row>
    <row r="301" spans="1:11" x14ac:dyDescent="0.2">
      <c r="A301" s="888" t="s">
        <v>48</v>
      </c>
      <c r="B301" s="889"/>
      <c r="C301" s="889"/>
      <c r="D301" s="889"/>
      <c r="E301" s="889"/>
      <c r="F301" s="889"/>
      <c r="G301" s="890"/>
    </row>
    <row r="302" spans="1:11" x14ac:dyDescent="0.2">
      <c r="A302" s="915" t="s">
        <v>49</v>
      </c>
      <c r="B302" s="916"/>
      <c r="C302" s="916"/>
      <c r="D302" s="916"/>
      <c r="E302" s="916"/>
      <c r="F302" s="916"/>
      <c r="G302" s="917"/>
    </row>
    <row r="303" spans="1:11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11" x14ac:dyDescent="0.2">
      <c r="A304" s="12" t="s">
        <v>1</v>
      </c>
      <c r="B304" s="13"/>
      <c r="C304" s="14" t="s">
        <v>911</v>
      </c>
      <c r="D304" s="13"/>
      <c r="E304" s="362" t="s">
        <v>1261</v>
      </c>
      <c r="F304" s="98"/>
      <c r="G304" s="363" t="s">
        <v>1230</v>
      </c>
    </row>
    <row r="305" spans="1:9" x14ac:dyDescent="0.2">
      <c r="A305" s="17" t="s">
        <v>8</v>
      </c>
      <c r="B305" s="100"/>
      <c r="C305" s="19"/>
      <c r="D305" s="4"/>
      <c r="E305" s="918"/>
      <c r="F305" s="919"/>
      <c r="G305" s="20"/>
    </row>
    <row r="306" spans="1:9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9" x14ac:dyDescent="0.2">
      <c r="A307" s="6"/>
      <c r="B307" s="99"/>
      <c r="C307" s="8"/>
      <c r="D307" s="8"/>
      <c r="E307" s="920"/>
      <c r="F307" s="921"/>
      <c r="G307" s="25"/>
    </row>
    <row r="308" spans="1:9" ht="26.25" thickBot="1" x14ac:dyDescent="0.25">
      <c r="A308" s="207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  <c r="I308" s="430" t="s">
        <v>152</v>
      </c>
    </row>
    <row r="309" spans="1:9" ht="13.5" thickTop="1" x14ac:dyDescent="0.2">
      <c r="A309" s="29">
        <v>1</v>
      </c>
      <c r="B309" s="101"/>
      <c r="C309" s="371" t="s">
        <v>242</v>
      </c>
      <c r="D309" s="376" t="s">
        <v>1294</v>
      </c>
      <c r="E309" s="158">
        <v>35</v>
      </c>
      <c r="F309" s="128">
        <v>250</v>
      </c>
      <c r="G309" s="35">
        <f>F309*E309</f>
        <v>8750</v>
      </c>
    </row>
    <row r="310" spans="1:9" x14ac:dyDescent="0.2">
      <c r="A310" s="29">
        <v>2</v>
      </c>
      <c r="B310" s="101"/>
      <c r="C310" s="371" t="s">
        <v>242</v>
      </c>
      <c r="D310" s="370" t="s">
        <v>325</v>
      </c>
      <c r="E310" s="108">
        <v>35</v>
      </c>
      <c r="F310" s="128">
        <v>350</v>
      </c>
      <c r="G310" s="35">
        <f>F310*E310</f>
        <v>12250</v>
      </c>
    </row>
    <row r="311" spans="1:9" x14ac:dyDescent="0.2">
      <c r="A311" s="29"/>
      <c r="B311" s="101"/>
      <c r="C311" s="371"/>
      <c r="D311" s="370"/>
      <c r="E311" s="108"/>
      <c r="F311" s="149"/>
      <c r="G311" s="35"/>
    </row>
    <row r="312" spans="1:9" x14ac:dyDescent="0.2">
      <c r="A312" s="29"/>
      <c r="B312" s="101"/>
      <c r="C312" s="371"/>
      <c r="D312" s="359"/>
      <c r="E312" s="108"/>
      <c r="F312" s="128"/>
      <c r="G312" s="372"/>
    </row>
    <row r="313" spans="1:9" x14ac:dyDescent="0.2">
      <c r="A313" s="29"/>
      <c r="B313" s="105"/>
      <c r="C313" s="371"/>
      <c r="D313" s="370"/>
      <c r="E313" s="108"/>
      <c r="F313" s="128"/>
      <c r="G313" s="35"/>
    </row>
    <row r="314" spans="1:9" x14ac:dyDescent="0.2">
      <c r="A314" s="29"/>
      <c r="B314" s="105"/>
      <c r="C314" s="371"/>
      <c r="D314" s="376"/>
      <c r="E314" s="108"/>
      <c r="F314" s="149"/>
      <c r="G314" s="35"/>
    </row>
    <row r="315" spans="1:9" x14ac:dyDescent="0.2">
      <c r="A315" s="29"/>
      <c r="B315" s="151"/>
      <c r="C315" s="385"/>
      <c r="D315" s="357"/>
      <c r="E315" s="108"/>
      <c r="F315" s="150"/>
      <c r="G315" s="372"/>
    </row>
    <row r="316" spans="1:9" x14ac:dyDescent="0.2">
      <c r="A316" s="29"/>
      <c r="B316" s="151"/>
      <c r="C316" s="371"/>
      <c r="D316" s="370"/>
      <c r="E316" s="108"/>
      <c r="F316" s="128"/>
      <c r="G316" s="35"/>
    </row>
    <row r="317" spans="1:9" x14ac:dyDescent="0.2">
      <c r="A317" s="29"/>
      <c r="B317" s="101"/>
      <c r="C317" s="371"/>
      <c r="D317" s="383"/>
      <c r="E317" s="108"/>
      <c r="F317" s="149"/>
      <c r="G317" s="35"/>
    </row>
    <row r="318" spans="1:9" x14ac:dyDescent="0.2">
      <c r="A318" s="29"/>
      <c r="B318" s="106"/>
      <c r="C318" s="41"/>
      <c r="D318" s="359"/>
      <c r="E318" s="104"/>
      <c r="F318" s="128"/>
      <c r="G318" s="372"/>
    </row>
    <row r="319" spans="1:9" x14ac:dyDescent="0.2">
      <c r="A319" s="29"/>
      <c r="B319" s="105"/>
      <c r="C319" s="371"/>
      <c r="D319" s="370"/>
      <c r="E319" s="108"/>
      <c r="F319" s="128"/>
      <c r="G319" s="35"/>
    </row>
    <row r="320" spans="1:9" x14ac:dyDescent="0.2">
      <c r="A320" s="29"/>
      <c r="B320" s="107"/>
      <c r="C320" s="371"/>
      <c r="D320" s="370"/>
      <c r="E320" s="108"/>
      <c r="F320" s="149"/>
      <c r="G320" s="35"/>
    </row>
    <row r="321" spans="1:7" x14ac:dyDescent="0.2">
      <c r="A321" s="29"/>
      <c r="B321" s="107"/>
      <c r="C321" s="41"/>
      <c r="D321" s="357"/>
      <c r="E321" s="153"/>
      <c r="F321" s="403"/>
      <c r="G321" s="372"/>
    </row>
    <row r="322" spans="1:7" x14ac:dyDescent="0.2">
      <c r="A322" s="29"/>
      <c r="B322" s="101"/>
      <c r="C322" s="371"/>
      <c r="D322" s="370"/>
      <c r="E322" s="108"/>
      <c r="F322" s="128"/>
      <c r="G322" s="35"/>
    </row>
    <row r="323" spans="1:7" x14ac:dyDescent="0.2">
      <c r="A323" s="29"/>
      <c r="B323" s="101"/>
      <c r="C323" s="371"/>
      <c r="D323" s="376"/>
      <c r="E323" s="108"/>
      <c r="F323" s="149"/>
      <c r="G323" s="35"/>
    </row>
    <row r="324" spans="1:7" x14ac:dyDescent="0.2">
      <c r="A324" s="29"/>
      <c r="B324" s="106"/>
      <c r="C324" s="41"/>
      <c r="D324" s="358"/>
      <c r="E324" s="104"/>
      <c r="F324" s="154"/>
      <c r="G324" s="372"/>
    </row>
    <row r="325" spans="1:7" x14ac:dyDescent="0.2">
      <c r="A325" s="29"/>
      <c r="B325" s="105"/>
      <c r="C325" s="41"/>
      <c r="D325" s="370"/>
      <c r="E325" s="108"/>
      <c r="F325" s="128"/>
      <c r="G325" s="35"/>
    </row>
    <row r="326" spans="1:7" x14ac:dyDescent="0.2">
      <c r="A326" s="29"/>
      <c r="B326" s="105"/>
      <c r="C326" s="41"/>
      <c r="D326" s="384"/>
      <c r="E326" s="108"/>
      <c r="F326" s="149"/>
      <c r="G326" s="35"/>
    </row>
    <row r="327" spans="1:7" x14ac:dyDescent="0.2">
      <c r="A327" s="29"/>
      <c r="B327" s="101"/>
      <c r="C327" s="41"/>
      <c r="D327" s="444"/>
      <c r="E327" s="104"/>
      <c r="F327" s="154"/>
      <c r="G327" s="372"/>
    </row>
    <row r="328" spans="1:7" x14ac:dyDescent="0.2">
      <c r="A328" s="29"/>
      <c r="B328" s="101"/>
      <c r="C328" s="41"/>
      <c r="D328" s="370"/>
      <c r="E328" s="108"/>
      <c r="F328" s="128"/>
      <c r="G328" s="35"/>
    </row>
    <row r="329" spans="1:7" x14ac:dyDescent="0.2">
      <c r="A329" s="29"/>
      <c r="B329" s="101"/>
      <c r="C329" s="41"/>
      <c r="D329" s="376"/>
      <c r="E329" s="108"/>
      <c r="F329" s="149"/>
      <c r="G329" s="35"/>
    </row>
    <row r="330" spans="1:7" x14ac:dyDescent="0.2">
      <c r="A330" s="29"/>
      <c r="B330" s="101"/>
      <c r="C330" s="41"/>
      <c r="D330" s="445"/>
      <c r="E330" s="104"/>
      <c r="F330" s="154"/>
      <c r="G330" s="372"/>
    </row>
    <row r="331" spans="1:7" x14ac:dyDescent="0.2">
      <c r="A331" s="29"/>
      <c r="B331" s="101"/>
      <c r="C331" s="41"/>
      <c r="D331" s="370"/>
      <c r="E331" s="108"/>
      <c r="F331" s="128"/>
      <c r="G331" s="35"/>
    </row>
    <row r="332" spans="1:7" x14ac:dyDescent="0.2">
      <c r="A332" s="29"/>
      <c r="B332" s="101"/>
      <c r="C332" s="41"/>
      <c r="D332" s="383"/>
      <c r="E332" s="108"/>
      <c r="F332" s="149"/>
      <c r="G332" s="35"/>
    </row>
    <row r="333" spans="1:7" x14ac:dyDescent="0.2">
      <c r="A333" s="29"/>
      <c r="B333" s="101"/>
      <c r="C333" s="41"/>
      <c r="D333" s="358"/>
      <c r="E333" s="108"/>
      <c r="F333" s="128"/>
      <c r="G333" s="372"/>
    </row>
    <row r="334" spans="1:7" x14ac:dyDescent="0.2">
      <c r="A334" s="29"/>
      <c r="B334" s="101"/>
      <c r="C334" s="41"/>
      <c r="D334" s="370"/>
      <c r="E334" s="108"/>
      <c r="F334" s="128"/>
      <c r="G334" s="35"/>
    </row>
    <row r="335" spans="1:7" x14ac:dyDescent="0.2">
      <c r="A335" s="29"/>
      <c r="B335" s="101"/>
      <c r="C335" s="41"/>
      <c r="D335" s="383"/>
      <c r="E335" s="108"/>
      <c r="F335" s="149"/>
      <c r="G335" s="35"/>
    </row>
    <row r="336" spans="1:7" x14ac:dyDescent="0.2">
      <c r="A336" s="29"/>
      <c r="B336" s="101"/>
      <c r="C336" s="41"/>
      <c r="D336" s="358"/>
      <c r="E336" s="153"/>
      <c r="F336" s="128"/>
      <c r="G336" s="372"/>
    </row>
    <row r="337" spans="1:7" x14ac:dyDescent="0.2">
      <c r="A337" s="29"/>
      <c r="B337" s="101"/>
      <c r="C337" s="41"/>
      <c r="D337" s="370"/>
      <c r="E337" s="108"/>
      <c r="F337" s="128"/>
      <c r="G337" s="35"/>
    </row>
    <row r="338" spans="1:7" x14ac:dyDescent="0.2">
      <c r="A338" s="29"/>
      <c r="B338" s="101"/>
      <c r="C338" s="41"/>
      <c r="D338" s="383"/>
      <c r="E338" s="108"/>
      <c r="F338" s="149"/>
      <c r="G338" s="35"/>
    </row>
    <row r="339" spans="1:7" x14ac:dyDescent="0.2">
      <c r="A339" s="29"/>
      <c r="B339" s="101"/>
      <c r="C339" s="41"/>
      <c r="D339" s="383"/>
      <c r="E339" s="102"/>
      <c r="F339" s="128"/>
      <c r="G339" s="35"/>
    </row>
    <row r="340" spans="1:7" x14ac:dyDescent="0.2">
      <c r="A340" s="29"/>
      <c r="B340" s="101"/>
      <c r="C340" s="31"/>
      <c r="D340" s="419"/>
      <c r="E340" s="131"/>
      <c r="F340" s="117"/>
      <c r="G340" s="35"/>
    </row>
    <row r="341" spans="1:7" x14ac:dyDescent="0.2">
      <c r="A341" s="29"/>
      <c r="B341" s="101"/>
      <c r="C341" s="41"/>
      <c r="D341" s="425"/>
      <c r="E341" s="108"/>
      <c r="F341" s="149"/>
      <c r="G341" s="35"/>
    </row>
    <row r="342" spans="1:7" x14ac:dyDescent="0.2">
      <c r="A342" s="29"/>
      <c r="B342" s="101"/>
      <c r="C342" s="41"/>
      <c r="D342" s="383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21000</v>
      </c>
    </row>
    <row r="344" spans="1:7" ht="13.5" thickTop="1" x14ac:dyDescent="0.2">
      <c r="A344" s="875" t="s">
        <v>1306</v>
      </c>
      <c r="B344" s="899"/>
      <c r="C344" s="899"/>
      <c r="D344" s="899"/>
      <c r="E344" s="899"/>
      <c r="F344" s="899"/>
      <c r="G344" s="900"/>
    </row>
    <row r="345" spans="1:7" ht="13.5" thickBot="1" x14ac:dyDescent="0.25">
      <c r="A345" s="52"/>
      <c r="B345" s="103"/>
      <c r="C345" s="374" t="s">
        <v>1307</v>
      </c>
      <c r="D345" s="54"/>
      <c r="E345" s="103"/>
      <c r="F345" s="55"/>
      <c r="G345" s="56"/>
    </row>
    <row r="346" spans="1:7" ht="13.5" thickTop="1" x14ac:dyDescent="0.2">
      <c r="A346" s="906"/>
      <c r="B346" s="907"/>
      <c r="C346" s="907"/>
      <c r="D346" s="57" t="s">
        <v>11</v>
      </c>
      <c r="E346" s="908" t="s">
        <v>12</v>
      </c>
      <c r="F346" s="908"/>
      <c r="G346" s="909"/>
    </row>
    <row r="347" spans="1:7" x14ac:dyDescent="0.2">
      <c r="A347" s="866" t="s">
        <v>8</v>
      </c>
      <c r="B347" s="911"/>
      <c r="C347" s="911"/>
      <c r="D347" s="39"/>
      <c r="E347" s="912"/>
      <c r="F347" s="913"/>
      <c r="G347" s="914"/>
    </row>
    <row r="348" spans="1:7" x14ac:dyDescent="0.2">
      <c r="A348" s="910" t="s">
        <v>38</v>
      </c>
      <c r="B348" s="911"/>
      <c r="C348" s="911"/>
      <c r="D348" s="58" t="s">
        <v>908</v>
      </c>
      <c r="E348" s="868" t="s">
        <v>142</v>
      </c>
      <c r="F348" s="868"/>
      <c r="G348" s="869"/>
    </row>
    <row r="349" spans="1:7" ht="13.5" thickBot="1" x14ac:dyDescent="0.25">
      <c r="A349" s="901" t="s">
        <v>39</v>
      </c>
      <c r="B349" s="902"/>
      <c r="C349" s="902"/>
      <c r="D349" s="59" t="s">
        <v>909</v>
      </c>
      <c r="E349" s="904" t="s">
        <v>0</v>
      </c>
      <c r="F349" s="904"/>
      <c r="G349" s="905"/>
    </row>
    <row r="350" spans="1:7" ht="16.5" x14ac:dyDescent="0.25">
      <c r="A350" s="885" t="s">
        <v>29</v>
      </c>
      <c r="B350" s="886"/>
      <c r="C350" s="886"/>
      <c r="D350" s="886"/>
      <c r="E350" s="886"/>
      <c r="F350" s="886"/>
      <c r="G350" s="887"/>
    </row>
    <row r="351" spans="1:7" x14ac:dyDescent="0.2">
      <c r="A351" s="888" t="s">
        <v>48</v>
      </c>
      <c r="B351" s="889"/>
      <c r="C351" s="889"/>
      <c r="D351" s="889"/>
      <c r="E351" s="889"/>
      <c r="F351" s="889"/>
      <c r="G351" s="890"/>
    </row>
    <row r="352" spans="1:7" x14ac:dyDescent="0.2">
      <c r="A352" s="915" t="s">
        <v>49</v>
      </c>
      <c r="B352" s="916"/>
      <c r="C352" s="916"/>
      <c r="D352" s="916"/>
      <c r="E352" s="916"/>
      <c r="F352" s="916"/>
      <c r="G352" s="917"/>
    </row>
    <row r="353" spans="1:10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10" x14ac:dyDescent="0.2">
      <c r="A354" s="12" t="s">
        <v>1</v>
      </c>
      <c r="B354" s="13"/>
      <c r="C354" s="14" t="s">
        <v>911</v>
      </c>
      <c r="D354" s="13"/>
      <c r="E354" s="362" t="s">
        <v>1330</v>
      </c>
      <c r="F354" s="98"/>
      <c r="G354" s="363" t="s">
        <v>1329</v>
      </c>
    </row>
    <row r="355" spans="1:10" x14ac:dyDescent="0.2">
      <c r="A355" s="17" t="s">
        <v>8</v>
      </c>
      <c r="B355" s="100"/>
      <c r="C355" s="19"/>
      <c r="D355" s="4"/>
      <c r="E355" s="918"/>
      <c r="F355" s="919"/>
      <c r="G355" s="20"/>
    </row>
    <row r="356" spans="1:10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10" x14ac:dyDescent="0.2">
      <c r="A357" s="6"/>
      <c r="B357" s="99"/>
      <c r="C357" s="8"/>
      <c r="D357" s="8"/>
      <c r="E357" s="920"/>
      <c r="F357" s="921"/>
      <c r="G357" s="25"/>
    </row>
    <row r="358" spans="1:10" ht="26.25" thickBot="1" x14ac:dyDescent="0.25">
      <c r="A358" s="207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10" ht="13.5" thickTop="1" x14ac:dyDescent="0.2">
      <c r="A359" s="364" t="s">
        <v>8</v>
      </c>
      <c r="B359" s="101"/>
      <c r="C359" s="371"/>
      <c r="D359" s="357" t="s">
        <v>1319</v>
      </c>
      <c r="E359" s="158"/>
      <c r="F359" s="128"/>
      <c r="G359" s="372" t="s">
        <v>8</v>
      </c>
    </row>
    <row r="360" spans="1:10" x14ac:dyDescent="0.2">
      <c r="A360" s="364">
        <v>1</v>
      </c>
      <c r="B360" s="101"/>
      <c r="C360" s="371" t="s">
        <v>242</v>
      </c>
      <c r="D360" s="370" t="s">
        <v>1311</v>
      </c>
      <c r="E360" s="108">
        <v>100</v>
      </c>
      <c r="F360" s="128">
        <v>350</v>
      </c>
      <c r="G360" s="35">
        <f>F360*E360</f>
        <v>35000</v>
      </c>
    </row>
    <row r="361" spans="1:10" x14ac:dyDescent="0.2">
      <c r="A361" s="29">
        <v>2</v>
      </c>
      <c r="B361" s="101"/>
      <c r="C361" s="371" t="s">
        <v>242</v>
      </c>
      <c r="D361" s="370" t="s">
        <v>325</v>
      </c>
      <c r="E361" s="108">
        <v>100</v>
      </c>
      <c r="F361" s="149">
        <v>350</v>
      </c>
      <c r="G361" s="35">
        <f t="shared" ref="G361:G386" si="1">F361*E361</f>
        <v>35000</v>
      </c>
    </row>
    <row r="362" spans="1:10" x14ac:dyDescent="0.2">
      <c r="A362" s="29">
        <v>3</v>
      </c>
      <c r="B362" s="101"/>
      <c r="C362" s="371" t="s">
        <v>242</v>
      </c>
      <c r="D362" s="370" t="s">
        <v>1312</v>
      </c>
      <c r="E362" s="108">
        <v>100</v>
      </c>
      <c r="F362" s="128">
        <v>350</v>
      </c>
      <c r="G362" s="35">
        <f t="shared" si="1"/>
        <v>35000</v>
      </c>
    </row>
    <row r="363" spans="1:10" x14ac:dyDescent="0.2">
      <c r="A363" s="29"/>
      <c r="B363" s="105"/>
      <c r="C363" s="371"/>
      <c r="D363" s="359" t="s">
        <v>1320</v>
      </c>
      <c r="E363" s="108"/>
      <c r="F363" s="128"/>
      <c r="G363" s="372" t="s">
        <v>8</v>
      </c>
    </row>
    <row r="364" spans="1:10" x14ac:dyDescent="0.2">
      <c r="A364" s="29">
        <v>4</v>
      </c>
      <c r="B364" s="105"/>
      <c r="C364" s="371" t="s">
        <v>242</v>
      </c>
      <c r="D364" s="370" t="s">
        <v>1311</v>
      </c>
      <c r="E364" s="108">
        <v>100</v>
      </c>
      <c r="F364" s="149">
        <v>350</v>
      </c>
      <c r="G364" s="35">
        <f t="shared" si="1"/>
        <v>35000</v>
      </c>
    </row>
    <row r="365" spans="1:10" x14ac:dyDescent="0.2">
      <c r="A365" s="29">
        <v>5</v>
      </c>
      <c r="B365" s="151"/>
      <c r="C365" s="371" t="s">
        <v>242</v>
      </c>
      <c r="D365" s="370" t="s">
        <v>325</v>
      </c>
      <c r="E365" s="108">
        <v>100</v>
      </c>
      <c r="F365" s="150">
        <v>350</v>
      </c>
      <c r="G365" s="35">
        <f t="shared" si="1"/>
        <v>35000</v>
      </c>
    </row>
    <row r="366" spans="1:10" x14ac:dyDescent="0.2">
      <c r="A366" s="29">
        <v>6</v>
      </c>
      <c r="B366" s="151"/>
      <c r="C366" s="371" t="s">
        <v>242</v>
      </c>
      <c r="D366" s="370" t="s">
        <v>1298</v>
      </c>
      <c r="E366" s="108">
        <v>100</v>
      </c>
      <c r="F366" s="128">
        <v>250</v>
      </c>
      <c r="G366" s="35">
        <f t="shared" si="1"/>
        <v>25000</v>
      </c>
      <c r="J366" s="430" t="s">
        <v>150</v>
      </c>
    </row>
    <row r="367" spans="1:10" x14ac:dyDescent="0.2">
      <c r="A367" s="29">
        <v>7</v>
      </c>
      <c r="B367" s="101"/>
      <c r="C367" s="371" t="s">
        <v>242</v>
      </c>
      <c r="D367" s="370" t="s">
        <v>1312</v>
      </c>
      <c r="E367" s="108">
        <v>100</v>
      </c>
      <c r="F367" s="149">
        <v>350</v>
      </c>
      <c r="G367" s="35">
        <f t="shared" si="1"/>
        <v>35000</v>
      </c>
    </row>
    <row r="368" spans="1:10" x14ac:dyDescent="0.2">
      <c r="A368" s="29"/>
      <c r="B368" s="106"/>
      <c r="C368" s="41"/>
      <c r="D368" s="359" t="s">
        <v>1321</v>
      </c>
      <c r="E368" s="104"/>
      <c r="F368" s="403" t="s">
        <v>8</v>
      </c>
      <c r="G368" s="372" t="s">
        <v>8</v>
      </c>
    </row>
    <row r="369" spans="1:7" x14ac:dyDescent="0.2">
      <c r="A369" s="29">
        <v>8</v>
      </c>
      <c r="B369" s="105"/>
      <c r="C369" s="371" t="s">
        <v>242</v>
      </c>
      <c r="D369" s="370" t="s">
        <v>1311</v>
      </c>
      <c r="E369" s="108">
        <v>150</v>
      </c>
      <c r="F369" s="128">
        <v>350</v>
      </c>
      <c r="G369" s="35">
        <f t="shared" si="1"/>
        <v>52500</v>
      </c>
    </row>
    <row r="370" spans="1:7" x14ac:dyDescent="0.2">
      <c r="A370" s="29">
        <v>9</v>
      </c>
      <c r="B370" s="107"/>
      <c r="C370" s="371" t="s">
        <v>242</v>
      </c>
      <c r="D370" s="370" t="s">
        <v>325</v>
      </c>
      <c r="E370" s="108">
        <v>150</v>
      </c>
      <c r="F370" s="149">
        <v>350</v>
      </c>
      <c r="G370" s="35">
        <f t="shared" si="1"/>
        <v>52500</v>
      </c>
    </row>
    <row r="371" spans="1:7" x14ac:dyDescent="0.2">
      <c r="A371" s="29">
        <v>10</v>
      </c>
      <c r="B371" s="107"/>
      <c r="C371" s="371" t="s">
        <v>242</v>
      </c>
      <c r="D371" s="370" t="s">
        <v>1316</v>
      </c>
      <c r="E371" s="108">
        <v>150</v>
      </c>
      <c r="F371" s="403">
        <v>250</v>
      </c>
      <c r="G371" s="35">
        <f t="shared" si="1"/>
        <v>37500</v>
      </c>
    </row>
    <row r="372" spans="1:7" x14ac:dyDescent="0.2">
      <c r="A372" s="29">
        <v>11</v>
      </c>
      <c r="B372" s="101"/>
      <c r="C372" s="371" t="s">
        <v>242</v>
      </c>
      <c r="D372" s="370" t="s">
        <v>1312</v>
      </c>
      <c r="E372" s="108">
        <v>150</v>
      </c>
      <c r="F372" s="128">
        <v>350</v>
      </c>
      <c r="G372" s="35">
        <f t="shared" si="1"/>
        <v>52500</v>
      </c>
    </row>
    <row r="373" spans="1:7" x14ac:dyDescent="0.2">
      <c r="A373" s="29"/>
      <c r="B373" s="101"/>
      <c r="C373" s="371"/>
      <c r="D373" s="357" t="s">
        <v>1322</v>
      </c>
      <c r="E373" s="108"/>
      <c r="F373" s="149"/>
      <c r="G373" s="372" t="s">
        <v>8</v>
      </c>
    </row>
    <row r="374" spans="1:7" x14ac:dyDescent="0.2">
      <c r="A374" s="29">
        <v>12</v>
      </c>
      <c r="B374" s="106"/>
      <c r="C374" s="371" t="s">
        <v>242</v>
      </c>
      <c r="D374" s="370" t="s">
        <v>1311</v>
      </c>
      <c r="E374" s="104">
        <v>200</v>
      </c>
      <c r="F374" s="149">
        <v>350</v>
      </c>
      <c r="G374" s="35">
        <f t="shared" si="1"/>
        <v>70000</v>
      </c>
    </row>
    <row r="375" spans="1:7" x14ac:dyDescent="0.2">
      <c r="A375" s="29">
        <v>13</v>
      </c>
      <c r="B375" s="105"/>
      <c r="C375" s="371" t="s">
        <v>242</v>
      </c>
      <c r="D375" s="370" t="s">
        <v>325</v>
      </c>
      <c r="E375" s="104">
        <v>200</v>
      </c>
      <c r="F375" s="150">
        <v>350</v>
      </c>
      <c r="G375" s="35">
        <f t="shared" si="1"/>
        <v>70000</v>
      </c>
    </row>
    <row r="376" spans="1:7" x14ac:dyDescent="0.2">
      <c r="A376" s="29">
        <v>14</v>
      </c>
      <c r="B376" s="105"/>
      <c r="C376" s="371" t="s">
        <v>242</v>
      </c>
      <c r="D376" s="370" t="s">
        <v>1001</v>
      </c>
      <c r="E376" s="104">
        <v>200</v>
      </c>
      <c r="F376" s="128">
        <v>250</v>
      </c>
      <c r="G376" s="35">
        <f t="shared" si="1"/>
        <v>50000</v>
      </c>
    </row>
    <row r="377" spans="1:7" x14ac:dyDescent="0.2">
      <c r="A377" s="29">
        <v>15</v>
      </c>
      <c r="B377" s="101"/>
      <c r="C377" s="371" t="s">
        <v>242</v>
      </c>
      <c r="D377" s="370" t="s">
        <v>1312</v>
      </c>
      <c r="E377" s="104">
        <v>200</v>
      </c>
      <c r="F377" s="149">
        <v>350</v>
      </c>
      <c r="G377" s="35">
        <f t="shared" si="1"/>
        <v>70000</v>
      </c>
    </row>
    <row r="378" spans="1:7" x14ac:dyDescent="0.2">
      <c r="A378" s="29"/>
      <c r="B378" s="101"/>
      <c r="C378" s="41"/>
      <c r="D378" s="359" t="s">
        <v>1323</v>
      </c>
      <c r="E378" s="108"/>
      <c r="F378" s="128"/>
      <c r="G378" s="372" t="s">
        <v>8</v>
      </c>
    </row>
    <row r="379" spans="1:7" x14ac:dyDescent="0.2">
      <c r="A379" s="29">
        <v>16</v>
      </c>
      <c r="B379" s="101"/>
      <c r="C379" s="371" t="s">
        <v>242</v>
      </c>
      <c r="D379" s="370" t="s">
        <v>1311</v>
      </c>
      <c r="E379" s="108">
        <v>200</v>
      </c>
      <c r="F379" s="149">
        <v>350</v>
      </c>
      <c r="G379" s="35">
        <f t="shared" si="1"/>
        <v>70000</v>
      </c>
    </row>
    <row r="380" spans="1:7" x14ac:dyDescent="0.2">
      <c r="A380" s="29">
        <v>17</v>
      </c>
      <c r="B380" s="101"/>
      <c r="C380" s="371" t="s">
        <v>242</v>
      </c>
      <c r="D380" s="370" t="s">
        <v>325</v>
      </c>
      <c r="E380" s="108">
        <v>200</v>
      </c>
      <c r="F380" s="150">
        <v>350</v>
      </c>
      <c r="G380" s="35">
        <f t="shared" si="1"/>
        <v>70000</v>
      </c>
    </row>
    <row r="381" spans="1:7" x14ac:dyDescent="0.2">
      <c r="A381" s="29">
        <v>18</v>
      </c>
      <c r="B381" s="101"/>
      <c r="C381" s="371" t="s">
        <v>242</v>
      </c>
      <c r="D381" s="370" t="s">
        <v>1298</v>
      </c>
      <c r="E381" s="108">
        <v>200</v>
      </c>
      <c r="F381" s="128">
        <v>250</v>
      </c>
      <c r="G381" s="35">
        <f t="shared" si="1"/>
        <v>50000</v>
      </c>
    </row>
    <row r="382" spans="1:7" x14ac:dyDescent="0.2">
      <c r="A382" s="29">
        <v>19</v>
      </c>
      <c r="B382" s="101"/>
      <c r="C382" s="371" t="s">
        <v>242</v>
      </c>
      <c r="D382" s="370" t="s">
        <v>1312</v>
      </c>
      <c r="E382" s="108">
        <v>200</v>
      </c>
      <c r="F382" s="149">
        <v>350</v>
      </c>
      <c r="G382" s="35">
        <f t="shared" si="1"/>
        <v>70000</v>
      </c>
    </row>
    <row r="383" spans="1:7" x14ac:dyDescent="0.2">
      <c r="A383" s="29"/>
      <c r="B383" s="101"/>
      <c r="C383" s="41"/>
      <c r="D383" s="358" t="s">
        <v>1324</v>
      </c>
      <c r="E383" s="108"/>
      <c r="F383" s="128"/>
      <c r="G383" s="372" t="s">
        <v>8</v>
      </c>
    </row>
    <row r="384" spans="1:7" x14ac:dyDescent="0.2">
      <c r="A384" s="29">
        <v>20</v>
      </c>
      <c r="B384" s="101"/>
      <c r="C384" s="371" t="s">
        <v>242</v>
      </c>
      <c r="D384" s="370" t="s">
        <v>1311</v>
      </c>
      <c r="E384" s="108">
        <v>100</v>
      </c>
      <c r="F384" s="128">
        <v>350</v>
      </c>
      <c r="G384" s="35">
        <f t="shared" si="1"/>
        <v>35000</v>
      </c>
    </row>
    <row r="385" spans="1:7" x14ac:dyDescent="0.2">
      <c r="A385" s="29">
        <v>21</v>
      </c>
      <c r="B385" s="101"/>
      <c r="C385" s="371" t="s">
        <v>242</v>
      </c>
      <c r="D385" s="370" t="s">
        <v>325</v>
      </c>
      <c r="E385" s="108">
        <v>100</v>
      </c>
      <c r="F385" s="149">
        <v>350</v>
      </c>
      <c r="G385" s="35">
        <f t="shared" si="1"/>
        <v>35000</v>
      </c>
    </row>
    <row r="386" spans="1:7" x14ac:dyDescent="0.2">
      <c r="A386" s="29">
        <v>22</v>
      </c>
      <c r="B386" s="101"/>
      <c r="C386" s="371" t="s">
        <v>242</v>
      </c>
      <c r="D386" s="370" t="s">
        <v>1312</v>
      </c>
      <c r="E386" s="108">
        <v>100</v>
      </c>
      <c r="F386" s="128">
        <v>350</v>
      </c>
      <c r="G386" s="35">
        <f t="shared" si="1"/>
        <v>35000</v>
      </c>
    </row>
    <row r="387" spans="1:7" x14ac:dyDescent="0.2">
      <c r="A387" s="29"/>
      <c r="B387" s="101"/>
      <c r="C387" s="41"/>
      <c r="D387" s="370"/>
      <c r="E387" s="108"/>
      <c r="F387" s="128"/>
      <c r="G387" s="35"/>
    </row>
    <row r="388" spans="1:7" x14ac:dyDescent="0.2">
      <c r="A388" s="29"/>
      <c r="B388" s="101"/>
      <c r="C388" s="41"/>
      <c r="D388" s="383"/>
      <c r="E388" s="108"/>
      <c r="F388" s="149"/>
      <c r="G388" s="35"/>
    </row>
    <row r="389" spans="1:7" x14ac:dyDescent="0.2">
      <c r="A389" s="29"/>
      <c r="B389" s="101"/>
      <c r="C389" s="41"/>
      <c r="D389" s="383"/>
      <c r="E389" s="102"/>
      <c r="F389" s="128"/>
      <c r="G389" s="35"/>
    </row>
    <row r="390" spans="1:7" x14ac:dyDescent="0.2">
      <c r="A390" s="29"/>
      <c r="B390" s="101"/>
      <c r="C390" s="31"/>
      <c r="D390" s="419"/>
      <c r="E390" s="131"/>
      <c r="F390" s="117"/>
      <c r="G390" s="35"/>
    </row>
    <row r="391" spans="1:7" x14ac:dyDescent="0.2">
      <c r="A391" s="29"/>
      <c r="B391" s="101"/>
      <c r="C391" s="41"/>
      <c r="D391" s="425"/>
      <c r="E391" s="108"/>
      <c r="F391" s="149"/>
      <c r="G391" s="35"/>
    </row>
    <row r="392" spans="1:7" x14ac:dyDescent="0.2">
      <c r="A392" s="29"/>
      <c r="B392" s="101"/>
      <c r="C392" s="41"/>
      <c r="D392" s="383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1055000</v>
      </c>
    </row>
    <row r="394" spans="1:7" ht="13.5" thickTop="1" x14ac:dyDescent="0.2">
      <c r="A394" s="875" t="s">
        <v>1317</v>
      </c>
      <c r="B394" s="899"/>
      <c r="C394" s="899"/>
      <c r="D394" s="899"/>
      <c r="E394" s="899"/>
      <c r="F394" s="899"/>
      <c r="G394" s="900"/>
    </row>
    <row r="395" spans="1:7" ht="13.5" thickBot="1" x14ac:dyDescent="0.25">
      <c r="A395" s="52"/>
      <c r="B395" s="103"/>
      <c r="C395" s="374" t="s">
        <v>1318</v>
      </c>
      <c r="D395" s="54"/>
      <c r="E395" s="103"/>
      <c r="F395" s="55"/>
      <c r="G395" s="56"/>
    </row>
    <row r="396" spans="1:7" ht="13.5" thickTop="1" x14ac:dyDescent="0.2">
      <c r="A396" s="906"/>
      <c r="B396" s="907"/>
      <c r="C396" s="907"/>
      <c r="D396" s="57" t="s">
        <v>11</v>
      </c>
      <c r="E396" s="908" t="s">
        <v>12</v>
      </c>
      <c r="F396" s="908"/>
      <c r="G396" s="909"/>
    </row>
    <row r="397" spans="1:7" x14ac:dyDescent="0.2">
      <c r="A397" s="866" t="s">
        <v>8</v>
      </c>
      <c r="B397" s="911"/>
      <c r="C397" s="911"/>
      <c r="D397" s="39"/>
      <c r="E397" s="912"/>
      <c r="F397" s="913"/>
      <c r="G397" s="914"/>
    </row>
    <row r="398" spans="1:7" x14ac:dyDescent="0.2">
      <c r="A398" s="910" t="s">
        <v>38</v>
      </c>
      <c r="B398" s="911"/>
      <c r="C398" s="911"/>
      <c r="D398" s="58" t="s">
        <v>908</v>
      </c>
      <c r="E398" s="868" t="s">
        <v>142</v>
      </c>
      <c r="F398" s="868"/>
      <c r="G398" s="869"/>
    </row>
    <row r="399" spans="1:7" ht="13.5" thickBot="1" x14ac:dyDescent="0.25">
      <c r="A399" s="901" t="s">
        <v>39</v>
      </c>
      <c r="B399" s="902"/>
      <c r="C399" s="902"/>
      <c r="D399" s="59" t="s">
        <v>909</v>
      </c>
      <c r="E399" s="904" t="s">
        <v>0</v>
      </c>
      <c r="F399" s="904"/>
      <c r="G399" s="905"/>
    </row>
    <row r="400" spans="1:7" ht="16.5" x14ac:dyDescent="0.25">
      <c r="A400" s="885" t="s">
        <v>29</v>
      </c>
      <c r="B400" s="886"/>
      <c r="C400" s="886"/>
      <c r="D400" s="886"/>
      <c r="E400" s="886"/>
      <c r="F400" s="886"/>
      <c r="G400" s="887"/>
    </row>
    <row r="401" spans="1:7" x14ac:dyDescent="0.2">
      <c r="A401" s="888" t="s">
        <v>48</v>
      </c>
      <c r="B401" s="889"/>
      <c r="C401" s="889"/>
      <c r="D401" s="889"/>
      <c r="E401" s="889"/>
      <c r="F401" s="889"/>
      <c r="G401" s="890"/>
    </row>
    <row r="402" spans="1:7" x14ac:dyDescent="0.2">
      <c r="A402" s="915" t="s">
        <v>49</v>
      </c>
      <c r="B402" s="916"/>
      <c r="C402" s="916"/>
      <c r="D402" s="916"/>
      <c r="E402" s="916"/>
      <c r="F402" s="916"/>
      <c r="G402" s="917"/>
    </row>
    <row r="403" spans="1:7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7" x14ac:dyDescent="0.2">
      <c r="A404" s="12" t="s">
        <v>1</v>
      </c>
      <c r="B404" s="13"/>
      <c r="C404" s="14" t="s">
        <v>911</v>
      </c>
      <c r="D404" s="13"/>
      <c r="E404" s="362" t="s">
        <v>1738</v>
      </c>
      <c r="F404" s="98"/>
      <c r="G404" s="363" t="s">
        <v>1739</v>
      </c>
    </row>
    <row r="405" spans="1:7" x14ac:dyDescent="0.2">
      <c r="A405" s="17" t="s">
        <v>8</v>
      </c>
      <c r="B405" s="100"/>
      <c r="C405" s="19"/>
      <c r="D405" s="4"/>
      <c r="E405" s="918"/>
      <c r="F405" s="919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7" x14ac:dyDescent="0.2">
      <c r="A407" s="6"/>
      <c r="B407" s="99"/>
      <c r="C407" s="8"/>
      <c r="D407" s="8"/>
      <c r="E407" s="920"/>
      <c r="F407" s="921"/>
      <c r="G407" s="25"/>
    </row>
    <row r="408" spans="1:7" ht="26.25" thickBot="1" x14ac:dyDescent="0.25">
      <c r="A408" s="207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364"/>
      <c r="B409" s="101"/>
      <c r="C409" s="371"/>
      <c r="D409" s="357" t="s">
        <v>1325</v>
      </c>
      <c r="E409" s="158"/>
      <c r="F409" s="128"/>
      <c r="G409" s="372" t="s">
        <v>8</v>
      </c>
    </row>
    <row r="410" spans="1:7" x14ac:dyDescent="0.2">
      <c r="A410" s="364">
        <v>1</v>
      </c>
      <c r="B410" s="101"/>
      <c r="C410" s="371" t="s">
        <v>242</v>
      </c>
      <c r="D410" s="370" t="s">
        <v>1298</v>
      </c>
      <c r="E410" s="108">
        <v>105</v>
      </c>
      <c r="F410" s="128">
        <v>250</v>
      </c>
      <c r="G410" s="35">
        <f>F410*E410</f>
        <v>26250</v>
      </c>
    </row>
    <row r="411" spans="1:7" x14ac:dyDescent="0.2">
      <c r="A411" s="29">
        <v>2</v>
      </c>
      <c r="B411" s="101"/>
      <c r="C411" s="371" t="s">
        <v>242</v>
      </c>
      <c r="D411" s="370" t="s">
        <v>1312</v>
      </c>
      <c r="E411" s="108">
        <v>100</v>
      </c>
      <c r="F411" s="149">
        <v>350</v>
      </c>
      <c r="G411" s="35">
        <f t="shared" ref="G411" si="2">F411*E411</f>
        <v>35000</v>
      </c>
    </row>
    <row r="412" spans="1:7" x14ac:dyDescent="0.2">
      <c r="A412" s="29"/>
      <c r="B412" s="101"/>
      <c r="C412" s="371"/>
      <c r="D412" s="370"/>
      <c r="E412" s="108"/>
      <c r="F412" s="128"/>
      <c r="G412" s="35"/>
    </row>
    <row r="413" spans="1:7" x14ac:dyDescent="0.2">
      <c r="A413" s="29"/>
      <c r="B413" s="105"/>
      <c r="C413" s="371"/>
      <c r="D413" s="359" t="s">
        <v>1326</v>
      </c>
      <c r="E413" s="108"/>
      <c r="F413" s="128"/>
      <c r="G413" s="372" t="s">
        <v>8</v>
      </c>
    </row>
    <row r="414" spans="1:7" x14ac:dyDescent="0.2">
      <c r="A414" s="29">
        <v>4</v>
      </c>
      <c r="B414" s="105"/>
      <c r="C414" s="371" t="s">
        <v>242</v>
      </c>
      <c r="D414" s="370" t="s">
        <v>1298</v>
      </c>
      <c r="E414" s="108">
        <v>105</v>
      </c>
      <c r="F414" s="128">
        <v>250</v>
      </c>
      <c r="G414" s="35">
        <f t="shared" ref="G414:G415" si="3">F414*E414</f>
        <v>26250</v>
      </c>
    </row>
    <row r="415" spans="1:7" x14ac:dyDescent="0.2">
      <c r="A415" s="29">
        <v>5</v>
      </c>
      <c r="B415" s="151"/>
      <c r="C415" s="371" t="s">
        <v>242</v>
      </c>
      <c r="D415" s="370" t="s">
        <v>1312</v>
      </c>
      <c r="E415" s="108">
        <v>100</v>
      </c>
      <c r="F415" s="149">
        <v>350</v>
      </c>
      <c r="G415" s="35">
        <f t="shared" si="3"/>
        <v>35000</v>
      </c>
    </row>
    <row r="416" spans="1:7" x14ac:dyDescent="0.2">
      <c r="A416" s="29"/>
      <c r="B416" s="151"/>
      <c r="C416" s="371"/>
      <c r="D416" s="370"/>
      <c r="E416" s="108"/>
      <c r="F416" s="128"/>
      <c r="G416" s="35"/>
    </row>
    <row r="417" spans="1:9" x14ac:dyDescent="0.2">
      <c r="A417" s="29"/>
      <c r="B417" s="101"/>
      <c r="C417" s="371"/>
      <c r="D417" s="359" t="s">
        <v>1327</v>
      </c>
      <c r="E417" s="108"/>
      <c r="F417" s="149"/>
      <c r="G417" s="372" t="s">
        <v>8</v>
      </c>
      <c r="I417" s="430" t="s">
        <v>152</v>
      </c>
    </row>
    <row r="418" spans="1:9" x14ac:dyDescent="0.2">
      <c r="A418" s="29">
        <v>7</v>
      </c>
      <c r="B418" s="106"/>
      <c r="C418" s="371" t="s">
        <v>242</v>
      </c>
      <c r="D418" s="370" t="s">
        <v>1298</v>
      </c>
      <c r="E418" s="108">
        <v>105</v>
      </c>
      <c r="F418" s="128">
        <v>250</v>
      </c>
      <c r="G418" s="372">
        <f>F418*E418</f>
        <v>26250</v>
      </c>
    </row>
    <row r="419" spans="1:9" x14ac:dyDescent="0.2">
      <c r="A419" s="29">
        <v>8</v>
      </c>
      <c r="B419" s="105"/>
      <c r="C419" s="371" t="s">
        <v>242</v>
      </c>
      <c r="D419" s="370" t="s">
        <v>1312</v>
      </c>
      <c r="E419" s="108">
        <v>100</v>
      </c>
      <c r="F419" s="149">
        <v>350</v>
      </c>
      <c r="G419" s="35">
        <f t="shared" ref="G419" si="4">F419*E419</f>
        <v>35000</v>
      </c>
    </row>
    <row r="420" spans="1:9" x14ac:dyDescent="0.2">
      <c r="A420" s="29"/>
      <c r="B420" s="107"/>
      <c r="C420" s="371"/>
      <c r="D420" s="370"/>
      <c r="E420" s="108"/>
      <c r="F420" s="128"/>
      <c r="G420" s="35"/>
    </row>
    <row r="421" spans="1:9" x14ac:dyDescent="0.2">
      <c r="A421" s="29"/>
      <c r="B421" s="107"/>
      <c r="C421" s="371"/>
      <c r="D421" s="359"/>
      <c r="E421" s="108"/>
      <c r="F421" s="403"/>
      <c r="G421" s="372"/>
    </row>
    <row r="422" spans="1:9" x14ac:dyDescent="0.2">
      <c r="A422" s="29"/>
      <c r="B422" s="101"/>
      <c r="C422" s="371"/>
      <c r="D422" s="370"/>
      <c r="E422" s="108"/>
      <c r="F422" s="128"/>
      <c r="G422" s="35"/>
    </row>
    <row r="423" spans="1:9" x14ac:dyDescent="0.2">
      <c r="A423" s="29"/>
      <c r="B423" s="101"/>
      <c r="C423" s="371"/>
      <c r="D423" s="376"/>
      <c r="E423" s="108"/>
      <c r="F423" s="149"/>
      <c r="G423" s="35"/>
    </row>
    <row r="424" spans="1:9" x14ac:dyDescent="0.2">
      <c r="A424" s="29"/>
      <c r="B424" s="106"/>
      <c r="C424" s="371"/>
      <c r="D424" s="370"/>
      <c r="E424" s="108"/>
      <c r="F424" s="128"/>
      <c r="G424" s="35"/>
    </row>
    <row r="425" spans="1:9" x14ac:dyDescent="0.2">
      <c r="A425" s="29"/>
      <c r="B425" s="105"/>
      <c r="C425" s="371"/>
      <c r="D425" s="359"/>
      <c r="E425" s="104"/>
      <c r="F425" s="150"/>
      <c r="G425" s="372"/>
    </row>
    <row r="426" spans="1:9" x14ac:dyDescent="0.2">
      <c r="A426" s="29"/>
      <c r="B426" s="105"/>
      <c r="C426" s="371"/>
      <c r="D426" s="370"/>
      <c r="E426" s="108"/>
      <c r="F426" s="128"/>
      <c r="G426" s="35"/>
    </row>
    <row r="427" spans="1:9" x14ac:dyDescent="0.2">
      <c r="A427" s="29"/>
      <c r="B427" s="101"/>
      <c r="C427" s="371"/>
      <c r="D427" s="370"/>
      <c r="E427" s="108"/>
      <c r="F427" s="149"/>
      <c r="G427" s="35"/>
    </row>
    <row r="428" spans="1:9" x14ac:dyDescent="0.2">
      <c r="A428" s="29"/>
      <c r="B428" s="101"/>
      <c r="C428" s="371"/>
      <c r="D428" s="370"/>
      <c r="E428" s="108"/>
      <c r="F428" s="128"/>
      <c r="G428" s="35"/>
    </row>
    <row r="429" spans="1:9" x14ac:dyDescent="0.2">
      <c r="A429" s="29"/>
      <c r="B429" s="101"/>
      <c r="C429" s="371"/>
      <c r="D429" s="359"/>
      <c r="E429" s="108"/>
      <c r="F429" s="149"/>
      <c r="G429" s="372"/>
    </row>
    <row r="430" spans="1:9" x14ac:dyDescent="0.2">
      <c r="A430" s="29"/>
      <c r="B430" s="101"/>
      <c r="C430" s="371"/>
      <c r="D430" s="370"/>
      <c r="E430" s="108"/>
      <c r="F430" s="128"/>
      <c r="G430" s="35"/>
    </row>
    <row r="431" spans="1:9" x14ac:dyDescent="0.2">
      <c r="A431" s="29"/>
      <c r="B431" s="101"/>
      <c r="C431" s="371"/>
      <c r="D431" s="370"/>
      <c r="E431" s="108"/>
      <c r="F431" s="149"/>
      <c r="G431" s="35"/>
    </row>
    <row r="432" spans="1:9" x14ac:dyDescent="0.2">
      <c r="A432" s="29"/>
      <c r="B432" s="101"/>
      <c r="C432" s="371"/>
      <c r="D432" s="370"/>
      <c r="E432" s="108"/>
      <c r="F432" s="128"/>
      <c r="G432" s="35"/>
    </row>
    <row r="433" spans="1:7" x14ac:dyDescent="0.2">
      <c r="A433" s="29"/>
      <c r="B433" s="101"/>
      <c r="C433" s="41"/>
      <c r="D433" s="358"/>
      <c r="E433" s="108"/>
      <c r="F433" s="128"/>
      <c r="G433" s="372"/>
    </row>
    <row r="434" spans="1:7" x14ac:dyDescent="0.2">
      <c r="A434" s="29"/>
      <c r="B434" s="101"/>
      <c r="C434" s="371"/>
      <c r="D434" s="370"/>
      <c r="E434" s="108"/>
      <c r="F434" s="128"/>
      <c r="G434" s="35"/>
    </row>
    <row r="435" spans="1:7" x14ac:dyDescent="0.2">
      <c r="A435" s="29"/>
      <c r="B435" s="101"/>
      <c r="C435" s="371"/>
      <c r="D435" s="370"/>
      <c r="E435" s="108"/>
      <c r="F435" s="149"/>
      <c r="G435" s="35"/>
    </row>
    <row r="436" spans="1:7" x14ac:dyDescent="0.2">
      <c r="A436" s="29"/>
      <c r="B436" s="101"/>
      <c r="C436" s="371"/>
      <c r="D436" s="370"/>
      <c r="E436" s="108"/>
      <c r="F436" s="128"/>
      <c r="G436" s="35"/>
    </row>
    <row r="437" spans="1:7" x14ac:dyDescent="0.2">
      <c r="A437" s="29"/>
      <c r="B437" s="101"/>
      <c r="C437" s="41"/>
      <c r="D437" s="370"/>
      <c r="E437" s="108"/>
      <c r="F437" s="128"/>
      <c r="G437" s="35"/>
    </row>
    <row r="438" spans="1:7" x14ac:dyDescent="0.2">
      <c r="A438" s="29"/>
      <c r="B438" s="101"/>
      <c r="C438" s="41"/>
      <c r="D438" s="383"/>
      <c r="E438" s="108"/>
      <c r="F438" s="149"/>
      <c r="G438" s="35"/>
    </row>
    <row r="439" spans="1:7" x14ac:dyDescent="0.2">
      <c r="A439" s="29"/>
      <c r="B439" s="101"/>
      <c r="C439" s="41"/>
      <c r="D439" s="383"/>
      <c r="E439" s="102"/>
      <c r="F439" s="128"/>
      <c r="G439" s="35"/>
    </row>
    <row r="440" spans="1:7" x14ac:dyDescent="0.2">
      <c r="A440" s="29"/>
      <c r="B440" s="101"/>
      <c r="C440" s="31"/>
      <c r="D440" s="419"/>
      <c r="E440" s="131"/>
      <c r="F440" s="117"/>
      <c r="G440" s="35"/>
    </row>
    <row r="441" spans="1:7" x14ac:dyDescent="0.2">
      <c r="A441" s="29"/>
      <c r="B441" s="101"/>
      <c r="C441" s="41"/>
      <c r="D441" s="425"/>
      <c r="E441" s="108"/>
      <c r="F441" s="149"/>
      <c r="G441" s="35"/>
    </row>
    <row r="442" spans="1:7" x14ac:dyDescent="0.2">
      <c r="A442" s="29"/>
      <c r="B442" s="101"/>
      <c r="C442" s="41"/>
      <c r="D442" s="383"/>
      <c r="E442" s="108"/>
      <c r="F442" s="149"/>
      <c r="G442" s="35"/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SUM(G410:G442)</f>
        <v>183750</v>
      </c>
    </row>
    <row r="444" spans="1:7" ht="13.5" thickTop="1" x14ac:dyDescent="0.2">
      <c r="A444" s="875" t="s">
        <v>1328</v>
      </c>
      <c r="B444" s="899"/>
      <c r="C444" s="899"/>
      <c r="D444" s="899"/>
      <c r="E444" s="899"/>
      <c r="F444" s="899"/>
      <c r="G444" s="900"/>
    </row>
    <row r="445" spans="1:7" ht="13.5" thickBot="1" x14ac:dyDescent="0.25">
      <c r="A445" s="52"/>
      <c r="B445" s="1060" t="s">
        <v>1779</v>
      </c>
      <c r="C445" s="1060"/>
      <c r="D445" s="1060"/>
      <c r="E445" s="1060"/>
      <c r="F445" s="1060"/>
      <c r="G445" s="1061"/>
    </row>
    <row r="446" spans="1:7" ht="13.5" thickTop="1" x14ac:dyDescent="0.2">
      <c r="A446" s="906"/>
      <c r="B446" s="907"/>
      <c r="C446" s="907"/>
      <c r="D446" s="57" t="s">
        <v>11</v>
      </c>
      <c r="E446" s="908" t="s">
        <v>12</v>
      </c>
      <c r="F446" s="908"/>
      <c r="G446" s="909"/>
    </row>
    <row r="447" spans="1:7" x14ac:dyDescent="0.2">
      <c r="A447" s="866" t="s">
        <v>8</v>
      </c>
      <c r="B447" s="911"/>
      <c r="C447" s="911"/>
      <c r="D447" s="39"/>
      <c r="E447" s="912"/>
      <c r="F447" s="913"/>
      <c r="G447" s="914"/>
    </row>
    <row r="448" spans="1:7" x14ac:dyDescent="0.2">
      <c r="A448" s="910" t="s">
        <v>38</v>
      </c>
      <c r="B448" s="911"/>
      <c r="C448" s="911"/>
      <c r="D448" s="58" t="s">
        <v>908</v>
      </c>
      <c r="E448" s="868" t="s">
        <v>142</v>
      </c>
      <c r="F448" s="868"/>
      <c r="G448" s="869"/>
    </row>
    <row r="449" spans="1:9" ht="13.5" thickBot="1" x14ac:dyDescent="0.25">
      <c r="A449" s="901" t="s">
        <v>39</v>
      </c>
      <c r="B449" s="902"/>
      <c r="C449" s="902"/>
      <c r="D449" s="59" t="s">
        <v>909</v>
      </c>
      <c r="E449" s="904" t="s">
        <v>0</v>
      </c>
      <c r="F449" s="904"/>
      <c r="G449" s="905"/>
    </row>
    <row r="450" spans="1:9" ht="16.5" x14ac:dyDescent="0.25">
      <c r="A450" s="885" t="s">
        <v>29</v>
      </c>
      <c r="B450" s="886"/>
      <c r="C450" s="886"/>
      <c r="D450" s="886"/>
      <c r="E450" s="886"/>
      <c r="F450" s="886"/>
      <c r="G450" s="887"/>
    </row>
    <row r="451" spans="1:9" x14ac:dyDescent="0.2">
      <c r="A451" s="888" t="s">
        <v>48</v>
      </c>
      <c r="B451" s="889"/>
      <c r="C451" s="889"/>
      <c r="D451" s="889"/>
      <c r="E451" s="889"/>
      <c r="F451" s="889"/>
      <c r="G451" s="890"/>
    </row>
    <row r="452" spans="1:9" x14ac:dyDescent="0.2">
      <c r="A452" s="915" t="s">
        <v>49</v>
      </c>
      <c r="B452" s="916"/>
      <c r="C452" s="916"/>
      <c r="D452" s="916"/>
      <c r="E452" s="916"/>
      <c r="F452" s="916"/>
      <c r="G452" s="917"/>
    </row>
    <row r="453" spans="1:9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9" x14ac:dyDescent="0.2">
      <c r="A454" s="12" t="s">
        <v>1</v>
      </c>
      <c r="B454" s="13"/>
      <c r="C454" s="14" t="s">
        <v>911</v>
      </c>
      <c r="D454" s="13"/>
      <c r="E454" s="362" t="s">
        <v>1331</v>
      </c>
      <c r="F454" s="98"/>
      <c r="G454" s="363" t="s">
        <v>1329</v>
      </c>
    </row>
    <row r="455" spans="1:9" x14ac:dyDescent="0.2">
      <c r="A455" s="17" t="s">
        <v>8</v>
      </c>
      <c r="B455" s="100"/>
      <c r="C455" s="19"/>
      <c r="D455" s="4"/>
      <c r="E455" s="918"/>
      <c r="F455" s="919"/>
      <c r="G455" s="20"/>
    </row>
    <row r="456" spans="1:9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9" x14ac:dyDescent="0.2">
      <c r="A457" s="6"/>
      <c r="B457" s="99"/>
      <c r="C457" s="8"/>
      <c r="D457" s="8"/>
      <c r="E457" s="920"/>
      <c r="F457" s="921"/>
      <c r="G457" s="25"/>
    </row>
    <row r="458" spans="1:9" ht="26.25" thickBot="1" x14ac:dyDescent="0.25">
      <c r="A458" s="207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  <c r="I458" s="430"/>
    </row>
    <row r="459" spans="1:9" ht="13.5" thickTop="1" x14ac:dyDescent="0.2">
      <c r="A459" s="364"/>
      <c r="B459" s="101"/>
      <c r="C459" s="371"/>
      <c r="D459" s="357" t="s">
        <v>1777</v>
      </c>
      <c r="E459" s="158"/>
      <c r="F459" s="128"/>
      <c r="G459" s="372" t="s">
        <v>8</v>
      </c>
    </row>
    <row r="460" spans="1:9" x14ac:dyDescent="0.2">
      <c r="A460" s="364">
        <v>1</v>
      </c>
      <c r="B460" s="101"/>
      <c r="C460" s="371" t="s">
        <v>242</v>
      </c>
      <c r="D460" s="370" t="s">
        <v>1262</v>
      </c>
      <c r="E460" s="108">
        <v>20</v>
      </c>
      <c r="F460" s="128">
        <v>250</v>
      </c>
      <c r="G460" s="35">
        <f>F460*E460</f>
        <v>5000</v>
      </c>
    </row>
    <row r="461" spans="1:9" x14ac:dyDescent="0.2">
      <c r="A461" s="29">
        <v>2</v>
      </c>
      <c r="B461" s="101"/>
      <c r="C461" s="371" t="s">
        <v>242</v>
      </c>
      <c r="D461" s="370" t="s">
        <v>325</v>
      </c>
      <c r="E461" s="108">
        <v>20</v>
      </c>
      <c r="F461" s="149">
        <v>350</v>
      </c>
      <c r="G461" s="35">
        <f t="shared" ref="G461:G462" si="5">F461*E461</f>
        <v>7000</v>
      </c>
    </row>
    <row r="462" spans="1:9" x14ac:dyDescent="0.2">
      <c r="A462" s="29">
        <v>3</v>
      </c>
      <c r="B462" s="101"/>
      <c r="C462" s="371" t="s">
        <v>242</v>
      </c>
      <c r="D462" s="370" t="s">
        <v>1001</v>
      </c>
      <c r="E462" s="108">
        <v>20</v>
      </c>
      <c r="F462" s="128">
        <v>250</v>
      </c>
      <c r="G462" s="35">
        <f t="shared" si="5"/>
        <v>5000</v>
      </c>
    </row>
    <row r="463" spans="1:9" x14ac:dyDescent="0.2">
      <c r="A463" s="29"/>
      <c r="B463" s="105"/>
      <c r="C463" s="371"/>
      <c r="D463" s="359" t="s">
        <v>1778</v>
      </c>
      <c r="E463" s="108"/>
      <c r="F463" s="128"/>
      <c r="G463" s="372" t="s">
        <v>8</v>
      </c>
    </row>
    <row r="464" spans="1:9" x14ac:dyDescent="0.2">
      <c r="A464" s="29">
        <v>4</v>
      </c>
      <c r="B464" s="105"/>
      <c r="C464" s="371" t="s">
        <v>242</v>
      </c>
      <c r="D464" s="370" t="s">
        <v>1262</v>
      </c>
      <c r="E464" s="108">
        <v>20</v>
      </c>
      <c r="F464" s="128">
        <v>250</v>
      </c>
      <c r="G464" s="35">
        <f t="shared" ref="G464:G466" si="6">F464*E464</f>
        <v>5000</v>
      </c>
    </row>
    <row r="465" spans="1:7" x14ac:dyDescent="0.2">
      <c r="A465" s="29">
        <v>5</v>
      </c>
      <c r="B465" s="151"/>
      <c r="C465" s="371" t="s">
        <v>242</v>
      </c>
      <c r="D465" s="370" t="s">
        <v>325</v>
      </c>
      <c r="E465" s="108">
        <v>20</v>
      </c>
      <c r="F465" s="149">
        <v>350</v>
      </c>
      <c r="G465" s="35">
        <f t="shared" si="6"/>
        <v>7000</v>
      </c>
    </row>
    <row r="466" spans="1:7" x14ac:dyDescent="0.2">
      <c r="A466" s="29">
        <v>6</v>
      </c>
      <c r="B466" s="151"/>
      <c r="C466" s="371" t="s">
        <v>242</v>
      </c>
      <c r="D466" s="370" t="s">
        <v>1316</v>
      </c>
      <c r="E466" s="108">
        <v>20</v>
      </c>
      <c r="F466" s="128">
        <v>250</v>
      </c>
      <c r="G466" s="35">
        <f t="shared" si="6"/>
        <v>5000</v>
      </c>
    </row>
    <row r="467" spans="1:7" x14ac:dyDescent="0.2">
      <c r="A467" s="29"/>
      <c r="B467" s="101"/>
      <c r="C467" s="371"/>
      <c r="D467" s="359"/>
      <c r="E467" s="108"/>
      <c r="F467" s="149"/>
      <c r="G467" s="372"/>
    </row>
    <row r="468" spans="1:7" x14ac:dyDescent="0.2">
      <c r="A468" s="29"/>
      <c r="B468" s="106"/>
      <c r="C468" s="371"/>
      <c r="D468" s="370"/>
      <c r="E468" s="104"/>
      <c r="F468" s="128"/>
      <c r="G468" s="372"/>
    </row>
    <row r="469" spans="1:7" x14ac:dyDescent="0.2">
      <c r="A469" s="29"/>
      <c r="B469" s="105"/>
      <c r="C469" s="371"/>
      <c r="D469" s="370"/>
      <c r="E469" s="108"/>
      <c r="F469" s="149"/>
      <c r="G469" s="35"/>
    </row>
    <row r="470" spans="1:7" x14ac:dyDescent="0.2">
      <c r="A470" s="29"/>
      <c r="B470" s="107"/>
      <c r="C470" s="371"/>
      <c r="D470" s="370"/>
      <c r="E470" s="108"/>
      <c r="F470" s="128"/>
      <c r="G470" s="35"/>
    </row>
    <row r="471" spans="1:7" x14ac:dyDescent="0.2">
      <c r="A471" s="29"/>
      <c r="B471" s="107"/>
      <c r="C471" s="371"/>
      <c r="D471" s="359"/>
      <c r="E471" s="108"/>
      <c r="F471" s="403"/>
      <c r="G471" s="372"/>
    </row>
    <row r="472" spans="1:7" x14ac:dyDescent="0.2">
      <c r="A472" s="29"/>
      <c r="B472" s="101"/>
      <c r="C472" s="371"/>
      <c r="D472" s="370"/>
      <c r="E472" s="108"/>
      <c r="F472" s="128"/>
      <c r="G472" s="35"/>
    </row>
    <row r="473" spans="1:7" x14ac:dyDescent="0.2">
      <c r="A473" s="29"/>
      <c r="B473" s="101"/>
      <c r="C473" s="371"/>
      <c r="D473" s="370"/>
      <c r="E473" s="108"/>
      <c r="F473" s="149"/>
      <c r="G473" s="35"/>
    </row>
    <row r="474" spans="1:7" x14ac:dyDescent="0.2">
      <c r="A474" s="29"/>
      <c r="B474" s="106"/>
      <c r="C474" s="371"/>
      <c r="D474" s="370"/>
      <c r="E474" s="104"/>
      <c r="F474" s="128"/>
      <c r="G474" s="35"/>
    </row>
    <row r="475" spans="1:7" x14ac:dyDescent="0.2">
      <c r="A475" s="29"/>
      <c r="B475" s="105"/>
      <c r="C475" s="371"/>
      <c r="D475" s="370"/>
      <c r="E475" s="104"/>
      <c r="F475" s="150"/>
      <c r="G475" s="35"/>
    </row>
    <row r="476" spans="1:7" x14ac:dyDescent="0.2">
      <c r="A476" s="29"/>
      <c r="B476" s="105"/>
      <c r="C476" s="371"/>
      <c r="D476" s="370"/>
      <c r="E476" s="104"/>
      <c r="F476" s="128"/>
      <c r="G476" s="35"/>
    </row>
    <row r="477" spans="1:7" x14ac:dyDescent="0.2">
      <c r="A477" s="29"/>
      <c r="B477" s="101"/>
      <c r="C477" s="371"/>
      <c r="D477" s="370"/>
      <c r="E477" s="104"/>
      <c r="F477" s="149"/>
      <c r="G477" s="35"/>
    </row>
    <row r="478" spans="1:7" x14ac:dyDescent="0.2">
      <c r="A478" s="29"/>
      <c r="B478" s="101"/>
      <c r="C478" s="41"/>
      <c r="D478" s="359"/>
      <c r="E478" s="108"/>
      <c r="F478" s="128"/>
      <c r="G478" s="372"/>
    </row>
    <row r="479" spans="1:7" x14ac:dyDescent="0.2">
      <c r="A479" s="29"/>
      <c r="B479" s="101"/>
      <c r="C479" s="371"/>
      <c r="D479" s="370"/>
      <c r="E479" s="108"/>
      <c r="F479" s="149"/>
      <c r="G479" s="35"/>
    </row>
    <row r="480" spans="1:7" x14ac:dyDescent="0.2">
      <c r="A480" s="29"/>
      <c r="B480" s="101"/>
      <c r="C480" s="371"/>
      <c r="D480" s="370"/>
      <c r="E480" s="108"/>
      <c r="F480" s="150"/>
      <c r="G480" s="35"/>
    </row>
    <row r="481" spans="1:7" x14ac:dyDescent="0.2">
      <c r="A481" s="29"/>
      <c r="B481" s="101"/>
      <c r="C481" s="371"/>
      <c r="D481" s="370"/>
      <c r="E481" s="108"/>
      <c r="F481" s="128"/>
      <c r="G481" s="35"/>
    </row>
    <row r="482" spans="1:7" x14ac:dyDescent="0.2">
      <c r="A482" s="29"/>
      <c r="B482" s="101"/>
      <c r="C482" s="371"/>
      <c r="D482" s="370"/>
      <c r="E482" s="108"/>
      <c r="F482" s="149"/>
      <c r="G482" s="35"/>
    </row>
    <row r="483" spans="1:7" x14ac:dyDescent="0.2">
      <c r="A483" s="29"/>
      <c r="B483" s="101"/>
      <c r="C483" s="41"/>
      <c r="D483" s="358"/>
      <c r="E483" s="108"/>
      <c r="F483" s="128"/>
      <c r="G483" s="372"/>
    </row>
    <row r="484" spans="1:7" x14ac:dyDescent="0.2">
      <c r="A484" s="29"/>
      <c r="B484" s="101"/>
      <c r="C484" s="371"/>
      <c r="D484" s="370"/>
      <c r="E484" s="108"/>
      <c r="F484" s="128"/>
      <c r="G484" s="35"/>
    </row>
    <row r="485" spans="1:7" x14ac:dyDescent="0.2">
      <c r="A485" s="29"/>
      <c r="B485" s="101"/>
      <c r="C485" s="371"/>
      <c r="D485" s="370"/>
      <c r="E485" s="108"/>
      <c r="F485" s="149"/>
      <c r="G485" s="35"/>
    </row>
    <row r="486" spans="1:7" x14ac:dyDescent="0.2">
      <c r="A486" s="29"/>
      <c r="B486" s="101"/>
      <c r="C486" s="371"/>
      <c r="D486" s="370"/>
      <c r="E486" s="108"/>
      <c r="F486" s="128"/>
      <c r="G486" s="35"/>
    </row>
    <row r="487" spans="1:7" x14ac:dyDescent="0.2">
      <c r="A487" s="29"/>
      <c r="B487" s="101"/>
      <c r="C487" s="41"/>
      <c r="D487" s="370"/>
      <c r="E487" s="108"/>
      <c r="F487" s="128"/>
      <c r="G487" s="35"/>
    </row>
    <row r="488" spans="1:7" x14ac:dyDescent="0.2">
      <c r="A488" s="29"/>
      <c r="B488" s="101"/>
      <c r="C488" s="41"/>
      <c r="D488" s="383"/>
      <c r="E488" s="108"/>
      <c r="F488" s="149"/>
      <c r="G488" s="35"/>
    </row>
    <row r="489" spans="1:7" x14ac:dyDescent="0.2">
      <c r="A489" s="29"/>
      <c r="B489" s="101"/>
      <c r="C489" s="41"/>
      <c r="D489" s="383"/>
      <c r="E489" s="102"/>
      <c r="F489" s="128"/>
      <c r="G489" s="35"/>
    </row>
    <row r="490" spans="1:7" x14ac:dyDescent="0.2">
      <c r="A490" s="29"/>
      <c r="B490" s="101"/>
      <c r="C490" s="31"/>
      <c r="D490" s="419"/>
      <c r="E490" s="131"/>
      <c r="F490" s="117"/>
      <c r="G490" s="35"/>
    </row>
    <row r="491" spans="1:7" x14ac:dyDescent="0.2">
      <c r="A491" s="29"/>
      <c r="B491" s="101"/>
      <c r="C491" s="41"/>
      <c r="D491" s="425"/>
      <c r="E491" s="108"/>
      <c r="F491" s="149"/>
      <c r="G491" s="35"/>
    </row>
    <row r="492" spans="1:7" x14ac:dyDescent="0.2">
      <c r="A492" s="29"/>
      <c r="B492" s="101"/>
      <c r="C492" s="41"/>
      <c r="D492" s="383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SUM(G460:G492)</f>
        <v>34000</v>
      </c>
    </row>
    <row r="494" spans="1:7" ht="13.5" thickTop="1" x14ac:dyDescent="0.2">
      <c r="A494" s="1062" t="s">
        <v>1740</v>
      </c>
      <c r="B494" s="1063"/>
      <c r="C494" s="1063"/>
      <c r="D494" s="1063"/>
      <c r="E494" s="1063"/>
      <c r="F494" s="1063"/>
      <c r="G494" s="1064"/>
    </row>
    <row r="495" spans="1:7" ht="13.5" thickBot="1" x14ac:dyDescent="0.25">
      <c r="A495" s="464"/>
      <c r="B495" s="465"/>
      <c r="C495" s="465" t="s">
        <v>1741</v>
      </c>
      <c r="D495" s="466"/>
      <c r="E495" s="465"/>
      <c r="F495" s="467"/>
      <c r="G495" s="468"/>
    </row>
    <row r="496" spans="1:7" ht="13.5" thickTop="1" x14ac:dyDescent="0.2">
      <c r="A496" s="906"/>
      <c r="B496" s="907"/>
      <c r="C496" s="907"/>
      <c r="D496" s="57" t="s">
        <v>11</v>
      </c>
      <c r="E496" s="908" t="s">
        <v>12</v>
      </c>
      <c r="F496" s="908"/>
      <c r="G496" s="909"/>
    </row>
    <row r="497" spans="1:7" x14ac:dyDescent="0.2">
      <c r="A497" s="866" t="s">
        <v>8</v>
      </c>
      <c r="B497" s="911"/>
      <c r="C497" s="911"/>
      <c r="D497" s="39"/>
      <c r="E497" s="912"/>
      <c r="F497" s="913"/>
      <c r="G497" s="914"/>
    </row>
    <row r="498" spans="1:7" x14ac:dyDescent="0.2">
      <c r="A498" s="910" t="s">
        <v>38</v>
      </c>
      <c r="B498" s="911"/>
      <c r="C498" s="911"/>
      <c r="D498" s="58" t="s">
        <v>908</v>
      </c>
      <c r="E498" s="868" t="s">
        <v>142</v>
      </c>
      <c r="F498" s="868"/>
      <c r="G498" s="869"/>
    </row>
    <row r="499" spans="1:7" ht="13.5" thickBot="1" x14ac:dyDescent="0.25">
      <c r="A499" s="901" t="s">
        <v>39</v>
      </c>
      <c r="B499" s="902"/>
      <c r="C499" s="902"/>
      <c r="D499" s="59" t="s">
        <v>909</v>
      </c>
      <c r="E499" s="904" t="s">
        <v>0</v>
      </c>
      <c r="F499" s="904"/>
      <c r="G499" s="905"/>
    </row>
    <row r="500" spans="1:7" ht="16.5" x14ac:dyDescent="0.25">
      <c r="A500" s="885" t="s">
        <v>29</v>
      </c>
      <c r="B500" s="886"/>
      <c r="C500" s="886"/>
      <c r="D500" s="886"/>
      <c r="E500" s="886"/>
      <c r="F500" s="886"/>
      <c r="G500" s="887"/>
    </row>
    <row r="501" spans="1:7" x14ac:dyDescent="0.2">
      <c r="A501" s="888" t="s">
        <v>48</v>
      </c>
      <c r="B501" s="889"/>
      <c r="C501" s="889"/>
      <c r="D501" s="889"/>
      <c r="E501" s="889"/>
      <c r="F501" s="889"/>
      <c r="G501" s="890"/>
    </row>
    <row r="502" spans="1:7" x14ac:dyDescent="0.2">
      <c r="A502" s="915" t="s">
        <v>49</v>
      </c>
      <c r="B502" s="916"/>
      <c r="C502" s="916"/>
      <c r="D502" s="916"/>
      <c r="E502" s="916"/>
      <c r="F502" s="916"/>
      <c r="G502" s="917"/>
    </row>
    <row r="503" spans="1:7" x14ac:dyDescent="0.2">
      <c r="A503" s="6"/>
      <c r="B503" s="99"/>
      <c r="C503" s="8"/>
      <c r="D503" s="9"/>
      <c r="E503" s="99"/>
      <c r="F503" s="10"/>
      <c r="G503" s="11" t="s">
        <v>20</v>
      </c>
    </row>
    <row r="504" spans="1:7" x14ac:dyDescent="0.2">
      <c r="A504" s="12" t="s">
        <v>1</v>
      </c>
      <c r="B504" s="13"/>
      <c r="C504" s="14" t="s">
        <v>911</v>
      </c>
      <c r="D504" s="13"/>
      <c r="E504" s="362" t="s">
        <v>1353</v>
      </c>
      <c r="F504" s="98"/>
      <c r="G504" s="363" t="s">
        <v>1352</v>
      </c>
    </row>
    <row r="505" spans="1:7" x14ac:dyDescent="0.2">
      <c r="A505" s="17" t="s">
        <v>8</v>
      </c>
      <c r="B505" s="100"/>
      <c r="C505" s="19"/>
      <c r="D505" s="4"/>
      <c r="E505" s="918"/>
      <c r="F505" s="919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20" t="s">
        <v>50</v>
      </c>
    </row>
    <row r="507" spans="1:7" x14ac:dyDescent="0.2">
      <c r="A507" s="6"/>
      <c r="B507" s="99"/>
      <c r="C507" s="8"/>
      <c r="D507" s="8"/>
      <c r="E507" s="920"/>
      <c r="F507" s="921"/>
      <c r="G507" s="25"/>
    </row>
    <row r="508" spans="1:7" ht="26.25" thickBot="1" x14ac:dyDescent="0.25">
      <c r="A508" s="207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364"/>
      <c r="B509" s="101"/>
      <c r="C509" s="371"/>
      <c r="D509" s="357" t="s">
        <v>878</v>
      </c>
      <c r="E509" s="158"/>
      <c r="F509" s="128"/>
      <c r="G509" s="372" t="s">
        <v>8</v>
      </c>
    </row>
    <row r="510" spans="1:7" x14ac:dyDescent="0.2">
      <c r="A510" s="364">
        <v>1</v>
      </c>
      <c r="B510" s="101"/>
      <c r="C510" s="371" t="s">
        <v>242</v>
      </c>
      <c r="D510" s="370" t="s">
        <v>1262</v>
      </c>
      <c r="E510" s="108">
        <v>12</v>
      </c>
      <c r="F510" s="128">
        <v>250</v>
      </c>
      <c r="G510" s="35">
        <f>F510*E510</f>
        <v>3000</v>
      </c>
    </row>
    <row r="511" spans="1:7" x14ac:dyDescent="0.2">
      <c r="A511" s="29">
        <v>2</v>
      </c>
      <c r="B511" s="101"/>
      <c r="C511" s="371" t="s">
        <v>242</v>
      </c>
      <c r="D511" s="370" t="s">
        <v>325</v>
      </c>
      <c r="E511" s="108">
        <v>12</v>
      </c>
      <c r="F511" s="149">
        <v>350</v>
      </c>
      <c r="G511" s="35">
        <f t="shared" ref="G511:G538" si="7">F511*E511</f>
        <v>4200</v>
      </c>
    </row>
    <row r="512" spans="1:7" x14ac:dyDescent="0.2">
      <c r="A512" s="29"/>
      <c r="B512" s="101"/>
      <c r="C512" s="371"/>
      <c r="D512" s="359" t="s">
        <v>1334</v>
      </c>
      <c r="E512" s="108"/>
      <c r="F512" s="128"/>
      <c r="G512" s="372" t="s">
        <v>8</v>
      </c>
    </row>
    <row r="513" spans="1:7" x14ac:dyDescent="0.2">
      <c r="A513" s="29">
        <v>3</v>
      </c>
      <c r="B513" s="105"/>
      <c r="C513" s="371" t="s">
        <v>242</v>
      </c>
      <c r="D513" s="370" t="s">
        <v>1335</v>
      </c>
      <c r="E513" s="108">
        <v>12</v>
      </c>
      <c r="F513" s="128">
        <v>250</v>
      </c>
      <c r="G513" s="35">
        <f t="shared" si="7"/>
        <v>3000</v>
      </c>
    </row>
    <row r="514" spans="1:7" x14ac:dyDescent="0.2">
      <c r="A514" s="29">
        <v>4</v>
      </c>
      <c r="B514" s="105"/>
      <c r="C514" s="371" t="s">
        <v>242</v>
      </c>
      <c r="D514" s="370" t="s">
        <v>325</v>
      </c>
      <c r="E514" s="108">
        <v>12</v>
      </c>
      <c r="F514" s="149">
        <v>350</v>
      </c>
      <c r="G514" s="35">
        <f t="shared" si="7"/>
        <v>4200</v>
      </c>
    </row>
    <row r="515" spans="1:7" x14ac:dyDescent="0.2">
      <c r="A515" s="29"/>
      <c r="B515" s="151"/>
      <c r="C515" s="371"/>
      <c r="D515" s="359" t="s">
        <v>881</v>
      </c>
      <c r="E515" s="108"/>
      <c r="F515" s="149"/>
      <c r="G515" s="372" t="s">
        <v>8</v>
      </c>
    </row>
    <row r="516" spans="1:7" x14ac:dyDescent="0.2">
      <c r="A516" s="29">
        <v>5</v>
      </c>
      <c r="B516" s="151"/>
      <c r="C516" s="371" t="s">
        <v>242</v>
      </c>
      <c r="D516" s="370" t="s">
        <v>1294</v>
      </c>
      <c r="E516" s="108">
        <v>12</v>
      </c>
      <c r="F516" s="128">
        <v>250</v>
      </c>
      <c r="G516" s="35">
        <f t="shared" si="7"/>
        <v>3000</v>
      </c>
    </row>
    <row r="517" spans="1:7" x14ac:dyDescent="0.2">
      <c r="A517" s="29">
        <v>6</v>
      </c>
      <c r="B517" s="101"/>
      <c r="C517" s="371" t="s">
        <v>242</v>
      </c>
      <c r="D517" s="370" t="s">
        <v>325</v>
      </c>
      <c r="E517" s="108">
        <v>12</v>
      </c>
      <c r="F517" s="149">
        <v>350</v>
      </c>
      <c r="G517" s="35">
        <f t="shared" si="7"/>
        <v>4200</v>
      </c>
    </row>
    <row r="518" spans="1:7" x14ac:dyDescent="0.2">
      <c r="A518" s="29"/>
      <c r="B518" s="106"/>
      <c r="C518" s="371"/>
      <c r="D518" s="359" t="s">
        <v>1313</v>
      </c>
      <c r="E518" s="104"/>
      <c r="F518" s="128"/>
      <c r="G518" s="372" t="s">
        <v>8</v>
      </c>
    </row>
    <row r="519" spans="1:7" x14ac:dyDescent="0.2">
      <c r="A519" s="29">
        <v>7</v>
      </c>
      <c r="B519" s="105"/>
      <c r="C519" s="371" t="s">
        <v>242</v>
      </c>
      <c r="D519" s="370" t="s">
        <v>1262</v>
      </c>
      <c r="E519" s="108">
        <v>12</v>
      </c>
      <c r="F519" s="128">
        <v>250</v>
      </c>
      <c r="G519" s="35">
        <f t="shared" si="7"/>
        <v>3000</v>
      </c>
    </row>
    <row r="520" spans="1:7" x14ac:dyDescent="0.2">
      <c r="A520" s="29">
        <v>8</v>
      </c>
      <c r="B520" s="107"/>
      <c r="C520" s="371" t="s">
        <v>242</v>
      </c>
      <c r="D520" s="370" t="s">
        <v>325</v>
      </c>
      <c r="E520" s="108">
        <v>12</v>
      </c>
      <c r="F520" s="149">
        <v>350</v>
      </c>
      <c r="G520" s="35">
        <f t="shared" si="7"/>
        <v>4200</v>
      </c>
    </row>
    <row r="521" spans="1:7" x14ac:dyDescent="0.2">
      <c r="A521" s="29"/>
      <c r="B521" s="107"/>
      <c r="C521" s="371"/>
      <c r="D521" s="359" t="s">
        <v>1314</v>
      </c>
      <c r="E521" s="108"/>
      <c r="F521" s="403"/>
      <c r="G521" s="372" t="s">
        <v>8</v>
      </c>
    </row>
    <row r="522" spans="1:7" x14ac:dyDescent="0.2">
      <c r="A522" s="29">
        <v>9</v>
      </c>
      <c r="B522" s="101"/>
      <c r="C522" s="371" t="s">
        <v>242</v>
      </c>
      <c r="D522" s="370" t="s">
        <v>1335</v>
      </c>
      <c r="E522" s="108">
        <v>12</v>
      </c>
      <c r="F522" s="128">
        <v>250</v>
      </c>
      <c r="G522" s="35">
        <f t="shared" si="7"/>
        <v>3000</v>
      </c>
    </row>
    <row r="523" spans="1:7" x14ac:dyDescent="0.2">
      <c r="A523" s="29">
        <v>10</v>
      </c>
      <c r="B523" s="101"/>
      <c r="C523" s="371" t="s">
        <v>242</v>
      </c>
      <c r="D523" s="370" t="s">
        <v>325</v>
      </c>
      <c r="E523" s="108">
        <v>12</v>
      </c>
      <c r="F523" s="149">
        <v>350</v>
      </c>
      <c r="G523" s="35">
        <f t="shared" si="7"/>
        <v>4200</v>
      </c>
    </row>
    <row r="524" spans="1:7" x14ac:dyDescent="0.2">
      <c r="A524" s="29"/>
      <c r="B524" s="106"/>
      <c r="C524" s="371"/>
      <c r="D524" s="359" t="s">
        <v>1315</v>
      </c>
      <c r="E524" s="104"/>
      <c r="F524" s="128"/>
      <c r="G524" s="372" t="s">
        <v>8</v>
      </c>
    </row>
    <row r="525" spans="1:7" x14ac:dyDescent="0.2">
      <c r="A525" s="29">
        <v>11</v>
      </c>
      <c r="B525" s="105"/>
      <c r="C525" s="371" t="s">
        <v>242</v>
      </c>
      <c r="D525" s="370" t="s">
        <v>1262</v>
      </c>
      <c r="E525" s="108">
        <v>12</v>
      </c>
      <c r="F525" s="128">
        <v>250</v>
      </c>
      <c r="G525" s="35">
        <f t="shared" si="7"/>
        <v>3000</v>
      </c>
    </row>
    <row r="526" spans="1:7" x14ac:dyDescent="0.2">
      <c r="A526" s="29">
        <v>12</v>
      </c>
      <c r="B526" s="105"/>
      <c r="C526" s="371" t="s">
        <v>242</v>
      </c>
      <c r="D526" s="370" t="s">
        <v>325</v>
      </c>
      <c r="E526" s="108">
        <v>12</v>
      </c>
      <c r="F526" s="149">
        <v>350</v>
      </c>
      <c r="G526" s="35">
        <f t="shared" si="7"/>
        <v>4200</v>
      </c>
    </row>
    <row r="527" spans="1:7" x14ac:dyDescent="0.2">
      <c r="A527" s="29"/>
      <c r="B527" s="101"/>
      <c r="C527" s="371"/>
      <c r="D527" s="359" t="s">
        <v>1336</v>
      </c>
      <c r="E527" s="104"/>
      <c r="F527" s="149"/>
      <c r="G527" s="372" t="s">
        <v>8</v>
      </c>
    </row>
    <row r="528" spans="1:7" x14ac:dyDescent="0.2">
      <c r="A528" s="29">
        <v>13</v>
      </c>
      <c r="B528" s="101"/>
      <c r="C528" s="371" t="s">
        <v>242</v>
      </c>
      <c r="D528" s="370" t="s">
        <v>1335</v>
      </c>
      <c r="E528" s="108">
        <v>12</v>
      </c>
      <c r="F528" s="128">
        <v>250</v>
      </c>
      <c r="G528" s="35">
        <f t="shared" si="7"/>
        <v>3000</v>
      </c>
    </row>
    <row r="529" spans="1:7" x14ac:dyDescent="0.2">
      <c r="A529" s="29">
        <v>14</v>
      </c>
      <c r="B529" s="101"/>
      <c r="C529" s="371" t="s">
        <v>242</v>
      </c>
      <c r="D529" s="370" t="s">
        <v>325</v>
      </c>
      <c r="E529" s="108">
        <v>12</v>
      </c>
      <c r="F529" s="149">
        <v>350</v>
      </c>
      <c r="G529" s="35">
        <f t="shared" si="7"/>
        <v>4200</v>
      </c>
    </row>
    <row r="530" spans="1:7" x14ac:dyDescent="0.2">
      <c r="A530" s="29"/>
      <c r="B530" s="101"/>
      <c r="C530" s="371"/>
      <c r="D530" s="359" t="s">
        <v>1337</v>
      </c>
      <c r="E530" s="108"/>
      <c r="F530" s="150"/>
      <c r="G530" s="372" t="s">
        <v>8</v>
      </c>
    </row>
    <row r="531" spans="1:7" x14ac:dyDescent="0.2">
      <c r="A531" s="29">
        <v>15</v>
      </c>
      <c r="B531" s="101"/>
      <c r="C531" s="371" t="s">
        <v>242</v>
      </c>
      <c r="D531" s="370" t="s">
        <v>1262</v>
      </c>
      <c r="E531" s="108">
        <v>12</v>
      </c>
      <c r="F531" s="128">
        <v>250</v>
      </c>
      <c r="G531" s="35">
        <f t="shared" si="7"/>
        <v>3000</v>
      </c>
    </row>
    <row r="532" spans="1:7" x14ac:dyDescent="0.2">
      <c r="A532" s="29">
        <v>16</v>
      </c>
      <c r="B532" s="101"/>
      <c r="C532" s="371" t="s">
        <v>242</v>
      </c>
      <c r="D532" s="370" t="s">
        <v>325</v>
      </c>
      <c r="E532" s="108">
        <v>12</v>
      </c>
      <c r="F532" s="149">
        <v>350</v>
      </c>
      <c r="G532" s="35">
        <f t="shared" si="7"/>
        <v>4200</v>
      </c>
    </row>
    <row r="533" spans="1:7" x14ac:dyDescent="0.2">
      <c r="A533" s="29"/>
      <c r="B533" s="101"/>
      <c r="C533" s="41"/>
      <c r="D533" s="358" t="s">
        <v>1338</v>
      </c>
      <c r="E533" s="108"/>
      <c r="F533" s="128"/>
      <c r="G533" s="372" t="s">
        <v>8</v>
      </c>
    </row>
    <row r="534" spans="1:7" x14ac:dyDescent="0.2">
      <c r="A534" s="29">
        <v>17</v>
      </c>
      <c r="B534" s="101"/>
      <c r="C534" s="371" t="s">
        <v>242</v>
      </c>
      <c r="D534" s="370" t="s">
        <v>1294</v>
      </c>
      <c r="E534" s="108">
        <v>12</v>
      </c>
      <c r="F534" s="128">
        <v>250</v>
      </c>
      <c r="G534" s="35">
        <f t="shared" si="7"/>
        <v>3000</v>
      </c>
    </row>
    <row r="535" spans="1:7" x14ac:dyDescent="0.2">
      <c r="A535" s="29">
        <v>18</v>
      </c>
      <c r="B535" s="101"/>
      <c r="C535" s="371" t="s">
        <v>242</v>
      </c>
      <c r="D535" s="370" t="s">
        <v>325</v>
      </c>
      <c r="E535" s="108">
        <v>12</v>
      </c>
      <c r="F535" s="149">
        <v>350</v>
      </c>
      <c r="G535" s="35">
        <f t="shared" si="7"/>
        <v>4200</v>
      </c>
    </row>
    <row r="536" spans="1:7" x14ac:dyDescent="0.2">
      <c r="A536" s="29"/>
      <c r="B536" s="101"/>
      <c r="C536" s="371"/>
      <c r="D536" s="359" t="s">
        <v>1339</v>
      </c>
      <c r="E536" s="108"/>
      <c r="F536" s="128"/>
      <c r="G536" s="372" t="s">
        <v>8</v>
      </c>
    </row>
    <row r="537" spans="1:7" x14ac:dyDescent="0.2">
      <c r="A537" s="29">
        <v>19</v>
      </c>
      <c r="B537" s="101"/>
      <c r="C537" s="371" t="s">
        <v>242</v>
      </c>
      <c r="D537" s="370" t="s">
        <v>1262</v>
      </c>
      <c r="E537" s="108">
        <v>12</v>
      </c>
      <c r="F537" s="128">
        <v>250</v>
      </c>
      <c r="G537" s="35">
        <f t="shared" si="7"/>
        <v>3000</v>
      </c>
    </row>
    <row r="538" spans="1:7" x14ac:dyDescent="0.2">
      <c r="A538" s="29">
        <v>20</v>
      </c>
      <c r="B538" s="101"/>
      <c r="C538" s="371" t="s">
        <v>242</v>
      </c>
      <c r="D538" s="370" t="s">
        <v>325</v>
      </c>
      <c r="E538" s="108">
        <v>12</v>
      </c>
      <c r="F538" s="149">
        <v>350</v>
      </c>
      <c r="G538" s="35">
        <f t="shared" si="7"/>
        <v>4200</v>
      </c>
    </row>
    <row r="539" spans="1:7" x14ac:dyDescent="0.2">
      <c r="A539" s="29"/>
      <c r="B539" s="101"/>
      <c r="C539" s="41"/>
      <c r="D539" s="383"/>
      <c r="E539" s="102"/>
      <c r="F539" s="128"/>
      <c r="G539" s="35"/>
    </row>
    <row r="540" spans="1:7" x14ac:dyDescent="0.2">
      <c r="A540" s="29"/>
      <c r="B540" s="101"/>
      <c r="C540" s="31"/>
      <c r="D540" s="419"/>
      <c r="E540" s="131"/>
      <c r="F540" s="117"/>
      <c r="G540" s="35"/>
    </row>
    <row r="541" spans="1:7" x14ac:dyDescent="0.2">
      <c r="A541" s="29"/>
      <c r="B541" s="101"/>
      <c r="C541" s="41"/>
      <c r="D541" s="425"/>
      <c r="E541" s="108"/>
      <c r="F541" s="149"/>
      <c r="G541" s="35"/>
    </row>
    <row r="542" spans="1:7" x14ac:dyDescent="0.2">
      <c r="A542" s="29"/>
      <c r="B542" s="101"/>
      <c r="C542" s="41"/>
      <c r="D542" s="383"/>
      <c r="E542" s="108"/>
      <c r="F542" s="149"/>
      <c r="G542" s="35"/>
    </row>
    <row r="543" spans="1:7" ht="13.5" thickBot="1" x14ac:dyDescent="0.25">
      <c r="A543" s="45"/>
      <c r="B543" s="132"/>
      <c r="C543" s="115"/>
      <c r="D543" s="115"/>
      <c r="E543" s="132"/>
      <c r="F543" s="49" t="s">
        <v>15</v>
      </c>
      <c r="G543" s="50">
        <f>SUM(G509:G542)</f>
        <v>72000</v>
      </c>
    </row>
    <row r="544" spans="1:7" ht="13.5" thickTop="1" x14ac:dyDescent="0.2">
      <c r="A544" s="875" t="s">
        <v>1341</v>
      </c>
      <c r="B544" s="899"/>
      <c r="C544" s="899"/>
      <c r="D544" s="899"/>
      <c r="E544" s="899"/>
      <c r="F544" s="899"/>
      <c r="G544" s="900"/>
    </row>
    <row r="545" spans="1:7" ht="13.5" thickBot="1" x14ac:dyDescent="0.25">
      <c r="A545" s="52"/>
      <c r="B545" s="103"/>
      <c r="C545" s="374" t="s">
        <v>1340</v>
      </c>
      <c r="D545" s="54"/>
      <c r="E545" s="103"/>
      <c r="F545" s="55"/>
      <c r="G545" s="56"/>
    </row>
    <row r="546" spans="1:7" ht="13.5" thickTop="1" x14ac:dyDescent="0.2">
      <c r="A546" s="906"/>
      <c r="B546" s="907"/>
      <c r="C546" s="907"/>
      <c r="D546" s="57" t="s">
        <v>11</v>
      </c>
      <c r="E546" s="908" t="s">
        <v>12</v>
      </c>
      <c r="F546" s="908"/>
      <c r="G546" s="909"/>
    </row>
    <row r="547" spans="1:7" x14ac:dyDescent="0.2">
      <c r="A547" s="866" t="s">
        <v>8</v>
      </c>
      <c r="B547" s="911"/>
      <c r="C547" s="911"/>
      <c r="D547" s="39"/>
      <c r="E547" s="912"/>
      <c r="F547" s="913"/>
      <c r="G547" s="914"/>
    </row>
    <row r="548" spans="1:7" x14ac:dyDescent="0.2">
      <c r="A548" s="910" t="s">
        <v>38</v>
      </c>
      <c r="B548" s="911"/>
      <c r="C548" s="911"/>
      <c r="D548" s="58" t="s">
        <v>908</v>
      </c>
      <c r="E548" s="868" t="s">
        <v>142</v>
      </c>
      <c r="F548" s="868"/>
      <c r="G548" s="869"/>
    </row>
    <row r="549" spans="1:7" ht="13.5" thickBot="1" x14ac:dyDescent="0.25">
      <c r="A549" s="901" t="s">
        <v>39</v>
      </c>
      <c r="B549" s="902"/>
      <c r="C549" s="902"/>
      <c r="D549" s="59" t="s">
        <v>909</v>
      </c>
      <c r="E549" s="904" t="s">
        <v>0</v>
      </c>
      <c r="F549" s="904"/>
      <c r="G549" s="905"/>
    </row>
    <row r="550" spans="1:7" ht="16.5" x14ac:dyDescent="0.25">
      <c r="A550" s="885" t="s">
        <v>29</v>
      </c>
      <c r="B550" s="886"/>
      <c r="C550" s="886"/>
      <c r="D550" s="886"/>
      <c r="E550" s="886"/>
      <c r="F550" s="886"/>
      <c r="G550" s="887"/>
    </row>
    <row r="551" spans="1:7" x14ac:dyDescent="0.2">
      <c r="A551" s="888" t="s">
        <v>48</v>
      </c>
      <c r="B551" s="889"/>
      <c r="C551" s="889"/>
      <c r="D551" s="889"/>
      <c r="E551" s="889"/>
      <c r="F551" s="889"/>
      <c r="G551" s="890"/>
    </row>
    <row r="552" spans="1:7" x14ac:dyDescent="0.2">
      <c r="A552" s="915" t="s">
        <v>49</v>
      </c>
      <c r="B552" s="916"/>
      <c r="C552" s="916"/>
      <c r="D552" s="916"/>
      <c r="E552" s="916"/>
      <c r="F552" s="916"/>
      <c r="G552" s="917"/>
    </row>
    <row r="553" spans="1:7" x14ac:dyDescent="0.2">
      <c r="A553" s="6"/>
      <c r="B553" s="99"/>
      <c r="C553" s="8"/>
      <c r="D553" s="9"/>
      <c r="E553" s="99"/>
      <c r="F553" s="10"/>
      <c r="G553" s="11" t="s">
        <v>20</v>
      </c>
    </row>
    <row r="554" spans="1:7" x14ac:dyDescent="0.2">
      <c r="A554" s="12" t="s">
        <v>1</v>
      </c>
      <c r="B554" s="13"/>
      <c r="C554" s="14" t="s">
        <v>911</v>
      </c>
      <c r="D554" s="13"/>
      <c r="E554" s="362" t="s">
        <v>1615</v>
      </c>
      <c r="F554" s="98"/>
      <c r="G554" s="363" t="s">
        <v>1521</v>
      </c>
    </row>
    <row r="555" spans="1:7" x14ac:dyDescent="0.2">
      <c r="A555" s="17" t="s">
        <v>8</v>
      </c>
      <c r="B555" s="100"/>
      <c r="C555" s="19"/>
      <c r="D555" s="4"/>
      <c r="E555" s="918"/>
      <c r="F555" s="919"/>
      <c r="G555" s="20"/>
    </row>
    <row r="556" spans="1:7" x14ac:dyDescent="0.2">
      <c r="A556" s="21" t="s">
        <v>37</v>
      </c>
      <c r="B556" s="22"/>
      <c r="C556" s="22"/>
      <c r="D556" s="22"/>
      <c r="E556" s="23" t="s">
        <v>46</v>
      </c>
      <c r="F556" s="24"/>
      <c r="G556" s="20" t="s">
        <v>50</v>
      </c>
    </row>
    <row r="557" spans="1:7" x14ac:dyDescent="0.2">
      <c r="A557" s="6"/>
      <c r="B557" s="99"/>
      <c r="C557" s="8"/>
      <c r="D557" s="8"/>
      <c r="E557" s="920"/>
      <c r="F557" s="921"/>
      <c r="G557" s="25"/>
    </row>
    <row r="558" spans="1:7" ht="26.25" thickBot="1" x14ac:dyDescent="0.25">
      <c r="A558" s="207" t="s">
        <v>47</v>
      </c>
      <c r="B558" s="28" t="s">
        <v>23</v>
      </c>
      <c r="C558" s="28" t="s">
        <v>34</v>
      </c>
      <c r="D558" s="110" t="s">
        <v>53</v>
      </c>
      <c r="E558" s="114" t="s">
        <v>54</v>
      </c>
      <c r="F558" s="111" t="s">
        <v>55</v>
      </c>
      <c r="G558" s="112" t="s">
        <v>35</v>
      </c>
    </row>
    <row r="559" spans="1:7" ht="13.5" thickTop="1" x14ac:dyDescent="0.2">
      <c r="A559" s="364">
        <v>1</v>
      </c>
      <c r="B559" s="101"/>
      <c r="C559" s="371" t="s">
        <v>242</v>
      </c>
      <c r="D559" s="376" t="s">
        <v>1262</v>
      </c>
      <c r="E559" s="158">
        <v>35</v>
      </c>
      <c r="F559" s="128">
        <v>250</v>
      </c>
      <c r="G559" s="372">
        <f>F559*E559</f>
        <v>8750</v>
      </c>
    </row>
    <row r="560" spans="1:7" x14ac:dyDescent="0.2">
      <c r="A560" s="364">
        <v>2</v>
      </c>
      <c r="B560" s="101"/>
      <c r="C560" s="371" t="s">
        <v>242</v>
      </c>
      <c r="D560" s="370" t="s">
        <v>325</v>
      </c>
      <c r="E560" s="108">
        <v>35</v>
      </c>
      <c r="F560" s="128">
        <v>350</v>
      </c>
      <c r="G560" s="35">
        <f>F560*E560</f>
        <v>12250</v>
      </c>
    </row>
    <row r="561" spans="1:7" x14ac:dyDescent="0.2">
      <c r="A561" s="29"/>
      <c r="B561" s="101"/>
      <c r="C561" s="371"/>
      <c r="D561" s="370"/>
      <c r="E561" s="108"/>
      <c r="F561" s="149"/>
      <c r="G561" s="35"/>
    </row>
    <row r="562" spans="1:7" x14ac:dyDescent="0.2">
      <c r="A562" s="29"/>
      <c r="B562" s="101"/>
      <c r="C562" s="371"/>
      <c r="D562" s="359"/>
      <c r="E562" s="108"/>
      <c r="F562" s="128"/>
      <c r="G562" s="372"/>
    </row>
    <row r="563" spans="1:7" x14ac:dyDescent="0.2">
      <c r="A563" s="29"/>
      <c r="B563" s="105"/>
      <c r="C563" s="371"/>
      <c r="D563" s="370"/>
      <c r="E563" s="108"/>
      <c r="F563" s="128"/>
      <c r="G563" s="35"/>
    </row>
    <row r="564" spans="1:7" x14ac:dyDescent="0.2">
      <c r="A564" s="29"/>
      <c r="B564" s="105"/>
      <c r="C564" s="371"/>
      <c r="D564" s="370"/>
      <c r="E564" s="108"/>
      <c r="F564" s="149"/>
      <c r="G564" s="35"/>
    </row>
    <row r="565" spans="1:7" x14ac:dyDescent="0.2">
      <c r="A565" s="29"/>
      <c r="B565" s="151"/>
      <c r="C565" s="371"/>
      <c r="D565" s="359"/>
      <c r="E565" s="108"/>
      <c r="F565" s="149"/>
      <c r="G565" s="372"/>
    </row>
    <row r="566" spans="1:7" x14ac:dyDescent="0.2">
      <c r="A566" s="29"/>
      <c r="B566" s="151"/>
      <c r="C566" s="371"/>
      <c r="D566" s="370"/>
      <c r="E566" s="108"/>
      <c r="F566" s="128"/>
      <c r="G566" s="35"/>
    </row>
    <row r="567" spans="1:7" x14ac:dyDescent="0.2">
      <c r="A567" s="29"/>
      <c r="B567" s="101"/>
      <c r="C567" s="371"/>
      <c r="D567" s="370"/>
      <c r="E567" s="108"/>
      <c r="F567" s="149"/>
      <c r="G567" s="35"/>
    </row>
    <row r="568" spans="1:7" x14ac:dyDescent="0.2">
      <c r="A568" s="29"/>
      <c r="B568" s="106"/>
      <c r="C568" s="371"/>
      <c r="D568" s="359"/>
      <c r="E568" s="104"/>
      <c r="F568" s="128"/>
      <c r="G568" s="372"/>
    </row>
    <row r="569" spans="1:7" x14ac:dyDescent="0.2">
      <c r="A569" s="29"/>
      <c r="B569" s="105"/>
      <c r="C569" s="371"/>
      <c r="D569" s="370"/>
      <c r="E569" s="108"/>
      <c r="F569" s="128"/>
      <c r="G569" s="35"/>
    </row>
    <row r="570" spans="1:7" x14ac:dyDescent="0.2">
      <c r="A570" s="29"/>
      <c r="B570" s="107"/>
      <c r="C570" s="371"/>
      <c r="D570" s="370"/>
      <c r="E570" s="108"/>
      <c r="F570" s="149"/>
      <c r="G570" s="35"/>
    </row>
    <row r="571" spans="1:7" x14ac:dyDescent="0.2">
      <c r="A571" s="29"/>
      <c r="B571" s="107"/>
      <c r="C571" s="371"/>
      <c r="D571" s="359"/>
      <c r="E571" s="108"/>
      <c r="F571" s="403"/>
      <c r="G571" s="372"/>
    </row>
    <row r="572" spans="1:7" x14ac:dyDescent="0.2">
      <c r="A572" s="29"/>
      <c r="B572" s="101"/>
      <c r="C572" s="371"/>
      <c r="D572" s="370"/>
      <c r="E572" s="108"/>
      <c r="F572" s="128"/>
      <c r="G572" s="35"/>
    </row>
    <row r="573" spans="1:7" x14ac:dyDescent="0.2">
      <c r="A573" s="29"/>
      <c r="B573" s="101"/>
      <c r="C573" s="371"/>
      <c r="D573" s="370"/>
      <c r="E573" s="108"/>
      <c r="F573" s="149"/>
      <c r="G573" s="35"/>
    </row>
    <row r="574" spans="1:7" x14ac:dyDescent="0.2">
      <c r="A574" s="29"/>
      <c r="B574" s="106"/>
      <c r="C574" s="371"/>
      <c r="D574" s="359"/>
      <c r="E574" s="104"/>
      <c r="F574" s="128"/>
      <c r="G574" s="372"/>
    </row>
    <row r="575" spans="1:7" x14ac:dyDescent="0.2">
      <c r="A575" s="29"/>
      <c r="B575" s="105"/>
      <c r="C575" s="371"/>
      <c r="D575" s="370"/>
      <c r="E575" s="108"/>
      <c r="F575" s="128"/>
      <c r="G575" s="35"/>
    </row>
    <row r="576" spans="1:7" x14ac:dyDescent="0.2">
      <c r="A576" s="29"/>
      <c r="B576" s="105"/>
      <c r="C576" s="371"/>
      <c r="D576" s="370"/>
      <c r="E576" s="108"/>
      <c r="F576" s="149"/>
      <c r="G576" s="35"/>
    </row>
    <row r="577" spans="1:7" x14ac:dyDescent="0.2">
      <c r="A577" s="29"/>
      <c r="B577" s="101"/>
      <c r="C577" s="371"/>
      <c r="D577" s="359"/>
      <c r="E577" s="104"/>
      <c r="F577" s="149"/>
      <c r="G577" s="372"/>
    </row>
    <row r="578" spans="1:7" x14ac:dyDescent="0.2">
      <c r="A578" s="29"/>
      <c r="B578" s="101"/>
      <c r="C578" s="371"/>
      <c r="D578" s="370"/>
      <c r="E578" s="108"/>
      <c r="F578" s="128"/>
      <c r="G578" s="35"/>
    </row>
    <row r="579" spans="1:7" x14ac:dyDescent="0.2">
      <c r="A579" s="29"/>
      <c r="B579" s="101"/>
      <c r="C579" s="371"/>
      <c r="D579" s="370"/>
      <c r="E579" s="108"/>
      <c r="F579" s="149"/>
      <c r="G579" s="35"/>
    </row>
    <row r="580" spans="1:7" x14ac:dyDescent="0.2">
      <c r="A580" s="29"/>
      <c r="B580" s="101"/>
      <c r="C580" s="371"/>
      <c r="D580" s="359"/>
      <c r="E580" s="108"/>
      <c r="F580" s="150"/>
      <c r="G580" s="372"/>
    </row>
    <row r="581" spans="1:7" x14ac:dyDescent="0.2">
      <c r="A581" s="29"/>
      <c r="B581" s="101"/>
      <c r="C581" s="371"/>
      <c r="D581" s="370"/>
      <c r="E581" s="108"/>
      <c r="F581" s="128"/>
      <c r="G581" s="35"/>
    </row>
    <row r="582" spans="1:7" x14ac:dyDescent="0.2">
      <c r="A582" s="29"/>
      <c r="B582" s="101"/>
      <c r="C582" s="371"/>
      <c r="D582" s="370"/>
      <c r="E582" s="108"/>
      <c r="F582" s="149"/>
      <c r="G582" s="35"/>
    </row>
    <row r="583" spans="1:7" x14ac:dyDescent="0.2">
      <c r="A583" s="29"/>
      <c r="B583" s="101"/>
      <c r="C583" s="41"/>
      <c r="D583" s="358"/>
      <c r="E583" s="108"/>
      <c r="F583" s="128"/>
      <c r="G583" s="372"/>
    </row>
    <row r="584" spans="1:7" x14ac:dyDescent="0.2">
      <c r="A584" s="29"/>
      <c r="B584" s="101"/>
      <c r="C584" s="371"/>
      <c r="D584" s="370"/>
      <c r="E584" s="108"/>
      <c r="F584" s="128"/>
      <c r="G584" s="35"/>
    </row>
    <row r="585" spans="1:7" x14ac:dyDescent="0.2">
      <c r="A585" s="29"/>
      <c r="B585" s="101"/>
      <c r="C585" s="371"/>
      <c r="D585" s="370"/>
      <c r="E585" s="108"/>
      <c r="F585" s="149"/>
      <c r="G585" s="35"/>
    </row>
    <row r="586" spans="1:7" x14ac:dyDescent="0.2">
      <c r="A586" s="29"/>
      <c r="B586" s="101"/>
      <c r="C586" s="371"/>
      <c r="D586" s="359"/>
      <c r="E586" s="108"/>
      <c r="F586" s="128"/>
      <c r="G586" s="372"/>
    </row>
    <row r="587" spans="1:7" x14ac:dyDescent="0.2">
      <c r="A587" s="29"/>
      <c r="B587" s="101"/>
      <c r="C587" s="371"/>
      <c r="D587" s="370"/>
      <c r="E587" s="108"/>
      <c r="F587" s="128"/>
      <c r="G587" s="35"/>
    </row>
    <row r="588" spans="1:7" x14ac:dyDescent="0.2">
      <c r="A588" s="29"/>
      <c r="B588" s="101"/>
      <c r="C588" s="371"/>
      <c r="D588" s="370"/>
      <c r="E588" s="108"/>
      <c r="F588" s="149"/>
      <c r="G588" s="35"/>
    </row>
    <row r="589" spans="1:7" x14ac:dyDescent="0.2">
      <c r="A589" s="29"/>
      <c r="B589" s="101"/>
      <c r="C589" s="41"/>
      <c r="D589" s="383"/>
      <c r="E589" s="102"/>
      <c r="F589" s="128"/>
      <c r="G589" s="35"/>
    </row>
    <row r="590" spans="1:7" x14ac:dyDescent="0.2">
      <c r="A590" s="29"/>
      <c r="B590" s="101"/>
      <c r="C590" s="31"/>
      <c r="D590" s="419"/>
      <c r="E590" s="131"/>
      <c r="F590" s="117"/>
      <c r="G590" s="35"/>
    </row>
    <row r="591" spans="1:7" x14ac:dyDescent="0.2">
      <c r="A591" s="29"/>
      <c r="B591" s="101"/>
      <c r="C591" s="41"/>
      <c r="D591" s="425"/>
      <c r="E591" s="108"/>
      <c r="F591" s="149"/>
      <c r="G591" s="35"/>
    </row>
    <row r="592" spans="1:7" x14ac:dyDescent="0.2">
      <c r="A592" s="29"/>
      <c r="B592" s="101"/>
      <c r="C592" s="41"/>
      <c r="D592" s="383"/>
      <c r="E592" s="108"/>
      <c r="F592" s="149"/>
      <c r="G592" s="35"/>
    </row>
    <row r="593" spans="1:7" ht="13.5" thickBot="1" x14ac:dyDescent="0.25">
      <c r="A593" s="45"/>
      <c r="B593" s="132"/>
      <c r="C593" s="115"/>
      <c r="D593" s="115"/>
      <c r="E593" s="132"/>
      <c r="F593" s="49" t="s">
        <v>15</v>
      </c>
      <c r="G593" s="50">
        <f>SUM(G559:G592)</f>
        <v>21000</v>
      </c>
    </row>
    <row r="594" spans="1:7" ht="13.5" thickTop="1" x14ac:dyDescent="0.2">
      <c r="A594" s="875" t="s">
        <v>1538</v>
      </c>
      <c r="B594" s="899"/>
      <c r="C594" s="899"/>
      <c r="D594" s="899"/>
      <c r="E594" s="899"/>
      <c r="F594" s="899"/>
      <c r="G594" s="900"/>
    </row>
    <row r="595" spans="1:7" ht="13.5" thickBot="1" x14ac:dyDescent="0.25">
      <c r="A595" s="52"/>
      <c r="B595" s="103"/>
      <c r="C595" s="374" t="s">
        <v>1307</v>
      </c>
      <c r="D595" s="54"/>
      <c r="E595" s="103"/>
      <c r="F595" s="55"/>
      <c r="G595" s="56"/>
    </row>
    <row r="596" spans="1:7" ht="13.5" thickTop="1" x14ac:dyDescent="0.2">
      <c r="A596" s="906"/>
      <c r="B596" s="907"/>
      <c r="C596" s="907"/>
      <c r="D596" s="57" t="s">
        <v>11</v>
      </c>
      <c r="E596" s="908" t="s">
        <v>12</v>
      </c>
      <c r="F596" s="908"/>
      <c r="G596" s="909"/>
    </row>
    <row r="597" spans="1:7" x14ac:dyDescent="0.2">
      <c r="A597" s="866" t="s">
        <v>8</v>
      </c>
      <c r="B597" s="911"/>
      <c r="C597" s="911"/>
      <c r="D597" s="39"/>
      <c r="E597" s="912"/>
      <c r="F597" s="913"/>
      <c r="G597" s="914"/>
    </row>
    <row r="598" spans="1:7" x14ac:dyDescent="0.2">
      <c r="A598" s="910" t="s">
        <v>38</v>
      </c>
      <c r="B598" s="911"/>
      <c r="C598" s="911"/>
      <c r="D598" s="58" t="s">
        <v>908</v>
      </c>
      <c r="E598" s="868" t="s">
        <v>142</v>
      </c>
      <c r="F598" s="868"/>
      <c r="G598" s="869"/>
    </row>
    <row r="599" spans="1:7" ht="13.5" thickBot="1" x14ac:dyDescent="0.25">
      <c r="A599" s="901" t="s">
        <v>39</v>
      </c>
      <c r="B599" s="902"/>
      <c r="C599" s="902"/>
      <c r="D599" s="59" t="s">
        <v>909</v>
      </c>
      <c r="E599" s="904" t="s">
        <v>0</v>
      </c>
      <c r="F599" s="904"/>
      <c r="G599" s="905"/>
    </row>
    <row r="600" spans="1:7" ht="16.5" x14ac:dyDescent="0.25">
      <c r="A600" s="885" t="s">
        <v>29</v>
      </c>
      <c r="B600" s="886"/>
      <c r="C600" s="886"/>
      <c r="D600" s="886"/>
      <c r="E600" s="886"/>
      <c r="F600" s="886"/>
      <c r="G600" s="887"/>
    </row>
    <row r="601" spans="1:7" x14ac:dyDescent="0.2">
      <c r="A601" s="888" t="s">
        <v>48</v>
      </c>
      <c r="B601" s="889"/>
      <c r="C601" s="889"/>
      <c r="D601" s="889"/>
      <c r="E601" s="889"/>
      <c r="F601" s="889"/>
      <c r="G601" s="890"/>
    </row>
    <row r="602" spans="1:7" x14ac:dyDescent="0.2">
      <c r="A602" s="915" t="s">
        <v>49</v>
      </c>
      <c r="B602" s="916"/>
      <c r="C602" s="916"/>
      <c r="D602" s="916"/>
      <c r="E602" s="916"/>
      <c r="F602" s="916"/>
      <c r="G602" s="917"/>
    </row>
    <row r="603" spans="1:7" x14ac:dyDescent="0.2">
      <c r="A603" s="6"/>
      <c r="B603" s="99"/>
      <c r="C603" s="8"/>
      <c r="D603" s="9"/>
      <c r="E603" s="99"/>
      <c r="F603" s="10"/>
      <c r="G603" s="11" t="s">
        <v>20</v>
      </c>
    </row>
    <row r="604" spans="1:7" x14ac:dyDescent="0.2">
      <c r="A604" s="12" t="s">
        <v>1</v>
      </c>
      <c r="B604" s="13"/>
      <c r="C604" s="14" t="s">
        <v>911</v>
      </c>
      <c r="D604" s="13"/>
      <c r="E604" s="362" t="s">
        <v>1631</v>
      </c>
      <c r="F604" s="98"/>
      <c r="G604" s="363" t="s">
        <v>1521</v>
      </c>
    </row>
    <row r="605" spans="1:7" x14ac:dyDescent="0.2">
      <c r="A605" s="17" t="s">
        <v>8</v>
      </c>
      <c r="B605" s="100"/>
      <c r="C605" s="19"/>
      <c r="D605" s="4"/>
      <c r="E605" s="918"/>
      <c r="F605" s="919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920"/>
      <c r="F607" s="921"/>
      <c r="G607" s="25"/>
    </row>
    <row r="608" spans="1:7" ht="26.25" thickBot="1" x14ac:dyDescent="0.25">
      <c r="A608" s="207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ht="13.5" thickTop="1" x14ac:dyDescent="0.2">
      <c r="A609" s="364">
        <v>1</v>
      </c>
      <c r="B609" s="101"/>
      <c r="C609" s="371" t="s">
        <v>242</v>
      </c>
      <c r="D609" s="376" t="s">
        <v>1294</v>
      </c>
      <c r="E609" s="158">
        <v>70</v>
      </c>
      <c r="F609" s="128">
        <v>250</v>
      </c>
      <c r="G609" s="372">
        <f>F609*E609</f>
        <v>17500</v>
      </c>
    </row>
    <row r="610" spans="1:7" x14ac:dyDescent="0.2">
      <c r="A610" s="364">
        <v>2</v>
      </c>
      <c r="B610" s="101"/>
      <c r="C610" s="371" t="s">
        <v>242</v>
      </c>
      <c r="D610" s="370" t="s">
        <v>325</v>
      </c>
      <c r="E610" s="108">
        <v>70</v>
      </c>
      <c r="F610" s="128">
        <v>350</v>
      </c>
      <c r="G610" s="35">
        <f>F610*E610</f>
        <v>24500</v>
      </c>
    </row>
    <row r="611" spans="1:7" x14ac:dyDescent="0.2">
      <c r="A611" s="29"/>
      <c r="B611" s="101"/>
      <c r="C611" s="371"/>
      <c r="D611" s="370"/>
      <c r="E611" s="108"/>
      <c r="F611" s="149"/>
      <c r="G611" s="35"/>
    </row>
    <row r="612" spans="1:7" x14ac:dyDescent="0.2">
      <c r="A612" s="29"/>
      <c r="B612" s="101"/>
      <c r="C612" s="371"/>
      <c r="D612" s="359"/>
      <c r="E612" s="108"/>
      <c r="F612" s="128"/>
      <c r="G612" s="372"/>
    </row>
    <row r="613" spans="1:7" x14ac:dyDescent="0.2">
      <c r="A613" s="29"/>
      <c r="B613" s="105"/>
      <c r="C613" s="371"/>
      <c r="D613" s="370"/>
      <c r="E613" s="108"/>
      <c r="F613" s="128"/>
      <c r="G613" s="35"/>
    </row>
    <row r="614" spans="1:7" x14ac:dyDescent="0.2">
      <c r="A614" s="29"/>
      <c r="B614" s="105"/>
      <c r="C614" s="371"/>
      <c r="D614" s="370"/>
      <c r="E614" s="108"/>
      <c r="F614" s="149"/>
      <c r="G614" s="35"/>
    </row>
    <row r="615" spans="1:7" x14ac:dyDescent="0.2">
      <c r="A615" s="29"/>
      <c r="B615" s="151"/>
      <c r="C615" s="371"/>
      <c r="D615" s="359"/>
      <c r="E615" s="108"/>
      <c r="F615" s="149"/>
      <c r="G615" s="372"/>
    </row>
    <row r="616" spans="1:7" x14ac:dyDescent="0.2">
      <c r="A616" s="29"/>
      <c r="B616" s="151"/>
      <c r="C616" s="371"/>
      <c r="D616" s="370"/>
      <c r="E616" s="108"/>
      <c r="F616" s="403" t="s">
        <v>8</v>
      </c>
      <c r="G616" s="35"/>
    </row>
    <row r="617" spans="1:7" x14ac:dyDescent="0.2">
      <c r="A617" s="29"/>
      <c r="B617" s="101"/>
      <c r="C617" s="371"/>
      <c r="D617" s="370"/>
      <c r="E617" s="108"/>
      <c r="F617" s="149"/>
      <c r="G617" s="35"/>
    </row>
    <row r="618" spans="1:7" x14ac:dyDescent="0.2">
      <c r="A618" s="29"/>
      <c r="B618" s="106"/>
      <c r="C618" s="371"/>
      <c r="D618" s="359"/>
      <c r="E618" s="104"/>
      <c r="F618" s="128"/>
      <c r="G618" s="372"/>
    </row>
    <row r="619" spans="1:7" x14ac:dyDescent="0.2">
      <c r="A619" s="29"/>
      <c r="B619" s="105"/>
      <c r="C619" s="371"/>
      <c r="D619" s="370"/>
      <c r="E619" s="108"/>
      <c r="F619" s="128"/>
      <c r="G619" s="35"/>
    </row>
    <row r="620" spans="1:7" x14ac:dyDescent="0.2">
      <c r="A620" s="29"/>
      <c r="B620" s="107"/>
      <c r="C620" s="371"/>
      <c r="D620" s="370"/>
      <c r="E620" s="108"/>
      <c r="F620" s="149"/>
      <c r="G620" s="35"/>
    </row>
    <row r="621" spans="1:7" x14ac:dyDescent="0.2">
      <c r="A621" s="29"/>
      <c r="B621" s="107"/>
      <c r="C621" s="371"/>
      <c r="D621" s="359"/>
      <c r="E621" s="108"/>
      <c r="F621" s="403"/>
      <c r="G621" s="372"/>
    </row>
    <row r="622" spans="1:7" x14ac:dyDescent="0.2">
      <c r="A622" s="29"/>
      <c r="B622" s="101"/>
      <c r="C622" s="371"/>
      <c r="D622" s="370"/>
      <c r="E622" s="108"/>
      <c r="F622" s="128"/>
      <c r="G622" s="35"/>
    </row>
    <row r="623" spans="1:7" x14ac:dyDescent="0.2">
      <c r="A623" s="29"/>
      <c r="B623" s="101"/>
      <c r="C623" s="371"/>
      <c r="D623" s="370"/>
      <c r="E623" s="108"/>
      <c r="F623" s="149"/>
      <c r="G623" s="35"/>
    </row>
    <row r="624" spans="1:7" x14ac:dyDescent="0.2">
      <c r="A624" s="29"/>
      <c r="B624" s="106"/>
      <c r="C624" s="371"/>
      <c r="D624" s="359"/>
      <c r="E624" s="104"/>
      <c r="F624" s="128"/>
      <c r="G624" s="372"/>
    </row>
    <row r="625" spans="1:7" x14ac:dyDescent="0.2">
      <c r="A625" s="29"/>
      <c r="B625" s="105"/>
      <c r="C625" s="371"/>
      <c r="D625" s="370"/>
      <c r="E625" s="108"/>
      <c r="F625" s="128"/>
      <c r="G625" s="35"/>
    </row>
    <row r="626" spans="1:7" x14ac:dyDescent="0.2">
      <c r="A626" s="29"/>
      <c r="B626" s="105"/>
      <c r="C626" s="371"/>
      <c r="D626" s="370"/>
      <c r="E626" s="108"/>
      <c r="F626" s="149"/>
      <c r="G626" s="35"/>
    </row>
    <row r="627" spans="1:7" x14ac:dyDescent="0.2">
      <c r="A627" s="29"/>
      <c r="B627" s="101"/>
      <c r="C627" s="371"/>
      <c r="D627" s="359"/>
      <c r="E627" s="104"/>
      <c r="F627" s="149"/>
      <c r="G627" s="372"/>
    </row>
    <row r="628" spans="1:7" x14ac:dyDescent="0.2">
      <c r="A628" s="29"/>
      <c r="B628" s="101"/>
      <c r="C628" s="371"/>
      <c r="D628" s="370"/>
      <c r="E628" s="108"/>
      <c r="F628" s="128"/>
      <c r="G628" s="35"/>
    </row>
    <row r="629" spans="1:7" x14ac:dyDescent="0.2">
      <c r="A629" s="29"/>
      <c r="B629" s="101"/>
      <c r="C629" s="371"/>
      <c r="D629" s="370"/>
      <c r="E629" s="108"/>
      <c r="F629" s="149"/>
      <c r="G629" s="35"/>
    </row>
    <row r="630" spans="1:7" x14ac:dyDescent="0.2">
      <c r="A630" s="29"/>
      <c r="B630" s="101"/>
      <c r="C630" s="371"/>
      <c r="D630" s="359"/>
      <c r="E630" s="108"/>
      <c r="F630" s="150"/>
      <c r="G630" s="372"/>
    </row>
    <row r="631" spans="1:7" x14ac:dyDescent="0.2">
      <c r="A631" s="29"/>
      <c r="B631" s="101"/>
      <c r="C631" s="371"/>
      <c r="D631" s="370"/>
      <c r="E631" s="108"/>
      <c r="F631" s="128"/>
      <c r="G631" s="35"/>
    </row>
    <row r="632" spans="1:7" x14ac:dyDescent="0.2">
      <c r="A632" s="29"/>
      <c r="B632" s="101"/>
      <c r="C632" s="371"/>
      <c r="D632" s="370"/>
      <c r="E632" s="108"/>
      <c r="F632" s="149"/>
      <c r="G632" s="35"/>
    </row>
    <row r="633" spans="1:7" x14ac:dyDescent="0.2">
      <c r="A633" s="29"/>
      <c r="B633" s="101"/>
      <c r="C633" s="41"/>
      <c r="D633" s="358"/>
      <c r="E633" s="108"/>
      <c r="F633" s="128"/>
      <c r="G633" s="372"/>
    </row>
    <row r="634" spans="1:7" x14ac:dyDescent="0.2">
      <c r="A634" s="29"/>
      <c r="B634" s="101"/>
      <c r="C634" s="371"/>
      <c r="D634" s="370"/>
      <c r="E634" s="108"/>
      <c r="F634" s="128"/>
      <c r="G634" s="35"/>
    </row>
    <row r="635" spans="1:7" x14ac:dyDescent="0.2">
      <c r="A635" s="29"/>
      <c r="B635" s="101"/>
      <c r="C635" s="371"/>
      <c r="D635" s="370"/>
      <c r="E635" s="108"/>
      <c r="F635" s="149"/>
      <c r="G635" s="35"/>
    </row>
    <row r="636" spans="1:7" x14ac:dyDescent="0.2">
      <c r="A636" s="29"/>
      <c r="B636" s="101"/>
      <c r="C636" s="371"/>
      <c r="D636" s="359"/>
      <c r="E636" s="108"/>
      <c r="F636" s="128"/>
      <c r="G636" s="372"/>
    </row>
    <row r="637" spans="1:7" x14ac:dyDescent="0.2">
      <c r="A637" s="29"/>
      <c r="B637" s="101"/>
      <c r="C637" s="371"/>
      <c r="D637" s="370"/>
      <c r="E637" s="108"/>
      <c r="F637" s="128"/>
      <c r="G637" s="35"/>
    </row>
    <row r="638" spans="1:7" x14ac:dyDescent="0.2">
      <c r="A638" s="29"/>
      <c r="B638" s="101"/>
      <c r="C638" s="371"/>
      <c r="D638" s="370"/>
      <c r="E638" s="108"/>
      <c r="F638" s="149"/>
      <c r="G638" s="35"/>
    </row>
    <row r="639" spans="1:7" x14ac:dyDescent="0.2">
      <c r="A639" s="29"/>
      <c r="B639" s="101"/>
      <c r="C639" s="41"/>
      <c r="D639" s="383"/>
      <c r="E639" s="102"/>
      <c r="F639" s="128"/>
      <c r="G639" s="35"/>
    </row>
    <row r="640" spans="1:7" x14ac:dyDescent="0.2">
      <c r="A640" s="29"/>
      <c r="B640" s="101"/>
      <c r="C640" s="31"/>
      <c r="D640" s="419"/>
      <c r="E640" s="131"/>
      <c r="F640" s="117"/>
      <c r="G640" s="35"/>
    </row>
    <row r="641" spans="1:7" x14ac:dyDescent="0.2">
      <c r="A641" s="29"/>
      <c r="B641" s="101"/>
      <c r="C641" s="41"/>
      <c r="D641" s="425"/>
      <c r="E641" s="108"/>
      <c r="F641" s="149"/>
      <c r="G641" s="35"/>
    </row>
    <row r="642" spans="1:7" x14ac:dyDescent="0.2">
      <c r="A642" s="29"/>
      <c r="B642" s="101"/>
      <c r="C642" s="41"/>
      <c r="D642" s="383"/>
      <c r="E642" s="108"/>
      <c r="F642" s="149"/>
      <c r="G642" s="35"/>
    </row>
    <row r="643" spans="1:7" ht="13.5" thickBot="1" x14ac:dyDescent="0.25">
      <c r="A643" s="45"/>
      <c r="B643" s="132"/>
      <c r="C643" s="115"/>
      <c r="D643" s="115"/>
      <c r="E643" s="132"/>
      <c r="F643" s="49" t="s">
        <v>15</v>
      </c>
      <c r="G643" s="50">
        <f>SUM(G609:G642)</f>
        <v>42000</v>
      </c>
    </row>
    <row r="644" spans="1:7" ht="13.5" thickTop="1" x14ac:dyDescent="0.2">
      <c r="A644" s="875" t="s">
        <v>1566</v>
      </c>
      <c r="B644" s="899"/>
      <c r="C644" s="899"/>
      <c r="D644" s="899"/>
      <c r="E644" s="899"/>
      <c r="F644" s="899"/>
      <c r="G644" s="900"/>
    </row>
    <row r="645" spans="1:7" ht="13.5" thickBot="1" x14ac:dyDescent="0.25">
      <c r="A645" s="52"/>
      <c r="B645" s="103"/>
      <c r="C645" s="374" t="s">
        <v>1567</v>
      </c>
      <c r="D645" s="54"/>
      <c r="E645" s="103"/>
      <c r="F645" s="55"/>
      <c r="G645" s="56"/>
    </row>
    <row r="646" spans="1:7" ht="13.5" thickTop="1" x14ac:dyDescent="0.2">
      <c r="A646" s="906"/>
      <c r="B646" s="907"/>
      <c r="C646" s="907"/>
      <c r="D646" s="57" t="s">
        <v>11</v>
      </c>
      <c r="E646" s="908" t="s">
        <v>12</v>
      </c>
      <c r="F646" s="908"/>
      <c r="G646" s="909"/>
    </row>
    <row r="647" spans="1:7" x14ac:dyDescent="0.2">
      <c r="A647" s="866" t="s">
        <v>8</v>
      </c>
      <c r="B647" s="911"/>
      <c r="C647" s="911"/>
      <c r="D647" s="39"/>
      <c r="E647" s="912"/>
      <c r="F647" s="913"/>
      <c r="G647" s="914"/>
    </row>
    <row r="648" spans="1:7" x14ac:dyDescent="0.2">
      <c r="A648" s="910" t="s">
        <v>38</v>
      </c>
      <c r="B648" s="911"/>
      <c r="C648" s="911"/>
      <c r="D648" s="58" t="s">
        <v>908</v>
      </c>
      <c r="E648" s="868" t="s">
        <v>142</v>
      </c>
      <c r="F648" s="868"/>
      <c r="G648" s="869"/>
    </row>
    <row r="649" spans="1:7" ht="13.5" thickBot="1" x14ac:dyDescent="0.25">
      <c r="A649" s="901" t="s">
        <v>39</v>
      </c>
      <c r="B649" s="902"/>
      <c r="C649" s="902"/>
      <c r="D649" s="59" t="s">
        <v>909</v>
      </c>
      <c r="E649" s="904" t="s">
        <v>0</v>
      </c>
      <c r="F649" s="904"/>
      <c r="G649" s="905"/>
    </row>
    <row r="650" spans="1:7" ht="16.5" x14ac:dyDescent="0.25">
      <c r="A650" s="885" t="s">
        <v>29</v>
      </c>
      <c r="B650" s="886"/>
      <c r="C650" s="886"/>
      <c r="D650" s="886"/>
      <c r="E650" s="886"/>
      <c r="F650" s="886"/>
      <c r="G650" s="887"/>
    </row>
    <row r="651" spans="1:7" x14ac:dyDescent="0.2">
      <c r="A651" s="888" t="s">
        <v>48</v>
      </c>
      <c r="B651" s="889"/>
      <c r="C651" s="889"/>
      <c r="D651" s="889"/>
      <c r="E651" s="889"/>
      <c r="F651" s="889"/>
      <c r="G651" s="890"/>
    </row>
    <row r="652" spans="1:7" x14ac:dyDescent="0.2">
      <c r="A652" s="915" t="s">
        <v>49</v>
      </c>
      <c r="B652" s="916"/>
      <c r="C652" s="916"/>
      <c r="D652" s="916"/>
      <c r="E652" s="916"/>
      <c r="F652" s="916"/>
      <c r="G652" s="917"/>
    </row>
    <row r="653" spans="1:7" x14ac:dyDescent="0.2">
      <c r="A653" s="6"/>
      <c r="B653" s="99"/>
      <c r="C653" s="8"/>
      <c r="D653" s="9"/>
      <c r="E653" s="99"/>
      <c r="F653" s="10"/>
      <c r="G653" s="11" t="s">
        <v>20</v>
      </c>
    </row>
    <row r="654" spans="1:7" x14ac:dyDescent="0.2">
      <c r="A654" s="12" t="s">
        <v>1</v>
      </c>
      <c r="B654" s="13"/>
      <c r="C654" s="14" t="s">
        <v>911</v>
      </c>
      <c r="D654" s="13"/>
      <c r="E654" s="362" t="s">
        <v>2287</v>
      </c>
      <c r="F654" s="98"/>
      <c r="G654" s="363" t="s">
        <v>2286</v>
      </c>
    </row>
    <row r="655" spans="1:7" x14ac:dyDescent="0.2">
      <c r="A655" s="17" t="s">
        <v>8</v>
      </c>
      <c r="B655" s="100"/>
      <c r="C655" s="19"/>
      <c r="D655" s="4"/>
      <c r="E655" s="918"/>
      <c r="F655" s="919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920"/>
      <c r="F657" s="921"/>
      <c r="G657" s="25"/>
    </row>
    <row r="658" spans="1:7" ht="26.25" thickBot="1" x14ac:dyDescent="0.25">
      <c r="A658" s="207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364"/>
      <c r="B659" s="101"/>
      <c r="C659" s="371"/>
      <c r="D659" s="376" t="s">
        <v>878</v>
      </c>
      <c r="E659" s="158"/>
      <c r="F659" s="128"/>
      <c r="G659" s="372" t="s">
        <v>8</v>
      </c>
    </row>
    <row r="660" spans="1:7" x14ac:dyDescent="0.2">
      <c r="A660" s="364">
        <v>1</v>
      </c>
      <c r="B660" s="101"/>
      <c r="C660" s="371" t="s">
        <v>242</v>
      </c>
      <c r="D660" s="370" t="s">
        <v>1311</v>
      </c>
      <c r="E660" s="108">
        <v>30</v>
      </c>
      <c r="F660" s="128">
        <v>350</v>
      </c>
      <c r="G660" s="35">
        <f>F660*E660</f>
        <v>10500</v>
      </c>
    </row>
    <row r="661" spans="1:7" x14ac:dyDescent="0.2">
      <c r="A661" s="29">
        <v>2</v>
      </c>
      <c r="B661" s="101"/>
      <c r="C661" s="371" t="s">
        <v>242</v>
      </c>
      <c r="D661" s="370" t="s">
        <v>1262</v>
      </c>
      <c r="E661" s="108">
        <v>30</v>
      </c>
      <c r="F661" s="149">
        <v>250</v>
      </c>
      <c r="G661" s="35">
        <f t="shared" ref="G661:G682" si="8">F661*E661</f>
        <v>7500</v>
      </c>
    </row>
    <row r="662" spans="1:7" x14ac:dyDescent="0.2">
      <c r="A662" s="29">
        <v>3</v>
      </c>
      <c r="B662" s="101"/>
      <c r="C662" s="371" t="s">
        <v>242</v>
      </c>
      <c r="D662" s="370" t="s">
        <v>325</v>
      </c>
      <c r="E662" s="108">
        <v>30</v>
      </c>
      <c r="F662" s="128">
        <v>350</v>
      </c>
      <c r="G662" s="35">
        <f t="shared" si="8"/>
        <v>10500</v>
      </c>
    </row>
    <row r="663" spans="1:7" x14ac:dyDescent="0.2">
      <c r="A663" s="29">
        <v>4</v>
      </c>
      <c r="B663" s="105"/>
      <c r="C663" s="371" t="s">
        <v>242</v>
      </c>
      <c r="D663" s="370" t="s">
        <v>2317</v>
      </c>
      <c r="E663" s="108">
        <v>30</v>
      </c>
      <c r="F663" s="128">
        <v>250</v>
      </c>
      <c r="G663" s="35">
        <f t="shared" si="8"/>
        <v>7500</v>
      </c>
    </row>
    <row r="664" spans="1:7" x14ac:dyDescent="0.2">
      <c r="A664" s="29">
        <v>5</v>
      </c>
      <c r="B664" s="105"/>
      <c r="C664" s="371" t="s">
        <v>242</v>
      </c>
      <c r="D664" s="370" t="s">
        <v>1312</v>
      </c>
      <c r="E664" s="108">
        <v>30</v>
      </c>
      <c r="F664" s="149">
        <v>350</v>
      </c>
      <c r="G664" s="35">
        <f t="shared" si="8"/>
        <v>10500</v>
      </c>
    </row>
    <row r="665" spans="1:7" x14ac:dyDescent="0.2">
      <c r="A665" s="29"/>
      <c r="B665" s="151"/>
      <c r="C665" s="371"/>
      <c r="D665" s="370" t="s">
        <v>880</v>
      </c>
      <c r="E665" s="108"/>
      <c r="F665" s="149"/>
      <c r="G665" s="372" t="s">
        <v>8</v>
      </c>
    </row>
    <row r="666" spans="1:7" x14ac:dyDescent="0.2">
      <c r="A666" s="29">
        <v>6</v>
      </c>
      <c r="B666" s="151"/>
      <c r="C666" s="371" t="s">
        <v>242</v>
      </c>
      <c r="D666" s="370" t="s">
        <v>1311</v>
      </c>
      <c r="E666" s="108">
        <v>30</v>
      </c>
      <c r="F666" s="128">
        <v>350</v>
      </c>
      <c r="G666" s="35">
        <f t="shared" si="8"/>
        <v>10500</v>
      </c>
    </row>
    <row r="667" spans="1:7" x14ac:dyDescent="0.2">
      <c r="A667" s="29">
        <v>7</v>
      </c>
      <c r="B667" s="101"/>
      <c r="C667" s="371" t="s">
        <v>242</v>
      </c>
      <c r="D667" s="370" t="s">
        <v>2285</v>
      </c>
      <c r="E667" s="108">
        <v>30</v>
      </c>
      <c r="F667" s="149">
        <v>250</v>
      </c>
      <c r="G667" s="35">
        <f t="shared" si="8"/>
        <v>7500</v>
      </c>
    </row>
    <row r="668" spans="1:7" x14ac:dyDescent="0.2">
      <c r="A668" s="29">
        <v>8</v>
      </c>
      <c r="B668" s="106"/>
      <c r="C668" s="371" t="s">
        <v>242</v>
      </c>
      <c r="D668" s="370" t="s">
        <v>325</v>
      </c>
      <c r="E668" s="108">
        <v>30</v>
      </c>
      <c r="F668" s="128">
        <v>350</v>
      </c>
      <c r="G668" s="35">
        <f t="shared" si="8"/>
        <v>10500</v>
      </c>
    </row>
    <row r="669" spans="1:7" x14ac:dyDescent="0.2">
      <c r="A669" s="29">
        <v>9</v>
      </c>
      <c r="B669" s="105"/>
      <c r="C669" s="371" t="s">
        <v>242</v>
      </c>
      <c r="D669" s="370" t="s">
        <v>1298</v>
      </c>
      <c r="E669" s="108">
        <v>30</v>
      </c>
      <c r="F669" s="128">
        <v>250</v>
      </c>
      <c r="G669" s="35">
        <f t="shared" si="8"/>
        <v>7500</v>
      </c>
    </row>
    <row r="670" spans="1:7" x14ac:dyDescent="0.2">
      <c r="A670" s="29">
        <v>10</v>
      </c>
      <c r="B670" s="107"/>
      <c r="C670" s="371" t="s">
        <v>242</v>
      </c>
      <c r="D670" s="370" t="s">
        <v>1312</v>
      </c>
      <c r="E670" s="108">
        <v>30</v>
      </c>
      <c r="F670" s="149">
        <v>350</v>
      </c>
      <c r="G670" s="35">
        <f t="shared" si="8"/>
        <v>10500</v>
      </c>
    </row>
    <row r="671" spans="1:7" x14ac:dyDescent="0.2">
      <c r="A671" s="29"/>
      <c r="B671" s="107"/>
      <c r="C671" s="371"/>
      <c r="D671" s="370" t="s">
        <v>881</v>
      </c>
      <c r="E671" s="108"/>
      <c r="F671" s="403"/>
      <c r="G671" s="372" t="s">
        <v>8</v>
      </c>
    </row>
    <row r="672" spans="1:7" x14ac:dyDescent="0.2">
      <c r="A672" s="29">
        <v>11</v>
      </c>
      <c r="B672" s="101"/>
      <c r="C672" s="371" t="s">
        <v>242</v>
      </c>
      <c r="D672" s="370" t="s">
        <v>1311</v>
      </c>
      <c r="E672" s="108">
        <v>30</v>
      </c>
      <c r="F672" s="128">
        <v>350</v>
      </c>
      <c r="G672" s="35">
        <f t="shared" si="8"/>
        <v>10500</v>
      </c>
    </row>
    <row r="673" spans="1:7" x14ac:dyDescent="0.2">
      <c r="A673" s="29">
        <v>12</v>
      </c>
      <c r="B673" s="101"/>
      <c r="C673" s="371" t="s">
        <v>242</v>
      </c>
      <c r="D673" s="370" t="s">
        <v>1262</v>
      </c>
      <c r="E673" s="108">
        <v>30</v>
      </c>
      <c r="F673" s="149">
        <v>250</v>
      </c>
      <c r="G673" s="35">
        <f t="shared" si="8"/>
        <v>7500</v>
      </c>
    </row>
    <row r="674" spans="1:7" x14ac:dyDescent="0.2">
      <c r="A674" s="29">
        <v>13</v>
      </c>
      <c r="B674" s="106"/>
      <c r="C674" s="371" t="s">
        <v>242</v>
      </c>
      <c r="D674" s="370" t="s">
        <v>325</v>
      </c>
      <c r="E674" s="108">
        <v>30</v>
      </c>
      <c r="F674" s="128">
        <v>350</v>
      </c>
      <c r="G674" s="35">
        <f t="shared" si="8"/>
        <v>10500</v>
      </c>
    </row>
    <row r="675" spans="1:7" x14ac:dyDescent="0.2">
      <c r="A675" s="29">
        <v>14</v>
      </c>
      <c r="B675" s="105"/>
      <c r="C675" s="371" t="s">
        <v>242</v>
      </c>
      <c r="D675" s="370" t="s">
        <v>2317</v>
      </c>
      <c r="E675" s="108">
        <v>30</v>
      </c>
      <c r="F675" s="128">
        <v>250</v>
      </c>
      <c r="G675" s="35">
        <f t="shared" si="8"/>
        <v>7500</v>
      </c>
    </row>
    <row r="676" spans="1:7" x14ac:dyDescent="0.2">
      <c r="A676" s="29">
        <v>15</v>
      </c>
      <c r="B676" s="105"/>
      <c r="C676" s="371" t="s">
        <v>242</v>
      </c>
      <c r="D676" s="370" t="s">
        <v>1312</v>
      </c>
      <c r="E676" s="108">
        <v>30</v>
      </c>
      <c r="F676" s="149">
        <v>350</v>
      </c>
      <c r="G676" s="35">
        <f t="shared" si="8"/>
        <v>10500</v>
      </c>
    </row>
    <row r="677" spans="1:7" x14ac:dyDescent="0.2">
      <c r="A677" s="29"/>
      <c r="B677" s="101"/>
      <c r="C677" s="371"/>
      <c r="D677" s="370" t="s">
        <v>1313</v>
      </c>
      <c r="E677" s="104"/>
      <c r="F677" s="149"/>
      <c r="G677" s="372" t="s">
        <v>8</v>
      </c>
    </row>
    <row r="678" spans="1:7" x14ac:dyDescent="0.2">
      <c r="A678" s="29">
        <v>16</v>
      </c>
      <c r="B678" s="101"/>
      <c r="C678" s="371" t="s">
        <v>242</v>
      </c>
      <c r="D678" s="370" t="s">
        <v>1311</v>
      </c>
      <c r="E678" s="108">
        <v>30</v>
      </c>
      <c r="F678" s="128">
        <v>350</v>
      </c>
      <c r="G678" s="35">
        <f t="shared" si="8"/>
        <v>10500</v>
      </c>
    </row>
    <row r="679" spans="1:7" x14ac:dyDescent="0.2">
      <c r="A679" s="29">
        <v>17</v>
      </c>
      <c r="B679" s="101"/>
      <c r="C679" s="371" t="s">
        <v>242</v>
      </c>
      <c r="D679" s="370" t="s">
        <v>2285</v>
      </c>
      <c r="E679" s="108">
        <v>30</v>
      </c>
      <c r="F679" s="149">
        <v>250</v>
      </c>
      <c r="G679" s="35">
        <f t="shared" si="8"/>
        <v>7500</v>
      </c>
    </row>
    <row r="680" spans="1:7" x14ac:dyDescent="0.2">
      <c r="A680" s="29">
        <v>18</v>
      </c>
      <c r="B680" s="101"/>
      <c r="C680" s="371" t="s">
        <v>242</v>
      </c>
      <c r="D680" s="370" t="s">
        <v>325</v>
      </c>
      <c r="E680" s="108">
        <v>30</v>
      </c>
      <c r="F680" s="128">
        <v>350</v>
      </c>
      <c r="G680" s="35">
        <f t="shared" si="8"/>
        <v>10500</v>
      </c>
    </row>
    <row r="681" spans="1:7" x14ac:dyDescent="0.2">
      <c r="A681" s="29">
        <v>19</v>
      </c>
      <c r="B681" s="101"/>
      <c r="C681" s="371" t="s">
        <v>242</v>
      </c>
      <c r="D681" s="370" t="s">
        <v>1298</v>
      </c>
      <c r="E681" s="108">
        <v>30</v>
      </c>
      <c r="F681" s="128">
        <v>250</v>
      </c>
      <c r="G681" s="35">
        <f t="shared" si="8"/>
        <v>7500</v>
      </c>
    </row>
    <row r="682" spans="1:7" x14ac:dyDescent="0.2">
      <c r="A682" s="29">
        <v>20</v>
      </c>
      <c r="B682" s="101"/>
      <c r="C682" s="371" t="s">
        <v>242</v>
      </c>
      <c r="D682" s="370" t="s">
        <v>1312</v>
      </c>
      <c r="E682" s="108">
        <v>30</v>
      </c>
      <c r="F682" s="149">
        <v>350</v>
      </c>
      <c r="G682" s="35">
        <f t="shared" si="8"/>
        <v>10500</v>
      </c>
    </row>
    <row r="683" spans="1:7" x14ac:dyDescent="0.2">
      <c r="A683" s="29"/>
      <c r="B683" s="101"/>
      <c r="C683" s="41"/>
      <c r="D683" s="383"/>
      <c r="E683" s="108"/>
      <c r="F683" s="128"/>
      <c r="G683" s="372"/>
    </row>
    <row r="684" spans="1:7" x14ac:dyDescent="0.2">
      <c r="A684" s="29"/>
      <c r="B684" s="101"/>
      <c r="C684" s="371"/>
      <c r="D684" s="370"/>
      <c r="E684" s="108"/>
      <c r="F684" s="128"/>
      <c r="G684" s="35"/>
    </row>
    <row r="685" spans="1:7" x14ac:dyDescent="0.2">
      <c r="A685" s="29"/>
      <c r="B685" s="101"/>
      <c r="C685" s="371"/>
      <c r="D685" s="370"/>
      <c r="E685" s="108"/>
      <c r="F685" s="149"/>
      <c r="G685" s="35"/>
    </row>
    <row r="686" spans="1:7" x14ac:dyDescent="0.2">
      <c r="A686" s="29"/>
      <c r="B686" s="101"/>
      <c r="C686" s="371"/>
      <c r="D686" s="359"/>
      <c r="E686" s="108"/>
      <c r="F686" s="128"/>
      <c r="G686" s="372"/>
    </row>
    <row r="687" spans="1:7" x14ac:dyDescent="0.2">
      <c r="A687" s="29"/>
      <c r="B687" s="101"/>
      <c r="C687" s="371"/>
      <c r="D687" s="370"/>
      <c r="E687" s="108"/>
      <c r="F687" s="128"/>
      <c r="G687" s="35"/>
    </row>
    <row r="688" spans="1:7" x14ac:dyDescent="0.2">
      <c r="A688" s="29"/>
      <c r="B688" s="101"/>
      <c r="C688" s="371"/>
      <c r="D688" s="370"/>
      <c r="E688" s="108"/>
      <c r="F688" s="149"/>
      <c r="G688" s="35"/>
    </row>
    <row r="689" spans="1:7" x14ac:dyDescent="0.2">
      <c r="A689" s="29"/>
      <c r="B689" s="101"/>
      <c r="C689" s="41"/>
      <c r="D689" s="383"/>
      <c r="E689" s="102"/>
      <c r="F689" s="128"/>
      <c r="G689" s="35"/>
    </row>
    <row r="690" spans="1:7" x14ac:dyDescent="0.2">
      <c r="A690" s="29"/>
      <c r="B690" s="101"/>
      <c r="C690" s="31"/>
      <c r="D690" s="419"/>
      <c r="E690" s="131"/>
      <c r="F690" s="117"/>
      <c r="G690" s="35"/>
    </row>
    <row r="691" spans="1:7" x14ac:dyDescent="0.2">
      <c r="A691" s="29"/>
      <c r="B691" s="101"/>
      <c r="C691" s="41"/>
      <c r="D691" s="425"/>
      <c r="E691" s="108"/>
      <c r="F691" s="149"/>
      <c r="G691" s="35"/>
    </row>
    <row r="692" spans="1:7" x14ac:dyDescent="0.2">
      <c r="A692" s="29"/>
      <c r="B692" s="101"/>
      <c r="C692" s="41"/>
      <c r="D692" s="383"/>
      <c r="E692" s="108"/>
      <c r="F692" s="149"/>
      <c r="G692" s="35"/>
    </row>
    <row r="693" spans="1:7" ht="13.5" thickBot="1" x14ac:dyDescent="0.25">
      <c r="A693" s="45"/>
      <c r="B693" s="132"/>
      <c r="C693" s="115"/>
      <c r="D693" s="115"/>
      <c r="E693" s="132"/>
      <c r="F693" s="49" t="s">
        <v>15</v>
      </c>
      <c r="G693" s="50">
        <f>SUM(G659:G692)</f>
        <v>186000</v>
      </c>
    </row>
    <row r="694" spans="1:7" ht="13.5" thickTop="1" x14ac:dyDescent="0.2">
      <c r="A694" s="875" t="s">
        <v>2321</v>
      </c>
      <c r="B694" s="899"/>
      <c r="C694" s="899"/>
      <c r="D694" s="899"/>
      <c r="E694" s="899"/>
      <c r="F694" s="899"/>
      <c r="G694" s="900"/>
    </row>
    <row r="695" spans="1:7" ht="13.5" thickBot="1" x14ac:dyDescent="0.25">
      <c r="A695" s="52"/>
      <c r="B695" s="103"/>
      <c r="C695" s="374" t="s">
        <v>2320</v>
      </c>
      <c r="D695" s="54"/>
      <c r="E695" s="103"/>
      <c r="F695" s="55"/>
      <c r="G695" s="56"/>
    </row>
    <row r="696" spans="1:7" ht="13.5" thickTop="1" x14ac:dyDescent="0.2">
      <c r="A696" s="906"/>
      <c r="B696" s="907"/>
      <c r="C696" s="907"/>
      <c r="D696" s="57" t="s">
        <v>11</v>
      </c>
      <c r="E696" s="908" t="s">
        <v>12</v>
      </c>
      <c r="F696" s="908"/>
      <c r="G696" s="909"/>
    </row>
    <row r="697" spans="1:7" x14ac:dyDescent="0.2">
      <c r="A697" s="866" t="s">
        <v>8</v>
      </c>
      <c r="B697" s="911"/>
      <c r="C697" s="911"/>
      <c r="D697" s="39"/>
      <c r="E697" s="912"/>
      <c r="F697" s="913"/>
      <c r="G697" s="914"/>
    </row>
    <row r="698" spans="1:7" x14ac:dyDescent="0.2">
      <c r="A698" s="910" t="s">
        <v>38</v>
      </c>
      <c r="B698" s="911"/>
      <c r="C698" s="911"/>
      <c r="D698" s="58" t="s">
        <v>908</v>
      </c>
      <c r="E698" s="868" t="s">
        <v>142</v>
      </c>
      <c r="F698" s="868"/>
      <c r="G698" s="869"/>
    </row>
    <row r="699" spans="1:7" ht="13.5" thickBot="1" x14ac:dyDescent="0.25">
      <c r="A699" s="901" t="s">
        <v>39</v>
      </c>
      <c r="B699" s="902"/>
      <c r="C699" s="902"/>
      <c r="D699" s="59" t="s">
        <v>909</v>
      </c>
      <c r="E699" s="904" t="s">
        <v>0</v>
      </c>
      <c r="F699" s="904"/>
      <c r="G699" s="905"/>
    </row>
    <row r="700" spans="1:7" ht="16.5" x14ac:dyDescent="0.25">
      <c r="A700" s="885" t="s">
        <v>29</v>
      </c>
      <c r="B700" s="886"/>
      <c r="C700" s="886"/>
      <c r="D700" s="886"/>
      <c r="E700" s="886"/>
      <c r="F700" s="886"/>
      <c r="G700" s="887"/>
    </row>
    <row r="701" spans="1:7" x14ac:dyDescent="0.2">
      <c r="A701" s="888" t="s">
        <v>48</v>
      </c>
      <c r="B701" s="889"/>
      <c r="C701" s="889"/>
      <c r="D701" s="889"/>
      <c r="E701" s="889"/>
      <c r="F701" s="889"/>
      <c r="G701" s="890"/>
    </row>
    <row r="702" spans="1:7" x14ac:dyDescent="0.2">
      <c r="A702" s="915" t="s">
        <v>49</v>
      </c>
      <c r="B702" s="916"/>
      <c r="C702" s="916"/>
      <c r="D702" s="916"/>
      <c r="E702" s="916"/>
      <c r="F702" s="916"/>
      <c r="G702" s="917"/>
    </row>
    <row r="703" spans="1:7" x14ac:dyDescent="0.2">
      <c r="A703" s="6"/>
      <c r="B703" s="99"/>
      <c r="C703" s="8"/>
      <c r="D703" s="9"/>
      <c r="E703" s="99"/>
      <c r="F703" s="10"/>
      <c r="G703" s="11" t="s">
        <v>20</v>
      </c>
    </row>
    <row r="704" spans="1:7" x14ac:dyDescent="0.2">
      <c r="A704" s="12" t="s">
        <v>1</v>
      </c>
      <c r="B704" s="13"/>
      <c r="C704" s="14" t="s">
        <v>911</v>
      </c>
      <c r="D704" s="13"/>
      <c r="E704" s="362" t="s">
        <v>2341</v>
      </c>
      <c r="F704" s="98"/>
      <c r="G704" s="363" t="s">
        <v>2328</v>
      </c>
    </row>
    <row r="705" spans="1:9" x14ac:dyDescent="0.2">
      <c r="A705" s="17" t="s">
        <v>8</v>
      </c>
      <c r="B705" s="100"/>
      <c r="C705" s="19"/>
      <c r="D705" s="4"/>
      <c r="E705" s="918"/>
      <c r="F705" s="919"/>
      <c r="G705" s="20"/>
    </row>
    <row r="706" spans="1:9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9" x14ac:dyDescent="0.2">
      <c r="A707" s="6"/>
      <c r="B707" s="99"/>
      <c r="C707" s="8"/>
      <c r="D707" s="8"/>
      <c r="E707" s="920"/>
      <c r="F707" s="921"/>
      <c r="G707" s="25"/>
    </row>
    <row r="708" spans="1:9" ht="26.25" thickBot="1" x14ac:dyDescent="0.25">
      <c r="A708" s="207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9" ht="13.5" thickTop="1" x14ac:dyDescent="0.2">
      <c r="A709" s="364"/>
      <c r="B709" s="101"/>
      <c r="C709" s="371"/>
      <c r="D709" s="376" t="s">
        <v>991</v>
      </c>
      <c r="E709" s="402" t="s">
        <v>8</v>
      </c>
      <c r="F709" s="403" t="s">
        <v>8</v>
      </c>
      <c r="G709" s="372" t="s">
        <v>8</v>
      </c>
    </row>
    <row r="710" spans="1:9" x14ac:dyDescent="0.2">
      <c r="A710" s="364"/>
      <c r="B710" s="101"/>
      <c r="C710" s="371"/>
      <c r="D710" s="370" t="s">
        <v>2333</v>
      </c>
      <c r="E710" s="402"/>
      <c r="F710" s="403"/>
      <c r="G710" s="372"/>
    </row>
    <row r="711" spans="1:9" x14ac:dyDescent="0.2">
      <c r="A711" s="364">
        <v>1</v>
      </c>
      <c r="B711" s="101"/>
      <c r="C711" s="371" t="s">
        <v>910</v>
      </c>
      <c r="D711" s="370" t="s">
        <v>2329</v>
      </c>
      <c r="E711" s="108">
        <v>12</v>
      </c>
      <c r="F711" s="128">
        <v>7500</v>
      </c>
      <c r="G711" s="35">
        <f>F711*E711</f>
        <v>90000</v>
      </c>
    </row>
    <row r="712" spans="1:9" x14ac:dyDescent="0.2">
      <c r="A712" s="364"/>
      <c r="B712" s="101"/>
      <c r="C712" s="371"/>
      <c r="D712" s="370" t="s">
        <v>2331</v>
      </c>
      <c r="E712" s="108"/>
      <c r="F712" s="128"/>
      <c r="G712" s="35"/>
    </row>
    <row r="713" spans="1:9" x14ac:dyDescent="0.2">
      <c r="A713" s="364"/>
      <c r="B713" s="101"/>
      <c r="C713" s="371"/>
      <c r="D713" s="370"/>
      <c r="E713" s="108"/>
      <c r="F713" s="128"/>
      <c r="G713" s="35"/>
    </row>
    <row r="714" spans="1:9" x14ac:dyDescent="0.2">
      <c r="A714" s="364"/>
      <c r="B714" s="101"/>
      <c r="C714" s="371"/>
      <c r="D714" s="370" t="s">
        <v>2334</v>
      </c>
      <c r="E714" s="108"/>
      <c r="F714" s="128"/>
      <c r="G714" s="35"/>
    </row>
    <row r="715" spans="1:9" x14ac:dyDescent="0.2">
      <c r="A715" s="29">
        <v>2</v>
      </c>
      <c r="B715" s="101"/>
      <c r="C715" s="371" t="s">
        <v>910</v>
      </c>
      <c r="D715" s="370" t="s">
        <v>2330</v>
      </c>
      <c r="E715" s="108">
        <v>1</v>
      </c>
      <c r="F715" s="149">
        <v>10000</v>
      </c>
      <c r="G715" s="35">
        <f t="shared" ref="G715" si="9">F715*E715</f>
        <v>10000</v>
      </c>
    </row>
    <row r="716" spans="1:9" x14ac:dyDescent="0.2">
      <c r="A716" s="29"/>
      <c r="B716" s="101"/>
      <c r="C716" s="371"/>
      <c r="D716" s="370"/>
      <c r="E716" s="108"/>
      <c r="F716" s="128"/>
      <c r="G716" s="35"/>
      <c r="I716" s="430" t="s">
        <v>8</v>
      </c>
    </row>
    <row r="717" spans="1:9" x14ac:dyDescent="0.2">
      <c r="A717" s="29"/>
      <c r="B717" s="105"/>
      <c r="C717" s="371"/>
      <c r="D717" s="370"/>
      <c r="E717" s="108"/>
      <c r="F717" s="128"/>
      <c r="G717" s="35"/>
    </row>
    <row r="718" spans="1:9" x14ac:dyDescent="0.2">
      <c r="A718" s="29"/>
      <c r="B718" s="105"/>
      <c r="C718" s="371"/>
      <c r="D718" s="370"/>
      <c r="E718" s="108"/>
      <c r="F718" s="149"/>
      <c r="G718" s="35"/>
    </row>
    <row r="719" spans="1:9" x14ac:dyDescent="0.2">
      <c r="A719" s="29"/>
      <c r="B719" s="151"/>
      <c r="C719" s="371"/>
      <c r="D719" s="370"/>
      <c r="E719" s="108"/>
      <c r="F719" s="149"/>
      <c r="G719" s="372"/>
    </row>
    <row r="720" spans="1:9" x14ac:dyDescent="0.2">
      <c r="A720" s="29"/>
      <c r="B720" s="151"/>
      <c r="C720" s="371"/>
      <c r="D720" s="370"/>
      <c r="E720" s="108"/>
      <c r="F720" s="128"/>
      <c r="G720" s="35"/>
    </row>
    <row r="721" spans="1:12" x14ac:dyDescent="0.2">
      <c r="A721" s="29"/>
      <c r="B721" s="101"/>
      <c r="C721" s="371"/>
      <c r="D721" s="370"/>
      <c r="E721" s="108"/>
      <c r="F721" s="149"/>
      <c r="G721" s="35"/>
    </row>
    <row r="722" spans="1:12" x14ac:dyDescent="0.2">
      <c r="A722" s="29"/>
      <c r="B722" s="106"/>
      <c r="C722" s="371"/>
      <c r="D722" s="370"/>
      <c r="E722" s="108"/>
      <c r="F722" s="128"/>
      <c r="G722" s="35"/>
    </row>
    <row r="723" spans="1:12" x14ac:dyDescent="0.2">
      <c r="A723" s="29"/>
      <c r="B723" s="105"/>
      <c r="C723" s="371"/>
      <c r="D723" s="370"/>
      <c r="E723" s="108"/>
      <c r="F723" s="128"/>
      <c r="G723" s="35"/>
    </row>
    <row r="724" spans="1:12" x14ac:dyDescent="0.2">
      <c r="A724" s="29"/>
      <c r="B724" s="107"/>
      <c r="C724" s="371"/>
      <c r="D724" s="370"/>
      <c r="E724" s="108"/>
      <c r="F724" s="403"/>
      <c r="G724" s="372"/>
    </row>
    <row r="725" spans="1:12" x14ac:dyDescent="0.2">
      <c r="A725" s="29"/>
      <c r="B725" s="101"/>
      <c r="C725" s="371"/>
      <c r="D725" s="370"/>
      <c r="E725" s="108"/>
      <c r="F725" s="128"/>
      <c r="G725" s="35"/>
    </row>
    <row r="726" spans="1:12" x14ac:dyDescent="0.2">
      <c r="A726" s="29"/>
      <c r="B726" s="101"/>
      <c r="C726" s="371"/>
      <c r="D726" s="370"/>
      <c r="E726" s="108"/>
      <c r="F726" s="149"/>
      <c r="G726" s="35"/>
    </row>
    <row r="727" spans="1:12" x14ac:dyDescent="0.2">
      <c r="A727" s="29"/>
      <c r="B727" s="106"/>
      <c r="C727" s="371"/>
      <c r="D727" s="370"/>
      <c r="E727" s="108"/>
      <c r="F727" s="128"/>
      <c r="G727" s="35"/>
    </row>
    <row r="728" spans="1:12" x14ac:dyDescent="0.2">
      <c r="A728" s="29"/>
      <c r="B728" s="105"/>
      <c r="C728" s="371"/>
      <c r="D728" s="370"/>
      <c r="E728" s="108"/>
      <c r="F728" s="128"/>
      <c r="G728" s="35"/>
    </row>
    <row r="729" spans="1:12" x14ac:dyDescent="0.2">
      <c r="A729" s="29"/>
      <c r="B729" s="105"/>
      <c r="C729" s="371"/>
      <c r="D729" s="370"/>
      <c r="E729" s="108"/>
      <c r="F729" s="149"/>
      <c r="G729" s="35"/>
    </row>
    <row r="730" spans="1:12" x14ac:dyDescent="0.2">
      <c r="A730" s="29"/>
      <c r="B730" s="101"/>
      <c r="C730" s="371"/>
      <c r="D730" s="370"/>
      <c r="E730" s="104"/>
      <c r="F730" s="149"/>
      <c r="G730" s="372"/>
    </row>
    <row r="731" spans="1:12" x14ac:dyDescent="0.2">
      <c r="A731" s="29"/>
      <c r="B731" s="101"/>
      <c r="C731" s="371"/>
      <c r="D731" s="370"/>
      <c r="E731" s="108"/>
      <c r="F731" s="128"/>
      <c r="G731" s="35"/>
    </row>
    <row r="732" spans="1:12" x14ac:dyDescent="0.2">
      <c r="A732" s="29"/>
      <c r="B732" s="101"/>
      <c r="C732" s="371"/>
      <c r="D732" s="370"/>
      <c r="E732" s="108"/>
      <c r="F732" s="149"/>
      <c r="G732" s="35"/>
    </row>
    <row r="733" spans="1:12" x14ac:dyDescent="0.2">
      <c r="A733" s="29"/>
      <c r="B733" s="101"/>
      <c r="C733" s="371"/>
      <c r="D733" s="370"/>
      <c r="E733" s="108"/>
      <c r="F733" s="128"/>
      <c r="G733" s="35"/>
      <c r="L733" s="430" t="s">
        <v>150</v>
      </c>
    </row>
    <row r="734" spans="1:12" x14ac:dyDescent="0.2">
      <c r="A734" s="29"/>
      <c r="B734" s="101"/>
      <c r="C734" s="371"/>
      <c r="D734" s="370"/>
      <c r="E734" s="108"/>
      <c r="F734" s="149"/>
      <c r="G734" s="35"/>
    </row>
    <row r="735" spans="1:12" x14ac:dyDescent="0.2">
      <c r="A735" s="29"/>
      <c r="B735" s="101"/>
      <c r="C735" s="41"/>
      <c r="D735" s="383"/>
      <c r="E735" s="108"/>
      <c r="F735" s="128"/>
      <c r="G735" s="372"/>
    </row>
    <row r="736" spans="1:12" x14ac:dyDescent="0.2">
      <c r="A736" s="29"/>
      <c r="B736" s="101"/>
      <c r="C736" s="371"/>
      <c r="D736" s="370"/>
      <c r="E736" s="108"/>
      <c r="F736" s="149"/>
      <c r="G736" s="35"/>
    </row>
    <row r="737" spans="1:16" x14ac:dyDescent="0.2">
      <c r="A737" s="29"/>
      <c r="B737" s="101"/>
      <c r="C737" s="371"/>
      <c r="D737" s="359"/>
      <c r="E737" s="108"/>
      <c r="F737" s="128"/>
      <c r="G737" s="372"/>
    </row>
    <row r="738" spans="1:16" x14ac:dyDescent="0.2">
      <c r="A738" s="29"/>
      <c r="B738" s="101"/>
      <c r="C738" s="371"/>
      <c r="D738" s="370"/>
      <c r="E738" s="108"/>
      <c r="F738" s="128"/>
      <c r="G738" s="35"/>
    </row>
    <row r="739" spans="1:16" x14ac:dyDescent="0.2">
      <c r="A739" s="29"/>
      <c r="B739" s="101"/>
      <c r="C739" s="371"/>
      <c r="D739" s="370"/>
      <c r="E739" s="108"/>
      <c r="F739" s="149"/>
      <c r="G739" s="35"/>
    </row>
    <row r="740" spans="1:16" x14ac:dyDescent="0.2">
      <c r="A740" s="29"/>
      <c r="B740" s="101"/>
      <c r="C740" s="31"/>
      <c r="D740" s="419"/>
      <c r="E740" s="131"/>
      <c r="F740" s="117"/>
      <c r="G740" s="35"/>
    </row>
    <row r="741" spans="1:16" x14ac:dyDescent="0.2">
      <c r="A741" s="29"/>
      <c r="B741" s="101"/>
      <c r="C741" s="41"/>
      <c r="D741" s="425"/>
      <c r="E741" s="108"/>
      <c r="F741" s="149"/>
      <c r="G741" s="35"/>
    </row>
    <row r="742" spans="1:16" x14ac:dyDescent="0.2">
      <c r="A742" s="29"/>
      <c r="B742" s="101"/>
      <c r="C742" s="41"/>
      <c r="D742" s="383"/>
      <c r="E742" s="108"/>
      <c r="F742" s="149"/>
      <c r="G742" s="35"/>
    </row>
    <row r="743" spans="1:16" ht="13.5" thickBot="1" x14ac:dyDescent="0.25">
      <c r="A743" s="45"/>
      <c r="B743" s="132"/>
      <c r="C743" s="115"/>
      <c r="D743" s="115"/>
      <c r="E743" s="132"/>
      <c r="F743" s="49" t="s">
        <v>15</v>
      </c>
      <c r="G743" s="50">
        <f>SUM(G709:G742)</f>
        <v>100000</v>
      </c>
    </row>
    <row r="744" spans="1:16" ht="13.5" thickTop="1" x14ac:dyDescent="0.2">
      <c r="A744" s="875" t="s">
        <v>2332</v>
      </c>
      <c r="B744" s="876"/>
      <c r="C744" s="876"/>
      <c r="D744" s="876"/>
      <c r="E744" s="876"/>
      <c r="F744" s="876"/>
      <c r="G744" s="877"/>
    </row>
    <row r="745" spans="1:16" ht="13.5" thickBot="1" x14ac:dyDescent="0.25">
      <c r="A745" s="442"/>
      <c r="B745" s="588"/>
      <c r="C745" s="961" t="s">
        <v>8</v>
      </c>
      <c r="D745" s="961"/>
      <c r="E745" s="961"/>
      <c r="F745" s="961"/>
      <c r="G745" s="962"/>
      <c r="P745" s="430" t="s">
        <v>8</v>
      </c>
    </row>
    <row r="746" spans="1:16" ht="13.5" thickTop="1" x14ac:dyDescent="0.2">
      <c r="A746" s="906"/>
      <c r="B746" s="907"/>
      <c r="C746" s="907"/>
      <c r="D746" s="57" t="s">
        <v>11</v>
      </c>
      <c r="E746" s="908" t="s">
        <v>12</v>
      </c>
      <c r="F746" s="908"/>
      <c r="G746" s="909"/>
    </row>
    <row r="747" spans="1:16" x14ac:dyDescent="0.2">
      <c r="A747" s="866" t="s">
        <v>8</v>
      </c>
      <c r="B747" s="911"/>
      <c r="C747" s="911"/>
      <c r="D747" s="39"/>
      <c r="E747" s="912"/>
      <c r="F747" s="913"/>
      <c r="G747" s="914"/>
    </row>
    <row r="748" spans="1:16" x14ac:dyDescent="0.2">
      <c r="A748" s="910" t="s">
        <v>38</v>
      </c>
      <c r="B748" s="911"/>
      <c r="C748" s="911"/>
      <c r="D748" s="58" t="s">
        <v>908</v>
      </c>
      <c r="E748" s="868" t="s">
        <v>142</v>
      </c>
      <c r="F748" s="868"/>
      <c r="G748" s="869"/>
    </row>
    <row r="749" spans="1:16" ht="13.5" thickBot="1" x14ac:dyDescent="0.25">
      <c r="A749" s="901" t="s">
        <v>39</v>
      </c>
      <c r="B749" s="902"/>
      <c r="C749" s="902"/>
      <c r="D749" s="59" t="s">
        <v>909</v>
      </c>
      <c r="E749" s="904" t="s">
        <v>0</v>
      </c>
      <c r="F749" s="904"/>
      <c r="G749" s="905"/>
    </row>
    <row r="750" spans="1:16" ht="16.5" x14ac:dyDescent="0.25">
      <c r="A750" s="885" t="s">
        <v>29</v>
      </c>
      <c r="B750" s="886"/>
      <c r="C750" s="886"/>
      <c r="D750" s="886"/>
      <c r="E750" s="886"/>
      <c r="F750" s="886"/>
      <c r="G750" s="887"/>
    </row>
    <row r="751" spans="1:16" x14ac:dyDescent="0.2">
      <c r="A751" s="888" t="s">
        <v>48</v>
      </c>
      <c r="B751" s="889"/>
      <c r="C751" s="889"/>
      <c r="D751" s="889"/>
      <c r="E751" s="889"/>
      <c r="F751" s="889"/>
      <c r="G751" s="890"/>
    </row>
    <row r="752" spans="1:16" x14ac:dyDescent="0.2">
      <c r="A752" s="915" t="s">
        <v>49</v>
      </c>
      <c r="B752" s="916"/>
      <c r="C752" s="916"/>
      <c r="D752" s="916"/>
      <c r="E752" s="916"/>
      <c r="F752" s="916"/>
      <c r="G752" s="917"/>
    </row>
    <row r="753" spans="1:7" x14ac:dyDescent="0.2">
      <c r="A753" s="6"/>
      <c r="B753" s="99"/>
      <c r="C753" s="8"/>
      <c r="D753" s="9"/>
      <c r="E753" s="99"/>
      <c r="F753" s="10"/>
      <c r="G753" s="11" t="s">
        <v>20</v>
      </c>
    </row>
    <row r="754" spans="1:7" x14ac:dyDescent="0.2">
      <c r="A754" s="12" t="s">
        <v>1</v>
      </c>
      <c r="B754" s="13"/>
      <c r="C754" s="14" t="s">
        <v>911</v>
      </c>
      <c r="D754" s="13"/>
      <c r="E754" s="362" t="s">
        <v>2463</v>
      </c>
      <c r="F754" s="98"/>
      <c r="G754" s="363" t="s">
        <v>2440</v>
      </c>
    </row>
    <row r="755" spans="1:7" x14ac:dyDescent="0.2">
      <c r="A755" s="17" t="s">
        <v>8</v>
      </c>
      <c r="B755" s="100"/>
      <c r="C755" s="19"/>
      <c r="D755" s="4"/>
      <c r="E755" s="918"/>
      <c r="F755" s="919"/>
      <c r="G755" s="20"/>
    </row>
    <row r="756" spans="1:7" x14ac:dyDescent="0.2">
      <c r="A756" s="21" t="s">
        <v>37</v>
      </c>
      <c r="B756" s="22"/>
      <c r="C756" s="22"/>
      <c r="D756" s="22"/>
      <c r="E756" s="23" t="s">
        <v>46</v>
      </c>
      <c r="F756" s="24"/>
      <c r="G756" s="20" t="s">
        <v>50</v>
      </c>
    </row>
    <row r="757" spans="1:7" x14ac:dyDescent="0.2">
      <c r="A757" s="6"/>
      <c r="B757" s="99"/>
      <c r="C757" s="8"/>
      <c r="D757" s="8"/>
      <c r="E757" s="920"/>
      <c r="F757" s="921"/>
      <c r="G757" s="25"/>
    </row>
    <row r="758" spans="1:7" ht="26.25" thickBot="1" x14ac:dyDescent="0.25">
      <c r="A758" s="207" t="s">
        <v>47</v>
      </c>
      <c r="B758" s="28" t="s">
        <v>23</v>
      </c>
      <c r="C758" s="28" t="s">
        <v>34</v>
      </c>
      <c r="D758" s="110" t="s">
        <v>53</v>
      </c>
      <c r="E758" s="114" t="s">
        <v>54</v>
      </c>
      <c r="F758" s="111" t="s">
        <v>55</v>
      </c>
      <c r="G758" s="112" t="s">
        <v>35</v>
      </c>
    </row>
    <row r="759" spans="1:7" ht="13.5" thickTop="1" x14ac:dyDescent="0.2">
      <c r="A759" s="364"/>
      <c r="B759" s="101"/>
      <c r="C759" s="371"/>
      <c r="D759" s="376" t="s">
        <v>2450</v>
      </c>
      <c r="E759" s="402"/>
      <c r="F759" s="403"/>
      <c r="G759" s="372"/>
    </row>
    <row r="760" spans="1:7" x14ac:dyDescent="0.2">
      <c r="A760" s="364">
        <v>1</v>
      </c>
      <c r="B760" s="101"/>
      <c r="C760" s="371" t="s">
        <v>242</v>
      </c>
      <c r="D760" s="370" t="s">
        <v>1294</v>
      </c>
      <c r="E760" s="402">
        <v>50</v>
      </c>
      <c r="F760" s="403">
        <v>250</v>
      </c>
      <c r="G760" s="372">
        <f>F760*E760</f>
        <v>12500</v>
      </c>
    </row>
    <row r="761" spans="1:7" x14ac:dyDescent="0.2">
      <c r="A761" s="364">
        <v>2</v>
      </c>
      <c r="B761" s="101"/>
      <c r="C761" s="371" t="s">
        <v>242</v>
      </c>
      <c r="D761" s="370" t="s">
        <v>325</v>
      </c>
      <c r="E761" s="108">
        <v>50</v>
      </c>
      <c r="F761" s="128">
        <v>350</v>
      </c>
      <c r="G761" s="372">
        <f t="shared" ref="G761:G764" si="10">F761*E761</f>
        <v>17500</v>
      </c>
    </row>
    <row r="762" spans="1:7" x14ac:dyDescent="0.2">
      <c r="A762" s="364"/>
      <c r="B762" s="101"/>
      <c r="C762" s="371"/>
      <c r="D762" s="370" t="s">
        <v>2451</v>
      </c>
      <c r="E762" s="108"/>
      <c r="F762" s="128"/>
      <c r="G762" s="372" t="s">
        <v>8</v>
      </c>
    </row>
    <row r="763" spans="1:7" x14ac:dyDescent="0.2">
      <c r="A763" s="364">
        <v>3</v>
      </c>
      <c r="B763" s="101"/>
      <c r="C763" s="371" t="s">
        <v>242</v>
      </c>
      <c r="D763" s="370" t="s">
        <v>1262</v>
      </c>
      <c r="E763" s="108">
        <v>50</v>
      </c>
      <c r="F763" s="128">
        <v>250</v>
      </c>
      <c r="G763" s="372">
        <f t="shared" si="10"/>
        <v>12500</v>
      </c>
    </row>
    <row r="764" spans="1:7" x14ac:dyDescent="0.2">
      <c r="A764" s="364">
        <v>4</v>
      </c>
      <c r="B764" s="101"/>
      <c r="C764" s="371" t="s">
        <v>242</v>
      </c>
      <c r="D764" s="370" t="s">
        <v>325</v>
      </c>
      <c r="E764" s="108">
        <v>50</v>
      </c>
      <c r="F764" s="128">
        <v>350</v>
      </c>
      <c r="G764" s="372">
        <f t="shared" si="10"/>
        <v>17500</v>
      </c>
    </row>
    <row r="765" spans="1:7" x14ac:dyDescent="0.2">
      <c r="A765" s="29"/>
      <c r="B765" s="101"/>
      <c r="C765" s="371"/>
      <c r="D765" s="370"/>
      <c r="E765" s="108"/>
      <c r="F765" s="149"/>
      <c r="G765" s="35"/>
    </row>
    <row r="766" spans="1:7" x14ac:dyDescent="0.2">
      <c r="A766" s="29"/>
      <c r="B766" s="101"/>
      <c r="C766" s="371"/>
      <c r="D766" s="370"/>
      <c r="E766" s="108"/>
      <c r="F766" s="128"/>
      <c r="G766" s="35"/>
    </row>
    <row r="767" spans="1:7" x14ac:dyDescent="0.2">
      <c r="A767" s="29"/>
      <c r="B767" s="105"/>
      <c r="C767" s="371"/>
      <c r="D767" s="370"/>
      <c r="E767" s="108"/>
      <c r="F767" s="128"/>
      <c r="G767" s="35"/>
    </row>
    <row r="768" spans="1:7" x14ac:dyDescent="0.2">
      <c r="A768" s="29"/>
      <c r="B768" s="105"/>
      <c r="C768" s="371"/>
      <c r="D768" s="370"/>
      <c r="E768" s="108"/>
      <c r="F768" s="149"/>
      <c r="G768" s="35"/>
    </row>
    <row r="769" spans="1:7" x14ac:dyDescent="0.2">
      <c r="A769" s="29"/>
      <c r="B769" s="151"/>
      <c r="C769" s="371"/>
      <c r="D769" s="370"/>
      <c r="E769" s="108"/>
      <c r="F769" s="149"/>
      <c r="G769" s="372"/>
    </row>
    <row r="770" spans="1:7" x14ac:dyDescent="0.2">
      <c r="A770" s="29"/>
      <c r="B770" s="151"/>
      <c r="C770" s="371"/>
      <c r="D770" s="370"/>
      <c r="E770" s="108"/>
      <c r="F770" s="128"/>
      <c r="G770" s="35"/>
    </row>
    <row r="771" spans="1:7" x14ac:dyDescent="0.2">
      <c r="A771" s="29"/>
      <c r="B771" s="101"/>
      <c r="C771" s="371"/>
      <c r="D771" s="370"/>
      <c r="E771" s="108"/>
      <c r="F771" s="149"/>
      <c r="G771" s="35"/>
    </row>
    <row r="772" spans="1:7" x14ac:dyDescent="0.2">
      <c r="A772" s="29"/>
      <c r="B772" s="106"/>
      <c r="C772" s="371"/>
      <c r="D772" s="370"/>
      <c r="E772" s="108"/>
      <c r="F772" s="128"/>
      <c r="G772" s="35"/>
    </row>
    <row r="773" spans="1:7" x14ac:dyDescent="0.2">
      <c r="A773" s="29"/>
      <c r="B773" s="105"/>
      <c r="C773" s="371"/>
      <c r="D773" s="370"/>
      <c r="E773" s="108"/>
      <c r="F773" s="128"/>
      <c r="G773" s="35"/>
    </row>
    <row r="774" spans="1:7" x14ac:dyDescent="0.2">
      <c r="A774" s="29"/>
      <c r="B774" s="107"/>
      <c r="C774" s="371"/>
      <c r="D774" s="370"/>
      <c r="E774" s="108"/>
      <c r="F774" s="403"/>
      <c r="G774" s="372"/>
    </row>
    <row r="775" spans="1:7" x14ac:dyDescent="0.2">
      <c r="A775" s="29"/>
      <c r="B775" s="101"/>
      <c r="C775" s="371"/>
      <c r="D775" s="370"/>
      <c r="E775" s="108"/>
      <c r="F775" s="128"/>
      <c r="G775" s="35"/>
    </row>
    <row r="776" spans="1:7" x14ac:dyDescent="0.2">
      <c r="A776" s="29"/>
      <c r="B776" s="101"/>
      <c r="C776" s="371"/>
      <c r="D776" s="370"/>
      <c r="E776" s="108"/>
      <c r="F776" s="149"/>
      <c r="G776" s="35"/>
    </row>
    <row r="777" spans="1:7" x14ac:dyDescent="0.2">
      <c r="A777" s="29"/>
      <c r="B777" s="106"/>
      <c r="C777" s="371"/>
      <c r="D777" s="370"/>
      <c r="E777" s="108"/>
      <c r="F777" s="128"/>
      <c r="G777" s="35"/>
    </row>
    <row r="778" spans="1:7" x14ac:dyDescent="0.2">
      <c r="A778" s="29"/>
      <c r="B778" s="105"/>
      <c r="C778" s="371"/>
      <c r="D778" s="370"/>
      <c r="E778" s="108"/>
      <c r="F778" s="128"/>
      <c r="G778" s="35"/>
    </row>
    <row r="779" spans="1:7" x14ac:dyDescent="0.2">
      <c r="A779" s="29"/>
      <c r="B779" s="105"/>
      <c r="C779" s="371"/>
      <c r="D779" s="370"/>
      <c r="E779" s="108"/>
      <c r="F779" s="149"/>
      <c r="G779" s="35"/>
    </row>
    <row r="780" spans="1:7" x14ac:dyDescent="0.2">
      <c r="A780" s="29"/>
      <c r="B780" s="101"/>
      <c r="C780" s="371"/>
      <c r="D780" s="370"/>
      <c r="E780" s="104"/>
      <c r="F780" s="149"/>
      <c r="G780" s="372"/>
    </row>
    <row r="781" spans="1:7" x14ac:dyDescent="0.2">
      <c r="A781" s="29"/>
      <c r="B781" s="101"/>
      <c r="C781" s="371"/>
      <c r="D781" s="370"/>
      <c r="E781" s="108"/>
      <c r="F781" s="128"/>
      <c r="G781" s="35"/>
    </row>
    <row r="782" spans="1:7" x14ac:dyDescent="0.2">
      <c r="A782" s="29"/>
      <c r="B782" s="101"/>
      <c r="C782" s="371"/>
      <c r="D782" s="370"/>
      <c r="E782" s="108"/>
      <c r="F782" s="149"/>
      <c r="G782" s="35"/>
    </row>
    <row r="783" spans="1:7" x14ac:dyDescent="0.2">
      <c r="A783" s="29"/>
      <c r="B783" s="101"/>
      <c r="C783" s="371"/>
      <c r="D783" s="370"/>
      <c r="E783" s="108"/>
      <c r="F783" s="128"/>
      <c r="G783" s="35"/>
    </row>
    <row r="784" spans="1:7" x14ac:dyDescent="0.2">
      <c r="A784" s="29"/>
      <c r="B784" s="101"/>
      <c r="C784" s="371"/>
      <c r="D784" s="370"/>
      <c r="E784" s="108"/>
      <c r="F784" s="149"/>
      <c r="G784" s="35"/>
    </row>
    <row r="785" spans="1:7" x14ac:dyDescent="0.2">
      <c r="A785" s="29"/>
      <c r="B785" s="101"/>
      <c r="C785" s="41"/>
      <c r="D785" s="383"/>
      <c r="E785" s="108"/>
      <c r="F785" s="128"/>
      <c r="G785" s="372"/>
    </row>
    <row r="786" spans="1:7" x14ac:dyDescent="0.2">
      <c r="A786" s="29"/>
      <c r="B786" s="101"/>
      <c r="C786" s="371"/>
      <c r="D786" s="370"/>
      <c r="E786" s="108"/>
      <c r="F786" s="149"/>
      <c r="G786" s="35"/>
    </row>
    <row r="787" spans="1:7" x14ac:dyDescent="0.2">
      <c r="A787" s="29"/>
      <c r="B787" s="101"/>
      <c r="C787" s="371"/>
      <c r="D787" s="359"/>
      <c r="E787" s="108"/>
      <c r="F787" s="128"/>
      <c r="G787" s="372"/>
    </row>
    <row r="788" spans="1:7" x14ac:dyDescent="0.2">
      <c r="A788" s="29"/>
      <c r="B788" s="101"/>
      <c r="C788" s="371"/>
      <c r="D788" s="370"/>
      <c r="E788" s="108"/>
      <c r="F788" s="128"/>
      <c r="G788" s="35"/>
    </row>
    <row r="789" spans="1:7" x14ac:dyDescent="0.2">
      <c r="A789" s="29"/>
      <c r="B789" s="101"/>
      <c r="C789" s="371"/>
      <c r="D789" s="370"/>
      <c r="E789" s="108"/>
      <c r="F789" s="149"/>
      <c r="G789" s="35"/>
    </row>
    <row r="790" spans="1:7" x14ac:dyDescent="0.2">
      <c r="A790" s="29"/>
      <c r="B790" s="101"/>
      <c r="C790" s="31"/>
      <c r="D790" s="419"/>
      <c r="E790" s="131"/>
      <c r="F790" s="117"/>
      <c r="G790" s="35"/>
    </row>
    <row r="791" spans="1:7" x14ac:dyDescent="0.2">
      <c r="A791" s="29"/>
      <c r="B791" s="101"/>
      <c r="C791" s="41"/>
      <c r="D791" s="425"/>
      <c r="E791" s="108"/>
      <c r="F791" s="149"/>
      <c r="G791" s="35"/>
    </row>
    <row r="792" spans="1:7" x14ac:dyDescent="0.2">
      <c r="A792" s="29"/>
      <c r="B792" s="101"/>
      <c r="C792" s="41"/>
      <c r="D792" s="383"/>
      <c r="E792" s="108"/>
      <c r="F792" s="149"/>
      <c r="G792" s="35"/>
    </row>
    <row r="793" spans="1:7" ht="13.5" thickBot="1" x14ac:dyDescent="0.25">
      <c r="A793" s="45"/>
      <c r="B793" s="132"/>
      <c r="C793" s="115"/>
      <c r="D793" s="115"/>
      <c r="E793" s="132"/>
      <c r="F793" s="49" t="s">
        <v>15</v>
      </c>
      <c r="G793" s="50">
        <f>SUM(G759:G792)</f>
        <v>60000</v>
      </c>
    </row>
    <row r="794" spans="1:7" ht="13.5" thickTop="1" x14ac:dyDescent="0.2">
      <c r="A794" s="875" t="s">
        <v>2461</v>
      </c>
      <c r="B794" s="899"/>
      <c r="C794" s="899"/>
      <c r="D794" s="899"/>
      <c r="E794" s="899"/>
      <c r="F794" s="899"/>
      <c r="G794" s="900"/>
    </row>
    <row r="795" spans="1:7" ht="13.5" thickBot="1" x14ac:dyDescent="0.25">
      <c r="A795" s="52"/>
      <c r="B795" s="103"/>
      <c r="C795" s="374" t="s">
        <v>2462</v>
      </c>
      <c r="D795" s="54"/>
      <c r="E795" s="103"/>
      <c r="F795" s="55"/>
      <c r="G795" s="56"/>
    </row>
    <row r="796" spans="1:7" ht="13.5" thickTop="1" x14ac:dyDescent="0.2">
      <c r="A796" s="906"/>
      <c r="B796" s="907"/>
      <c r="C796" s="907"/>
      <c r="D796" s="57" t="s">
        <v>11</v>
      </c>
      <c r="E796" s="908" t="s">
        <v>12</v>
      </c>
      <c r="F796" s="908"/>
      <c r="G796" s="909"/>
    </row>
    <row r="797" spans="1:7" x14ac:dyDescent="0.2">
      <c r="A797" s="866" t="s">
        <v>8</v>
      </c>
      <c r="B797" s="911"/>
      <c r="C797" s="911"/>
      <c r="D797" s="39"/>
      <c r="E797" s="912"/>
      <c r="F797" s="913"/>
      <c r="G797" s="914"/>
    </row>
    <row r="798" spans="1:7" x14ac:dyDescent="0.2">
      <c r="A798" s="910" t="s">
        <v>38</v>
      </c>
      <c r="B798" s="911"/>
      <c r="C798" s="911"/>
      <c r="D798" s="58" t="s">
        <v>908</v>
      </c>
      <c r="E798" s="868" t="s">
        <v>142</v>
      </c>
      <c r="F798" s="868"/>
      <c r="G798" s="869"/>
    </row>
    <row r="799" spans="1:7" ht="13.5" thickBot="1" x14ac:dyDescent="0.25">
      <c r="A799" s="901" t="s">
        <v>39</v>
      </c>
      <c r="B799" s="902"/>
      <c r="C799" s="902"/>
      <c r="D799" s="59" t="s">
        <v>909</v>
      </c>
      <c r="E799" s="904" t="s">
        <v>0</v>
      </c>
      <c r="F799" s="904"/>
      <c r="G799" s="905"/>
    </row>
    <row r="800" spans="1:7" ht="16.5" x14ac:dyDescent="0.25">
      <c r="A800" s="885" t="s">
        <v>29</v>
      </c>
      <c r="B800" s="886"/>
      <c r="C800" s="886"/>
      <c r="D800" s="886"/>
      <c r="E800" s="886"/>
      <c r="F800" s="886"/>
      <c r="G800" s="887"/>
    </row>
    <row r="801" spans="1:7" x14ac:dyDescent="0.2">
      <c r="A801" s="888" t="s">
        <v>48</v>
      </c>
      <c r="B801" s="889"/>
      <c r="C801" s="889"/>
      <c r="D801" s="889"/>
      <c r="E801" s="889"/>
      <c r="F801" s="889"/>
      <c r="G801" s="890"/>
    </row>
    <row r="802" spans="1:7" x14ac:dyDescent="0.2">
      <c r="A802" s="915" t="s">
        <v>49</v>
      </c>
      <c r="B802" s="916"/>
      <c r="C802" s="916"/>
      <c r="D802" s="916"/>
      <c r="E802" s="916"/>
      <c r="F802" s="916"/>
      <c r="G802" s="917"/>
    </row>
    <row r="803" spans="1:7" x14ac:dyDescent="0.2">
      <c r="A803" s="6"/>
      <c r="B803" s="99"/>
      <c r="C803" s="8"/>
      <c r="D803" s="9"/>
      <c r="E803" s="99"/>
      <c r="F803" s="10"/>
      <c r="G803" s="11" t="s">
        <v>20</v>
      </c>
    </row>
    <row r="804" spans="1:7" x14ac:dyDescent="0.2">
      <c r="A804" s="12" t="s">
        <v>1</v>
      </c>
      <c r="B804" s="13"/>
      <c r="C804" s="14" t="s">
        <v>911</v>
      </c>
      <c r="D804" s="13"/>
      <c r="E804" s="362" t="s">
        <v>2459</v>
      </c>
      <c r="F804" s="98"/>
      <c r="G804" s="363" t="s">
        <v>2440</v>
      </c>
    </row>
    <row r="805" spans="1:7" x14ac:dyDescent="0.2">
      <c r="A805" s="17" t="s">
        <v>8</v>
      </c>
      <c r="B805" s="100"/>
      <c r="C805" s="19"/>
      <c r="D805" s="4"/>
      <c r="E805" s="918"/>
      <c r="F805" s="919"/>
      <c r="G805" s="20"/>
    </row>
    <row r="806" spans="1:7" x14ac:dyDescent="0.2">
      <c r="A806" s="21" t="s">
        <v>37</v>
      </c>
      <c r="B806" s="22"/>
      <c r="C806" s="22"/>
      <c r="D806" s="22"/>
      <c r="E806" s="23" t="s">
        <v>46</v>
      </c>
      <c r="F806" s="24"/>
      <c r="G806" s="20" t="s">
        <v>50</v>
      </c>
    </row>
    <row r="807" spans="1:7" x14ac:dyDescent="0.2">
      <c r="A807" s="6"/>
      <c r="B807" s="99"/>
      <c r="C807" s="8"/>
      <c r="D807" s="8"/>
      <c r="E807" s="920"/>
      <c r="F807" s="921"/>
      <c r="G807" s="25"/>
    </row>
    <row r="808" spans="1:7" ht="26.25" thickBot="1" x14ac:dyDescent="0.25">
      <c r="A808" s="207" t="s">
        <v>47</v>
      </c>
      <c r="B808" s="28" t="s">
        <v>23</v>
      </c>
      <c r="C808" s="28" t="s">
        <v>34</v>
      </c>
      <c r="D808" s="110" t="s">
        <v>53</v>
      </c>
      <c r="E808" s="114" t="s">
        <v>54</v>
      </c>
      <c r="F808" s="111" t="s">
        <v>55</v>
      </c>
      <c r="G808" s="112" t="s">
        <v>35</v>
      </c>
    </row>
    <row r="809" spans="1:7" ht="13.5" thickTop="1" x14ac:dyDescent="0.2">
      <c r="A809" s="364">
        <v>1</v>
      </c>
      <c r="B809" s="101"/>
      <c r="C809" s="371" t="s">
        <v>242</v>
      </c>
      <c r="D809" s="370" t="s">
        <v>1262</v>
      </c>
      <c r="E809" s="402">
        <v>60</v>
      </c>
      <c r="F809" s="403">
        <v>250</v>
      </c>
      <c r="G809" s="372">
        <f>F809*E809</f>
        <v>15000</v>
      </c>
    </row>
    <row r="810" spans="1:7" x14ac:dyDescent="0.2">
      <c r="A810" s="364">
        <v>2</v>
      </c>
      <c r="B810" s="101"/>
      <c r="C810" s="371" t="s">
        <v>242</v>
      </c>
      <c r="D810" s="370" t="s">
        <v>325</v>
      </c>
      <c r="E810" s="108">
        <v>60</v>
      </c>
      <c r="F810" s="128">
        <v>350</v>
      </c>
      <c r="G810" s="372">
        <f t="shared" ref="G810:G811" si="11">F810*E810</f>
        <v>21000</v>
      </c>
    </row>
    <row r="811" spans="1:7" x14ac:dyDescent="0.2">
      <c r="A811" s="364">
        <v>3</v>
      </c>
      <c r="B811" s="101"/>
      <c r="C811" s="371" t="s">
        <v>242</v>
      </c>
      <c r="D811" s="370" t="s">
        <v>1001</v>
      </c>
      <c r="E811" s="108">
        <v>60</v>
      </c>
      <c r="F811" s="128">
        <v>250</v>
      </c>
      <c r="G811" s="372">
        <f t="shared" si="11"/>
        <v>15000</v>
      </c>
    </row>
    <row r="812" spans="1:7" x14ac:dyDescent="0.2">
      <c r="A812" s="364"/>
      <c r="B812" s="101"/>
      <c r="C812" s="371"/>
      <c r="D812" s="370"/>
      <c r="E812" s="108"/>
      <c r="F812" s="128"/>
      <c r="G812" s="372"/>
    </row>
    <row r="813" spans="1:7" x14ac:dyDescent="0.2">
      <c r="A813" s="364"/>
      <c r="B813" s="101"/>
      <c r="C813" s="371"/>
      <c r="D813" s="370"/>
      <c r="E813" s="108"/>
      <c r="F813" s="128"/>
      <c r="G813" s="372"/>
    </row>
    <row r="814" spans="1:7" x14ac:dyDescent="0.2">
      <c r="A814" s="364"/>
      <c r="B814" s="101"/>
      <c r="C814" s="371"/>
      <c r="D814" s="370"/>
      <c r="E814" s="108"/>
      <c r="F814" s="128"/>
      <c r="G814" s="372"/>
    </row>
    <row r="815" spans="1:7" x14ac:dyDescent="0.2">
      <c r="A815" s="29"/>
      <c r="B815" s="101"/>
      <c r="C815" s="371"/>
      <c r="D815" s="370"/>
      <c r="E815" s="108"/>
      <c r="F815" s="149"/>
      <c r="G815" s="35"/>
    </row>
    <row r="816" spans="1:7" x14ac:dyDescent="0.2">
      <c r="A816" s="29"/>
      <c r="B816" s="101"/>
      <c r="C816" s="371"/>
      <c r="D816" s="370"/>
      <c r="E816" s="108"/>
      <c r="F816" s="128"/>
      <c r="G816" s="35"/>
    </row>
    <row r="817" spans="1:7" x14ac:dyDescent="0.2">
      <c r="A817" s="29"/>
      <c r="B817" s="105"/>
      <c r="C817" s="371"/>
      <c r="D817" s="370"/>
      <c r="E817" s="108"/>
      <c r="F817" s="128"/>
      <c r="G817" s="35"/>
    </row>
    <row r="818" spans="1:7" x14ac:dyDescent="0.2">
      <c r="A818" s="29"/>
      <c r="B818" s="105"/>
      <c r="C818" s="371"/>
      <c r="D818" s="370"/>
      <c r="E818" s="108"/>
      <c r="F818" s="149"/>
      <c r="G818" s="35"/>
    </row>
    <row r="819" spans="1:7" x14ac:dyDescent="0.2">
      <c r="A819" s="29"/>
      <c r="B819" s="151"/>
      <c r="C819" s="371"/>
      <c r="D819" s="370"/>
      <c r="E819" s="108"/>
      <c r="F819" s="149"/>
      <c r="G819" s="372"/>
    </row>
    <row r="820" spans="1:7" x14ac:dyDescent="0.2">
      <c r="A820" s="29"/>
      <c r="B820" s="151"/>
      <c r="C820" s="371"/>
      <c r="D820" s="370"/>
      <c r="E820" s="108"/>
      <c r="F820" s="128"/>
      <c r="G820" s="35"/>
    </row>
    <row r="821" spans="1:7" x14ac:dyDescent="0.2">
      <c r="A821" s="29"/>
      <c r="B821" s="101"/>
      <c r="C821" s="371"/>
      <c r="D821" s="370"/>
      <c r="E821" s="108"/>
      <c r="F821" s="149"/>
      <c r="G821" s="35"/>
    </row>
    <row r="822" spans="1:7" x14ac:dyDescent="0.2">
      <c r="A822" s="29"/>
      <c r="B822" s="106"/>
      <c r="C822" s="371"/>
      <c r="D822" s="370"/>
      <c r="E822" s="108"/>
      <c r="F822" s="128"/>
      <c r="G822" s="35"/>
    </row>
    <row r="823" spans="1:7" x14ac:dyDescent="0.2">
      <c r="A823" s="29"/>
      <c r="B823" s="105"/>
      <c r="C823" s="371"/>
      <c r="D823" s="370"/>
      <c r="E823" s="108"/>
      <c r="F823" s="128"/>
      <c r="G823" s="35"/>
    </row>
    <row r="824" spans="1:7" x14ac:dyDescent="0.2">
      <c r="A824" s="29"/>
      <c r="B824" s="107"/>
      <c r="C824" s="371"/>
      <c r="D824" s="370"/>
      <c r="E824" s="108"/>
      <c r="F824" s="403"/>
      <c r="G824" s="372"/>
    </row>
    <row r="825" spans="1:7" x14ac:dyDescent="0.2">
      <c r="A825" s="29"/>
      <c r="B825" s="101"/>
      <c r="C825" s="371"/>
      <c r="D825" s="370"/>
      <c r="E825" s="108"/>
      <c r="F825" s="128"/>
      <c r="G825" s="35"/>
    </row>
    <row r="826" spans="1:7" x14ac:dyDescent="0.2">
      <c r="A826" s="29"/>
      <c r="B826" s="101"/>
      <c r="C826" s="371"/>
      <c r="D826" s="370"/>
      <c r="E826" s="108"/>
      <c r="F826" s="149"/>
      <c r="G826" s="35"/>
    </row>
    <row r="827" spans="1:7" x14ac:dyDescent="0.2">
      <c r="A827" s="29"/>
      <c r="B827" s="106"/>
      <c r="C827" s="371"/>
      <c r="D827" s="370"/>
      <c r="E827" s="108"/>
      <c r="F827" s="128"/>
      <c r="G827" s="35"/>
    </row>
    <row r="828" spans="1:7" x14ac:dyDescent="0.2">
      <c r="A828" s="29"/>
      <c r="B828" s="105"/>
      <c r="C828" s="371"/>
      <c r="D828" s="370"/>
      <c r="E828" s="108"/>
      <c r="F828" s="128"/>
      <c r="G828" s="35"/>
    </row>
    <row r="829" spans="1:7" x14ac:dyDescent="0.2">
      <c r="A829" s="29"/>
      <c r="B829" s="105"/>
      <c r="C829" s="371"/>
      <c r="D829" s="370"/>
      <c r="E829" s="108"/>
      <c r="F829" s="149"/>
      <c r="G829" s="35"/>
    </row>
    <row r="830" spans="1:7" x14ac:dyDescent="0.2">
      <c r="A830" s="29"/>
      <c r="B830" s="101"/>
      <c r="C830" s="371"/>
      <c r="D830" s="370"/>
      <c r="E830" s="104"/>
      <c r="F830" s="149"/>
      <c r="G830" s="372"/>
    </row>
    <row r="831" spans="1:7" x14ac:dyDescent="0.2">
      <c r="A831" s="29"/>
      <c r="B831" s="101"/>
      <c r="C831" s="371"/>
      <c r="D831" s="370"/>
      <c r="E831" s="108"/>
      <c r="F831" s="128"/>
      <c r="G831" s="35"/>
    </row>
    <row r="832" spans="1:7" x14ac:dyDescent="0.2">
      <c r="A832" s="29"/>
      <c r="B832" s="101"/>
      <c r="C832" s="371"/>
      <c r="D832" s="370"/>
      <c r="E832" s="108"/>
      <c r="F832" s="149"/>
      <c r="G832" s="35"/>
    </row>
    <row r="833" spans="1:7" x14ac:dyDescent="0.2">
      <c r="A833" s="29"/>
      <c r="B833" s="101"/>
      <c r="C833" s="371"/>
      <c r="D833" s="370"/>
      <c r="E833" s="108"/>
      <c r="F833" s="128"/>
      <c r="G833" s="35"/>
    </row>
    <row r="834" spans="1:7" x14ac:dyDescent="0.2">
      <c r="A834" s="29"/>
      <c r="B834" s="101"/>
      <c r="C834" s="371"/>
      <c r="D834" s="370"/>
      <c r="E834" s="108"/>
      <c r="F834" s="149"/>
      <c r="G834" s="35"/>
    </row>
    <row r="835" spans="1:7" x14ac:dyDescent="0.2">
      <c r="A835" s="29"/>
      <c r="B835" s="101"/>
      <c r="C835" s="41"/>
      <c r="D835" s="383"/>
      <c r="E835" s="108"/>
      <c r="F835" s="128"/>
      <c r="G835" s="372"/>
    </row>
    <row r="836" spans="1:7" x14ac:dyDescent="0.2">
      <c r="A836" s="29"/>
      <c r="B836" s="101"/>
      <c r="C836" s="371"/>
      <c r="D836" s="370"/>
      <c r="E836" s="108"/>
      <c r="F836" s="149"/>
      <c r="G836" s="35"/>
    </row>
    <row r="837" spans="1:7" x14ac:dyDescent="0.2">
      <c r="A837" s="29"/>
      <c r="B837" s="101"/>
      <c r="C837" s="371"/>
      <c r="D837" s="359"/>
      <c r="E837" s="108"/>
      <c r="F837" s="128"/>
      <c r="G837" s="372"/>
    </row>
    <row r="838" spans="1:7" x14ac:dyDescent="0.2">
      <c r="A838" s="29"/>
      <c r="B838" s="101"/>
      <c r="C838" s="371"/>
      <c r="D838" s="370"/>
      <c r="E838" s="108"/>
      <c r="F838" s="128"/>
      <c r="G838" s="35"/>
    </row>
    <row r="839" spans="1:7" x14ac:dyDescent="0.2">
      <c r="A839" s="29"/>
      <c r="B839" s="101"/>
      <c r="C839" s="371"/>
      <c r="D839" s="370"/>
      <c r="E839" s="108"/>
      <c r="F839" s="149"/>
      <c r="G839" s="35"/>
    </row>
    <row r="840" spans="1:7" x14ac:dyDescent="0.2">
      <c r="A840" s="29"/>
      <c r="B840" s="101"/>
      <c r="C840" s="31"/>
      <c r="D840" s="419"/>
      <c r="E840" s="131"/>
      <c r="F840" s="117"/>
      <c r="G840" s="35"/>
    </row>
    <row r="841" spans="1:7" x14ac:dyDescent="0.2">
      <c r="A841" s="29"/>
      <c r="B841" s="101"/>
      <c r="C841" s="41"/>
      <c r="D841" s="425"/>
      <c r="E841" s="108"/>
      <c r="F841" s="149"/>
      <c r="G841" s="35"/>
    </row>
    <row r="842" spans="1:7" x14ac:dyDescent="0.2">
      <c r="A842" s="29"/>
      <c r="B842" s="101"/>
      <c r="C842" s="41"/>
      <c r="D842" s="383"/>
      <c r="E842" s="108"/>
      <c r="F842" s="149"/>
      <c r="G842" s="35"/>
    </row>
    <row r="843" spans="1:7" ht="13.5" thickBot="1" x14ac:dyDescent="0.25">
      <c r="A843" s="45"/>
      <c r="B843" s="132"/>
      <c r="C843" s="115"/>
      <c r="D843" s="115"/>
      <c r="E843" s="132"/>
      <c r="F843" s="49" t="s">
        <v>15</v>
      </c>
      <c r="G843" s="50">
        <f>SUM(G809:G842)</f>
        <v>51000</v>
      </c>
    </row>
    <row r="844" spans="1:7" ht="13.5" thickTop="1" x14ac:dyDescent="0.2">
      <c r="A844" s="875" t="s">
        <v>2452</v>
      </c>
      <c r="B844" s="876"/>
      <c r="C844" s="876"/>
      <c r="D844" s="876"/>
      <c r="E844" s="876"/>
      <c r="F844" s="876"/>
      <c r="G844" s="877"/>
    </row>
    <row r="845" spans="1:7" ht="13.5" thickBot="1" x14ac:dyDescent="0.25">
      <c r="A845" s="442"/>
      <c r="B845" s="588"/>
      <c r="C845" s="961" t="s">
        <v>2453</v>
      </c>
      <c r="D845" s="961"/>
      <c r="E845" s="961"/>
      <c r="F845" s="961"/>
      <c r="G845" s="962"/>
    </row>
    <row r="846" spans="1:7" ht="13.5" thickTop="1" x14ac:dyDescent="0.2">
      <c r="A846" s="906"/>
      <c r="B846" s="907"/>
      <c r="C846" s="907"/>
      <c r="D846" s="57" t="s">
        <v>11</v>
      </c>
      <c r="E846" s="908" t="s">
        <v>12</v>
      </c>
      <c r="F846" s="908"/>
      <c r="G846" s="909"/>
    </row>
    <row r="847" spans="1:7" x14ac:dyDescent="0.2">
      <c r="A847" s="866" t="s">
        <v>8</v>
      </c>
      <c r="B847" s="911"/>
      <c r="C847" s="911"/>
      <c r="D847" s="39"/>
      <c r="E847" s="912"/>
      <c r="F847" s="913"/>
      <c r="G847" s="914"/>
    </row>
    <row r="848" spans="1:7" x14ac:dyDescent="0.2">
      <c r="A848" s="910" t="s">
        <v>38</v>
      </c>
      <c r="B848" s="911"/>
      <c r="C848" s="911"/>
      <c r="D848" s="58" t="s">
        <v>908</v>
      </c>
      <c r="E848" s="868" t="s">
        <v>142</v>
      </c>
      <c r="F848" s="868"/>
      <c r="G848" s="869"/>
    </row>
    <row r="849" spans="1:7" ht="13.5" thickBot="1" x14ac:dyDescent="0.25">
      <c r="A849" s="901" t="s">
        <v>39</v>
      </c>
      <c r="B849" s="902"/>
      <c r="C849" s="902"/>
      <c r="D849" s="59" t="s">
        <v>909</v>
      </c>
      <c r="E849" s="904" t="s">
        <v>0</v>
      </c>
      <c r="F849" s="904"/>
      <c r="G849" s="905"/>
    </row>
  </sheetData>
  <mergeCells count="255">
    <mergeCell ref="A798:C798"/>
    <mergeCell ref="E798:G798"/>
    <mergeCell ref="A799:C799"/>
    <mergeCell ref="E799:G799"/>
    <mergeCell ref="A800:G800"/>
    <mergeCell ref="A801:G801"/>
    <mergeCell ref="A802:G802"/>
    <mergeCell ref="A849:C849"/>
    <mergeCell ref="E849:G849"/>
    <mergeCell ref="E805:F805"/>
    <mergeCell ref="E807:F807"/>
    <mergeCell ref="A844:G844"/>
    <mergeCell ref="C845:G845"/>
    <mergeCell ref="A846:C846"/>
    <mergeCell ref="E846:G846"/>
    <mergeCell ref="A847:C847"/>
    <mergeCell ref="E847:G847"/>
    <mergeCell ref="A848:C848"/>
    <mergeCell ref="E848:G848"/>
    <mergeCell ref="A750:G750"/>
    <mergeCell ref="A751:G751"/>
    <mergeCell ref="A752:G752"/>
    <mergeCell ref="E755:F755"/>
    <mergeCell ref="E757:F757"/>
    <mergeCell ref="A794:G794"/>
    <mergeCell ref="A796:C796"/>
    <mergeCell ref="E796:G796"/>
    <mergeCell ref="A797:C797"/>
    <mergeCell ref="E797:G797"/>
    <mergeCell ref="A648:C648"/>
    <mergeCell ref="E648:G648"/>
    <mergeCell ref="A649:C649"/>
    <mergeCell ref="E649:G649"/>
    <mergeCell ref="A600:G600"/>
    <mergeCell ref="A601:G601"/>
    <mergeCell ref="A602:G602"/>
    <mergeCell ref="E605:F605"/>
    <mergeCell ref="E607:F607"/>
    <mergeCell ref="A644:G644"/>
    <mergeCell ref="A646:C646"/>
    <mergeCell ref="E646:G646"/>
    <mergeCell ref="A647:C647"/>
    <mergeCell ref="E647:G647"/>
    <mergeCell ref="A547:C547"/>
    <mergeCell ref="E547:G547"/>
    <mergeCell ref="A548:C548"/>
    <mergeCell ref="E548:G548"/>
    <mergeCell ref="A549:C549"/>
    <mergeCell ref="E549:G549"/>
    <mergeCell ref="E505:F505"/>
    <mergeCell ref="E507:F507"/>
    <mergeCell ref="A544:G544"/>
    <mergeCell ref="A546:C546"/>
    <mergeCell ref="E546:G546"/>
    <mergeCell ref="A499:C499"/>
    <mergeCell ref="E499:G499"/>
    <mergeCell ref="A500:G500"/>
    <mergeCell ref="A501:G501"/>
    <mergeCell ref="A502:G502"/>
    <mergeCell ref="A496:C496"/>
    <mergeCell ref="E496:G496"/>
    <mergeCell ref="A497:C497"/>
    <mergeCell ref="E497:G497"/>
    <mergeCell ref="A498:C498"/>
    <mergeCell ref="E498:G498"/>
    <mergeCell ref="A451:G451"/>
    <mergeCell ref="A452:G452"/>
    <mergeCell ref="E455:F455"/>
    <mergeCell ref="E457:F457"/>
    <mergeCell ref="A494:G494"/>
    <mergeCell ref="A448:C448"/>
    <mergeCell ref="E448:G448"/>
    <mergeCell ref="A449:C449"/>
    <mergeCell ref="E449:G449"/>
    <mergeCell ref="A450:G450"/>
    <mergeCell ref="A444:G444"/>
    <mergeCell ref="A446:C446"/>
    <mergeCell ref="E446:G446"/>
    <mergeCell ref="A447:C447"/>
    <mergeCell ref="E447:G447"/>
    <mergeCell ref="A400:G400"/>
    <mergeCell ref="A401:G401"/>
    <mergeCell ref="A402:G402"/>
    <mergeCell ref="E405:F405"/>
    <mergeCell ref="E407:F407"/>
    <mergeCell ref="B445:G445"/>
    <mergeCell ref="A397:C397"/>
    <mergeCell ref="E397:G397"/>
    <mergeCell ref="A398:C398"/>
    <mergeCell ref="E398:G398"/>
    <mergeCell ref="A399:C399"/>
    <mergeCell ref="E399:G399"/>
    <mergeCell ref="E355:F355"/>
    <mergeCell ref="E357:F357"/>
    <mergeCell ref="A394:G394"/>
    <mergeCell ref="A396:C396"/>
    <mergeCell ref="E396:G396"/>
    <mergeCell ref="A349:C349"/>
    <mergeCell ref="E349:G349"/>
    <mergeCell ref="A350:G350"/>
    <mergeCell ref="A351:G351"/>
    <mergeCell ref="A352:G352"/>
    <mergeCell ref="A346:C346"/>
    <mergeCell ref="E346:G346"/>
    <mergeCell ref="A347:C347"/>
    <mergeCell ref="E347:G347"/>
    <mergeCell ref="A348:C348"/>
    <mergeCell ref="E348:G348"/>
    <mergeCell ref="A301:G301"/>
    <mergeCell ref="A302:G302"/>
    <mergeCell ref="E305:F305"/>
    <mergeCell ref="E307:F307"/>
    <mergeCell ref="A344:G344"/>
    <mergeCell ref="A251:G251"/>
    <mergeCell ref="A252:G252"/>
    <mergeCell ref="A299:C299"/>
    <mergeCell ref="E299:G299"/>
    <mergeCell ref="A300:G300"/>
    <mergeCell ref="A297:C297"/>
    <mergeCell ref="E297:G297"/>
    <mergeCell ref="A298:C298"/>
    <mergeCell ref="E298:G298"/>
    <mergeCell ref="E248:G248"/>
    <mergeCell ref="A249:C249"/>
    <mergeCell ref="E249:G249"/>
    <mergeCell ref="A250:G250"/>
    <mergeCell ref="E207:F207"/>
    <mergeCell ref="A244:G244"/>
    <mergeCell ref="A246:C246"/>
    <mergeCell ref="E246:G246"/>
    <mergeCell ref="A247:C247"/>
    <mergeCell ref="E247:G247"/>
    <mergeCell ref="A148:C148"/>
    <mergeCell ref="E148:G148"/>
    <mergeCell ref="A149:C149"/>
    <mergeCell ref="E149:G149"/>
    <mergeCell ref="E58:F58"/>
    <mergeCell ref="A94:G94"/>
    <mergeCell ref="A98:C98"/>
    <mergeCell ref="E98:G98"/>
    <mergeCell ref="A99:C99"/>
    <mergeCell ref="E99:G99"/>
    <mergeCell ref="A100:G100"/>
    <mergeCell ref="A101:G101"/>
    <mergeCell ref="A102:G102"/>
    <mergeCell ref="A144:G144"/>
    <mergeCell ref="A96:C96"/>
    <mergeCell ref="E96:G96"/>
    <mergeCell ref="E105:F105"/>
    <mergeCell ref="E107:F107"/>
    <mergeCell ref="A146:C146"/>
    <mergeCell ref="E146:G146"/>
    <mergeCell ref="A147:C147"/>
    <mergeCell ref="E147:G147"/>
    <mergeCell ref="A97:C97"/>
    <mergeCell ref="E97:G97"/>
    <mergeCell ref="A1:G1"/>
    <mergeCell ref="A2:G2"/>
    <mergeCell ref="A3:G3"/>
    <mergeCell ref="E6:F6"/>
    <mergeCell ref="E8:F8"/>
    <mergeCell ref="A45:G45"/>
    <mergeCell ref="E56:F56"/>
    <mergeCell ref="A50:C50"/>
    <mergeCell ref="E50:G50"/>
    <mergeCell ref="A51:G51"/>
    <mergeCell ref="A47:C47"/>
    <mergeCell ref="E47:G47"/>
    <mergeCell ref="A48:C48"/>
    <mergeCell ref="E48:G48"/>
    <mergeCell ref="A49:C49"/>
    <mergeCell ref="E49:G49"/>
    <mergeCell ref="A52:G52"/>
    <mergeCell ref="A53:G53"/>
    <mergeCell ref="A198:C198"/>
    <mergeCell ref="E198:G198"/>
    <mergeCell ref="A199:C199"/>
    <mergeCell ref="E255:F255"/>
    <mergeCell ref="E257:F257"/>
    <mergeCell ref="A294:G294"/>
    <mergeCell ref="A296:C296"/>
    <mergeCell ref="E296:G296"/>
    <mergeCell ref="A150:G150"/>
    <mergeCell ref="A151:G151"/>
    <mergeCell ref="A152:G152"/>
    <mergeCell ref="E155:F155"/>
    <mergeCell ref="E157:F157"/>
    <mergeCell ref="A196:C196"/>
    <mergeCell ref="E196:G196"/>
    <mergeCell ref="A197:C197"/>
    <mergeCell ref="E197:G197"/>
    <mergeCell ref="E199:G199"/>
    <mergeCell ref="A200:G200"/>
    <mergeCell ref="A201:G201"/>
    <mergeCell ref="A202:G202"/>
    <mergeCell ref="E205:F205"/>
    <mergeCell ref="A194:G194"/>
    <mergeCell ref="A248:C248"/>
    <mergeCell ref="A598:C598"/>
    <mergeCell ref="E598:G598"/>
    <mergeCell ref="A599:C599"/>
    <mergeCell ref="E599:G599"/>
    <mergeCell ref="A550:G550"/>
    <mergeCell ref="A551:G551"/>
    <mergeCell ref="A552:G552"/>
    <mergeCell ref="E555:F555"/>
    <mergeCell ref="E557:F557"/>
    <mergeCell ref="A594:G594"/>
    <mergeCell ref="A596:C596"/>
    <mergeCell ref="E596:G596"/>
    <mergeCell ref="A597:C597"/>
    <mergeCell ref="E597:G597"/>
    <mergeCell ref="K98:M98"/>
    <mergeCell ref="O98:Q98"/>
    <mergeCell ref="K99:M99"/>
    <mergeCell ref="O99:Q99"/>
    <mergeCell ref="K51:Q51"/>
    <mergeCell ref="K52:Q52"/>
    <mergeCell ref="K53:Q53"/>
    <mergeCell ref="O56:P56"/>
    <mergeCell ref="O58:P58"/>
    <mergeCell ref="K94:Q94"/>
    <mergeCell ref="K96:M96"/>
    <mergeCell ref="O96:Q96"/>
    <mergeCell ref="K97:M97"/>
    <mergeCell ref="O97:Q97"/>
    <mergeCell ref="A698:C698"/>
    <mergeCell ref="E698:G698"/>
    <mergeCell ref="A699:C699"/>
    <mergeCell ref="E699:G699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697:C697"/>
    <mergeCell ref="E697:G697"/>
    <mergeCell ref="A748:C748"/>
    <mergeCell ref="E748:G748"/>
    <mergeCell ref="A749:C749"/>
    <mergeCell ref="E749:G749"/>
    <mergeCell ref="C745:G745"/>
    <mergeCell ref="A700:G700"/>
    <mergeCell ref="A701:G701"/>
    <mergeCell ref="A702:G702"/>
    <mergeCell ref="E705:F705"/>
    <mergeCell ref="E707:F707"/>
    <mergeCell ref="A744:G744"/>
    <mergeCell ref="A746:C746"/>
    <mergeCell ref="E746:G746"/>
    <mergeCell ref="A747:C747"/>
    <mergeCell ref="E747:G7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8A3CC4"/>
  </sheetPr>
  <dimension ref="A1:L448"/>
  <sheetViews>
    <sheetView topLeftCell="A58" zoomScale="110" zoomScaleNormal="110" workbookViewId="0">
      <selection activeCell="K78" sqref="K78"/>
    </sheetView>
  </sheetViews>
  <sheetFormatPr defaultRowHeight="12.75" x14ac:dyDescent="0.2"/>
  <cols>
    <col min="1" max="1" width="6.42578125" style="2" customWidth="1"/>
    <col min="2" max="2" width="7.140625" style="3" customWidth="1"/>
    <col min="3" max="3" width="10.42578125" style="4" customWidth="1"/>
    <col min="4" max="4" width="35.285156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1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41</v>
      </c>
      <c r="B5" s="13"/>
      <c r="C5" s="14" t="s">
        <v>18</v>
      </c>
      <c r="D5" s="13"/>
      <c r="E5" s="362" t="s">
        <v>1176</v>
      </c>
      <c r="F5" s="98"/>
      <c r="G5" s="363" t="s">
        <v>1162</v>
      </c>
    </row>
    <row r="6" spans="1:7" x14ac:dyDescent="0.2">
      <c r="A6" s="17" t="s">
        <v>8</v>
      </c>
      <c r="B6" s="100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920"/>
      <c r="F8" s="921"/>
      <c r="G8" s="25"/>
    </row>
    <row r="9" spans="1:7" ht="26.25" customHeight="1" thickBot="1" x14ac:dyDescent="0.25">
      <c r="A9" s="207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71" t="s">
        <v>149</v>
      </c>
      <c r="D10" s="376" t="s">
        <v>1189</v>
      </c>
      <c r="E10" s="158">
        <v>65</v>
      </c>
      <c r="F10" s="128">
        <v>250</v>
      </c>
      <c r="G10" s="35">
        <f>F10*E10</f>
        <v>16250</v>
      </c>
    </row>
    <row r="11" spans="1:7" ht="12.75" customHeight="1" x14ac:dyDescent="0.2">
      <c r="A11" s="29"/>
      <c r="B11" s="101"/>
      <c r="C11" s="41"/>
      <c r="D11" s="370" t="s">
        <v>1187</v>
      </c>
      <c r="E11" s="158"/>
      <c r="F11" s="128"/>
      <c r="G11" s="35"/>
    </row>
    <row r="12" spans="1:7" ht="12.75" customHeight="1" x14ac:dyDescent="0.2">
      <c r="A12" s="29">
        <v>2</v>
      </c>
      <c r="B12" s="101"/>
      <c r="C12" s="371" t="s">
        <v>242</v>
      </c>
      <c r="D12" s="370" t="s">
        <v>1190</v>
      </c>
      <c r="E12" s="205">
        <v>65</v>
      </c>
      <c r="F12" s="149">
        <v>450</v>
      </c>
      <c r="G12" s="35">
        <f>F12*E12</f>
        <v>29250</v>
      </c>
    </row>
    <row r="13" spans="1:7" x14ac:dyDescent="0.2">
      <c r="A13" s="29"/>
      <c r="B13" s="101"/>
      <c r="C13" s="41"/>
      <c r="D13" s="376" t="s">
        <v>301</v>
      </c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376" t="s">
        <v>1188</v>
      </c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ht="12.75" customHeight="1" x14ac:dyDescent="0.2">
      <c r="A26" s="29"/>
      <c r="B26" s="105"/>
      <c r="C26" s="41"/>
      <c r="D26" s="130"/>
      <c r="E26" s="104"/>
      <c r="F26" s="154"/>
      <c r="G26" s="35"/>
    </row>
    <row r="27" spans="1:7" ht="12.75" customHeight="1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ht="12.75" customHeight="1" x14ac:dyDescent="0.2">
      <c r="A29" s="29"/>
      <c r="B29" s="101"/>
      <c r="C29" s="41"/>
      <c r="D29" s="136"/>
      <c r="E29" s="104"/>
      <c r="F29" s="154"/>
      <c r="G29" s="35"/>
    </row>
    <row r="30" spans="1:7" ht="12.75" customHeight="1" x14ac:dyDescent="0.2">
      <c r="A30" s="29"/>
      <c r="B30" s="101"/>
      <c r="C30" s="41"/>
      <c r="D30" s="136"/>
      <c r="E30" s="104"/>
      <c r="F30" s="154"/>
      <c r="G30" s="35"/>
    </row>
    <row r="31" spans="1:7" ht="12.75" customHeight="1" x14ac:dyDescent="0.2">
      <c r="A31" s="29"/>
      <c r="B31" s="101"/>
      <c r="C31" s="41"/>
      <c r="D31" s="136"/>
      <c r="E31" s="104"/>
      <c r="F31" s="154"/>
      <c r="G31" s="35"/>
    </row>
    <row r="32" spans="1:7" ht="12.75" customHeight="1" x14ac:dyDescent="0.2">
      <c r="A32" s="29"/>
      <c r="B32" s="101"/>
      <c r="C32" s="41"/>
      <c r="D32" s="136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  <c r="I34" s="430" t="s">
        <v>152</v>
      </c>
    </row>
    <row r="35" spans="1:9" x14ac:dyDescent="0.2">
      <c r="A35" s="29"/>
      <c r="B35" s="101"/>
      <c r="C35" s="41"/>
      <c r="D35" s="159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</row>
    <row r="38" spans="1:9" x14ac:dyDescent="0.2">
      <c r="A38" s="29"/>
      <c r="B38" s="101"/>
      <c r="C38" s="41"/>
      <c r="D38" s="136"/>
      <c r="E38" s="153"/>
      <c r="F38" s="128"/>
      <c r="G38" s="35"/>
    </row>
    <row r="39" spans="1:9" x14ac:dyDescent="0.2">
      <c r="A39" s="29"/>
      <c r="B39" s="101"/>
      <c r="C39" s="41"/>
      <c r="D39" s="136"/>
      <c r="E39" s="102"/>
      <c r="F39" s="128"/>
      <c r="G39" s="35"/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45500</v>
      </c>
    </row>
    <row r="44" spans="1:9" ht="13.5" thickTop="1" x14ac:dyDescent="0.2">
      <c r="A44" s="875" t="s">
        <v>1170</v>
      </c>
      <c r="B44" s="899"/>
      <c r="C44" s="899"/>
      <c r="D44" s="899"/>
      <c r="E44" s="899"/>
      <c r="F44" s="899"/>
      <c r="G44" s="900"/>
    </row>
    <row r="45" spans="1:9" ht="13.5" thickBot="1" x14ac:dyDescent="0.25">
      <c r="A45" s="52"/>
      <c r="B45" s="103"/>
      <c r="C45" s="374" t="s">
        <v>1171</v>
      </c>
      <c r="D45" s="54"/>
      <c r="E45" s="103"/>
      <c r="F45" s="55"/>
      <c r="G45" s="56"/>
    </row>
    <row r="46" spans="1:9" ht="13.5" thickTop="1" x14ac:dyDescent="0.2">
      <c r="A46" s="906"/>
      <c r="B46" s="907"/>
      <c r="C46" s="907"/>
      <c r="D46" s="57" t="s">
        <v>11</v>
      </c>
      <c r="E46" s="908" t="s">
        <v>12</v>
      </c>
      <c r="F46" s="908"/>
      <c r="G46" s="909"/>
    </row>
    <row r="47" spans="1:9" x14ac:dyDescent="0.2">
      <c r="A47" s="910" t="s">
        <v>17</v>
      </c>
      <c r="B47" s="911"/>
      <c r="C47" s="911"/>
      <c r="D47" s="39"/>
      <c r="E47" s="912"/>
      <c r="F47" s="913"/>
      <c r="G47" s="914"/>
    </row>
    <row r="48" spans="1:9" x14ac:dyDescent="0.2">
      <c r="A48" s="910" t="s">
        <v>38</v>
      </c>
      <c r="B48" s="911"/>
      <c r="C48" s="911"/>
      <c r="D48" s="58" t="s">
        <v>883</v>
      </c>
      <c r="E48" s="868" t="s">
        <v>142</v>
      </c>
      <c r="F48" s="868"/>
      <c r="G48" s="869"/>
    </row>
    <row r="49" spans="1:7" ht="13.5" thickBot="1" x14ac:dyDescent="0.25">
      <c r="A49" s="901" t="s">
        <v>39</v>
      </c>
      <c r="B49" s="902"/>
      <c r="C49" s="902"/>
      <c r="D49" s="59" t="s">
        <v>884</v>
      </c>
      <c r="E49" s="904" t="s">
        <v>0</v>
      </c>
      <c r="F49" s="904"/>
      <c r="G49" s="905"/>
    </row>
    <row r="50" spans="1:7" ht="16.5" x14ac:dyDescent="0.25">
      <c r="A50" s="885" t="s">
        <v>29</v>
      </c>
      <c r="B50" s="886"/>
      <c r="C50" s="886"/>
      <c r="D50" s="886"/>
      <c r="E50" s="886"/>
      <c r="F50" s="886"/>
      <c r="G50" s="887"/>
    </row>
    <row r="51" spans="1:7" x14ac:dyDescent="0.2">
      <c r="A51" s="888" t="s">
        <v>48</v>
      </c>
      <c r="B51" s="889"/>
      <c r="C51" s="889"/>
      <c r="D51" s="889"/>
      <c r="E51" s="889"/>
      <c r="F51" s="889"/>
      <c r="G51" s="890"/>
    </row>
    <row r="52" spans="1:7" x14ac:dyDescent="0.2">
      <c r="A52" s="915" t="s">
        <v>49</v>
      </c>
      <c r="B52" s="916"/>
      <c r="C52" s="916"/>
      <c r="D52" s="916"/>
      <c r="E52" s="916"/>
      <c r="F52" s="916"/>
      <c r="G52" s="917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41</v>
      </c>
      <c r="B54" s="13"/>
      <c r="C54" s="14" t="s">
        <v>18</v>
      </c>
      <c r="D54" s="13"/>
      <c r="E54" s="362" t="s">
        <v>1227</v>
      </c>
      <c r="F54" s="98"/>
      <c r="G54" s="363" t="s">
        <v>1202</v>
      </c>
    </row>
    <row r="55" spans="1:7" x14ac:dyDescent="0.2">
      <c r="A55" s="17" t="s">
        <v>8</v>
      </c>
      <c r="B55" s="100"/>
      <c r="C55" s="19"/>
      <c r="D55" s="4"/>
      <c r="E55" s="918"/>
      <c r="F55" s="919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920"/>
      <c r="F57" s="921"/>
      <c r="G57" s="25"/>
    </row>
    <row r="58" spans="1:7" ht="26.25" thickBot="1" x14ac:dyDescent="0.25">
      <c r="A58" s="207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71" t="s">
        <v>149</v>
      </c>
      <c r="D59" s="376" t="s">
        <v>1209</v>
      </c>
      <c r="E59" s="158">
        <v>50</v>
      </c>
      <c r="F59" s="128">
        <v>250</v>
      </c>
      <c r="G59" s="35">
        <f>F59*E59</f>
        <v>12500</v>
      </c>
    </row>
    <row r="60" spans="1:7" x14ac:dyDescent="0.2">
      <c r="A60" s="29"/>
      <c r="B60" s="101"/>
      <c r="C60" s="41"/>
      <c r="D60" s="370" t="s">
        <v>1210</v>
      </c>
      <c r="E60" s="158"/>
      <c r="F60" s="128"/>
      <c r="G60" s="35"/>
    </row>
    <row r="61" spans="1:7" x14ac:dyDescent="0.2">
      <c r="A61" s="29">
        <v>2</v>
      </c>
      <c r="B61" s="101"/>
      <c r="C61" s="371" t="s">
        <v>149</v>
      </c>
      <c r="D61" s="370" t="s">
        <v>348</v>
      </c>
      <c r="E61" s="205">
        <v>50</v>
      </c>
      <c r="F61" s="149">
        <v>350</v>
      </c>
      <c r="G61" s="35">
        <f>F61*E61</f>
        <v>17500</v>
      </c>
    </row>
    <row r="62" spans="1:7" x14ac:dyDescent="0.2">
      <c r="A62" s="29"/>
      <c r="B62" s="101"/>
      <c r="C62" s="41"/>
      <c r="D62" s="376" t="s">
        <v>301</v>
      </c>
      <c r="E62" s="108"/>
      <c r="F62" s="128"/>
      <c r="G62" s="35"/>
    </row>
    <row r="63" spans="1:7" x14ac:dyDescent="0.2">
      <c r="A63" s="29"/>
      <c r="B63" s="105"/>
      <c r="C63" s="41"/>
      <c r="D63" s="376" t="s">
        <v>8</v>
      </c>
      <c r="E63" s="102"/>
      <c r="F63" s="128"/>
      <c r="G63" s="35"/>
    </row>
    <row r="64" spans="1:7" x14ac:dyDescent="0.2">
      <c r="A64" s="29"/>
      <c r="B64" s="105"/>
      <c r="C64" s="41"/>
      <c r="D64" s="376" t="s">
        <v>8</v>
      </c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384" t="s">
        <v>8</v>
      </c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1" x14ac:dyDescent="0.2">
      <c r="A81" s="29"/>
      <c r="B81" s="101"/>
      <c r="C81" s="41"/>
      <c r="D81" s="136"/>
      <c r="E81" s="104"/>
      <c r="F81" s="154"/>
      <c r="G81" s="35"/>
    </row>
    <row r="82" spans="1:11" x14ac:dyDescent="0.2">
      <c r="A82" s="29"/>
      <c r="B82" s="101"/>
      <c r="C82" s="41"/>
      <c r="D82" s="136"/>
      <c r="E82" s="104"/>
      <c r="F82" s="154"/>
      <c r="G82" s="35"/>
    </row>
    <row r="83" spans="1:11" x14ac:dyDescent="0.2">
      <c r="A83" s="29"/>
      <c r="B83" s="101"/>
      <c r="C83" s="41"/>
      <c r="D83" s="62"/>
      <c r="E83" s="104"/>
      <c r="F83" s="154"/>
      <c r="G83" s="35"/>
    </row>
    <row r="84" spans="1:11" x14ac:dyDescent="0.2">
      <c r="A84" s="29"/>
      <c r="B84" s="101"/>
      <c r="C84" s="41"/>
      <c r="D84" s="384" t="s">
        <v>8</v>
      </c>
      <c r="E84" s="104"/>
      <c r="F84" s="154"/>
      <c r="G84" s="35"/>
      <c r="K84" s="430" t="s">
        <v>979</v>
      </c>
    </row>
    <row r="85" spans="1:11" x14ac:dyDescent="0.2">
      <c r="A85" s="29"/>
      <c r="B85" s="101"/>
      <c r="C85" s="41"/>
      <c r="D85" s="159"/>
      <c r="E85" s="104"/>
      <c r="F85" s="154"/>
      <c r="G85" s="35"/>
    </row>
    <row r="86" spans="1:11" x14ac:dyDescent="0.2">
      <c r="A86" s="29"/>
      <c r="B86" s="101"/>
      <c r="C86" s="41"/>
      <c r="D86" s="160"/>
      <c r="E86" s="108"/>
      <c r="F86" s="128"/>
      <c r="G86" s="35"/>
    </row>
    <row r="87" spans="1:11" x14ac:dyDescent="0.2">
      <c r="A87" s="29"/>
      <c r="B87" s="101"/>
      <c r="C87" s="41"/>
      <c r="D87" s="136"/>
      <c r="E87" s="153"/>
      <c r="F87" s="128"/>
      <c r="G87" s="35"/>
    </row>
    <row r="88" spans="1:11" x14ac:dyDescent="0.2">
      <c r="A88" s="29"/>
      <c r="B88" s="101"/>
      <c r="C88" s="41"/>
      <c r="D88" s="136"/>
      <c r="E88" s="102"/>
      <c r="F88" s="128"/>
      <c r="G88" s="35"/>
    </row>
    <row r="89" spans="1:11" x14ac:dyDescent="0.2">
      <c r="A89" s="29"/>
      <c r="B89" s="101"/>
      <c r="C89" s="31"/>
      <c r="D89" s="67"/>
      <c r="E89" s="131"/>
      <c r="F89" s="117"/>
      <c r="G89" s="35"/>
    </row>
    <row r="90" spans="1:11" x14ac:dyDescent="0.2">
      <c r="A90" s="29"/>
      <c r="B90" s="101"/>
      <c r="C90" s="41"/>
      <c r="D90" s="118"/>
      <c r="E90" s="108"/>
      <c r="F90" s="149"/>
      <c r="G90" s="35"/>
    </row>
    <row r="91" spans="1:11" x14ac:dyDescent="0.2">
      <c r="A91" s="29"/>
      <c r="B91" s="101"/>
      <c r="C91" s="41"/>
      <c r="D91" s="144"/>
      <c r="E91" s="108"/>
      <c r="F91" s="149"/>
      <c r="G91" s="35"/>
    </row>
    <row r="92" spans="1:11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30000</v>
      </c>
    </row>
    <row r="93" spans="1:11" ht="13.5" thickTop="1" x14ac:dyDescent="0.2">
      <c r="A93" s="875" t="s">
        <v>1211</v>
      </c>
      <c r="B93" s="899"/>
      <c r="C93" s="899"/>
      <c r="D93" s="899"/>
      <c r="E93" s="899"/>
      <c r="F93" s="899"/>
      <c r="G93" s="900"/>
    </row>
    <row r="94" spans="1:11" ht="13.5" thickBot="1" x14ac:dyDescent="0.25">
      <c r="A94" s="442"/>
      <c r="B94" s="346"/>
      <c r="C94" s="961" t="s">
        <v>1212</v>
      </c>
      <c r="D94" s="1054"/>
      <c r="E94" s="1054"/>
      <c r="F94" s="1054"/>
      <c r="G94" s="1055"/>
    </row>
    <row r="95" spans="1:11" ht="13.5" thickTop="1" x14ac:dyDescent="0.2">
      <c r="A95" s="906"/>
      <c r="B95" s="907"/>
      <c r="C95" s="907"/>
      <c r="D95" s="57" t="s">
        <v>11</v>
      </c>
      <c r="E95" s="908" t="s">
        <v>12</v>
      </c>
      <c r="F95" s="908"/>
      <c r="G95" s="909"/>
    </row>
    <row r="96" spans="1:11" x14ac:dyDescent="0.2">
      <c r="A96" s="910" t="s">
        <v>17</v>
      </c>
      <c r="B96" s="911"/>
      <c r="C96" s="911"/>
      <c r="D96" s="39"/>
      <c r="E96" s="912"/>
      <c r="F96" s="913"/>
      <c r="G96" s="914"/>
    </row>
    <row r="97" spans="1:7" x14ac:dyDescent="0.2">
      <c r="A97" s="910" t="s">
        <v>38</v>
      </c>
      <c r="B97" s="911"/>
      <c r="C97" s="911"/>
      <c r="D97" s="58" t="s">
        <v>883</v>
      </c>
      <c r="E97" s="868" t="s">
        <v>142</v>
      </c>
      <c r="F97" s="868"/>
      <c r="G97" s="869"/>
    </row>
    <row r="98" spans="1:7" ht="13.5" thickBot="1" x14ac:dyDescent="0.25">
      <c r="A98" s="901" t="s">
        <v>39</v>
      </c>
      <c r="B98" s="902"/>
      <c r="C98" s="902"/>
      <c r="D98" s="59" t="s">
        <v>884</v>
      </c>
      <c r="E98" s="904" t="s">
        <v>0</v>
      </c>
      <c r="F98" s="904"/>
      <c r="G98" s="905"/>
    </row>
    <row r="99" spans="1:7" ht="16.5" x14ac:dyDescent="0.25">
      <c r="A99" s="885" t="s">
        <v>29</v>
      </c>
      <c r="B99" s="886"/>
      <c r="C99" s="886"/>
      <c r="D99" s="886"/>
      <c r="E99" s="886"/>
      <c r="F99" s="886"/>
      <c r="G99" s="887"/>
    </row>
    <row r="100" spans="1:7" x14ac:dyDescent="0.2">
      <c r="A100" s="888" t="s">
        <v>48</v>
      </c>
      <c r="B100" s="889"/>
      <c r="C100" s="889"/>
      <c r="D100" s="889"/>
      <c r="E100" s="889"/>
      <c r="F100" s="889"/>
      <c r="G100" s="890"/>
    </row>
    <row r="101" spans="1:7" x14ac:dyDescent="0.2">
      <c r="A101" s="915" t="s">
        <v>49</v>
      </c>
      <c r="B101" s="916"/>
      <c r="C101" s="916"/>
      <c r="D101" s="916"/>
      <c r="E101" s="916"/>
      <c r="F101" s="916"/>
      <c r="G101" s="917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41</v>
      </c>
      <c r="B103" s="13"/>
      <c r="C103" s="14" t="s">
        <v>18</v>
      </c>
      <c r="D103" s="13"/>
      <c r="E103" s="362" t="s">
        <v>1520</v>
      </c>
      <c r="F103" s="98"/>
      <c r="G103" s="363" t="s">
        <v>1516</v>
      </c>
    </row>
    <row r="104" spans="1:7" x14ac:dyDescent="0.2">
      <c r="A104" s="17" t="s">
        <v>8</v>
      </c>
      <c r="B104" s="100"/>
      <c r="C104" s="19"/>
      <c r="D104" s="4"/>
      <c r="E104" s="918"/>
      <c r="F104" s="919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920"/>
      <c r="F106" s="921"/>
      <c r="G106" s="25"/>
    </row>
    <row r="107" spans="1:7" ht="26.25" thickBot="1" x14ac:dyDescent="0.25">
      <c r="A107" s="207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364">
        <v>1</v>
      </c>
      <c r="B108" s="101"/>
      <c r="C108" s="371" t="s">
        <v>243</v>
      </c>
      <c r="D108" s="376" t="s">
        <v>1387</v>
      </c>
      <c r="E108" s="158">
        <v>1</v>
      </c>
      <c r="F108" s="128">
        <v>80000</v>
      </c>
      <c r="G108" s="35">
        <f>F108*E108</f>
        <v>80000</v>
      </c>
    </row>
    <row r="109" spans="1:7" x14ac:dyDescent="0.2">
      <c r="A109" s="29"/>
      <c r="B109" s="101"/>
      <c r="C109" s="41"/>
      <c r="D109" s="370" t="s">
        <v>1388</v>
      </c>
      <c r="E109" s="158"/>
      <c r="F109" s="128"/>
      <c r="G109" s="35"/>
    </row>
    <row r="110" spans="1:7" x14ac:dyDescent="0.2">
      <c r="A110" s="29"/>
      <c r="B110" s="101"/>
      <c r="C110" s="371"/>
      <c r="D110" s="370" t="s">
        <v>1382</v>
      </c>
      <c r="E110" s="205"/>
      <c r="F110" s="149"/>
      <c r="G110" s="35"/>
    </row>
    <row r="111" spans="1:7" x14ac:dyDescent="0.2">
      <c r="A111" s="29"/>
      <c r="B111" s="101"/>
      <c r="C111" s="41"/>
      <c r="D111" s="370" t="s">
        <v>1384</v>
      </c>
      <c r="E111" s="108"/>
      <c r="F111" s="128"/>
      <c r="G111" s="35"/>
    </row>
    <row r="112" spans="1:7" x14ac:dyDescent="0.2">
      <c r="A112" s="29"/>
      <c r="B112" s="105"/>
      <c r="C112" s="41"/>
      <c r="D112" s="376" t="s">
        <v>1383</v>
      </c>
      <c r="E112" s="102"/>
      <c r="F112" s="128"/>
      <c r="G112" s="35"/>
    </row>
    <row r="113" spans="1:12" x14ac:dyDescent="0.2">
      <c r="A113" s="29"/>
      <c r="B113" s="105"/>
      <c r="C113" s="41"/>
      <c r="D113" s="376" t="s">
        <v>1389</v>
      </c>
      <c r="E113" s="102"/>
      <c r="F113" s="128"/>
      <c r="G113" s="35"/>
    </row>
    <row r="114" spans="1:12" x14ac:dyDescent="0.2">
      <c r="A114" s="29"/>
      <c r="B114" s="151"/>
      <c r="C114" s="119"/>
      <c r="D114" s="376" t="s">
        <v>1386</v>
      </c>
      <c r="E114" s="108"/>
      <c r="F114" s="150"/>
      <c r="G114" s="35"/>
    </row>
    <row r="115" spans="1:12" x14ac:dyDescent="0.2">
      <c r="A115" s="29"/>
      <c r="B115" s="151"/>
      <c r="C115" s="119"/>
      <c r="D115" s="144"/>
      <c r="E115" s="108"/>
      <c r="F115" s="150"/>
      <c r="G115" s="35"/>
    </row>
    <row r="116" spans="1:12" x14ac:dyDescent="0.2">
      <c r="A116" s="29"/>
      <c r="B116" s="151"/>
      <c r="C116" s="119"/>
      <c r="D116" s="144"/>
      <c r="E116" s="108"/>
      <c r="F116" s="150"/>
      <c r="G116" s="35"/>
    </row>
    <row r="117" spans="1:12" x14ac:dyDescent="0.2">
      <c r="A117" s="29"/>
      <c r="B117" s="101"/>
      <c r="C117" s="41"/>
      <c r="D117" s="144"/>
      <c r="E117" s="155"/>
      <c r="F117" s="128"/>
      <c r="G117" s="35"/>
      <c r="J117" s="430" t="s">
        <v>150</v>
      </c>
    </row>
    <row r="118" spans="1:12" x14ac:dyDescent="0.2">
      <c r="A118" s="29"/>
      <c r="B118" s="105"/>
      <c r="C118" s="41"/>
      <c r="D118" s="136"/>
      <c r="E118" s="108"/>
      <c r="F118" s="152"/>
      <c r="G118" s="35"/>
    </row>
    <row r="119" spans="1:12" x14ac:dyDescent="0.2">
      <c r="A119" s="29"/>
      <c r="B119" s="107"/>
      <c r="C119" s="41"/>
      <c r="D119" s="136"/>
      <c r="E119" s="153"/>
      <c r="F119" s="128"/>
      <c r="G119" s="35"/>
    </row>
    <row r="120" spans="1:12" x14ac:dyDescent="0.2">
      <c r="A120" s="29"/>
      <c r="B120" s="107"/>
      <c r="C120" s="41"/>
      <c r="D120" s="67"/>
      <c r="E120" s="153"/>
      <c r="F120" s="128"/>
      <c r="G120" s="35"/>
    </row>
    <row r="121" spans="1:12" x14ac:dyDescent="0.2">
      <c r="A121" s="29"/>
      <c r="B121" s="101"/>
      <c r="C121" s="41"/>
      <c r="D121" s="67"/>
      <c r="E121" s="108"/>
      <c r="F121" s="128"/>
      <c r="G121" s="35"/>
    </row>
    <row r="122" spans="1:12" x14ac:dyDescent="0.2">
      <c r="A122" s="29"/>
      <c r="B122" s="101"/>
      <c r="C122" s="41"/>
      <c r="D122" s="67"/>
      <c r="E122" s="153"/>
      <c r="F122" s="128"/>
      <c r="G122" s="35"/>
    </row>
    <row r="123" spans="1:12" x14ac:dyDescent="0.2">
      <c r="A123" s="29"/>
      <c r="B123" s="106"/>
      <c r="C123" s="41"/>
      <c r="D123" s="67"/>
      <c r="E123" s="104"/>
      <c r="F123" s="154"/>
      <c r="G123" s="35"/>
      <c r="J123" s="2">
        <v>200</v>
      </c>
      <c r="K123" s="2">
        <v>200</v>
      </c>
      <c r="L123" s="211">
        <f>K123*J123</f>
        <v>40000</v>
      </c>
    </row>
    <row r="124" spans="1:12" x14ac:dyDescent="0.2">
      <c r="A124" s="29"/>
      <c r="B124" s="105"/>
      <c r="C124" s="41"/>
      <c r="D124" s="130"/>
      <c r="E124" s="104"/>
      <c r="F124" s="154"/>
      <c r="G124" s="35"/>
      <c r="J124" s="2">
        <v>200</v>
      </c>
      <c r="K124" s="2">
        <v>350</v>
      </c>
      <c r="L124" s="211">
        <f>K124*J124</f>
        <v>70000</v>
      </c>
    </row>
    <row r="125" spans="1:12" x14ac:dyDescent="0.2">
      <c r="A125" s="29"/>
      <c r="B125" s="105"/>
      <c r="C125" s="41"/>
      <c r="D125" s="67"/>
      <c r="E125" s="104"/>
      <c r="F125" s="154"/>
      <c r="G125" s="35"/>
    </row>
    <row r="126" spans="1:12" x14ac:dyDescent="0.2">
      <c r="A126" s="29"/>
      <c r="B126" s="101"/>
      <c r="C126" s="41"/>
      <c r="D126" s="67"/>
      <c r="E126" s="104"/>
      <c r="F126" s="154"/>
      <c r="G126" s="35"/>
      <c r="L126" s="212">
        <f>SUM(L123:L125)</f>
        <v>110000</v>
      </c>
    </row>
    <row r="127" spans="1:12" x14ac:dyDescent="0.2">
      <c r="A127" s="29"/>
      <c r="B127" s="101"/>
      <c r="C127" s="41"/>
      <c r="D127" s="136"/>
      <c r="E127" s="104"/>
      <c r="F127" s="154"/>
      <c r="G127" s="35"/>
    </row>
    <row r="128" spans="1:12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62"/>
      <c r="E133" s="104"/>
      <c r="F133" s="154"/>
      <c r="G133" s="35"/>
    </row>
    <row r="134" spans="1:7" x14ac:dyDescent="0.2">
      <c r="A134" s="29"/>
      <c r="B134" s="101"/>
      <c r="C134" s="41"/>
      <c r="D134" s="384" t="s">
        <v>8</v>
      </c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80000</v>
      </c>
    </row>
    <row r="143" spans="1:7" ht="13.5" thickTop="1" x14ac:dyDescent="0.2">
      <c r="A143" s="875" t="s">
        <v>1385</v>
      </c>
      <c r="B143" s="899"/>
      <c r="C143" s="899"/>
      <c r="D143" s="899"/>
      <c r="E143" s="899"/>
      <c r="F143" s="899"/>
      <c r="G143" s="900"/>
    </row>
    <row r="144" spans="1:7" ht="13.5" thickBot="1" x14ac:dyDescent="0.25">
      <c r="A144" s="442"/>
      <c r="B144" s="346"/>
      <c r="C144" s="961" t="s">
        <v>8</v>
      </c>
      <c r="D144" s="1054"/>
      <c r="E144" s="1054"/>
      <c r="F144" s="1054"/>
      <c r="G144" s="1055"/>
    </row>
    <row r="145" spans="1:7" ht="13.5" thickTop="1" x14ac:dyDescent="0.2">
      <c r="A145" s="906"/>
      <c r="B145" s="907"/>
      <c r="C145" s="907"/>
      <c r="D145" s="57" t="s">
        <v>11</v>
      </c>
      <c r="E145" s="908" t="s">
        <v>12</v>
      </c>
      <c r="F145" s="908"/>
      <c r="G145" s="909"/>
    </row>
    <row r="146" spans="1:7" x14ac:dyDescent="0.2">
      <c r="A146" s="910" t="s">
        <v>17</v>
      </c>
      <c r="B146" s="911"/>
      <c r="C146" s="911"/>
      <c r="D146" s="39"/>
      <c r="E146" s="912"/>
      <c r="F146" s="913"/>
      <c r="G146" s="914"/>
    </row>
    <row r="147" spans="1:7" x14ac:dyDescent="0.2">
      <c r="A147" s="910" t="s">
        <v>38</v>
      </c>
      <c r="B147" s="911"/>
      <c r="C147" s="911"/>
      <c r="D147" s="58" t="s">
        <v>883</v>
      </c>
      <c r="E147" s="868" t="s">
        <v>142</v>
      </c>
      <c r="F147" s="868"/>
      <c r="G147" s="869"/>
    </row>
    <row r="148" spans="1:7" ht="13.5" thickBot="1" x14ac:dyDescent="0.25">
      <c r="A148" s="901" t="s">
        <v>39</v>
      </c>
      <c r="B148" s="902"/>
      <c r="C148" s="902"/>
      <c r="D148" s="59" t="s">
        <v>884</v>
      </c>
      <c r="E148" s="904" t="s">
        <v>0</v>
      </c>
      <c r="F148" s="904"/>
      <c r="G148" s="905"/>
    </row>
    <row r="149" spans="1:7" ht="16.5" x14ac:dyDescent="0.25">
      <c r="A149" s="885" t="s">
        <v>29</v>
      </c>
      <c r="B149" s="886"/>
      <c r="C149" s="886"/>
      <c r="D149" s="886"/>
      <c r="E149" s="886"/>
      <c r="F149" s="886"/>
      <c r="G149" s="887"/>
    </row>
    <row r="150" spans="1:7" x14ac:dyDescent="0.2">
      <c r="A150" s="888" t="s">
        <v>48</v>
      </c>
      <c r="B150" s="889"/>
      <c r="C150" s="889"/>
      <c r="D150" s="889"/>
      <c r="E150" s="889"/>
      <c r="F150" s="889"/>
      <c r="G150" s="890"/>
    </row>
    <row r="151" spans="1:7" x14ac:dyDescent="0.2">
      <c r="A151" s="915" t="s">
        <v>49</v>
      </c>
      <c r="B151" s="916"/>
      <c r="C151" s="916"/>
      <c r="D151" s="916"/>
      <c r="E151" s="916"/>
      <c r="F151" s="916"/>
      <c r="G151" s="917"/>
    </row>
    <row r="152" spans="1:7" x14ac:dyDescent="0.2">
      <c r="A152" s="6"/>
      <c r="B152" s="99"/>
      <c r="C152" s="8"/>
      <c r="D152" s="9"/>
      <c r="E152" s="99"/>
      <c r="F152" s="10"/>
      <c r="G152" s="11" t="s">
        <v>20</v>
      </c>
    </row>
    <row r="153" spans="1:7" x14ac:dyDescent="0.2">
      <c r="A153" s="12" t="s">
        <v>41</v>
      </c>
      <c r="B153" s="13"/>
      <c r="C153" s="14" t="s">
        <v>18</v>
      </c>
      <c r="D153" s="13"/>
      <c r="E153" s="362" t="s">
        <v>1794</v>
      </c>
      <c r="F153" s="98"/>
      <c r="G153" s="363" t="s">
        <v>1739</v>
      </c>
    </row>
    <row r="154" spans="1:7" x14ac:dyDescent="0.2">
      <c r="A154" s="17" t="s">
        <v>8</v>
      </c>
      <c r="B154" s="100"/>
      <c r="C154" s="19"/>
      <c r="D154" s="4"/>
      <c r="E154" s="918"/>
      <c r="F154" s="919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920"/>
      <c r="F156" s="921"/>
      <c r="G156" s="25"/>
    </row>
    <row r="157" spans="1:7" ht="26.25" thickBot="1" x14ac:dyDescent="0.25">
      <c r="A157" s="207" t="s">
        <v>47</v>
      </c>
      <c r="B157" s="28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364">
        <v>1</v>
      </c>
      <c r="B158" s="101"/>
      <c r="C158" s="371" t="s">
        <v>149</v>
      </c>
      <c r="D158" s="376" t="s">
        <v>1579</v>
      </c>
      <c r="E158" s="158">
        <v>70</v>
      </c>
      <c r="F158" s="128">
        <v>200</v>
      </c>
      <c r="G158" s="35">
        <f>F158*E158</f>
        <v>14000</v>
      </c>
    </row>
    <row r="159" spans="1:7" x14ac:dyDescent="0.2">
      <c r="A159" s="29"/>
      <c r="B159" s="101"/>
      <c r="C159" s="41"/>
      <c r="D159" s="370" t="s">
        <v>1580</v>
      </c>
      <c r="E159" s="158"/>
      <c r="F159" s="128"/>
      <c r="G159" s="35"/>
    </row>
    <row r="160" spans="1:7" x14ac:dyDescent="0.2">
      <c r="A160" s="29">
        <v>2</v>
      </c>
      <c r="B160" s="101"/>
      <c r="C160" s="371" t="s">
        <v>149</v>
      </c>
      <c r="D160" s="370" t="s">
        <v>1288</v>
      </c>
      <c r="E160" s="205">
        <v>70</v>
      </c>
      <c r="F160" s="149">
        <v>450</v>
      </c>
      <c r="G160" s="35">
        <f>F160*E160</f>
        <v>31500</v>
      </c>
    </row>
    <row r="161" spans="1:7" x14ac:dyDescent="0.2">
      <c r="A161" s="29"/>
      <c r="B161" s="101"/>
      <c r="C161" s="41"/>
      <c r="D161" s="370" t="s">
        <v>301</v>
      </c>
      <c r="E161" s="108"/>
      <c r="F161" s="128"/>
      <c r="G161" s="35"/>
    </row>
    <row r="162" spans="1:7" x14ac:dyDescent="0.2">
      <c r="A162" s="29"/>
      <c r="B162" s="105"/>
      <c r="C162" s="41"/>
      <c r="D162" s="376"/>
      <c r="E162" s="102"/>
      <c r="F162" s="128"/>
      <c r="G162" s="35"/>
    </row>
    <row r="163" spans="1:7" x14ac:dyDescent="0.2">
      <c r="A163" s="29"/>
      <c r="B163" s="105"/>
      <c r="C163" s="41"/>
      <c r="D163" s="376" t="s">
        <v>1184</v>
      </c>
      <c r="E163" s="102"/>
      <c r="F163" s="128"/>
      <c r="G163" s="35"/>
    </row>
    <row r="164" spans="1:7" x14ac:dyDescent="0.2">
      <c r="A164" s="29"/>
      <c r="B164" s="151"/>
      <c r="C164" s="119"/>
      <c r="D164" s="376"/>
      <c r="E164" s="108"/>
      <c r="F164" s="150"/>
      <c r="G164" s="35"/>
    </row>
    <row r="165" spans="1:7" x14ac:dyDescent="0.2">
      <c r="A165" s="29"/>
      <c r="B165" s="151"/>
      <c r="C165" s="119"/>
      <c r="D165" s="144"/>
      <c r="E165" s="108"/>
      <c r="F165" s="150"/>
      <c r="G165" s="35"/>
    </row>
    <row r="166" spans="1:7" x14ac:dyDescent="0.2">
      <c r="A166" s="29"/>
      <c r="B166" s="151"/>
      <c r="C166" s="119"/>
      <c r="D166" s="144"/>
      <c r="E166" s="108"/>
      <c r="F166" s="150"/>
      <c r="G166" s="35"/>
    </row>
    <row r="167" spans="1:7" x14ac:dyDescent="0.2">
      <c r="A167" s="29"/>
      <c r="B167" s="101"/>
      <c r="C167" s="41"/>
      <c r="D167" s="144"/>
      <c r="E167" s="155"/>
      <c r="F167" s="128"/>
      <c r="G167" s="35"/>
    </row>
    <row r="168" spans="1:7" x14ac:dyDescent="0.2">
      <c r="A168" s="29"/>
      <c r="B168" s="105"/>
      <c r="C168" s="41"/>
      <c r="D168" s="136"/>
      <c r="E168" s="108"/>
      <c r="F168" s="152"/>
      <c r="G168" s="35"/>
    </row>
    <row r="169" spans="1:7" x14ac:dyDescent="0.2">
      <c r="A169" s="29"/>
      <c r="B169" s="107"/>
      <c r="C169" s="41"/>
      <c r="D169" s="136"/>
      <c r="E169" s="153"/>
      <c r="F169" s="128"/>
      <c r="G169" s="35"/>
    </row>
    <row r="170" spans="1:7" x14ac:dyDescent="0.2">
      <c r="A170" s="29"/>
      <c r="B170" s="107"/>
      <c r="C170" s="41"/>
      <c r="D170" s="67"/>
      <c r="E170" s="153"/>
      <c r="F170" s="128"/>
      <c r="G170" s="35"/>
    </row>
    <row r="171" spans="1:7" x14ac:dyDescent="0.2">
      <c r="A171" s="29"/>
      <c r="B171" s="101"/>
      <c r="C171" s="41"/>
      <c r="D171" s="67"/>
      <c r="E171" s="108"/>
      <c r="F171" s="128"/>
      <c r="G171" s="35"/>
    </row>
    <row r="172" spans="1:7" x14ac:dyDescent="0.2">
      <c r="A172" s="29"/>
      <c r="B172" s="101"/>
      <c r="C172" s="41"/>
      <c r="D172" s="67"/>
      <c r="E172" s="153"/>
      <c r="F172" s="128"/>
      <c r="G172" s="35"/>
    </row>
    <row r="173" spans="1:7" x14ac:dyDescent="0.2">
      <c r="A173" s="29"/>
      <c r="B173" s="106"/>
      <c r="C173" s="41"/>
      <c r="D173" s="67"/>
      <c r="E173" s="104"/>
      <c r="F173" s="154"/>
      <c r="G173" s="35"/>
    </row>
    <row r="174" spans="1:7" x14ac:dyDescent="0.2">
      <c r="A174" s="29"/>
      <c r="B174" s="105"/>
      <c r="C174" s="41"/>
      <c r="D174" s="130"/>
      <c r="E174" s="104"/>
      <c r="F174" s="154"/>
      <c r="G174" s="35"/>
    </row>
    <row r="175" spans="1:7" x14ac:dyDescent="0.2">
      <c r="A175" s="29"/>
      <c r="B175" s="105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62"/>
      <c r="E183" s="104"/>
      <c r="F183" s="154"/>
      <c r="G183" s="35"/>
    </row>
    <row r="184" spans="1:7" x14ac:dyDescent="0.2">
      <c r="A184" s="29"/>
      <c r="B184" s="101"/>
      <c r="C184" s="41"/>
      <c r="D184" s="384" t="s">
        <v>8</v>
      </c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02"/>
      <c r="F188" s="128"/>
      <c r="G188" s="35"/>
    </row>
    <row r="189" spans="1:7" x14ac:dyDescent="0.2">
      <c r="A189" s="29"/>
      <c r="B189" s="101"/>
      <c r="C189" s="31"/>
      <c r="D189" s="67"/>
      <c r="E189" s="131"/>
      <c r="F189" s="117"/>
      <c r="G189" s="35"/>
    </row>
    <row r="190" spans="1:7" x14ac:dyDescent="0.2">
      <c r="A190" s="29"/>
      <c r="B190" s="101"/>
      <c r="C190" s="41"/>
      <c r="D190" s="118"/>
      <c r="E190" s="108"/>
      <c r="F190" s="149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ht="13.5" thickBot="1" x14ac:dyDescent="0.25">
      <c r="A192" s="45"/>
      <c r="B192" s="132"/>
      <c r="C192" s="115"/>
      <c r="D192" s="115"/>
      <c r="E192" s="132"/>
      <c r="F192" s="49" t="s">
        <v>15</v>
      </c>
      <c r="G192" s="50">
        <f>SUM(G158:G191)</f>
        <v>45500</v>
      </c>
    </row>
    <row r="193" spans="1:7" ht="13.5" thickTop="1" x14ac:dyDescent="0.2">
      <c r="A193" s="875" t="s">
        <v>1581</v>
      </c>
      <c r="B193" s="899"/>
      <c r="C193" s="899"/>
      <c r="D193" s="899"/>
      <c r="E193" s="899"/>
      <c r="F193" s="899"/>
      <c r="G193" s="900"/>
    </row>
    <row r="194" spans="1:7" ht="13.5" thickBot="1" x14ac:dyDescent="0.25">
      <c r="A194" s="442"/>
      <c r="B194" s="346"/>
      <c r="C194" s="961" t="s">
        <v>1582</v>
      </c>
      <c r="D194" s="1054"/>
      <c r="E194" s="1054"/>
      <c r="F194" s="1054"/>
      <c r="G194" s="1055"/>
    </row>
    <row r="195" spans="1:7" ht="13.5" thickTop="1" x14ac:dyDescent="0.2">
      <c r="A195" s="906"/>
      <c r="B195" s="907"/>
      <c r="C195" s="907"/>
      <c r="D195" s="57" t="s">
        <v>11</v>
      </c>
      <c r="E195" s="908" t="s">
        <v>12</v>
      </c>
      <c r="F195" s="908"/>
      <c r="G195" s="909"/>
    </row>
    <row r="196" spans="1:7" x14ac:dyDescent="0.2">
      <c r="A196" s="910" t="s">
        <v>17</v>
      </c>
      <c r="B196" s="911"/>
      <c r="C196" s="911"/>
      <c r="D196" s="39"/>
      <c r="E196" s="912"/>
      <c r="F196" s="913"/>
      <c r="G196" s="914"/>
    </row>
    <row r="197" spans="1:7" x14ac:dyDescent="0.2">
      <c r="A197" s="910" t="s">
        <v>38</v>
      </c>
      <c r="B197" s="911"/>
      <c r="C197" s="911"/>
      <c r="D197" s="58" t="s">
        <v>883</v>
      </c>
      <c r="E197" s="868" t="s">
        <v>142</v>
      </c>
      <c r="F197" s="868"/>
      <c r="G197" s="869"/>
    </row>
    <row r="198" spans="1:7" ht="13.5" thickBot="1" x14ac:dyDescent="0.25">
      <c r="A198" s="901" t="s">
        <v>39</v>
      </c>
      <c r="B198" s="902"/>
      <c r="C198" s="902"/>
      <c r="D198" s="59" t="s">
        <v>884</v>
      </c>
      <c r="E198" s="904" t="s">
        <v>0</v>
      </c>
      <c r="F198" s="904"/>
      <c r="G198" s="905"/>
    </row>
    <row r="199" spans="1:7" ht="16.5" x14ac:dyDescent="0.25">
      <c r="A199" s="885" t="s">
        <v>29</v>
      </c>
      <c r="B199" s="886"/>
      <c r="C199" s="886"/>
      <c r="D199" s="886"/>
      <c r="E199" s="886"/>
      <c r="F199" s="886"/>
      <c r="G199" s="887"/>
    </row>
    <row r="200" spans="1:7" x14ac:dyDescent="0.2">
      <c r="A200" s="888" t="s">
        <v>48</v>
      </c>
      <c r="B200" s="889"/>
      <c r="C200" s="889"/>
      <c r="D200" s="889"/>
      <c r="E200" s="889"/>
      <c r="F200" s="889"/>
      <c r="G200" s="890"/>
    </row>
    <row r="201" spans="1:7" x14ac:dyDescent="0.2">
      <c r="A201" s="915" t="s">
        <v>49</v>
      </c>
      <c r="B201" s="916"/>
      <c r="C201" s="916"/>
      <c r="D201" s="916"/>
      <c r="E201" s="916"/>
      <c r="F201" s="916"/>
      <c r="G201" s="917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41</v>
      </c>
      <c r="B203" s="13"/>
      <c r="C203" s="14" t="s">
        <v>18</v>
      </c>
      <c r="D203" s="13"/>
      <c r="E203" s="362" t="s">
        <v>1643</v>
      </c>
      <c r="F203" s="98"/>
      <c r="G203" s="363" t="s">
        <v>1642</v>
      </c>
    </row>
    <row r="204" spans="1:7" x14ac:dyDescent="0.2">
      <c r="A204" s="17" t="s">
        <v>8</v>
      </c>
      <c r="B204" s="100"/>
      <c r="C204" s="19"/>
      <c r="D204" s="4"/>
      <c r="E204" s="918"/>
      <c r="F204" s="919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920"/>
      <c r="F206" s="921"/>
      <c r="G206" s="25"/>
    </row>
    <row r="207" spans="1:7" ht="26.25" thickBot="1" x14ac:dyDescent="0.25">
      <c r="A207" s="207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364">
        <v>1</v>
      </c>
      <c r="B208" s="101"/>
      <c r="C208" s="371" t="s">
        <v>153</v>
      </c>
      <c r="D208" s="376" t="s">
        <v>1636</v>
      </c>
      <c r="E208" s="158">
        <v>10</v>
      </c>
      <c r="F208" s="128">
        <v>1490</v>
      </c>
      <c r="G208" s="35">
        <f>F208*E208</f>
        <v>14900</v>
      </c>
    </row>
    <row r="209" spans="1:7" x14ac:dyDescent="0.2">
      <c r="A209" s="29"/>
      <c r="B209" s="101"/>
      <c r="C209" s="41"/>
      <c r="D209" s="370"/>
      <c r="E209" s="158"/>
      <c r="F209" s="128"/>
      <c r="G209" s="35"/>
    </row>
    <row r="210" spans="1:7" x14ac:dyDescent="0.2">
      <c r="A210" s="29"/>
      <c r="B210" s="101"/>
      <c r="C210" s="371"/>
      <c r="D210" s="370"/>
      <c r="E210" s="205"/>
      <c r="F210" s="149"/>
      <c r="G210" s="372" t="s">
        <v>8</v>
      </c>
    </row>
    <row r="211" spans="1:7" x14ac:dyDescent="0.2">
      <c r="A211" s="29"/>
      <c r="B211" s="101"/>
      <c r="C211" s="41"/>
      <c r="D211" s="370"/>
      <c r="E211" s="108"/>
      <c r="F211" s="128"/>
      <c r="G211" s="35"/>
    </row>
    <row r="212" spans="1:7" x14ac:dyDescent="0.2">
      <c r="A212" s="29"/>
      <c r="B212" s="105"/>
      <c r="C212" s="41"/>
      <c r="D212" s="376"/>
      <c r="E212" s="102"/>
      <c r="F212" s="128"/>
      <c r="G212" s="35"/>
    </row>
    <row r="213" spans="1:7" x14ac:dyDescent="0.2">
      <c r="A213" s="29"/>
      <c r="B213" s="105"/>
      <c r="C213" s="41"/>
      <c r="D213" s="376"/>
      <c r="E213" s="102"/>
      <c r="F213" s="128"/>
      <c r="G213" s="35"/>
    </row>
    <row r="214" spans="1:7" x14ac:dyDescent="0.2">
      <c r="A214" s="29"/>
      <c r="B214" s="151"/>
      <c r="C214" s="119"/>
      <c r="D214" s="376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384" t="s">
        <v>8</v>
      </c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14900</v>
      </c>
    </row>
    <row r="243" spans="1:7" ht="13.5" thickTop="1" x14ac:dyDescent="0.2">
      <c r="A243" s="875" t="s">
        <v>1696</v>
      </c>
      <c r="B243" s="899"/>
      <c r="C243" s="899"/>
      <c r="D243" s="899"/>
      <c r="E243" s="899"/>
      <c r="F243" s="899"/>
      <c r="G243" s="900"/>
    </row>
    <row r="244" spans="1:7" ht="13.5" thickBot="1" x14ac:dyDescent="0.25">
      <c r="A244" s="442"/>
      <c r="B244" s="346"/>
      <c r="C244" s="961" t="s">
        <v>8</v>
      </c>
      <c r="D244" s="1054"/>
      <c r="E244" s="1054"/>
      <c r="F244" s="1054"/>
      <c r="G244" s="1055"/>
    </row>
    <row r="245" spans="1:7" ht="13.5" thickTop="1" x14ac:dyDescent="0.2">
      <c r="A245" s="906"/>
      <c r="B245" s="907"/>
      <c r="C245" s="907"/>
      <c r="D245" s="57" t="s">
        <v>11</v>
      </c>
      <c r="E245" s="908" t="s">
        <v>12</v>
      </c>
      <c r="F245" s="908"/>
      <c r="G245" s="909"/>
    </row>
    <row r="246" spans="1:7" x14ac:dyDescent="0.2">
      <c r="A246" s="910" t="s">
        <v>17</v>
      </c>
      <c r="B246" s="911"/>
      <c r="C246" s="911"/>
      <c r="D246" s="39"/>
      <c r="E246" s="912"/>
      <c r="F246" s="913"/>
      <c r="G246" s="914"/>
    </row>
    <row r="247" spans="1:7" x14ac:dyDescent="0.2">
      <c r="A247" s="910" t="s">
        <v>38</v>
      </c>
      <c r="B247" s="911"/>
      <c r="C247" s="911"/>
      <c r="D247" s="58" t="s">
        <v>883</v>
      </c>
      <c r="E247" s="868" t="s">
        <v>142</v>
      </c>
      <c r="F247" s="868"/>
      <c r="G247" s="869"/>
    </row>
    <row r="248" spans="1:7" ht="13.5" thickBot="1" x14ac:dyDescent="0.25">
      <c r="A248" s="901" t="s">
        <v>39</v>
      </c>
      <c r="B248" s="902"/>
      <c r="C248" s="902"/>
      <c r="D248" s="59" t="s">
        <v>884</v>
      </c>
      <c r="E248" s="904" t="s">
        <v>0</v>
      </c>
      <c r="F248" s="904"/>
      <c r="G248" s="905"/>
    </row>
    <row r="249" spans="1:7" ht="16.5" x14ac:dyDescent="0.25">
      <c r="A249" s="885" t="s">
        <v>29</v>
      </c>
      <c r="B249" s="886"/>
      <c r="C249" s="886"/>
      <c r="D249" s="886"/>
      <c r="E249" s="886"/>
      <c r="F249" s="886"/>
      <c r="G249" s="887"/>
    </row>
    <row r="250" spans="1:7" x14ac:dyDescent="0.2">
      <c r="A250" s="888" t="s">
        <v>48</v>
      </c>
      <c r="B250" s="889"/>
      <c r="C250" s="889"/>
      <c r="D250" s="889"/>
      <c r="E250" s="889"/>
      <c r="F250" s="889"/>
      <c r="G250" s="890"/>
    </row>
    <row r="251" spans="1:7" x14ac:dyDescent="0.2">
      <c r="A251" s="915" t="s">
        <v>49</v>
      </c>
      <c r="B251" s="916"/>
      <c r="C251" s="916"/>
      <c r="D251" s="916"/>
      <c r="E251" s="916"/>
      <c r="F251" s="916"/>
      <c r="G251" s="917"/>
    </row>
    <row r="252" spans="1:7" x14ac:dyDescent="0.2">
      <c r="A252" s="6"/>
      <c r="B252" s="99"/>
      <c r="C252" s="8"/>
      <c r="D252" s="9"/>
      <c r="E252" s="99"/>
      <c r="F252" s="10"/>
      <c r="G252" s="11" t="s">
        <v>20</v>
      </c>
    </row>
    <row r="253" spans="1:7" x14ac:dyDescent="0.2">
      <c r="A253" s="12" t="s">
        <v>41</v>
      </c>
      <c r="B253" s="13"/>
      <c r="C253" s="14" t="s">
        <v>18</v>
      </c>
      <c r="D253" s="13"/>
      <c r="E253" s="362" t="s">
        <v>1809</v>
      </c>
      <c r="F253" s="98"/>
      <c r="G253" s="363" t="s">
        <v>1739</v>
      </c>
    </row>
    <row r="254" spans="1:7" x14ac:dyDescent="0.2">
      <c r="A254" s="17" t="s">
        <v>8</v>
      </c>
      <c r="B254" s="100"/>
      <c r="C254" s="19"/>
      <c r="D254" s="4"/>
      <c r="E254" s="918"/>
      <c r="F254" s="919"/>
      <c r="G254" s="20"/>
    </row>
    <row r="255" spans="1:7" x14ac:dyDescent="0.2">
      <c r="A255" s="21" t="s">
        <v>37</v>
      </c>
      <c r="B255" s="22"/>
      <c r="C255" s="22"/>
      <c r="D255" s="22"/>
      <c r="E255" s="23" t="s">
        <v>46</v>
      </c>
      <c r="F255" s="24"/>
      <c r="G255" s="20" t="s">
        <v>50</v>
      </c>
    </row>
    <row r="256" spans="1:7" x14ac:dyDescent="0.2">
      <c r="A256" s="6"/>
      <c r="B256" s="99"/>
      <c r="C256" s="8"/>
      <c r="D256" s="8"/>
      <c r="E256" s="920"/>
      <c r="F256" s="921"/>
      <c r="G256" s="25"/>
    </row>
    <row r="257" spans="1:7" ht="26.25" thickBot="1" x14ac:dyDescent="0.25">
      <c r="A257" s="207" t="s">
        <v>47</v>
      </c>
      <c r="B257" s="28" t="s">
        <v>23</v>
      </c>
      <c r="C257" s="28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7" ht="13.5" thickTop="1" x14ac:dyDescent="0.2">
      <c r="A258" s="364">
        <v>1</v>
      </c>
      <c r="B258" s="101"/>
      <c r="C258" s="371" t="s">
        <v>149</v>
      </c>
      <c r="D258" s="376" t="s">
        <v>1676</v>
      </c>
      <c r="E258" s="158">
        <v>65</v>
      </c>
      <c r="F258" s="128">
        <v>250</v>
      </c>
      <c r="G258" s="35">
        <f>F258*E258</f>
        <v>16250</v>
      </c>
    </row>
    <row r="259" spans="1:7" x14ac:dyDescent="0.2">
      <c r="A259" s="29"/>
      <c r="B259" s="101"/>
      <c r="C259" s="41"/>
      <c r="D259" s="370" t="s">
        <v>1677</v>
      </c>
      <c r="E259" s="158"/>
      <c r="F259" s="128"/>
      <c r="G259" s="35"/>
    </row>
    <row r="260" spans="1:7" x14ac:dyDescent="0.2">
      <c r="A260" s="29">
        <v>2</v>
      </c>
      <c r="B260" s="101"/>
      <c r="C260" s="371" t="s">
        <v>149</v>
      </c>
      <c r="D260" s="370" t="s">
        <v>1288</v>
      </c>
      <c r="E260" s="205">
        <v>65</v>
      </c>
      <c r="F260" s="149">
        <v>450</v>
      </c>
      <c r="G260" s="372">
        <f>F260*E260</f>
        <v>29250</v>
      </c>
    </row>
    <row r="261" spans="1:7" x14ac:dyDescent="0.2">
      <c r="A261" s="29"/>
      <c r="B261" s="101"/>
      <c r="C261" s="41"/>
      <c r="D261" s="370" t="s">
        <v>301</v>
      </c>
      <c r="E261" s="108"/>
      <c r="F261" s="128"/>
      <c r="G261" s="35"/>
    </row>
    <row r="262" spans="1:7" x14ac:dyDescent="0.2">
      <c r="A262" s="29"/>
      <c r="B262" s="105"/>
      <c r="C262" s="41"/>
      <c r="D262" s="376"/>
      <c r="E262" s="102"/>
      <c r="F262" s="128"/>
      <c r="G262" s="35"/>
    </row>
    <row r="263" spans="1:7" x14ac:dyDescent="0.2">
      <c r="A263" s="29"/>
      <c r="B263" s="105"/>
      <c r="C263" s="41"/>
      <c r="D263" s="376" t="s">
        <v>1184</v>
      </c>
      <c r="E263" s="102"/>
      <c r="F263" s="128"/>
      <c r="G263" s="35"/>
    </row>
    <row r="264" spans="1:7" x14ac:dyDescent="0.2">
      <c r="A264" s="29"/>
      <c r="B264" s="151"/>
      <c r="C264" s="119"/>
      <c r="D264" s="376"/>
      <c r="E264" s="108"/>
      <c r="F264" s="150"/>
      <c r="G264" s="35"/>
    </row>
    <row r="265" spans="1:7" x14ac:dyDescent="0.2">
      <c r="A265" s="29"/>
      <c r="B265" s="151"/>
      <c r="C265" s="119"/>
      <c r="D265" s="144"/>
      <c r="E265" s="108"/>
      <c r="F265" s="150"/>
      <c r="G265" s="35"/>
    </row>
    <row r="266" spans="1:7" x14ac:dyDescent="0.2">
      <c r="A266" s="29"/>
      <c r="B266" s="151"/>
      <c r="C266" s="119"/>
      <c r="D266" s="144"/>
      <c r="E266" s="108"/>
      <c r="F266" s="150"/>
      <c r="G266" s="35"/>
    </row>
    <row r="267" spans="1:7" x14ac:dyDescent="0.2">
      <c r="A267" s="29"/>
      <c r="B267" s="101"/>
      <c r="C267" s="41"/>
      <c r="D267" s="144"/>
      <c r="E267" s="155"/>
      <c r="F267" s="128"/>
      <c r="G267" s="35"/>
    </row>
    <row r="268" spans="1:7" x14ac:dyDescent="0.2">
      <c r="A268" s="29"/>
      <c r="B268" s="105"/>
      <c r="C268" s="41"/>
      <c r="D268" s="136"/>
      <c r="E268" s="108"/>
      <c r="F268" s="152"/>
      <c r="G268" s="35"/>
    </row>
    <row r="269" spans="1:7" x14ac:dyDescent="0.2">
      <c r="A269" s="29"/>
      <c r="B269" s="107"/>
      <c r="C269" s="41"/>
      <c r="D269" s="136"/>
      <c r="E269" s="153"/>
      <c r="F269" s="128"/>
      <c r="G269" s="35"/>
    </row>
    <row r="270" spans="1:7" x14ac:dyDescent="0.2">
      <c r="A270" s="29"/>
      <c r="B270" s="107"/>
      <c r="C270" s="41"/>
      <c r="D270" s="67"/>
      <c r="E270" s="153"/>
      <c r="F270" s="128"/>
      <c r="G270" s="35"/>
    </row>
    <row r="271" spans="1:7" x14ac:dyDescent="0.2">
      <c r="A271" s="29"/>
      <c r="B271" s="101"/>
      <c r="C271" s="41"/>
      <c r="D271" s="67"/>
      <c r="E271" s="108"/>
      <c r="F271" s="128"/>
      <c r="G271" s="35"/>
    </row>
    <row r="272" spans="1:7" x14ac:dyDescent="0.2">
      <c r="A272" s="29"/>
      <c r="B272" s="101"/>
      <c r="C272" s="41"/>
      <c r="D272" s="67"/>
      <c r="E272" s="153"/>
      <c r="F272" s="128"/>
      <c r="G272" s="35"/>
    </row>
    <row r="273" spans="1:7" x14ac:dyDescent="0.2">
      <c r="A273" s="29"/>
      <c r="B273" s="106"/>
      <c r="C273" s="41"/>
      <c r="D273" s="67"/>
      <c r="E273" s="104"/>
      <c r="F273" s="154"/>
      <c r="G273" s="35"/>
    </row>
    <row r="274" spans="1:7" x14ac:dyDescent="0.2">
      <c r="A274" s="29"/>
      <c r="B274" s="105"/>
      <c r="C274" s="41"/>
      <c r="D274" s="130"/>
      <c r="E274" s="104"/>
      <c r="F274" s="154"/>
      <c r="G274" s="35"/>
    </row>
    <row r="275" spans="1:7" x14ac:dyDescent="0.2">
      <c r="A275" s="29"/>
      <c r="B275" s="105"/>
      <c r="C275" s="41"/>
      <c r="D275" s="67"/>
      <c r="E275" s="104"/>
      <c r="F275" s="154"/>
      <c r="G275" s="35"/>
    </row>
    <row r="276" spans="1:7" x14ac:dyDescent="0.2">
      <c r="A276" s="29"/>
      <c r="B276" s="101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136"/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136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62"/>
      <c r="E283" s="104"/>
      <c r="F283" s="154"/>
      <c r="G283" s="35"/>
    </row>
    <row r="284" spans="1:7" x14ac:dyDescent="0.2">
      <c r="A284" s="29"/>
      <c r="B284" s="101"/>
      <c r="C284" s="41"/>
      <c r="D284" s="384" t="s">
        <v>8</v>
      </c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02"/>
      <c r="F288" s="128"/>
      <c r="G288" s="35"/>
    </row>
    <row r="289" spans="1:7" x14ac:dyDescent="0.2">
      <c r="A289" s="29"/>
      <c r="B289" s="101"/>
      <c r="C289" s="31"/>
      <c r="D289" s="67"/>
      <c r="E289" s="131"/>
      <c r="F289" s="117"/>
      <c r="G289" s="35"/>
    </row>
    <row r="290" spans="1:7" x14ac:dyDescent="0.2">
      <c r="A290" s="29"/>
      <c r="B290" s="101"/>
      <c r="C290" s="41"/>
      <c r="D290" s="118"/>
      <c r="E290" s="108"/>
      <c r="F290" s="149"/>
      <c r="G290" s="35"/>
    </row>
    <row r="291" spans="1:7" x14ac:dyDescent="0.2">
      <c r="A291" s="29"/>
      <c r="B291" s="101"/>
      <c r="C291" s="41"/>
      <c r="D291" s="144"/>
      <c r="E291" s="108"/>
      <c r="F291" s="149"/>
      <c r="G291" s="35"/>
    </row>
    <row r="292" spans="1:7" ht="13.5" thickBot="1" x14ac:dyDescent="0.25">
      <c r="A292" s="45"/>
      <c r="B292" s="132"/>
      <c r="C292" s="115"/>
      <c r="D292" s="115"/>
      <c r="E292" s="132"/>
      <c r="F292" s="49" t="s">
        <v>15</v>
      </c>
      <c r="G292" s="50">
        <f>SUM(G258:G291)</f>
        <v>45500</v>
      </c>
    </row>
    <row r="293" spans="1:7" ht="13.5" thickTop="1" x14ac:dyDescent="0.2">
      <c r="A293" s="875" t="s">
        <v>1678</v>
      </c>
      <c r="B293" s="899"/>
      <c r="C293" s="899"/>
      <c r="D293" s="899"/>
      <c r="E293" s="899"/>
      <c r="F293" s="899"/>
      <c r="G293" s="900"/>
    </row>
    <row r="294" spans="1:7" ht="13.5" thickBot="1" x14ac:dyDescent="0.25">
      <c r="A294" s="442"/>
      <c r="B294" s="346"/>
      <c r="C294" s="961" t="s">
        <v>8</v>
      </c>
      <c r="D294" s="1054"/>
      <c r="E294" s="1054"/>
      <c r="F294" s="1054"/>
      <c r="G294" s="1055"/>
    </row>
    <row r="295" spans="1:7" ht="13.5" thickTop="1" x14ac:dyDescent="0.2">
      <c r="A295" s="906"/>
      <c r="B295" s="907"/>
      <c r="C295" s="907"/>
      <c r="D295" s="57" t="s">
        <v>11</v>
      </c>
      <c r="E295" s="908" t="s">
        <v>12</v>
      </c>
      <c r="F295" s="908"/>
      <c r="G295" s="909"/>
    </row>
    <row r="296" spans="1:7" x14ac:dyDescent="0.2">
      <c r="A296" s="910" t="s">
        <v>17</v>
      </c>
      <c r="B296" s="911"/>
      <c r="C296" s="911"/>
      <c r="D296" s="39"/>
      <c r="E296" s="912"/>
      <c r="F296" s="913"/>
      <c r="G296" s="914"/>
    </row>
    <row r="297" spans="1:7" x14ac:dyDescent="0.2">
      <c r="A297" s="910" t="s">
        <v>38</v>
      </c>
      <c r="B297" s="911"/>
      <c r="C297" s="911"/>
      <c r="D297" s="58" t="s">
        <v>883</v>
      </c>
      <c r="E297" s="868" t="s">
        <v>142</v>
      </c>
      <c r="F297" s="868"/>
      <c r="G297" s="869"/>
    </row>
    <row r="298" spans="1:7" ht="13.5" thickBot="1" x14ac:dyDescent="0.25">
      <c r="A298" s="901" t="s">
        <v>39</v>
      </c>
      <c r="B298" s="902"/>
      <c r="C298" s="902"/>
      <c r="D298" s="59" t="s">
        <v>884</v>
      </c>
      <c r="E298" s="904" t="s">
        <v>0</v>
      </c>
      <c r="F298" s="904"/>
      <c r="G298" s="905"/>
    </row>
    <row r="299" spans="1:7" ht="16.5" x14ac:dyDescent="0.25">
      <c r="A299" s="885" t="s">
        <v>29</v>
      </c>
      <c r="B299" s="886"/>
      <c r="C299" s="886"/>
      <c r="D299" s="886"/>
      <c r="E299" s="886"/>
      <c r="F299" s="886"/>
      <c r="G299" s="887"/>
    </row>
    <row r="300" spans="1:7" x14ac:dyDescent="0.2">
      <c r="A300" s="888" t="s">
        <v>48</v>
      </c>
      <c r="B300" s="889"/>
      <c r="C300" s="889"/>
      <c r="D300" s="889"/>
      <c r="E300" s="889"/>
      <c r="F300" s="889"/>
      <c r="G300" s="890"/>
    </row>
    <row r="301" spans="1:7" x14ac:dyDescent="0.2">
      <c r="A301" s="915" t="s">
        <v>49</v>
      </c>
      <c r="B301" s="916"/>
      <c r="C301" s="916"/>
      <c r="D301" s="916"/>
      <c r="E301" s="916"/>
      <c r="F301" s="916"/>
      <c r="G301" s="917"/>
    </row>
    <row r="302" spans="1:7" x14ac:dyDescent="0.2">
      <c r="A302" s="6"/>
      <c r="B302" s="99"/>
      <c r="C302" s="8"/>
      <c r="D302" s="9"/>
      <c r="E302" s="99"/>
      <c r="F302" s="10"/>
      <c r="G302" s="11" t="s">
        <v>20</v>
      </c>
    </row>
    <row r="303" spans="1:7" x14ac:dyDescent="0.2">
      <c r="A303" s="12" t="s">
        <v>41</v>
      </c>
      <c r="B303" s="13"/>
      <c r="C303" s="14" t="s">
        <v>18</v>
      </c>
      <c r="D303" s="13"/>
      <c r="E303" s="362" t="s">
        <v>1842</v>
      </c>
      <c r="F303" s="98"/>
      <c r="G303" s="363" t="s">
        <v>1829</v>
      </c>
    </row>
    <row r="304" spans="1:7" x14ac:dyDescent="0.2">
      <c r="A304" s="17" t="s">
        <v>8</v>
      </c>
      <c r="B304" s="100"/>
      <c r="C304" s="19"/>
      <c r="D304" s="4"/>
      <c r="E304" s="918"/>
      <c r="F304" s="919"/>
      <c r="G304" s="20"/>
    </row>
    <row r="305" spans="1:7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7" x14ac:dyDescent="0.2">
      <c r="A306" s="6"/>
      <c r="B306" s="99"/>
      <c r="C306" s="8"/>
      <c r="D306" s="8"/>
      <c r="E306" s="920"/>
      <c r="F306" s="921"/>
      <c r="G306" s="25"/>
    </row>
    <row r="307" spans="1:7" ht="26.25" thickBot="1" x14ac:dyDescent="0.25">
      <c r="A307" s="207" t="s">
        <v>47</v>
      </c>
      <c r="B307" s="28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7" ht="13.5" thickTop="1" x14ac:dyDescent="0.2">
      <c r="A308" s="364">
        <v>1</v>
      </c>
      <c r="B308" s="101"/>
      <c r="C308" s="371" t="s">
        <v>149</v>
      </c>
      <c r="D308" s="376" t="s">
        <v>1708</v>
      </c>
      <c r="E308" s="158">
        <v>25</v>
      </c>
      <c r="F308" s="128">
        <v>250</v>
      </c>
      <c r="G308" s="35">
        <f>F308*E308</f>
        <v>6250</v>
      </c>
    </row>
    <row r="309" spans="1:7" x14ac:dyDescent="0.2">
      <c r="A309" s="29"/>
      <c r="B309" s="101"/>
      <c r="C309" s="41"/>
      <c r="D309" s="370" t="s">
        <v>1309</v>
      </c>
      <c r="E309" s="158"/>
      <c r="F309" s="128"/>
      <c r="G309" s="35"/>
    </row>
    <row r="310" spans="1:7" x14ac:dyDescent="0.2">
      <c r="A310" s="29">
        <v>2</v>
      </c>
      <c r="B310" s="101"/>
      <c r="C310" s="371" t="s">
        <v>149</v>
      </c>
      <c r="D310" s="370" t="s">
        <v>1288</v>
      </c>
      <c r="E310" s="205">
        <v>25</v>
      </c>
      <c r="F310" s="149">
        <v>450</v>
      </c>
      <c r="G310" s="372">
        <f>F310*E310</f>
        <v>11250</v>
      </c>
    </row>
    <row r="311" spans="1:7" x14ac:dyDescent="0.2">
      <c r="A311" s="29"/>
      <c r="B311" s="101"/>
      <c r="C311" s="41"/>
      <c r="D311" s="370" t="s">
        <v>301</v>
      </c>
      <c r="E311" s="108"/>
      <c r="F311" s="128"/>
      <c r="G311" s="35"/>
    </row>
    <row r="312" spans="1:7" x14ac:dyDescent="0.2">
      <c r="A312" s="29"/>
      <c r="B312" s="105"/>
      <c r="C312" s="41"/>
      <c r="D312" s="376"/>
      <c r="E312" s="102"/>
      <c r="F312" s="128"/>
      <c r="G312" s="35"/>
    </row>
    <row r="313" spans="1:7" x14ac:dyDescent="0.2">
      <c r="A313" s="29"/>
      <c r="B313" s="105"/>
      <c r="C313" s="41"/>
      <c r="D313" s="376" t="s">
        <v>8</v>
      </c>
      <c r="E313" s="102"/>
      <c r="F313" s="128"/>
      <c r="G313" s="35"/>
    </row>
    <row r="314" spans="1:7" x14ac:dyDescent="0.2">
      <c r="A314" s="29"/>
      <c r="B314" s="151"/>
      <c r="C314" s="119"/>
      <c r="D314" s="376"/>
      <c r="E314" s="108"/>
      <c r="F314" s="150"/>
      <c r="G314" s="35"/>
    </row>
    <row r="315" spans="1:7" x14ac:dyDescent="0.2">
      <c r="A315" s="29"/>
      <c r="B315" s="151"/>
      <c r="C315" s="119"/>
      <c r="D315" s="144"/>
      <c r="E315" s="108"/>
      <c r="F315" s="150"/>
      <c r="G315" s="35"/>
    </row>
    <row r="316" spans="1:7" x14ac:dyDescent="0.2">
      <c r="A316" s="29"/>
      <c r="B316" s="151"/>
      <c r="C316" s="119"/>
      <c r="D316" s="144"/>
      <c r="E316" s="108"/>
      <c r="F316" s="150"/>
      <c r="G316" s="35"/>
    </row>
    <row r="317" spans="1:7" x14ac:dyDescent="0.2">
      <c r="A317" s="29"/>
      <c r="B317" s="101"/>
      <c r="C317" s="41"/>
      <c r="D317" s="144"/>
      <c r="E317" s="155"/>
      <c r="F317" s="128"/>
      <c r="G317" s="35"/>
    </row>
    <row r="318" spans="1:7" x14ac:dyDescent="0.2">
      <c r="A318" s="29"/>
      <c r="B318" s="105"/>
      <c r="C318" s="41"/>
      <c r="D318" s="136"/>
      <c r="E318" s="108"/>
      <c r="F318" s="152"/>
      <c r="G318" s="35"/>
    </row>
    <row r="319" spans="1:7" x14ac:dyDescent="0.2">
      <c r="A319" s="29"/>
      <c r="B319" s="107"/>
      <c r="C319" s="41"/>
      <c r="D319" s="136"/>
      <c r="E319" s="153"/>
      <c r="F319" s="128"/>
      <c r="G319" s="35"/>
    </row>
    <row r="320" spans="1:7" x14ac:dyDescent="0.2">
      <c r="A320" s="29"/>
      <c r="B320" s="107"/>
      <c r="C320" s="41"/>
      <c r="D320" s="67"/>
      <c r="E320" s="153"/>
      <c r="F320" s="128"/>
      <c r="G320" s="35"/>
    </row>
    <row r="321" spans="1:7" x14ac:dyDescent="0.2">
      <c r="A321" s="29"/>
      <c r="B321" s="101"/>
      <c r="C321" s="41"/>
      <c r="D321" s="67"/>
      <c r="E321" s="108"/>
      <c r="F321" s="128"/>
      <c r="G321" s="35"/>
    </row>
    <row r="322" spans="1:7" x14ac:dyDescent="0.2">
      <c r="A322" s="29"/>
      <c r="B322" s="101"/>
      <c r="C322" s="41"/>
      <c r="D322" s="67"/>
      <c r="E322" s="153"/>
      <c r="F322" s="128"/>
      <c r="G322" s="35"/>
    </row>
    <row r="323" spans="1:7" x14ac:dyDescent="0.2">
      <c r="A323" s="29"/>
      <c r="B323" s="106"/>
      <c r="C323" s="41"/>
      <c r="D323" s="67"/>
      <c r="E323" s="104"/>
      <c r="F323" s="154"/>
      <c r="G323" s="35"/>
    </row>
    <row r="324" spans="1:7" x14ac:dyDescent="0.2">
      <c r="A324" s="29"/>
      <c r="B324" s="105"/>
      <c r="C324" s="41"/>
      <c r="D324" s="130"/>
      <c r="E324" s="104"/>
      <c r="F324" s="154"/>
      <c r="G324" s="35"/>
    </row>
    <row r="325" spans="1:7" x14ac:dyDescent="0.2">
      <c r="A325" s="29"/>
      <c r="B325" s="105"/>
      <c r="C325" s="41"/>
      <c r="D325" s="67"/>
      <c r="E325" s="104"/>
      <c r="F325" s="154"/>
      <c r="G325" s="35"/>
    </row>
    <row r="326" spans="1:7" x14ac:dyDescent="0.2">
      <c r="A326" s="29"/>
      <c r="B326" s="101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136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136"/>
      <c r="E331" s="104"/>
      <c r="F331" s="154"/>
      <c r="G331" s="35"/>
    </row>
    <row r="332" spans="1:7" x14ac:dyDescent="0.2">
      <c r="A332" s="29"/>
      <c r="B332" s="101"/>
      <c r="C332" s="41"/>
      <c r="D332" s="136"/>
      <c r="E332" s="104"/>
      <c r="F332" s="154"/>
      <c r="G332" s="35"/>
    </row>
    <row r="333" spans="1:7" x14ac:dyDescent="0.2">
      <c r="A333" s="29"/>
      <c r="B333" s="101"/>
      <c r="C333" s="41"/>
      <c r="D333" s="62"/>
      <c r="E333" s="104"/>
      <c r="F333" s="154"/>
      <c r="G333" s="35"/>
    </row>
    <row r="334" spans="1:7" x14ac:dyDescent="0.2">
      <c r="A334" s="29"/>
      <c r="B334" s="101"/>
      <c r="C334" s="41"/>
      <c r="D334" s="384" t="s">
        <v>8</v>
      </c>
      <c r="E334" s="104"/>
      <c r="F334" s="154"/>
      <c r="G334" s="35"/>
    </row>
    <row r="335" spans="1:7" x14ac:dyDescent="0.2">
      <c r="A335" s="29"/>
      <c r="B335" s="101"/>
      <c r="C335" s="41"/>
      <c r="D335" s="159"/>
      <c r="E335" s="104"/>
      <c r="F335" s="154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02"/>
      <c r="F338" s="128"/>
      <c r="G338" s="35"/>
    </row>
    <row r="339" spans="1:7" x14ac:dyDescent="0.2">
      <c r="A339" s="29"/>
      <c r="B339" s="101"/>
      <c r="C339" s="31"/>
      <c r="D339" s="67"/>
      <c r="E339" s="131"/>
      <c r="F339" s="117"/>
      <c r="G339" s="35"/>
    </row>
    <row r="340" spans="1:7" x14ac:dyDescent="0.2">
      <c r="A340" s="29"/>
      <c r="B340" s="101"/>
      <c r="C340" s="41"/>
      <c r="D340" s="118"/>
      <c r="E340" s="108"/>
      <c r="F340" s="149"/>
      <c r="G340" s="35"/>
    </row>
    <row r="341" spans="1:7" x14ac:dyDescent="0.2">
      <c r="A341" s="29"/>
      <c r="B341" s="101"/>
      <c r="C341" s="41"/>
      <c r="D341" s="144"/>
      <c r="E341" s="108"/>
      <c r="F341" s="149"/>
      <c r="G341" s="35"/>
    </row>
    <row r="342" spans="1:7" ht="13.5" thickBot="1" x14ac:dyDescent="0.25">
      <c r="A342" s="45"/>
      <c r="B342" s="132"/>
      <c r="C342" s="115"/>
      <c r="D342" s="115"/>
      <c r="E342" s="132"/>
      <c r="F342" s="49" t="s">
        <v>15</v>
      </c>
      <c r="G342" s="50">
        <f>SUM(G308:G341)</f>
        <v>17500</v>
      </c>
    </row>
    <row r="343" spans="1:7" ht="13.5" thickTop="1" x14ac:dyDescent="0.2">
      <c r="A343" s="875" t="s">
        <v>1709</v>
      </c>
      <c r="B343" s="899"/>
      <c r="C343" s="899"/>
      <c r="D343" s="899"/>
      <c r="E343" s="899"/>
      <c r="F343" s="899"/>
      <c r="G343" s="900"/>
    </row>
    <row r="344" spans="1:7" ht="13.5" thickBot="1" x14ac:dyDescent="0.25">
      <c r="A344" s="442"/>
      <c r="B344" s="346"/>
      <c r="C344" s="961" t="s">
        <v>8</v>
      </c>
      <c r="D344" s="1054"/>
      <c r="E344" s="1054"/>
      <c r="F344" s="1054"/>
      <c r="G344" s="1055"/>
    </row>
    <row r="345" spans="1:7" ht="13.5" thickTop="1" x14ac:dyDescent="0.2">
      <c r="A345" s="906"/>
      <c r="B345" s="907"/>
      <c r="C345" s="907"/>
      <c r="D345" s="57" t="s">
        <v>11</v>
      </c>
      <c r="E345" s="908" t="s">
        <v>12</v>
      </c>
      <c r="F345" s="908"/>
      <c r="G345" s="909"/>
    </row>
    <row r="346" spans="1:7" x14ac:dyDescent="0.2">
      <c r="A346" s="910" t="s">
        <v>17</v>
      </c>
      <c r="B346" s="911"/>
      <c r="C346" s="911"/>
      <c r="D346" s="39"/>
      <c r="E346" s="912"/>
      <c r="F346" s="913"/>
      <c r="G346" s="914"/>
    </row>
    <row r="347" spans="1:7" x14ac:dyDescent="0.2">
      <c r="A347" s="910" t="s">
        <v>38</v>
      </c>
      <c r="B347" s="911"/>
      <c r="C347" s="911"/>
      <c r="D347" s="58" t="s">
        <v>883</v>
      </c>
      <c r="E347" s="868" t="s">
        <v>142</v>
      </c>
      <c r="F347" s="868"/>
      <c r="G347" s="869"/>
    </row>
    <row r="348" spans="1:7" ht="13.5" thickBot="1" x14ac:dyDescent="0.25">
      <c r="A348" s="901" t="s">
        <v>39</v>
      </c>
      <c r="B348" s="902"/>
      <c r="C348" s="902"/>
      <c r="D348" s="59" t="s">
        <v>884</v>
      </c>
      <c r="E348" s="904" t="s">
        <v>0</v>
      </c>
      <c r="F348" s="904"/>
      <c r="G348" s="905"/>
    </row>
    <row r="349" spans="1:7" ht="16.5" x14ac:dyDescent="0.25">
      <c r="A349" s="885" t="s">
        <v>29</v>
      </c>
      <c r="B349" s="886"/>
      <c r="C349" s="886"/>
      <c r="D349" s="886"/>
      <c r="E349" s="886"/>
      <c r="F349" s="886"/>
      <c r="G349" s="887"/>
    </row>
    <row r="350" spans="1:7" x14ac:dyDescent="0.2">
      <c r="A350" s="888" t="s">
        <v>48</v>
      </c>
      <c r="B350" s="889"/>
      <c r="C350" s="889"/>
      <c r="D350" s="889"/>
      <c r="E350" s="889"/>
      <c r="F350" s="889"/>
      <c r="G350" s="890"/>
    </row>
    <row r="351" spans="1:7" x14ac:dyDescent="0.2">
      <c r="A351" s="915" t="s">
        <v>49</v>
      </c>
      <c r="B351" s="916"/>
      <c r="C351" s="916"/>
      <c r="D351" s="916"/>
      <c r="E351" s="916"/>
      <c r="F351" s="916"/>
      <c r="G351" s="917"/>
    </row>
    <row r="352" spans="1:7" x14ac:dyDescent="0.2">
      <c r="A352" s="6"/>
      <c r="B352" s="99"/>
      <c r="C352" s="8"/>
      <c r="D352" s="9"/>
      <c r="E352" s="99"/>
      <c r="F352" s="10"/>
      <c r="G352" s="11" t="s">
        <v>20</v>
      </c>
    </row>
    <row r="353" spans="1:7" x14ac:dyDescent="0.2">
      <c r="A353" s="12" t="s">
        <v>41</v>
      </c>
      <c r="B353" s="13"/>
      <c r="C353" s="14" t="s">
        <v>18</v>
      </c>
      <c r="D353" s="13"/>
      <c r="E353" s="362" t="s">
        <v>1854</v>
      </c>
      <c r="F353" s="98"/>
      <c r="G353" s="363" t="s">
        <v>1829</v>
      </c>
    </row>
    <row r="354" spans="1:7" x14ac:dyDescent="0.2">
      <c r="A354" s="17" t="s">
        <v>8</v>
      </c>
      <c r="B354" s="100"/>
      <c r="C354" s="19"/>
      <c r="D354" s="4"/>
      <c r="E354" s="918"/>
      <c r="F354" s="919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920"/>
      <c r="F356" s="921"/>
      <c r="G356" s="25"/>
    </row>
    <row r="357" spans="1:7" ht="26.25" thickBot="1" x14ac:dyDescent="0.25">
      <c r="A357" s="207" t="s">
        <v>47</v>
      </c>
      <c r="B357" s="28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364">
        <v>1</v>
      </c>
      <c r="B358" s="101"/>
      <c r="C358" s="371" t="s">
        <v>242</v>
      </c>
      <c r="D358" s="376" t="s">
        <v>1847</v>
      </c>
      <c r="E358" s="158">
        <v>35</v>
      </c>
      <c r="F358" s="128">
        <v>200</v>
      </c>
      <c r="G358" s="35">
        <f>F358*E358</f>
        <v>7000</v>
      </c>
    </row>
    <row r="359" spans="1:7" x14ac:dyDescent="0.2">
      <c r="A359" s="29"/>
      <c r="B359" s="101"/>
      <c r="C359" s="41"/>
      <c r="D359" s="370" t="s">
        <v>981</v>
      </c>
      <c r="E359" s="158"/>
      <c r="F359" s="128"/>
      <c r="G359" s="35"/>
    </row>
    <row r="360" spans="1:7" x14ac:dyDescent="0.2">
      <c r="A360" s="29">
        <v>2</v>
      </c>
      <c r="B360" s="101"/>
      <c r="C360" s="371" t="s">
        <v>242</v>
      </c>
      <c r="D360" s="370" t="s">
        <v>1190</v>
      </c>
      <c r="E360" s="205">
        <v>35</v>
      </c>
      <c r="F360" s="149">
        <v>450</v>
      </c>
      <c r="G360" s="372">
        <f>F360*E360</f>
        <v>15750</v>
      </c>
    </row>
    <row r="361" spans="1:7" x14ac:dyDescent="0.2">
      <c r="A361" s="29"/>
      <c r="B361" s="101"/>
      <c r="C361" s="41"/>
      <c r="D361" s="370" t="s">
        <v>301</v>
      </c>
      <c r="E361" s="108"/>
      <c r="F361" s="128"/>
      <c r="G361" s="35"/>
    </row>
    <row r="362" spans="1:7" x14ac:dyDescent="0.2">
      <c r="A362" s="29"/>
      <c r="B362" s="105"/>
      <c r="C362" s="41"/>
      <c r="D362" s="376"/>
      <c r="E362" s="102"/>
      <c r="F362" s="128"/>
      <c r="G362" s="35"/>
    </row>
    <row r="363" spans="1:7" x14ac:dyDescent="0.2">
      <c r="A363" s="29"/>
      <c r="B363" s="105"/>
      <c r="C363" s="41"/>
      <c r="D363" s="376" t="s">
        <v>8</v>
      </c>
      <c r="E363" s="102"/>
      <c r="F363" s="128"/>
      <c r="G363" s="35"/>
    </row>
    <row r="364" spans="1:7" x14ac:dyDescent="0.2">
      <c r="A364" s="29"/>
      <c r="B364" s="151"/>
      <c r="C364" s="119"/>
      <c r="D364" s="376"/>
      <c r="E364" s="108"/>
      <c r="F364" s="150"/>
      <c r="G364" s="35"/>
    </row>
    <row r="365" spans="1:7" x14ac:dyDescent="0.2">
      <c r="A365" s="29"/>
      <c r="B365" s="151"/>
      <c r="C365" s="119"/>
      <c r="D365" s="144"/>
      <c r="E365" s="108"/>
      <c r="F365" s="150"/>
      <c r="G365" s="35"/>
    </row>
    <row r="366" spans="1:7" x14ac:dyDescent="0.2">
      <c r="A366" s="29"/>
      <c r="B366" s="151"/>
      <c r="C366" s="119"/>
      <c r="D366" s="144"/>
      <c r="E366" s="108"/>
      <c r="F366" s="150"/>
      <c r="G366" s="35"/>
    </row>
    <row r="367" spans="1:7" x14ac:dyDescent="0.2">
      <c r="A367" s="29"/>
      <c r="B367" s="101"/>
      <c r="C367" s="41"/>
      <c r="D367" s="383" t="s">
        <v>151</v>
      </c>
      <c r="E367" s="155"/>
      <c r="F367" s="128"/>
      <c r="G367" s="35"/>
    </row>
    <row r="368" spans="1:7" x14ac:dyDescent="0.2">
      <c r="A368" s="29"/>
      <c r="B368" s="105"/>
      <c r="C368" s="41"/>
      <c r="D368" s="136"/>
      <c r="E368" s="108"/>
      <c r="F368" s="152"/>
      <c r="G368" s="35"/>
    </row>
    <row r="369" spans="1:7" x14ac:dyDescent="0.2">
      <c r="A369" s="29"/>
      <c r="B369" s="107"/>
      <c r="C369" s="41"/>
      <c r="D369" s="136"/>
      <c r="E369" s="153"/>
      <c r="F369" s="128"/>
      <c r="G369" s="35"/>
    </row>
    <row r="370" spans="1:7" x14ac:dyDescent="0.2">
      <c r="A370" s="29"/>
      <c r="B370" s="107"/>
      <c r="C370" s="41"/>
      <c r="D370" s="67"/>
      <c r="E370" s="153"/>
      <c r="F370" s="128"/>
      <c r="G370" s="35"/>
    </row>
    <row r="371" spans="1:7" x14ac:dyDescent="0.2">
      <c r="A371" s="29"/>
      <c r="B371" s="101"/>
      <c r="C371" s="41"/>
      <c r="D371" s="67"/>
      <c r="E371" s="108"/>
      <c r="F371" s="128"/>
      <c r="G371" s="35"/>
    </row>
    <row r="372" spans="1:7" x14ac:dyDescent="0.2">
      <c r="A372" s="29"/>
      <c r="B372" s="101"/>
      <c r="C372" s="41"/>
      <c r="D372" s="67"/>
      <c r="E372" s="153"/>
      <c r="F372" s="128"/>
      <c r="G372" s="35"/>
    </row>
    <row r="373" spans="1:7" x14ac:dyDescent="0.2">
      <c r="A373" s="29"/>
      <c r="B373" s="106"/>
      <c r="C373" s="41"/>
      <c r="D373" s="67"/>
      <c r="E373" s="104"/>
      <c r="F373" s="154"/>
      <c r="G373" s="35"/>
    </row>
    <row r="374" spans="1:7" x14ac:dyDescent="0.2">
      <c r="A374" s="29"/>
      <c r="B374" s="105"/>
      <c r="C374" s="41"/>
      <c r="D374" s="130"/>
      <c r="E374" s="104"/>
      <c r="F374" s="154"/>
      <c r="G374" s="35"/>
    </row>
    <row r="375" spans="1:7" x14ac:dyDescent="0.2">
      <c r="A375" s="29"/>
      <c r="B375" s="105"/>
      <c r="C375" s="41"/>
      <c r="D375" s="67"/>
      <c r="E375" s="104"/>
      <c r="F375" s="154"/>
      <c r="G375" s="35"/>
    </row>
    <row r="376" spans="1:7" x14ac:dyDescent="0.2">
      <c r="A376" s="29"/>
      <c r="B376" s="101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376" t="s">
        <v>8</v>
      </c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136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62"/>
      <c r="E383" s="104"/>
      <c r="F383" s="154"/>
      <c r="G383" s="35"/>
    </row>
    <row r="384" spans="1:7" x14ac:dyDescent="0.2">
      <c r="A384" s="29"/>
      <c r="B384" s="101"/>
      <c r="C384" s="41"/>
      <c r="D384" s="384" t="s">
        <v>8</v>
      </c>
      <c r="E384" s="104"/>
      <c r="F384" s="154"/>
      <c r="G384" s="35"/>
    </row>
    <row r="385" spans="1:7" x14ac:dyDescent="0.2">
      <c r="A385" s="29"/>
      <c r="B385" s="101"/>
      <c r="C385" s="41"/>
      <c r="D385" s="159"/>
      <c r="E385" s="104"/>
      <c r="F385" s="154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36"/>
      <c r="E387" s="153"/>
      <c r="F387" s="128"/>
      <c r="G387" s="35"/>
    </row>
    <row r="388" spans="1:7" x14ac:dyDescent="0.2">
      <c r="A388" s="29"/>
      <c r="B388" s="101"/>
      <c r="C388" s="41"/>
      <c r="D388" s="136"/>
      <c r="E388" s="102"/>
      <c r="F388" s="128"/>
      <c r="G388" s="35"/>
    </row>
    <row r="389" spans="1:7" x14ac:dyDescent="0.2">
      <c r="A389" s="29"/>
      <c r="B389" s="101"/>
      <c r="C389" s="31"/>
      <c r="D389" s="67"/>
      <c r="E389" s="131"/>
      <c r="F389" s="117"/>
      <c r="G389" s="35"/>
    </row>
    <row r="390" spans="1:7" x14ac:dyDescent="0.2">
      <c r="A390" s="29"/>
      <c r="B390" s="101"/>
      <c r="C390" s="41"/>
      <c r="D390" s="118"/>
      <c r="E390" s="108"/>
      <c r="F390" s="149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ht="13.5" thickBot="1" x14ac:dyDescent="0.25">
      <c r="A392" s="45"/>
      <c r="B392" s="132"/>
      <c r="C392" s="115"/>
      <c r="D392" s="115"/>
      <c r="E392" s="132"/>
      <c r="F392" s="49" t="s">
        <v>15</v>
      </c>
      <c r="G392" s="50">
        <f>SUM(G358:G391)</f>
        <v>22750</v>
      </c>
    </row>
    <row r="393" spans="1:7" ht="13.5" thickTop="1" x14ac:dyDescent="0.2">
      <c r="A393" s="875" t="s">
        <v>1853</v>
      </c>
      <c r="B393" s="899"/>
      <c r="C393" s="899"/>
      <c r="D393" s="899"/>
      <c r="E393" s="899"/>
      <c r="F393" s="899"/>
      <c r="G393" s="900"/>
    </row>
    <row r="394" spans="1:7" ht="13.5" thickBot="1" x14ac:dyDescent="0.25">
      <c r="A394" s="442"/>
      <c r="B394" s="346"/>
      <c r="C394" s="961" t="s">
        <v>8</v>
      </c>
      <c r="D394" s="1054"/>
      <c r="E394" s="1054"/>
      <c r="F394" s="1054"/>
      <c r="G394" s="1055"/>
    </row>
    <row r="395" spans="1:7" ht="13.5" thickTop="1" x14ac:dyDescent="0.2">
      <c r="A395" s="906"/>
      <c r="B395" s="907"/>
      <c r="C395" s="907"/>
      <c r="D395" s="57" t="s">
        <v>11</v>
      </c>
      <c r="E395" s="908" t="s">
        <v>12</v>
      </c>
      <c r="F395" s="908"/>
      <c r="G395" s="909"/>
    </row>
    <row r="396" spans="1:7" x14ac:dyDescent="0.2">
      <c r="A396" s="910" t="s">
        <v>17</v>
      </c>
      <c r="B396" s="911"/>
      <c r="C396" s="911"/>
      <c r="D396" s="39"/>
      <c r="E396" s="912"/>
      <c r="F396" s="913"/>
      <c r="G396" s="914"/>
    </row>
    <row r="397" spans="1:7" x14ac:dyDescent="0.2">
      <c r="A397" s="910" t="s">
        <v>38</v>
      </c>
      <c r="B397" s="911"/>
      <c r="C397" s="911"/>
      <c r="D397" s="58" t="s">
        <v>883</v>
      </c>
      <c r="E397" s="868" t="s">
        <v>142</v>
      </c>
      <c r="F397" s="868"/>
      <c r="G397" s="869"/>
    </row>
    <row r="398" spans="1:7" ht="13.5" thickBot="1" x14ac:dyDescent="0.25">
      <c r="A398" s="901" t="s">
        <v>39</v>
      </c>
      <c r="B398" s="902"/>
      <c r="C398" s="902"/>
      <c r="D398" s="59" t="s">
        <v>884</v>
      </c>
      <c r="E398" s="904" t="s">
        <v>0</v>
      </c>
      <c r="F398" s="904"/>
      <c r="G398" s="905"/>
    </row>
    <row r="399" spans="1:7" ht="16.5" x14ac:dyDescent="0.25">
      <c r="A399" s="885" t="s">
        <v>29</v>
      </c>
      <c r="B399" s="886"/>
      <c r="C399" s="886"/>
      <c r="D399" s="886"/>
      <c r="E399" s="886"/>
      <c r="F399" s="886"/>
      <c r="G399" s="887"/>
    </row>
    <row r="400" spans="1:7" x14ac:dyDescent="0.2">
      <c r="A400" s="888" t="s">
        <v>48</v>
      </c>
      <c r="B400" s="889"/>
      <c r="C400" s="889"/>
      <c r="D400" s="889"/>
      <c r="E400" s="889"/>
      <c r="F400" s="889"/>
      <c r="G400" s="890"/>
    </row>
    <row r="401" spans="1:11" x14ac:dyDescent="0.2">
      <c r="A401" s="915" t="s">
        <v>49</v>
      </c>
      <c r="B401" s="916"/>
      <c r="C401" s="916"/>
      <c r="D401" s="916"/>
      <c r="E401" s="916"/>
      <c r="F401" s="916"/>
      <c r="G401" s="917"/>
    </row>
    <row r="402" spans="1:11" x14ac:dyDescent="0.2">
      <c r="A402" s="6"/>
      <c r="B402" s="99"/>
      <c r="C402" s="8"/>
      <c r="D402" s="9"/>
      <c r="E402" s="99"/>
      <c r="F402" s="10"/>
      <c r="G402" s="11" t="s">
        <v>20</v>
      </c>
    </row>
    <row r="403" spans="1:11" x14ac:dyDescent="0.2">
      <c r="A403" s="12" t="s">
        <v>41</v>
      </c>
      <c r="B403" s="13"/>
      <c r="C403" s="14" t="s">
        <v>18</v>
      </c>
      <c r="D403" s="13"/>
      <c r="E403" s="362" t="s">
        <v>1919</v>
      </c>
      <c r="F403" s="98"/>
      <c r="G403" s="363" t="s">
        <v>1864</v>
      </c>
    </row>
    <row r="404" spans="1:11" x14ac:dyDescent="0.2">
      <c r="A404" s="17" t="s">
        <v>8</v>
      </c>
      <c r="B404" s="100"/>
      <c r="C404" s="19"/>
      <c r="D404" s="4"/>
      <c r="E404" s="918"/>
      <c r="F404" s="919"/>
      <c r="G404" s="20"/>
    </row>
    <row r="405" spans="1:11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11" x14ac:dyDescent="0.2">
      <c r="A406" s="6"/>
      <c r="B406" s="99"/>
      <c r="C406" s="8"/>
      <c r="D406" s="8"/>
      <c r="E406" s="920"/>
      <c r="F406" s="921"/>
      <c r="G406" s="25"/>
    </row>
    <row r="407" spans="1:11" ht="26.25" thickBot="1" x14ac:dyDescent="0.25">
      <c r="A407" s="207" t="s">
        <v>47</v>
      </c>
      <c r="B407" s="28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11" ht="13.5" thickTop="1" x14ac:dyDescent="0.2">
      <c r="A408" s="364">
        <v>1</v>
      </c>
      <c r="B408" s="101"/>
      <c r="C408" s="371" t="s">
        <v>185</v>
      </c>
      <c r="D408" s="376" t="s">
        <v>1865</v>
      </c>
      <c r="E408" s="158">
        <v>30</v>
      </c>
      <c r="F408" s="128">
        <v>3950</v>
      </c>
      <c r="G408" s="35">
        <f>F408*E408</f>
        <v>118500</v>
      </c>
      <c r="I408" s="158">
        <v>30</v>
      </c>
      <c r="J408" s="128">
        <v>3950</v>
      </c>
      <c r="K408" s="35">
        <f>J408*I408</f>
        <v>118500</v>
      </c>
    </row>
    <row r="409" spans="1:11" x14ac:dyDescent="0.2">
      <c r="A409" s="29">
        <v>2</v>
      </c>
      <c r="B409" s="101"/>
      <c r="C409" s="371" t="s">
        <v>177</v>
      </c>
      <c r="D409" s="370" t="s">
        <v>1866</v>
      </c>
      <c r="E409" s="158">
        <v>25</v>
      </c>
      <c r="F409" s="128">
        <v>3480</v>
      </c>
      <c r="G409" s="35">
        <f t="shared" ref="G409:G422" si="0">F409*E409</f>
        <v>87000</v>
      </c>
      <c r="I409" s="158">
        <v>25</v>
      </c>
      <c r="J409" s="128">
        <v>3480</v>
      </c>
      <c r="K409" s="35">
        <f t="shared" ref="K409:K410" si="1">J409*I409</f>
        <v>87000</v>
      </c>
    </row>
    <row r="410" spans="1:11" x14ac:dyDescent="0.2">
      <c r="A410" s="29">
        <v>3</v>
      </c>
      <c r="B410" s="101"/>
      <c r="C410" s="371" t="s">
        <v>185</v>
      </c>
      <c r="D410" s="370" t="s">
        <v>1868</v>
      </c>
      <c r="E410" s="205">
        <v>20</v>
      </c>
      <c r="F410" s="149">
        <v>1795</v>
      </c>
      <c r="G410" s="35">
        <f t="shared" si="0"/>
        <v>35900</v>
      </c>
      <c r="I410" s="205">
        <v>20</v>
      </c>
      <c r="J410" s="149">
        <v>1795</v>
      </c>
      <c r="K410" s="35">
        <f t="shared" si="1"/>
        <v>35900</v>
      </c>
    </row>
    <row r="411" spans="1:11" x14ac:dyDescent="0.2">
      <c r="A411" s="29"/>
      <c r="B411" s="101"/>
      <c r="C411" s="371"/>
      <c r="D411" s="370" t="s">
        <v>1867</v>
      </c>
      <c r="E411" s="543" t="s">
        <v>8</v>
      </c>
      <c r="F411" s="149"/>
      <c r="G411" s="372" t="s">
        <v>8</v>
      </c>
      <c r="I411" s="543" t="s">
        <v>8</v>
      </c>
      <c r="J411" s="149"/>
      <c r="K411" s="372" t="s">
        <v>8</v>
      </c>
    </row>
    <row r="412" spans="1:11" x14ac:dyDescent="0.2">
      <c r="A412" s="29">
        <v>4</v>
      </c>
      <c r="B412" s="101"/>
      <c r="C412" s="371" t="s">
        <v>185</v>
      </c>
      <c r="D412" s="370" t="s">
        <v>1869</v>
      </c>
      <c r="E412" s="407">
        <v>40</v>
      </c>
      <c r="F412" s="128">
        <v>11695</v>
      </c>
      <c r="G412" s="35">
        <f t="shared" si="0"/>
        <v>467800</v>
      </c>
      <c r="I412" s="407">
        <v>40</v>
      </c>
      <c r="J412" s="128">
        <v>11695</v>
      </c>
      <c r="K412" s="35">
        <f t="shared" ref="K412:K413" si="2">J412*I412</f>
        <v>467800</v>
      </c>
    </row>
    <row r="413" spans="1:11" x14ac:dyDescent="0.2">
      <c r="A413" s="29">
        <v>5</v>
      </c>
      <c r="B413" s="105"/>
      <c r="C413" s="371" t="s">
        <v>177</v>
      </c>
      <c r="D413" s="376" t="s">
        <v>1870</v>
      </c>
      <c r="E413" s="409">
        <v>75</v>
      </c>
      <c r="F413" s="128">
        <v>1905</v>
      </c>
      <c r="G413" s="35">
        <f t="shared" si="0"/>
        <v>142875</v>
      </c>
      <c r="I413" s="409">
        <v>75</v>
      </c>
      <c r="J413" s="128">
        <v>1905</v>
      </c>
      <c r="K413" s="35">
        <f t="shared" si="2"/>
        <v>142875</v>
      </c>
    </row>
    <row r="414" spans="1:11" x14ac:dyDescent="0.2">
      <c r="A414" s="29"/>
      <c r="B414" s="105"/>
      <c r="C414" s="41"/>
      <c r="D414" s="376" t="s">
        <v>1871</v>
      </c>
      <c r="E414" s="102"/>
      <c r="F414" s="128"/>
      <c r="G414" s="372" t="s">
        <v>8</v>
      </c>
      <c r="I414" s="102"/>
      <c r="J414" s="128"/>
      <c r="K414" s="372" t="s">
        <v>8</v>
      </c>
    </row>
    <row r="415" spans="1:11" x14ac:dyDescent="0.2">
      <c r="A415" s="29">
        <v>6</v>
      </c>
      <c r="B415" s="151"/>
      <c r="C415" s="385" t="s">
        <v>177</v>
      </c>
      <c r="D415" s="376" t="s">
        <v>1873</v>
      </c>
      <c r="E415" s="108">
        <v>150</v>
      </c>
      <c r="F415" s="150">
        <v>1195</v>
      </c>
      <c r="G415" s="35">
        <f t="shared" si="0"/>
        <v>179250</v>
      </c>
      <c r="I415" s="108">
        <v>150</v>
      </c>
      <c r="J415" s="150">
        <v>1195</v>
      </c>
      <c r="K415" s="35">
        <f t="shared" ref="K415" si="3">J415*I415</f>
        <v>179250</v>
      </c>
    </row>
    <row r="416" spans="1:11" x14ac:dyDescent="0.2">
      <c r="A416" s="29"/>
      <c r="B416" s="151"/>
      <c r="C416" s="119"/>
      <c r="D416" s="383" t="s">
        <v>1872</v>
      </c>
      <c r="E416" s="108"/>
      <c r="F416" s="150"/>
      <c r="G416" s="372" t="s">
        <v>8</v>
      </c>
      <c r="I416" s="108"/>
      <c r="J416" s="150"/>
      <c r="K416" s="372" t="s">
        <v>8</v>
      </c>
    </row>
    <row r="417" spans="1:11" x14ac:dyDescent="0.2">
      <c r="A417" s="29">
        <v>7</v>
      </c>
      <c r="B417" s="151"/>
      <c r="C417" s="385" t="s">
        <v>185</v>
      </c>
      <c r="D417" s="383" t="s">
        <v>1876</v>
      </c>
      <c r="E417" s="108">
        <v>20</v>
      </c>
      <c r="F417" s="150">
        <v>680</v>
      </c>
      <c r="G417" s="35">
        <f t="shared" si="0"/>
        <v>13600</v>
      </c>
      <c r="I417" s="108">
        <v>20</v>
      </c>
      <c r="J417" s="150">
        <v>680</v>
      </c>
      <c r="K417" s="35">
        <f t="shared" ref="K417" si="4">J417*I417</f>
        <v>13600</v>
      </c>
    </row>
    <row r="418" spans="1:11" x14ac:dyDescent="0.2">
      <c r="A418" s="29"/>
      <c r="B418" s="101"/>
      <c r="C418" s="41"/>
      <c r="D418" s="383" t="s">
        <v>1875</v>
      </c>
      <c r="E418" s="155"/>
      <c r="F418" s="128"/>
      <c r="G418" s="372" t="s">
        <v>8</v>
      </c>
      <c r="I418" s="155"/>
      <c r="J418" s="128"/>
      <c r="K418" s="372" t="s">
        <v>8</v>
      </c>
    </row>
    <row r="419" spans="1:11" x14ac:dyDescent="0.2">
      <c r="A419" s="29">
        <v>8</v>
      </c>
      <c r="B419" s="107"/>
      <c r="C419" s="371" t="s">
        <v>185</v>
      </c>
      <c r="D419" s="383" t="s">
        <v>1874</v>
      </c>
      <c r="E419" s="153">
        <v>10</v>
      </c>
      <c r="F419" s="128">
        <v>430</v>
      </c>
      <c r="G419" s="35">
        <f t="shared" si="0"/>
        <v>4300</v>
      </c>
      <c r="I419" s="153">
        <v>10</v>
      </c>
      <c r="J419" s="128">
        <v>430</v>
      </c>
      <c r="K419" s="35">
        <f t="shared" ref="K419:K422" si="5">J419*I419</f>
        <v>4300</v>
      </c>
    </row>
    <row r="420" spans="1:11" x14ac:dyDescent="0.2">
      <c r="A420" s="29">
        <v>9</v>
      </c>
      <c r="B420" s="107"/>
      <c r="C420" s="371" t="s">
        <v>185</v>
      </c>
      <c r="D420" s="384" t="s">
        <v>1877</v>
      </c>
      <c r="E420" s="153">
        <v>75</v>
      </c>
      <c r="F420" s="128">
        <v>1795</v>
      </c>
      <c r="G420" s="35">
        <f t="shared" si="0"/>
        <v>134625</v>
      </c>
      <c r="I420" s="153">
        <v>75</v>
      </c>
      <c r="J420" s="128">
        <v>1795</v>
      </c>
      <c r="K420" s="35">
        <f t="shared" si="5"/>
        <v>134625</v>
      </c>
    </row>
    <row r="421" spans="1:11" x14ac:dyDescent="0.2">
      <c r="A421" s="29">
        <v>10</v>
      </c>
      <c r="B421" s="101"/>
      <c r="C421" s="371" t="s">
        <v>375</v>
      </c>
      <c r="D421" s="384" t="s">
        <v>1878</v>
      </c>
      <c r="E421" s="108">
        <v>150</v>
      </c>
      <c r="F421" s="128">
        <v>745</v>
      </c>
      <c r="G421" s="35">
        <f t="shared" si="0"/>
        <v>111750</v>
      </c>
      <c r="I421" s="108">
        <v>150</v>
      </c>
      <c r="J421" s="128">
        <v>745</v>
      </c>
      <c r="K421" s="35">
        <f t="shared" si="5"/>
        <v>111750</v>
      </c>
    </row>
    <row r="422" spans="1:11" x14ac:dyDescent="0.2">
      <c r="A422" s="29">
        <v>11</v>
      </c>
      <c r="B422" s="101"/>
      <c r="C422" s="371" t="s">
        <v>375</v>
      </c>
      <c r="D422" s="384" t="s">
        <v>1880</v>
      </c>
      <c r="E422" s="153">
        <v>150</v>
      </c>
      <c r="F422" s="128">
        <v>895</v>
      </c>
      <c r="G422" s="35">
        <f t="shared" si="0"/>
        <v>134250</v>
      </c>
      <c r="I422" s="153">
        <v>150</v>
      </c>
      <c r="J422" s="128">
        <v>895</v>
      </c>
      <c r="K422" s="35">
        <f t="shared" si="5"/>
        <v>134250</v>
      </c>
    </row>
    <row r="423" spans="1:11" x14ac:dyDescent="0.2">
      <c r="A423" s="29"/>
      <c r="B423" s="106"/>
      <c r="C423" s="41"/>
      <c r="D423" s="67" t="s">
        <v>1879</v>
      </c>
      <c r="E423" s="104"/>
      <c r="F423" s="154"/>
      <c r="G423" s="372" t="s">
        <v>8</v>
      </c>
    </row>
    <row r="424" spans="1:11" x14ac:dyDescent="0.2">
      <c r="A424" s="29"/>
      <c r="B424" s="105"/>
      <c r="C424" s="41"/>
      <c r="D424" s="130"/>
      <c r="E424" s="104"/>
      <c r="F424" s="154"/>
      <c r="G424" s="35"/>
    </row>
    <row r="425" spans="1:11" x14ac:dyDescent="0.2">
      <c r="A425" s="29"/>
      <c r="B425" s="105"/>
      <c r="C425" s="41"/>
      <c r="D425" s="67"/>
      <c r="E425" s="104"/>
      <c r="F425" s="154"/>
      <c r="G425" s="35"/>
    </row>
    <row r="426" spans="1:11" x14ac:dyDescent="0.2">
      <c r="A426" s="29"/>
      <c r="B426" s="101"/>
      <c r="C426" s="41"/>
      <c r="D426" s="67"/>
      <c r="E426" s="104"/>
      <c r="F426" s="154"/>
      <c r="G426" s="35"/>
    </row>
    <row r="427" spans="1:11" x14ac:dyDescent="0.2">
      <c r="A427" s="29"/>
      <c r="B427" s="101"/>
      <c r="C427" s="41"/>
      <c r="D427" s="376" t="s">
        <v>8</v>
      </c>
      <c r="E427" s="104"/>
      <c r="F427" s="154"/>
      <c r="G427" s="35"/>
    </row>
    <row r="428" spans="1:11" x14ac:dyDescent="0.2">
      <c r="A428" s="29"/>
      <c r="B428" s="101"/>
      <c r="C428" s="41"/>
      <c r="D428" s="136"/>
      <c r="E428" s="104"/>
      <c r="F428" s="154"/>
      <c r="G428" s="35"/>
    </row>
    <row r="429" spans="1:11" x14ac:dyDescent="0.2">
      <c r="A429" s="29"/>
      <c r="B429" s="101"/>
      <c r="C429" s="41"/>
      <c r="D429" s="136"/>
      <c r="E429" s="104"/>
      <c r="F429" s="154"/>
      <c r="G429" s="35"/>
    </row>
    <row r="430" spans="1:11" x14ac:dyDescent="0.2">
      <c r="A430" s="29"/>
      <c r="B430" s="101"/>
      <c r="C430" s="41"/>
      <c r="D430" s="136"/>
      <c r="E430" s="104"/>
      <c r="F430" s="154"/>
      <c r="G430" s="35"/>
    </row>
    <row r="431" spans="1:11" x14ac:dyDescent="0.2">
      <c r="A431" s="29"/>
      <c r="B431" s="101"/>
      <c r="C431" s="41"/>
      <c r="D431" s="136"/>
      <c r="E431" s="104"/>
      <c r="F431" s="154"/>
      <c r="G431" s="35"/>
    </row>
    <row r="432" spans="1:11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62"/>
      <c r="E433" s="104"/>
      <c r="F433" s="154"/>
      <c r="G433" s="35"/>
    </row>
    <row r="434" spans="1:7" x14ac:dyDescent="0.2">
      <c r="A434" s="29"/>
      <c r="B434" s="101"/>
      <c r="C434" s="41"/>
      <c r="D434" s="384" t="s">
        <v>8</v>
      </c>
      <c r="E434" s="104"/>
      <c r="F434" s="154"/>
      <c r="G434" s="35"/>
    </row>
    <row r="435" spans="1:7" x14ac:dyDescent="0.2">
      <c r="A435" s="29"/>
      <c r="B435" s="101"/>
      <c r="C435" s="41"/>
      <c r="D435" s="159"/>
      <c r="E435" s="104"/>
      <c r="F435" s="154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02"/>
      <c r="F438" s="128"/>
      <c r="G438" s="35"/>
    </row>
    <row r="439" spans="1:7" x14ac:dyDescent="0.2">
      <c r="A439" s="29"/>
      <c r="B439" s="101"/>
      <c r="C439" s="31"/>
      <c r="D439" s="67"/>
      <c r="E439" s="131"/>
      <c r="F439" s="117"/>
      <c r="G439" s="35"/>
    </row>
    <row r="440" spans="1:7" x14ac:dyDescent="0.2">
      <c r="A440" s="29"/>
      <c r="B440" s="101"/>
      <c r="C440" s="41"/>
      <c r="D440" s="118"/>
      <c r="E440" s="108"/>
      <c r="F440" s="149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ht="13.5" thickBot="1" x14ac:dyDescent="0.25">
      <c r="A442" s="45"/>
      <c r="B442" s="132"/>
      <c r="C442" s="115"/>
      <c r="D442" s="115"/>
      <c r="E442" s="132"/>
      <c r="F442" s="49" t="s">
        <v>15</v>
      </c>
      <c r="G442" s="50">
        <f>SUM(G408:G441)</f>
        <v>1429850</v>
      </c>
    </row>
    <row r="443" spans="1:7" ht="13.5" thickTop="1" x14ac:dyDescent="0.2">
      <c r="A443" s="875" t="s">
        <v>1881</v>
      </c>
      <c r="B443" s="899"/>
      <c r="C443" s="899"/>
      <c r="D443" s="899"/>
      <c r="E443" s="899"/>
      <c r="F443" s="899"/>
      <c r="G443" s="900"/>
    </row>
    <row r="444" spans="1:7" ht="13.5" thickBot="1" x14ac:dyDescent="0.25">
      <c r="A444" s="442"/>
      <c r="B444" s="346"/>
      <c r="C444" s="961" t="s">
        <v>1882</v>
      </c>
      <c r="D444" s="1054"/>
      <c r="E444" s="1054"/>
      <c r="F444" s="1054"/>
      <c r="G444" s="1055"/>
    </row>
    <row r="445" spans="1:7" ht="13.5" thickTop="1" x14ac:dyDescent="0.2">
      <c r="A445" s="906"/>
      <c r="B445" s="907"/>
      <c r="C445" s="907"/>
      <c r="D445" s="57" t="s">
        <v>11</v>
      </c>
      <c r="E445" s="908" t="s">
        <v>12</v>
      </c>
      <c r="F445" s="908"/>
      <c r="G445" s="909"/>
    </row>
    <row r="446" spans="1:7" x14ac:dyDescent="0.2">
      <c r="A446" s="910" t="s">
        <v>17</v>
      </c>
      <c r="B446" s="911"/>
      <c r="C446" s="911"/>
      <c r="D446" s="39"/>
      <c r="E446" s="912"/>
      <c r="F446" s="913"/>
      <c r="G446" s="914"/>
    </row>
    <row r="447" spans="1:7" x14ac:dyDescent="0.2">
      <c r="A447" s="910" t="s">
        <v>38</v>
      </c>
      <c r="B447" s="911"/>
      <c r="C447" s="911"/>
      <c r="D447" s="58" t="s">
        <v>883</v>
      </c>
      <c r="E447" s="868" t="s">
        <v>142</v>
      </c>
      <c r="F447" s="868"/>
      <c r="G447" s="869"/>
    </row>
    <row r="448" spans="1:7" ht="13.5" thickBot="1" x14ac:dyDescent="0.25">
      <c r="A448" s="901" t="s">
        <v>39</v>
      </c>
      <c r="B448" s="902"/>
      <c r="C448" s="902"/>
      <c r="D448" s="59" t="s">
        <v>884</v>
      </c>
      <c r="E448" s="904" t="s">
        <v>0</v>
      </c>
      <c r="F448" s="904"/>
      <c r="G448" s="905"/>
    </row>
  </sheetData>
  <mergeCells count="134">
    <mergeCell ref="A249:G249"/>
    <mergeCell ref="A250:G250"/>
    <mergeCell ref="A251:G251"/>
    <mergeCell ref="E254:F254"/>
    <mergeCell ref="E256:F256"/>
    <mergeCell ref="A297:C297"/>
    <mergeCell ref="E297:G297"/>
    <mergeCell ref="A298:C298"/>
    <mergeCell ref="E298:G298"/>
    <mergeCell ref="A293:G293"/>
    <mergeCell ref="C294:G294"/>
    <mergeCell ref="A295:C295"/>
    <mergeCell ref="E295:G295"/>
    <mergeCell ref="A296:C296"/>
    <mergeCell ref="E296:G296"/>
    <mergeCell ref="E206:F206"/>
    <mergeCell ref="A247:C247"/>
    <mergeCell ref="E247:G247"/>
    <mergeCell ref="A248:C248"/>
    <mergeCell ref="E248:G248"/>
    <mergeCell ref="A243:G243"/>
    <mergeCell ref="C244:G244"/>
    <mergeCell ref="A245:C245"/>
    <mergeCell ref="E245:G245"/>
    <mergeCell ref="A246:C246"/>
    <mergeCell ref="E246:G246"/>
    <mergeCell ref="A1:G1"/>
    <mergeCell ref="A2:G2"/>
    <mergeCell ref="A3:G3"/>
    <mergeCell ref="E6:F6"/>
    <mergeCell ref="E8:F8"/>
    <mergeCell ref="A149:G149"/>
    <mergeCell ref="A150:G150"/>
    <mergeCell ref="A151:G151"/>
    <mergeCell ref="E154:F154"/>
    <mergeCell ref="A50:G50"/>
    <mergeCell ref="A51:G51"/>
    <mergeCell ref="A52:G52"/>
    <mergeCell ref="E55:F55"/>
    <mergeCell ref="E57:F57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C94:G94"/>
    <mergeCell ref="A93:G93"/>
    <mergeCell ref="A95:C95"/>
    <mergeCell ref="E95:G95"/>
    <mergeCell ref="A96:C96"/>
    <mergeCell ref="E96:G96"/>
    <mergeCell ref="A143:G143"/>
    <mergeCell ref="C144:G144"/>
    <mergeCell ref="A145:C145"/>
    <mergeCell ref="E145:G145"/>
    <mergeCell ref="A146:C146"/>
    <mergeCell ref="E146:G146"/>
    <mergeCell ref="A99:G99"/>
    <mergeCell ref="A100:G100"/>
    <mergeCell ref="A101:G101"/>
    <mergeCell ref="E104:F104"/>
    <mergeCell ref="E106:F106"/>
    <mergeCell ref="A299:G299"/>
    <mergeCell ref="A300:G300"/>
    <mergeCell ref="A301:G301"/>
    <mergeCell ref="E304:F304"/>
    <mergeCell ref="E306:F306"/>
    <mergeCell ref="A147:C147"/>
    <mergeCell ref="E147:G147"/>
    <mergeCell ref="A148:C148"/>
    <mergeCell ref="E148:G148"/>
    <mergeCell ref="E156:F156"/>
    <mergeCell ref="A197:C197"/>
    <mergeCell ref="E197:G197"/>
    <mergeCell ref="A198:C198"/>
    <mergeCell ref="E198:G198"/>
    <mergeCell ref="A193:G193"/>
    <mergeCell ref="C194:G194"/>
    <mergeCell ref="A195:C195"/>
    <mergeCell ref="E195:G195"/>
    <mergeCell ref="A196:C196"/>
    <mergeCell ref="E196:G196"/>
    <mergeCell ref="A199:G199"/>
    <mergeCell ref="A200:G200"/>
    <mergeCell ref="A201:G201"/>
    <mergeCell ref="E204:F204"/>
    <mergeCell ref="A347:C347"/>
    <mergeCell ref="E347:G347"/>
    <mergeCell ref="A348:C348"/>
    <mergeCell ref="E348:G348"/>
    <mergeCell ref="A343:G343"/>
    <mergeCell ref="C344:G344"/>
    <mergeCell ref="A345:C345"/>
    <mergeCell ref="E345:G345"/>
    <mergeCell ref="A346:C346"/>
    <mergeCell ref="E346:G346"/>
    <mergeCell ref="A396:C396"/>
    <mergeCell ref="E396:G396"/>
    <mergeCell ref="A397:C397"/>
    <mergeCell ref="E397:G397"/>
    <mergeCell ref="A398:C398"/>
    <mergeCell ref="E398:G398"/>
    <mergeCell ref="A349:G349"/>
    <mergeCell ref="A350:G350"/>
    <mergeCell ref="A351:G351"/>
    <mergeCell ref="E354:F354"/>
    <mergeCell ref="E356:F356"/>
    <mergeCell ref="A393:G393"/>
    <mergeCell ref="C394:G394"/>
    <mergeCell ref="A395:C395"/>
    <mergeCell ref="E395:G395"/>
    <mergeCell ref="A446:C446"/>
    <mergeCell ref="E446:G446"/>
    <mergeCell ref="A447:C447"/>
    <mergeCell ref="E447:G447"/>
    <mergeCell ref="A448:C448"/>
    <mergeCell ref="E448:G448"/>
    <mergeCell ref="A399:G399"/>
    <mergeCell ref="A400:G400"/>
    <mergeCell ref="A401:G401"/>
    <mergeCell ref="E404:F404"/>
    <mergeCell ref="E406:F406"/>
    <mergeCell ref="A443:G443"/>
    <mergeCell ref="C444:G444"/>
    <mergeCell ref="A445:C445"/>
    <mergeCell ref="E445:G4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5">
    <tabColor indexed="10"/>
  </sheetPr>
  <dimension ref="A1:I46"/>
  <sheetViews>
    <sheetView zoomScale="110" zoomScaleNormal="110" workbookViewId="0">
      <selection activeCell="I37" sqref="I37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28515625" style="2" customWidth="1"/>
    <col min="8" max="8" width="10.28515625" style="1" bestFit="1" customWidth="1"/>
    <col min="9" max="9" width="11.5703125" style="2" customWidth="1"/>
    <col min="10" max="10" width="9.42578125" style="2" bestFit="1" customWidth="1"/>
    <col min="11" max="11" width="26.5703125" style="2" customWidth="1"/>
    <col min="12" max="16384" width="9.140625" style="2"/>
  </cols>
  <sheetData>
    <row r="1" spans="1:9" ht="16.5" x14ac:dyDescent="0.25">
      <c r="A1" s="885" t="s">
        <v>29</v>
      </c>
      <c r="B1" s="886"/>
      <c r="C1" s="886"/>
      <c r="D1" s="886"/>
      <c r="E1" s="886"/>
      <c r="F1" s="886"/>
      <c r="G1" s="887"/>
      <c r="H1" s="1">
        <v>1</v>
      </c>
    </row>
    <row r="2" spans="1:9" x14ac:dyDescent="0.2">
      <c r="A2" s="888" t="s">
        <v>48</v>
      </c>
      <c r="B2" s="889"/>
      <c r="C2" s="889"/>
      <c r="D2" s="889"/>
      <c r="E2" s="889"/>
      <c r="F2" s="889"/>
      <c r="G2" s="890"/>
      <c r="H2" s="72"/>
    </row>
    <row r="3" spans="1:9" x14ac:dyDescent="0.2">
      <c r="A3" s="915" t="s">
        <v>49</v>
      </c>
      <c r="B3" s="916"/>
      <c r="C3" s="916"/>
      <c r="D3" s="916"/>
      <c r="E3" s="916"/>
      <c r="F3" s="916"/>
      <c r="G3" s="917"/>
    </row>
    <row r="4" spans="1:9" x14ac:dyDescent="0.2">
      <c r="A4" s="6"/>
      <c r="B4" s="7"/>
      <c r="C4" s="8"/>
      <c r="D4" s="9"/>
      <c r="E4" s="7"/>
      <c r="F4" s="10"/>
      <c r="G4" s="11" t="s">
        <v>20</v>
      </c>
    </row>
    <row r="5" spans="1:9" x14ac:dyDescent="0.2">
      <c r="A5" s="12" t="s">
        <v>1</v>
      </c>
      <c r="B5" s="13"/>
      <c r="C5" s="14" t="s">
        <v>130</v>
      </c>
      <c r="D5" s="13"/>
      <c r="E5" s="15" t="s">
        <v>68</v>
      </c>
      <c r="F5" s="60"/>
      <c r="G5" s="16" t="s">
        <v>70</v>
      </c>
      <c r="H5" s="138"/>
      <c r="I5" s="5"/>
    </row>
    <row r="6" spans="1:9" x14ac:dyDescent="0.2">
      <c r="A6" s="17" t="s">
        <v>8</v>
      </c>
      <c r="B6" s="18"/>
      <c r="C6" s="19"/>
      <c r="D6" s="4"/>
      <c r="E6" s="918"/>
      <c r="F6" s="919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7"/>
      <c r="C8" s="8"/>
      <c r="D8" s="8"/>
      <c r="E8" s="920"/>
      <c r="F8" s="921"/>
      <c r="G8" s="25"/>
    </row>
    <row r="9" spans="1:9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9" ht="13.5" thickTop="1" x14ac:dyDescent="0.2">
      <c r="A10" s="29"/>
      <c r="B10" s="30"/>
      <c r="C10" s="31"/>
      <c r="D10" s="32"/>
      <c r="E10" s="64"/>
      <c r="F10" s="70"/>
      <c r="G10" s="35"/>
    </row>
    <row r="11" spans="1:9" x14ac:dyDescent="0.2">
      <c r="A11" s="29"/>
      <c r="B11" s="30"/>
      <c r="C11" s="31"/>
      <c r="D11" s="32"/>
      <c r="E11" s="64"/>
      <c r="F11" s="70"/>
      <c r="G11" s="35"/>
    </row>
    <row r="12" spans="1:9" x14ac:dyDescent="0.2">
      <c r="A12" s="29"/>
      <c r="B12" s="36"/>
      <c r="C12" s="31"/>
      <c r="D12" s="32"/>
      <c r="E12" s="64"/>
      <c r="F12" s="70"/>
      <c r="G12" s="35"/>
    </row>
    <row r="13" spans="1:9" x14ac:dyDescent="0.2">
      <c r="A13" s="29"/>
      <c r="B13" s="36"/>
      <c r="C13" s="31"/>
      <c r="D13" s="32"/>
      <c r="E13" s="64"/>
      <c r="F13" s="70"/>
      <c r="G13" s="35"/>
    </row>
    <row r="14" spans="1:9" x14ac:dyDescent="0.2">
      <c r="A14" s="29"/>
      <c r="B14" s="38"/>
      <c r="C14" s="31"/>
      <c r="D14" s="39"/>
      <c r="E14" s="64"/>
      <c r="F14" s="70"/>
      <c r="G14" s="35"/>
    </row>
    <row r="15" spans="1:9" x14ac:dyDescent="0.2">
      <c r="A15" s="29"/>
      <c r="B15" s="40"/>
      <c r="C15" s="41"/>
      <c r="D15" s="39"/>
      <c r="E15" s="64"/>
      <c r="F15" s="69"/>
      <c r="G15" s="35"/>
    </row>
    <row r="16" spans="1:9" x14ac:dyDescent="0.2">
      <c r="A16" s="29"/>
      <c r="B16" s="40"/>
      <c r="C16" s="41"/>
      <c r="D16" s="39"/>
      <c r="E16" s="64"/>
      <c r="F16" s="69"/>
      <c r="G16" s="35"/>
    </row>
    <row r="17" spans="1:7" x14ac:dyDescent="0.2">
      <c r="A17" s="29"/>
      <c r="B17" s="30"/>
      <c r="C17" s="31"/>
      <c r="D17" s="39"/>
      <c r="E17" s="64"/>
      <c r="F17" s="70"/>
      <c r="G17" s="35"/>
    </row>
    <row r="18" spans="1:7" x14ac:dyDescent="0.2">
      <c r="A18" s="29"/>
      <c r="B18" s="36"/>
      <c r="C18" s="31"/>
      <c r="D18" s="39"/>
      <c r="E18" s="64"/>
      <c r="F18" s="70"/>
      <c r="G18" s="35"/>
    </row>
    <row r="19" spans="1:7" x14ac:dyDescent="0.2">
      <c r="A19" s="29"/>
      <c r="B19" s="38"/>
      <c r="C19" s="31"/>
      <c r="D19" s="62"/>
      <c r="E19" s="64"/>
      <c r="F19" s="70"/>
      <c r="G19" s="35"/>
    </row>
    <row r="20" spans="1:7" x14ac:dyDescent="0.2">
      <c r="A20" s="29"/>
      <c r="B20" s="38"/>
      <c r="C20" s="31"/>
      <c r="D20" s="37"/>
      <c r="E20" s="33"/>
      <c r="F20" s="70"/>
      <c r="G20" s="35"/>
    </row>
    <row r="21" spans="1:7" x14ac:dyDescent="0.2">
      <c r="A21" s="61"/>
      <c r="B21" s="38"/>
      <c r="C21" s="31"/>
      <c r="D21" s="37"/>
      <c r="E21" s="38"/>
      <c r="F21" s="70"/>
      <c r="G21" s="35"/>
    </row>
    <row r="22" spans="1:7" x14ac:dyDescent="0.2">
      <c r="A22" s="29"/>
      <c r="B22" s="42"/>
      <c r="C22" s="31"/>
      <c r="D22" s="37"/>
      <c r="E22" s="33"/>
      <c r="F22" s="70"/>
      <c r="G22" s="35"/>
    </row>
    <row r="23" spans="1:7" x14ac:dyDescent="0.2">
      <c r="A23" s="29"/>
      <c r="B23" s="30"/>
      <c r="C23" s="31"/>
      <c r="D23" s="37"/>
      <c r="E23" s="30"/>
      <c r="F23" s="70"/>
      <c r="G23" s="35"/>
    </row>
    <row r="24" spans="1:7" x14ac:dyDescent="0.2">
      <c r="A24" s="29"/>
      <c r="B24" s="30"/>
      <c r="C24" s="31"/>
      <c r="D24" s="37"/>
      <c r="E24" s="33"/>
      <c r="F24" s="70"/>
      <c r="G24" s="35"/>
    </row>
    <row r="25" spans="1:7" x14ac:dyDescent="0.2">
      <c r="A25" s="29"/>
      <c r="B25" s="36"/>
      <c r="C25" s="31"/>
      <c r="D25" s="37"/>
      <c r="E25" s="38"/>
      <c r="F25" s="70"/>
      <c r="G25" s="35"/>
    </row>
    <row r="26" spans="1:7" x14ac:dyDescent="0.2">
      <c r="A26" s="61"/>
      <c r="B26" s="38"/>
      <c r="C26" s="31"/>
      <c r="D26" s="39"/>
      <c r="E26" s="33"/>
      <c r="F26" s="70"/>
      <c r="G26" s="35"/>
    </row>
    <row r="27" spans="1:7" x14ac:dyDescent="0.2">
      <c r="A27" s="29"/>
      <c r="B27" s="38"/>
      <c r="C27" s="31"/>
      <c r="D27" s="39"/>
      <c r="E27" s="33"/>
      <c r="F27" s="70"/>
      <c r="G27" s="35"/>
    </row>
    <row r="28" spans="1:7" x14ac:dyDescent="0.2">
      <c r="A28" s="29"/>
      <c r="B28" s="38"/>
      <c r="C28" s="31"/>
      <c r="D28" s="39"/>
      <c r="E28" s="33"/>
      <c r="F28" s="70"/>
      <c r="G28" s="35"/>
    </row>
    <row r="29" spans="1:7" x14ac:dyDescent="0.2">
      <c r="A29" s="29"/>
      <c r="B29" s="38"/>
      <c r="C29" s="31"/>
      <c r="D29" s="39"/>
      <c r="E29" s="33"/>
      <c r="F29" s="70"/>
      <c r="G29" s="35"/>
    </row>
    <row r="30" spans="1:7" x14ac:dyDescent="0.2">
      <c r="A30" s="29"/>
      <c r="B30" s="38"/>
      <c r="C30" s="31"/>
      <c r="D30" s="37"/>
      <c r="E30" s="38"/>
      <c r="F30" s="70"/>
      <c r="G30" s="35"/>
    </row>
    <row r="31" spans="1:7" x14ac:dyDescent="0.2">
      <c r="A31" s="29"/>
      <c r="B31" s="30"/>
      <c r="C31" s="31"/>
      <c r="D31" s="32"/>
      <c r="E31" s="30"/>
      <c r="F31" s="70"/>
      <c r="G31" s="35"/>
    </row>
    <row r="32" spans="1:7" x14ac:dyDescent="0.2">
      <c r="A32" s="29"/>
      <c r="B32" s="30"/>
      <c r="C32" s="31"/>
      <c r="D32" s="32"/>
      <c r="E32" s="30"/>
      <c r="F32" s="70"/>
      <c r="G32" s="35"/>
    </row>
    <row r="33" spans="1:7" x14ac:dyDescent="0.2">
      <c r="A33" s="61"/>
      <c r="B33" s="30"/>
      <c r="C33" s="31"/>
      <c r="D33" s="32"/>
      <c r="E33" s="30"/>
      <c r="F33" s="70"/>
      <c r="G33" s="35"/>
    </row>
    <row r="34" spans="1:7" x14ac:dyDescent="0.2">
      <c r="A34" s="61"/>
      <c r="B34" s="30"/>
      <c r="C34" s="31"/>
      <c r="D34" s="32"/>
      <c r="E34" s="30"/>
      <c r="F34" s="70"/>
      <c r="G34" s="35"/>
    </row>
    <row r="35" spans="1:7" x14ac:dyDescent="0.2">
      <c r="A35" s="61"/>
      <c r="B35" s="30"/>
      <c r="C35" s="31"/>
      <c r="D35" s="32"/>
      <c r="E35" s="30"/>
      <c r="F35" s="70"/>
      <c r="G35" s="35"/>
    </row>
    <row r="36" spans="1:7" x14ac:dyDescent="0.2">
      <c r="A36" s="61"/>
      <c r="B36" s="30"/>
      <c r="C36" s="31"/>
      <c r="D36" s="32"/>
      <c r="E36" s="30"/>
      <c r="F36" s="70"/>
      <c r="G36" s="35"/>
    </row>
    <row r="37" spans="1:7" x14ac:dyDescent="0.2">
      <c r="A37" s="61"/>
      <c r="B37" s="30"/>
      <c r="C37" s="31"/>
      <c r="D37" s="32"/>
      <c r="E37" s="30"/>
      <c r="F37" s="70"/>
      <c r="G37" s="35"/>
    </row>
    <row r="38" spans="1:7" x14ac:dyDescent="0.2">
      <c r="A38" s="61"/>
      <c r="B38" s="30"/>
      <c r="C38" s="31"/>
      <c r="D38" s="32"/>
      <c r="E38" s="30"/>
      <c r="F38" s="88"/>
      <c r="G38" s="35"/>
    </row>
    <row r="39" spans="1:7" x14ac:dyDescent="0.2">
      <c r="A39" s="29"/>
      <c r="B39" s="30"/>
      <c r="C39" s="31"/>
      <c r="D39" s="32"/>
      <c r="E39" s="30"/>
      <c r="F39" s="89"/>
      <c r="G39" s="35"/>
    </row>
    <row r="40" spans="1:7" ht="13.5" thickBot="1" x14ac:dyDescent="0.25">
      <c r="A40" s="45"/>
      <c r="B40" s="46"/>
      <c r="C40" s="47"/>
      <c r="D40" s="48"/>
      <c r="E40" s="46"/>
      <c r="F40" s="49" t="s">
        <v>15</v>
      </c>
      <c r="G40" s="50"/>
    </row>
    <row r="41" spans="1:7" ht="13.5" thickTop="1" x14ac:dyDescent="0.2">
      <c r="A41" s="17" t="s">
        <v>67</v>
      </c>
      <c r="B41" s="51"/>
      <c r="E41" s="51"/>
      <c r="G41" s="20"/>
    </row>
    <row r="42" spans="1:7" ht="13.5" thickBot="1" x14ac:dyDescent="0.25">
      <c r="A42" s="52"/>
      <c r="B42" s="53"/>
      <c r="C42" s="53"/>
      <c r="D42" s="54"/>
      <c r="E42" s="5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ht="27.75" customHeight="1" x14ac:dyDescent="0.2">
      <c r="A44" s="910" t="s">
        <v>17</v>
      </c>
      <c r="B44" s="911"/>
      <c r="C44" s="911"/>
      <c r="D44" s="39"/>
      <c r="E44" s="1065"/>
      <c r="F44" s="1066"/>
      <c r="G44" s="1067"/>
    </row>
    <row r="45" spans="1:7" x14ac:dyDescent="0.2">
      <c r="A45" s="910" t="s">
        <v>38</v>
      </c>
      <c r="B45" s="911"/>
      <c r="C45" s="911"/>
      <c r="D45" s="58" t="s">
        <v>131</v>
      </c>
      <c r="E45" s="1068" t="s">
        <v>69</v>
      </c>
      <c r="F45" s="1068"/>
      <c r="G45" s="1069"/>
    </row>
    <row r="46" spans="1:7" ht="13.5" thickBot="1" x14ac:dyDescent="0.25">
      <c r="A46" s="901" t="s">
        <v>39</v>
      </c>
      <c r="B46" s="902"/>
      <c r="C46" s="902"/>
      <c r="D46" s="59" t="s">
        <v>118</v>
      </c>
      <c r="E46" s="904" t="s">
        <v>0</v>
      </c>
      <c r="F46" s="904"/>
      <c r="G46" s="905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honeticPr fontId="3" type="noConversion"/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C000"/>
  </sheetPr>
  <dimension ref="A1:H46"/>
  <sheetViews>
    <sheetView zoomScale="115" zoomScaleNormal="115" workbookViewId="0">
      <selection activeCell="L29" sqref="L29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140625" style="2" customWidth="1"/>
    <col min="8" max="8" width="9.140625" style="1"/>
    <col min="9" max="16384" width="9.140625" style="2"/>
  </cols>
  <sheetData>
    <row r="1" spans="1:8" ht="16.5" x14ac:dyDescent="0.25">
      <c r="A1" s="885" t="s">
        <v>29</v>
      </c>
      <c r="B1" s="886"/>
      <c r="C1" s="886"/>
      <c r="D1" s="886"/>
      <c r="E1" s="886"/>
      <c r="F1" s="886"/>
      <c r="G1" s="887"/>
      <c r="H1" s="1">
        <v>1</v>
      </c>
    </row>
    <row r="2" spans="1:8" x14ac:dyDescent="0.2">
      <c r="A2" s="888" t="s">
        <v>48</v>
      </c>
      <c r="B2" s="889"/>
      <c r="C2" s="889"/>
      <c r="D2" s="889"/>
      <c r="E2" s="889"/>
      <c r="F2" s="889"/>
      <c r="G2" s="890"/>
      <c r="H2" s="72">
        <v>42262</v>
      </c>
    </row>
    <row r="3" spans="1:8" x14ac:dyDescent="0.2">
      <c r="A3" s="915" t="s">
        <v>49</v>
      </c>
      <c r="B3" s="916"/>
      <c r="C3" s="916"/>
      <c r="D3" s="916"/>
      <c r="E3" s="916"/>
      <c r="F3" s="916"/>
      <c r="G3" s="917"/>
    </row>
    <row r="4" spans="1:8" x14ac:dyDescent="0.2">
      <c r="A4" s="6"/>
      <c r="B4" s="7"/>
      <c r="C4" s="8"/>
      <c r="D4" s="9"/>
      <c r="E4" s="7"/>
      <c r="F4" s="10"/>
      <c r="G4" s="11" t="s">
        <v>20</v>
      </c>
    </row>
    <row r="5" spans="1:8" x14ac:dyDescent="0.2">
      <c r="A5" s="12" t="s">
        <v>1</v>
      </c>
      <c r="B5" s="13"/>
      <c r="C5" s="14" t="s">
        <v>63</v>
      </c>
      <c r="D5" s="13"/>
      <c r="E5" s="15" t="s">
        <v>64</v>
      </c>
      <c r="F5" s="60"/>
      <c r="G5" s="16" t="s">
        <v>62</v>
      </c>
    </row>
    <row r="6" spans="1:8" x14ac:dyDescent="0.2">
      <c r="A6" s="17" t="s">
        <v>8</v>
      </c>
      <c r="B6" s="18"/>
      <c r="C6" s="19"/>
      <c r="D6" s="4"/>
      <c r="E6" s="918"/>
      <c r="F6" s="919"/>
      <c r="G6" s="20"/>
    </row>
    <row r="7" spans="1:8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8" x14ac:dyDescent="0.2">
      <c r="A8" s="6"/>
      <c r="B8" s="7"/>
      <c r="C8" s="8"/>
      <c r="D8" s="8"/>
      <c r="E8" s="920"/>
      <c r="F8" s="921"/>
      <c r="G8" s="25"/>
    </row>
    <row r="9" spans="1:8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8" ht="13.5" thickTop="1" x14ac:dyDescent="0.2">
      <c r="A10" s="122"/>
      <c r="B10" s="116"/>
      <c r="C10" s="119"/>
      <c r="D10" s="121"/>
      <c r="E10" s="120"/>
      <c r="F10" s="127"/>
      <c r="G10" s="124"/>
    </row>
    <row r="11" spans="1:8" x14ac:dyDescent="0.2">
      <c r="A11" s="87"/>
      <c r="B11" s="82"/>
      <c r="C11" s="31"/>
      <c r="D11" s="39"/>
      <c r="E11" s="77"/>
      <c r="F11" s="81"/>
      <c r="G11" s="124"/>
    </row>
    <row r="12" spans="1:8" x14ac:dyDescent="0.2">
      <c r="A12" s="87"/>
      <c r="B12" s="82"/>
      <c r="C12" s="31"/>
      <c r="D12" s="39"/>
      <c r="E12" s="77"/>
      <c r="F12" s="81"/>
      <c r="G12" s="124"/>
    </row>
    <row r="13" spans="1:8" x14ac:dyDescent="0.2">
      <c r="A13" s="83"/>
      <c r="B13" s="74"/>
      <c r="C13" s="31"/>
      <c r="D13" s="39"/>
      <c r="E13" s="31"/>
      <c r="F13" s="81"/>
      <c r="G13" s="124"/>
    </row>
    <row r="14" spans="1:8" x14ac:dyDescent="0.2">
      <c r="A14" s="83"/>
      <c r="B14" s="95"/>
      <c r="C14" s="31"/>
      <c r="D14" s="39"/>
      <c r="E14" s="84"/>
      <c r="F14" s="81"/>
      <c r="G14" s="124"/>
    </row>
    <row r="15" spans="1:8" x14ac:dyDescent="0.2">
      <c r="A15" s="83"/>
      <c r="B15" s="96"/>
      <c r="C15" s="31"/>
      <c r="D15" s="39"/>
      <c r="E15" s="84"/>
      <c r="F15" s="81"/>
      <c r="G15" s="124"/>
    </row>
    <row r="16" spans="1:8" x14ac:dyDescent="0.2">
      <c r="A16" s="83"/>
      <c r="B16" s="96"/>
      <c r="C16" s="31"/>
      <c r="D16" s="93"/>
      <c r="E16" s="84"/>
      <c r="F16" s="81"/>
      <c r="G16" s="124"/>
    </row>
    <row r="17" spans="1:7" s="1" customFormat="1" x14ac:dyDescent="0.2">
      <c r="A17" s="83"/>
      <c r="B17" s="96"/>
      <c r="C17" s="31"/>
      <c r="D17" s="39"/>
      <c r="E17" s="77"/>
      <c r="F17" s="81"/>
      <c r="G17" s="71"/>
    </row>
    <row r="18" spans="1:7" s="1" customFormat="1" x14ac:dyDescent="0.2">
      <c r="A18" s="83"/>
      <c r="B18" s="96"/>
      <c r="C18" s="31"/>
      <c r="D18" s="39"/>
      <c r="E18" s="31"/>
      <c r="F18" s="81"/>
      <c r="G18" s="71"/>
    </row>
    <row r="19" spans="1:7" s="1" customFormat="1" x14ac:dyDescent="0.2">
      <c r="A19" s="83"/>
      <c r="B19" s="75"/>
      <c r="C19" s="31"/>
      <c r="D19" s="39"/>
      <c r="E19" s="84"/>
      <c r="F19" s="81"/>
      <c r="G19" s="71"/>
    </row>
    <row r="20" spans="1:7" s="1" customFormat="1" x14ac:dyDescent="0.2">
      <c r="A20" s="83"/>
      <c r="B20" s="75"/>
      <c r="C20" s="94"/>
      <c r="D20" s="109"/>
      <c r="E20" s="79"/>
      <c r="F20" s="85"/>
      <c r="G20" s="71"/>
    </row>
    <row r="21" spans="1:7" s="1" customFormat="1" x14ac:dyDescent="0.2">
      <c r="A21" s="61"/>
      <c r="B21" s="75"/>
      <c r="C21" s="31"/>
      <c r="D21" s="39"/>
      <c r="E21" s="77"/>
      <c r="F21" s="81"/>
      <c r="G21" s="71"/>
    </row>
    <row r="22" spans="1:7" s="1" customFormat="1" x14ac:dyDescent="0.2">
      <c r="A22" s="29"/>
      <c r="B22" s="74"/>
      <c r="C22" s="31"/>
      <c r="D22" s="39"/>
      <c r="E22" s="84"/>
      <c r="F22" s="81"/>
      <c r="G22" s="71"/>
    </row>
    <row r="23" spans="1:7" s="1" customFormat="1" x14ac:dyDescent="0.2">
      <c r="A23" s="29"/>
      <c r="B23" s="74"/>
      <c r="C23" s="31"/>
      <c r="D23" s="39"/>
      <c r="E23" s="77"/>
      <c r="F23" s="81"/>
      <c r="G23" s="71"/>
    </row>
    <row r="24" spans="1:7" s="1" customFormat="1" x14ac:dyDescent="0.2">
      <c r="A24" s="29"/>
      <c r="B24" s="74"/>
      <c r="C24" s="31"/>
      <c r="D24" s="39"/>
      <c r="E24" s="92"/>
      <c r="F24" s="81"/>
      <c r="G24" s="35"/>
    </row>
    <row r="25" spans="1:7" s="1" customFormat="1" x14ac:dyDescent="0.2">
      <c r="A25" s="29"/>
      <c r="B25" s="74"/>
      <c r="C25" s="31"/>
      <c r="D25" s="39"/>
      <c r="E25" s="77"/>
      <c r="F25" s="81"/>
      <c r="G25" s="71"/>
    </row>
    <row r="26" spans="1:7" s="1" customFormat="1" x14ac:dyDescent="0.2">
      <c r="A26" s="29"/>
      <c r="B26" s="74"/>
      <c r="C26" s="31"/>
      <c r="D26" s="39"/>
      <c r="E26" s="77"/>
      <c r="F26" s="81"/>
      <c r="G26" s="71"/>
    </row>
    <row r="27" spans="1:7" s="1" customFormat="1" x14ac:dyDescent="0.2">
      <c r="A27" s="29"/>
      <c r="B27" s="74"/>
      <c r="C27" s="31"/>
      <c r="D27" s="39"/>
      <c r="E27" s="77"/>
      <c r="F27" s="81"/>
      <c r="G27" s="71"/>
    </row>
    <row r="28" spans="1:7" s="1" customFormat="1" x14ac:dyDescent="0.2">
      <c r="A28" s="29"/>
      <c r="B28" s="74"/>
      <c r="C28" s="31"/>
      <c r="D28" s="39"/>
      <c r="E28" s="77"/>
      <c r="F28" s="81"/>
      <c r="G28" s="71"/>
    </row>
    <row r="29" spans="1:7" s="1" customFormat="1" x14ac:dyDescent="0.2">
      <c r="A29" s="29"/>
      <c r="B29" s="74"/>
      <c r="C29" s="31"/>
      <c r="D29" s="39"/>
      <c r="E29" s="77"/>
      <c r="F29" s="81"/>
      <c r="G29" s="71"/>
    </row>
    <row r="30" spans="1:7" s="1" customFormat="1" x14ac:dyDescent="0.2">
      <c r="A30" s="29"/>
      <c r="B30" s="74"/>
      <c r="C30" s="31"/>
      <c r="D30" s="39"/>
      <c r="E30" s="77"/>
      <c r="F30" s="81"/>
      <c r="G30" s="71"/>
    </row>
    <row r="31" spans="1:7" s="1" customFormat="1" x14ac:dyDescent="0.2">
      <c r="A31" s="29"/>
      <c r="B31" s="74"/>
      <c r="C31" s="31"/>
      <c r="D31" s="39"/>
      <c r="E31" s="77"/>
      <c r="F31" s="81"/>
      <c r="G31" s="71"/>
    </row>
    <row r="32" spans="1:7" s="1" customFormat="1" x14ac:dyDescent="0.2">
      <c r="A32" s="29"/>
      <c r="B32" s="74"/>
      <c r="C32" s="31"/>
      <c r="D32" s="39"/>
      <c r="E32" s="77"/>
      <c r="F32" s="81"/>
      <c r="G32" s="71"/>
    </row>
    <row r="33" spans="1:7" s="1" customFormat="1" x14ac:dyDescent="0.2">
      <c r="A33" s="29"/>
      <c r="B33" s="74"/>
      <c r="C33" s="31"/>
      <c r="D33" s="39"/>
      <c r="E33" s="77"/>
      <c r="F33" s="81"/>
      <c r="G33" s="71"/>
    </row>
    <row r="34" spans="1:7" s="1" customFormat="1" x14ac:dyDescent="0.2">
      <c r="A34" s="29"/>
      <c r="B34" s="74"/>
      <c r="C34" s="31"/>
      <c r="D34" s="39"/>
      <c r="E34" s="77"/>
      <c r="F34" s="81"/>
      <c r="G34" s="71"/>
    </row>
    <row r="35" spans="1:7" s="1" customFormat="1" x14ac:dyDescent="0.2">
      <c r="A35" s="61"/>
      <c r="B35" s="74"/>
      <c r="C35" s="31"/>
      <c r="D35" s="39"/>
      <c r="E35" s="31"/>
      <c r="F35" s="81"/>
      <c r="G35" s="35"/>
    </row>
    <row r="36" spans="1:7" s="1" customFormat="1" x14ac:dyDescent="0.2">
      <c r="A36" s="29"/>
      <c r="B36" s="74"/>
      <c r="C36" s="31"/>
      <c r="D36" s="39"/>
      <c r="E36" s="77"/>
      <c r="F36" s="81"/>
      <c r="G36" s="71"/>
    </row>
    <row r="37" spans="1:7" s="1" customFormat="1" x14ac:dyDescent="0.2">
      <c r="A37" s="29"/>
      <c r="B37" s="74"/>
      <c r="C37" s="4"/>
      <c r="D37" s="39"/>
      <c r="E37" s="84"/>
      <c r="F37" s="81"/>
      <c r="G37" s="71"/>
    </row>
    <row r="38" spans="1:7" s="1" customFormat="1" x14ac:dyDescent="0.2">
      <c r="A38" s="29"/>
      <c r="B38" s="74"/>
      <c r="C38" s="31"/>
      <c r="D38" s="39"/>
      <c r="E38" s="84"/>
      <c r="F38" s="81"/>
      <c r="G38" s="71"/>
    </row>
    <row r="39" spans="1:7" s="1" customFormat="1" x14ac:dyDescent="0.2">
      <c r="A39" s="29"/>
      <c r="B39" s="75"/>
      <c r="C39" s="31"/>
      <c r="D39" s="93"/>
      <c r="E39" s="84"/>
      <c r="F39" s="81"/>
      <c r="G39" s="35"/>
    </row>
    <row r="40" spans="1:7" s="1" customFormat="1" ht="13.5" thickBot="1" x14ac:dyDescent="0.25">
      <c r="A40" s="45"/>
      <c r="B40" s="46"/>
      <c r="C40" s="47"/>
      <c r="D40" s="66"/>
      <c r="E40" s="46"/>
      <c r="F40" s="49" t="s">
        <v>15</v>
      </c>
      <c r="G40" s="50"/>
    </row>
    <row r="41" spans="1:7" s="1" customFormat="1" ht="13.5" thickTop="1" x14ac:dyDescent="0.2">
      <c r="A41" s="17" t="s">
        <v>67</v>
      </c>
      <c r="B41" s="51"/>
      <c r="C41" s="4"/>
      <c r="D41" s="2"/>
      <c r="E41" s="51"/>
      <c r="F41" s="5"/>
      <c r="G41" s="20"/>
    </row>
    <row r="42" spans="1:7" s="1" customFormat="1" ht="13.5" thickBot="1" x14ac:dyDescent="0.25">
      <c r="A42" s="52"/>
      <c r="B42" s="53"/>
      <c r="C42" s="53"/>
      <c r="D42" s="54"/>
      <c r="E42" s="53"/>
      <c r="F42" s="55"/>
      <c r="G42" s="56"/>
    </row>
    <row r="43" spans="1:7" s="1" customFormat="1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s="1" customFormat="1" ht="27.75" customHeight="1" x14ac:dyDescent="0.2">
      <c r="A44" s="910" t="s">
        <v>17</v>
      </c>
      <c r="B44" s="911"/>
      <c r="C44" s="911"/>
      <c r="D44" s="39"/>
      <c r="E44" s="1065"/>
      <c r="F44" s="1066"/>
      <c r="G44" s="1067"/>
    </row>
    <row r="45" spans="1:7" s="1" customFormat="1" x14ac:dyDescent="0.2">
      <c r="A45" s="910" t="s">
        <v>38</v>
      </c>
      <c r="B45" s="911"/>
      <c r="C45" s="911"/>
      <c r="D45" s="73"/>
      <c r="E45" s="1068" t="s">
        <v>69</v>
      </c>
      <c r="F45" s="1068"/>
      <c r="G45" s="1069"/>
    </row>
    <row r="46" spans="1:7" s="1" customFormat="1" ht="13.5" thickBot="1" x14ac:dyDescent="0.25">
      <c r="A46" s="901" t="s">
        <v>39</v>
      </c>
      <c r="B46" s="902"/>
      <c r="C46" s="902"/>
      <c r="D46" s="59"/>
      <c r="E46" s="904" t="s">
        <v>0</v>
      </c>
      <c r="F46" s="904"/>
      <c r="G46" s="905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3">
    <tabColor indexed="60"/>
  </sheetPr>
  <dimension ref="A1:G46"/>
  <sheetViews>
    <sheetView zoomScale="115" zoomScaleNormal="115" workbookViewId="0">
      <selection activeCell="A26" sqref="A26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140625" style="2" customWidth="1"/>
    <col min="8" max="16384" width="9.140625" style="2"/>
  </cols>
  <sheetData>
    <row r="1" spans="1:7" ht="16.5" x14ac:dyDescent="0.25">
      <c r="A1" s="885" t="s">
        <v>29</v>
      </c>
      <c r="B1" s="886"/>
      <c r="C1" s="886"/>
      <c r="D1" s="886"/>
      <c r="E1" s="886"/>
      <c r="F1" s="886"/>
      <c r="G1" s="887"/>
    </row>
    <row r="2" spans="1:7" x14ac:dyDescent="0.2">
      <c r="A2" s="888" t="s">
        <v>48</v>
      </c>
      <c r="B2" s="889"/>
      <c r="C2" s="889"/>
      <c r="D2" s="889"/>
      <c r="E2" s="889"/>
      <c r="F2" s="889"/>
      <c r="G2" s="890"/>
    </row>
    <row r="3" spans="1:7" x14ac:dyDescent="0.2">
      <c r="A3" s="915" t="s">
        <v>49</v>
      </c>
      <c r="B3" s="916"/>
      <c r="C3" s="916"/>
      <c r="D3" s="916"/>
      <c r="E3" s="916"/>
      <c r="F3" s="916"/>
      <c r="G3" s="917"/>
    </row>
    <row r="4" spans="1:7" x14ac:dyDescent="0.2">
      <c r="A4" s="6"/>
      <c r="B4" s="7"/>
      <c r="C4" s="8"/>
      <c r="D4" s="9"/>
      <c r="E4" s="7"/>
      <c r="F4" s="10"/>
      <c r="G4" s="11" t="s">
        <v>20</v>
      </c>
    </row>
    <row r="5" spans="1:7" x14ac:dyDescent="0.2">
      <c r="A5" s="12" t="s">
        <v>1</v>
      </c>
      <c r="B5" s="13"/>
      <c r="C5" s="14" t="s">
        <v>26</v>
      </c>
      <c r="D5" s="13"/>
      <c r="E5" s="15" t="s">
        <v>60</v>
      </c>
      <c r="F5" s="60"/>
      <c r="G5" s="16" t="s">
        <v>62</v>
      </c>
    </row>
    <row r="6" spans="1:7" x14ac:dyDescent="0.2">
      <c r="A6" s="17" t="s">
        <v>8</v>
      </c>
      <c r="B6" s="18"/>
      <c r="C6" s="19"/>
      <c r="D6" s="4"/>
      <c r="E6" s="918"/>
      <c r="F6" s="919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7"/>
      <c r="C8" s="8"/>
      <c r="D8" s="8"/>
      <c r="E8" s="920"/>
      <c r="F8" s="921"/>
      <c r="G8" s="25"/>
    </row>
    <row r="9" spans="1:7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7" ht="13.5" thickTop="1" x14ac:dyDescent="0.2">
      <c r="A10" s="122"/>
      <c r="B10" s="116"/>
      <c r="C10" s="119"/>
      <c r="D10" s="121"/>
      <c r="E10" s="120"/>
      <c r="F10" s="123"/>
      <c r="G10" s="124"/>
    </row>
    <row r="11" spans="1:7" x14ac:dyDescent="0.2">
      <c r="A11" s="87"/>
      <c r="B11" s="82"/>
      <c r="C11" s="31"/>
      <c r="D11" s="39"/>
      <c r="E11" s="77"/>
      <c r="F11" s="78"/>
      <c r="G11" s="124"/>
    </row>
    <row r="12" spans="1:7" x14ac:dyDescent="0.2">
      <c r="A12" s="87"/>
      <c r="B12" s="82"/>
      <c r="C12" s="31"/>
      <c r="D12" s="39"/>
      <c r="E12" s="77"/>
      <c r="F12" s="78"/>
      <c r="G12" s="124"/>
    </row>
    <row r="13" spans="1:7" x14ac:dyDescent="0.2">
      <c r="A13" s="83"/>
      <c r="B13" s="74"/>
      <c r="C13" s="31"/>
      <c r="D13" s="39"/>
      <c r="E13" s="31"/>
      <c r="F13" s="81"/>
      <c r="G13" s="124"/>
    </row>
    <row r="14" spans="1:7" x14ac:dyDescent="0.2">
      <c r="A14" s="83"/>
      <c r="B14" s="95"/>
      <c r="C14" s="31"/>
      <c r="D14" s="39"/>
      <c r="E14" s="84"/>
      <c r="F14" s="78"/>
      <c r="G14" s="124"/>
    </row>
    <row r="15" spans="1:7" x14ac:dyDescent="0.2">
      <c r="A15" s="83"/>
      <c r="B15" s="96"/>
      <c r="C15" s="31"/>
      <c r="D15" s="39"/>
      <c r="E15" s="84"/>
      <c r="F15" s="78"/>
      <c r="G15" s="124"/>
    </row>
    <row r="16" spans="1:7" x14ac:dyDescent="0.2">
      <c r="A16" s="83"/>
      <c r="B16" s="96"/>
      <c r="C16" s="31"/>
      <c r="D16" s="93"/>
      <c r="E16" s="84"/>
      <c r="F16" s="81"/>
      <c r="G16" s="124"/>
    </row>
    <row r="17" spans="1:7" x14ac:dyDescent="0.2">
      <c r="A17" s="83"/>
      <c r="B17" s="96"/>
      <c r="C17" s="31"/>
      <c r="D17" s="76"/>
      <c r="E17" s="77"/>
      <c r="F17" s="78"/>
      <c r="G17" s="71"/>
    </row>
    <row r="18" spans="1:7" x14ac:dyDescent="0.2">
      <c r="A18" s="83"/>
      <c r="B18" s="96"/>
      <c r="C18" s="68"/>
      <c r="D18" s="76"/>
      <c r="E18" s="31"/>
      <c r="F18" s="78"/>
      <c r="G18" s="71"/>
    </row>
    <row r="19" spans="1:7" x14ac:dyDescent="0.2">
      <c r="A19" s="83"/>
      <c r="B19" s="75"/>
      <c r="C19" s="31"/>
      <c r="D19" s="39"/>
      <c r="E19" s="84"/>
      <c r="F19" s="78"/>
      <c r="G19" s="71"/>
    </row>
    <row r="20" spans="1:7" x14ac:dyDescent="0.2">
      <c r="A20" s="83"/>
      <c r="B20" s="75"/>
      <c r="C20" s="97"/>
      <c r="D20" s="90"/>
      <c r="E20" s="79"/>
      <c r="F20" s="80"/>
      <c r="G20" s="71"/>
    </row>
    <row r="21" spans="1:7" x14ac:dyDescent="0.2">
      <c r="A21" s="61"/>
      <c r="B21" s="75"/>
      <c r="C21" s="31"/>
      <c r="D21" s="76"/>
      <c r="E21" s="77"/>
      <c r="F21" s="78"/>
      <c r="G21" s="71"/>
    </row>
    <row r="22" spans="1:7" x14ac:dyDescent="0.2">
      <c r="A22" s="29"/>
      <c r="B22" s="74"/>
      <c r="C22" s="31"/>
      <c r="D22" s="76"/>
      <c r="E22" s="84"/>
      <c r="F22" s="78"/>
      <c r="G22" s="71"/>
    </row>
    <row r="23" spans="1:7" x14ac:dyDescent="0.2">
      <c r="A23" s="29"/>
      <c r="B23" s="74"/>
      <c r="C23" s="31"/>
      <c r="D23" s="76"/>
      <c r="E23" s="77"/>
      <c r="F23" s="78"/>
      <c r="G23" s="71"/>
    </row>
    <row r="24" spans="1:7" x14ac:dyDescent="0.2">
      <c r="A24" s="29"/>
      <c r="B24" s="74"/>
      <c r="C24" s="68"/>
      <c r="D24" s="76"/>
      <c r="E24" s="92"/>
      <c r="F24" s="78"/>
      <c r="G24" s="35"/>
    </row>
    <row r="25" spans="1:7" x14ac:dyDescent="0.2">
      <c r="A25" s="29"/>
      <c r="B25" s="74"/>
      <c r="C25" s="68"/>
      <c r="D25" s="76"/>
      <c r="E25" s="77"/>
      <c r="F25" s="78"/>
      <c r="G25" s="71"/>
    </row>
    <row r="26" spans="1:7" x14ac:dyDescent="0.2">
      <c r="A26" s="29"/>
      <c r="B26" s="74"/>
      <c r="C26" s="31"/>
      <c r="D26" s="76"/>
      <c r="E26" s="77"/>
      <c r="F26" s="78"/>
      <c r="G26" s="71"/>
    </row>
    <row r="27" spans="1:7" x14ac:dyDescent="0.2">
      <c r="A27" s="29"/>
      <c r="B27" s="74"/>
      <c r="C27" s="31"/>
      <c r="D27" s="76"/>
      <c r="E27" s="77"/>
      <c r="F27" s="78"/>
      <c r="G27" s="71"/>
    </row>
    <row r="28" spans="1:7" x14ac:dyDescent="0.2">
      <c r="A28" s="29"/>
      <c r="B28" s="74"/>
      <c r="C28" s="31"/>
      <c r="D28" s="76"/>
      <c r="E28" s="77"/>
      <c r="F28" s="78"/>
      <c r="G28" s="71"/>
    </row>
    <row r="29" spans="1:7" x14ac:dyDescent="0.2">
      <c r="A29" s="29"/>
      <c r="B29" s="74"/>
      <c r="C29" s="31"/>
      <c r="D29" s="76"/>
      <c r="E29" s="77"/>
      <c r="F29" s="78"/>
      <c r="G29" s="71"/>
    </row>
    <row r="30" spans="1:7" x14ac:dyDescent="0.2">
      <c r="A30" s="29"/>
      <c r="B30" s="74"/>
      <c r="C30" s="31"/>
      <c r="D30" s="76"/>
      <c r="E30" s="77"/>
      <c r="F30" s="78"/>
      <c r="G30" s="71"/>
    </row>
    <row r="31" spans="1:7" x14ac:dyDescent="0.2">
      <c r="A31" s="29"/>
      <c r="B31" s="74"/>
      <c r="C31" s="31"/>
      <c r="D31" s="76"/>
      <c r="E31" s="77"/>
      <c r="F31" s="78"/>
      <c r="G31" s="71"/>
    </row>
    <row r="32" spans="1:7" x14ac:dyDescent="0.2">
      <c r="A32" s="29"/>
      <c r="B32" s="74"/>
      <c r="C32" s="31"/>
      <c r="D32" s="76"/>
      <c r="E32" s="77"/>
      <c r="F32" s="78"/>
      <c r="G32" s="71"/>
    </row>
    <row r="33" spans="1:7" x14ac:dyDescent="0.2">
      <c r="A33" s="29"/>
      <c r="B33" s="74"/>
      <c r="C33" s="31"/>
      <c r="D33" s="76"/>
      <c r="E33" s="77"/>
      <c r="F33" s="78"/>
      <c r="G33" s="71"/>
    </row>
    <row r="34" spans="1:7" x14ac:dyDescent="0.2">
      <c r="A34" s="29"/>
      <c r="B34" s="74"/>
      <c r="C34" s="31"/>
      <c r="D34" s="76"/>
      <c r="E34" s="77"/>
      <c r="F34" s="78"/>
      <c r="G34" s="71"/>
    </row>
    <row r="35" spans="1:7" x14ac:dyDescent="0.2">
      <c r="A35" s="61"/>
      <c r="B35" s="74"/>
      <c r="C35" s="31"/>
      <c r="D35" s="39"/>
      <c r="E35" s="31"/>
      <c r="F35" s="81"/>
      <c r="G35" s="35"/>
    </row>
    <row r="36" spans="1:7" x14ac:dyDescent="0.2">
      <c r="A36" s="29"/>
      <c r="B36" s="74"/>
      <c r="C36" s="68"/>
      <c r="D36" s="76"/>
      <c r="E36" s="77"/>
      <c r="F36" s="78"/>
      <c r="G36" s="71"/>
    </row>
    <row r="37" spans="1:7" x14ac:dyDescent="0.2">
      <c r="A37" s="29"/>
      <c r="B37" s="74"/>
      <c r="D37" s="39"/>
      <c r="E37" s="84"/>
      <c r="F37" s="78"/>
      <c r="G37" s="71"/>
    </row>
    <row r="38" spans="1:7" x14ac:dyDescent="0.2">
      <c r="A38" s="29"/>
      <c r="B38" s="74"/>
      <c r="C38" s="31"/>
      <c r="D38" s="76"/>
      <c r="E38" s="84"/>
      <c r="F38" s="78"/>
      <c r="G38" s="71"/>
    </row>
    <row r="39" spans="1:7" x14ac:dyDescent="0.2">
      <c r="A39" s="29"/>
      <c r="B39" s="75"/>
      <c r="C39" s="31"/>
      <c r="D39" s="93"/>
      <c r="E39" s="84"/>
      <c r="F39" s="81"/>
      <c r="G39" s="35"/>
    </row>
    <row r="40" spans="1:7" ht="13.5" thickBot="1" x14ac:dyDescent="0.25">
      <c r="A40" s="45"/>
      <c r="B40" s="46"/>
      <c r="C40" s="47"/>
      <c r="D40" s="66"/>
      <c r="E40" s="46"/>
      <c r="F40" s="49" t="s">
        <v>15</v>
      </c>
      <c r="G40" s="50">
        <f>SUM(G10:G39)</f>
        <v>0</v>
      </c>
    </row>
    <row r="41" spans="1:7" ht="13.5" thickTop="1" x14ac:dyDescent="0.2">
      <c r="A41" s="17" t="s">
        <v>67</v>
      </c>
      <c r="B41" s="51"/>
      <c r="E41" s="51"/>
      <c r="G41" s="20"/>
    </row>
    <row r="42" spans="1:7" ht="13.5" thickBot="1" x14ac:dyDescent="0.25">
      <c r="A42" s="52"/>
      <c r="B42" s="53"/>
      <c r="C42" s="53"/>
      <c r="D42" s="54"/>
      <c r="E42" s="53"/>
      <c r="F42" s="55"/>
      <c r="G42" s="56"/>
    </row>
    <row r="43" spans="1:7" ht="13.5" thickTop="1" x14ac:dyDescent="0.2">
      <c r="A43" s="906"/>
      <c r="B43" s="907"/>
      <c r="C43" s="907"/>
      <c r="D43" s="57" t="s">
        <v>11</v>
      </c>
      <c r="E43" s="908" t="s">
        <v>12</v>
      </c>
      <c r="F43" s="908"/>
      <c r="G43" s="909"/>
    </row>
    <row r="44" spans="1:7" ht="27.75" customHeight="1" x14ac:dyDescent="0.2">
      <c r="A44" s="910" t="s">
        <v>17</v>
      </c>
      <c r="B44" s="911"/>
      <c r="C44" s="911"/>
      <c r="D44" s="39"/>
      <c r="E44" s="1065"/>
      <c r="F44" s="1066"/>
      <c r="G44" s="1067"/>
    </row>
    <row r="45" spans="1:7" x14ac:dyDescent="0.2">
      <c r="A45" s="910" t="s">
        <v>38</v>
      </c>
      <c r="B45" s="911"/>
      <c r="C45" s="911"/>
      <c r="D45" s="73"/>
      <c r="E45" s="1068" t="s">
        <v>69</v>
      </c>
      <c r="F45" s="1068"/>
      <c r="G45" s="1069"/>
    </row>
    <row r="46" spans="1:7" ht="13.5" thickBot="1" x14ac:dyDescent="0.25">
      <c r="A46" s="901" t="s">
        <v>39</v>
      </c>
      <c r="B46" s="902"/>
      <c r="C46" s="902"/>
      <c r="D46" s="59"/>
      <c r="E46" s="904" t="s">
        <v>0</v>
      </c>
      <c r="F46" s="904"/>
      <c r="G46" s="905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honeticPr fontId="3" type="noConversion"/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4">
    <tabColor indexed="62"/>
  </sheetPr>
  <dimension ref="A1:H48"/>
  <sheetViews>
    <sheetView zoomScale="110" zoomScaleNormal="110" workbookViewId="0">
      <selection activeCell="K22" sqref="K22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28515625" style="2" customWidth="1"/>
    <col min="8" max="8" width="10.140625" style="1" bestFit="1" customWidth="1"/>
    <col min="9" max="16384" width="9.140625" style="2"/>
  </cols>
  <sheetData>
    <row r="1" spans="1:8" ht="16.5" x14ac:dyDescent="0.25">
      <c r="A1" s="885" t="s">
        <v>29</v>
      </c>
      <c r="B1" s="886"/>
      <c r="C1" s="886"/>
      <c r="D1" s="886"/>
      <c r="E1" s="886"/>
      <c r="F1" s="886"/>
      <c r="G1" s="887"/>
      <c r="H1" s="1">
        <v>1</v>
      </c>
    </row>
    <row r="2" spans="1:8" x14ac:dyDescent="0.2">
      <c r="A2" s="888" t="s">
        <v>48</v>
      </c>
      <c r="B2" s="889"/>
      <c r="C2" s="889"/>
      <c r="D2" s="889"/>
      <c r="E2" s="889"/>
      <c r="F2" s="889"/>
      <c r="G2" s="890"/>
      <c r="H2" s="86"/>
    </row>
    <row r="3" spans="1:8" x14ac:dyDescent="0.2">
      <c r="A3" s="915" t="s">
        <v>49</v>
      </c>
      <c r="B3" s="916"/>
      <c r="C3" s="916"/>
      <c r="D3" s="916"/>
      <c r="E3" s="916"/>
      <c r="F3" s="916"/>
      <c r="G3" s="917"/>
    </row>
    <row r="4" spans="1:8" x14ac:dyDescent="0.2">
      <c r="A4" s="6"/>
      <c r="B4" s="7"/>
      <c r="C4" s="8"/>
      <c r="D4" s="9"/>
      <c r="E4" s="7"/>
      <c r="F4" s="10"/>
      <c r="G4" s="11" t="s">
        <v>20</v>
      </c>
    </row>
    <row r="5" spans="1:8" x14ac:dyDescent="0.2">
      <c r="A5" s="12" t="s">
        <v>1</v>
      </c>
      <c r="B5" s="13"/>
      <c r="C5" s="14" t="s">
        <v>56</v>
      </c>
      <c r="D5" s="13"/>
      <c r="E5" s="15" t="s">
        <v>3</v>
      </c>
      <c r="F5" s="60"/>
      <c r="G5" s="16" t="s">
        <v>40</v>
      </c>
    </row>
    <row r="6" spans="1:8" x14ac:dyDescent="0.2">
      <c r="A6" s="17" t="s">
        <v>8</v>
      </c>
      <c r="B6" s="18"/>
      <c r="C6" s="19"/>
      <c r="D6" s="4"/>
      <c r="E6" s="918"/>
      <c r="F6" s="919"/>
      <c r="G6" s="20"/>
    </row>
    <row r="7" spans="1:8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8" x14ac:dyDescent="0.2">
      <c r="A8" s="6"/>
      <c r="B8" s="7"/>
      <c r="C8" s="8"/>
      <c r="D8" s="8"/>
      <c r="E8" s="920"/>
      <c r="F8" s="921"/>
      <c r="G8" s="25"/>
    </row>
    <row r="9" spans="1:8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8" ht="13.5" thickTop="1" x14ac:dyDescent="0.2">
      <c r="A10" s="29"/>
      <c r="B10" s="30"/>
      <c r="C10" s="31"/>
      <c r="D10" s="32"/>
      <c r="E10" s="64"/>
      <c r="F10" s="34"/>
      <c r="G10" s="35"/>
    </row>
    <row r="11" spans="1:8" x14ac:dyDescent="0.2">
      <c r="A11" s="29"/>
      <c r="B11" s="30"/>
      <c r="C11" s="31"/>
      <c r="D11" s="32"/>
      <c r="E11" s="64"/>
      <c r="F11" s="34"/>
      <c r="G11" s="35"/>
    </row>
    <row r="12" spans="1:8" x14ac:dyDescent="0.2">
      <c r="A12" s="29"/>
      <c r="B12" s="30"/>
      <c r="C12" s="31"/>
      <c r="D12" s="32"/>
      <c r="E12" s="64"/>
      <c r="F12" s="34"/>
      <c r="G12" s="35"/>
    </row>
    <row r="13" spans="1:8" x14ac:dyDescent="0.2">
      <c r="A13" s="29"/>
      <c r="B13" s="30"/>
      <c r="C13" s="31"/>
      <c r="D13" s="32"/>
      <c r="E13" s="64"/>
      <c r="F13" s="34"/>
      <c r="G13" s="35"/>
    </row>
    <row r="14" spans="1:8" x14ac:dyDescent="0.2">
      <c r="A14" s="29"/>
      <c r="B14" s="30"/>
      <c r="C14" s="31"/>
      <c r="D14" s="32"/>
      <c r="E14" s="64"/>
      <c r="F14" s="34"/>
      <c r="G14" s="35"/>
    </row>
    <row r="15" spans="1:8" x14ac:dyDescent="0.2">
      <c r="A15" s="29"/>
      <c r="B15" s="30"/>
      <c r="C15" s="31"/>
      <c r="D15" s="32"/>
      <c r="E15" s="64"/>
      <c r="F15" s="34"/>
      <c r="G15" s="35"/>
    </row>
    <row r="16" spans="1:8" x14ac:dyDescent="0.2">
      <c r="A16" s="29"/>
      <c r="B16" s="30"/>
      <c r="C16" s="31"/>
      <c r="D16" s="32"/>
      <c r="E16" s="64"/>
      <c r="F16" s="34"/>
      <c r="G16" s="35"/>
    </row>
    <row r="17" spans="1:7" x14ac:dyDescent="0.2">
      <c r="A17" s="29"/>
      <c r="B17" s="30"/>
      <c r="C17" s="31"/>
      <c r="D17" s="32"/>
      <c r="E17" s="64"/>
      <c r="F17" s="34"/>
      <c r="G17" s="35"/>
    </row>
    <row r="18" spans="1:7" x14ac:dyDescent="0.2">
      <c r="A18" s="29"/>
      <c r="B18" s="30"/>
      <c r="C18" s="31"/>
      <c r="D18" s="32"/>
      <c r="E18" s="64"/>
      <c r="F18" s="34"/>
      <c r="G18" s="35"/>
    </row>
    <row r="19" spans="1:7" x14ac:dyDescent="0.2">
      <c r="A19" s="29"/>
      <c r="B19" s="30"/>
      <c r="C19" s="31"/>
      <c r="D19" s="32"/>
      <c r="E19" s="64"/>
      <c r="F19" s="34"/>
      <c r="G19" s="35"/>
    </row>
    <row r="20" spans="1:7" x14ac:dyDescent="0.2">
      <c r="A20" s="29"/>
      <c r="B20" s="30"/>
      <c r="C20" s="31"/>
      <c r="D20" s="32"/>
      <c r="E20" s="64"/>
      <c r="F20" s="34"/>
      <c r="G20" s="35"/>
    </row>
    <row r="21" spans="1:7" x14ac:dyDescent="0.2">
      <c r="A21" s="29"/>
      <c r="B21" s="30"/>
      <c r="C21" s="31"/>
      <c r="D21" s="32"/>
      <c r="E21" s="64"/>
      <c r="F21" s="34"/>
      <c r="G21" s="35"/>
    </row>
    <row r="22" spans="1:7" x14ac:dyDescent="0.2">
      <c r="A22" s="29"/>
      <c r="B22" s="30"/>
      <c r="C22" s="31"/>
      <c r="D22" s="32"/>
      <c r="E22" s="64"/>
      <c r="F22" s="34"/>
      <c r="G22" s="35"/>
    </row>
    <row r="23" spans="1:7" x14ac:dyDescent="0.2">
      <c r="A23" s="29"/>
      <c r="B23" s="30"/>
      <c r="C23" s="31"/>
      <c r="D23" s="32"/>
      <c r="E23" s="64"/>
      <c r="F23" s="34"/>
      <c r="G23" s="35"/>
    </row>
    <row r="24" spans="1:7" x14ac:dyDescent="0.2">
      <c r="A24" s="29"/>
      <c r="B24" s="30"/>
      <c r="C24" s="31"/>
      <c r="D24" s="32"/>
      <c r="E24" s="64"/>
      <c r="F24" s="34"/>
      <c r="G24" s="35"/>
    </row>
    <row r="25" spans="1:7" x14ac:dyDescent="0.2">
      <c r="A25" s="29"/>
      <c r="B25" s="30"/>
      <c r="C25" s="31"/>
      <c r="D25" s="32"/>
      <c r="E25" s="64"/>
      <c r="F25" s="34"/>
      <c r="G25" s="35"/>
    </row>
    <row r="26" spans="1:7" x14ac:dyDescent="0.2">
      <c r="A26" s="29"/>
      <c r="B26" s="30"/>
      <c r="C26" s="31"/>
      <c r="D26" s="32"/>
      <c r="E26" s="64"/>
      <c r="F26" s="34"/>
      <c r="G26" s="35"/>
    </row>
    <row r="27" spans="1:7" x14ac:dyDescent="0.2">
      <c r="A27" s="29"/>
      <c r="B27" s="30"/>
      <c r="C27" s="31"/>
      <c r="D27" s="32"/>
      <c r="E27" s="64"/>
      <c r="F27" s="34"/>
      <c r="G27" s="35"/>
    </row>
    <row r="28" spans="1:7" x14ac:dyDescent="0.2">
      <c r="A28" s="29"/>
      <c r="B28" s="38"/>
      <c r="C28" s="31"/>
      <c r="D28" s="32"/>
      <c r="E28" s="65"/>
      <c r="F28" s="34"/>
      <c r="G28" s="35"/>
    </row>
    <row r="29" spans="1:7" x14ac:dyDescent="0.2">
      <c r="A29" s="29"/>
      <c r="B29" s="30"/>
      <c r="C29" s="31"/>
      <c r="D29" s="32"/>
      <c r="E29" s="65"/>
      <c r="F29" s="34"/>
      <c r="G29" s="35"/>
    </row>
    <row r="30" spans="1:7" x14ac:dyDescent="0.2">
      <c r="A30" s="29"/>
      <c r="B30" s="30"/>
      <c r="C30" s="31"/>
      <c r="D30" s="32"/>
      <c r="E30" s="65"/>
      <c r="F30" s="34"/>
      <c r="G30" s="35"/>
    </row>
    <row r="31" spans="1:7" x14ac:dyDescent="0.2">
      <c r="A31" s="29"/>
      <c r="B31" s="30"/>
      <c r="C31" s="31"/>
      <c r="D31" s="32"/>
      <c r="E31" s="65"/>
      <c r="F31" s="34"/>
      <c r="G31" s="35"/>
    </row>
    <row r="32" spans="1:7" x14ac:dyDescent="0.2">
      <c r="A32" s="29"/>
      <c r="B32" s="30"/>
      <c r="C32" s="31"/>
      <c r="D32" s="32"/>
      <c r="E32" s="65"/>
      <c r="F32" s="34"/>
      <c r="G32" s="35"/>
    </row>
    <row r="33" spans="1:7" x14ac:dyDescent="0.2">
      <c r="A33" s="29"/>
      <c r="B33" s="30"/>
      <c r="C33" s="31"/>
      <c r="D33" s="37"/>
      <c r="E33" s="64"/>
      <c r="F33" s="34"/>
      <c r="G33" s="35"/>
    </row>
    <row r="34" spans="1:7" x14ac:dyDescent="0.2">
      <c r="A34" s="61"/>
      <c r="B34" s="30"/>
      <c r="C34" s="31"/>
      <c r="D34" s="37"/>
      <c r="E34" s="63"/>
      <c r="F34" s="34"/>
      <c r="G34" s="35"/>
    </row>
    <row r="35" spans="1:7" x14ac:dyDescent="0.2">
      <c r="A35" s="61"/>
      <c r="B35" s="30"/>
      <c r="C35" s="31"/>
      <c r="D35" s="32"/>
      <c r="E35" s="30"/>
      <c r="F35" s="34"/>
      <c r="G35" s="35"/>
    </row>
    <row r="36" spans="1:7" x14ac:dyDescent="0.2">
      <c r="A36" s="61"/>
      <c r="B36" s="30"/>
      <c r="C36" s="31"/>
      <c r="D36" s="32"/>
      <c r="E36" s="30"/>
      <c r="F36" s="34"/>
      <c r="G36" s="35"/>
    </row>
    <row r="37" spans="1:7" x14ac:dyDescent="0.2">
      <c r="A37" s="29"/>
      <c r="B37" s="30"/>
      <c r="C37" s="31"/>
      <c r="D37" s="32"/>
      <c r="E37" s="30"/>
      <c r="F37" s="34"/>
      <c r="G37" s="35"/>
    </row>
    <row r="38" spans="1:7" x14ac:dyDescent="0.2">
      <c r="A38" s="29"/>
      <c r="B38" s="30"/>
      <c r="C38" s="31"/>
      <c r="D38" s="32"/>
      <c r="E38" s="30"/>
      <c r="F38" s="34"/>
      <c r="G38" s="35"/>
    </row>
    <row r="39" spans="1:7" x14ac:dyDescent="0.2">
      <c r="A39" s="29"/>
      <c r="B39" s="30"/>
      <c r="C39" s="31"/>
      <c r="D39" s="32"/>
      <c r="E39" s="30"/>
      <c r="F39" s="34"/>
      <c r="G39" s="35"/>
    </row>
    <row r="40" spans="1:7" x14ac:dyDescent="0.2">
      <c r="A40" s="61"/>
      <c r="B40" s="30"/>
      <c r="C40" s="31"/>
      <c r="D40" s="32"/>
      <c r="E40" s="30"/>
      <c r="F40" s="43"/>
      <c r="G40" s="35"/>
    </row>
    <row r="41" spans="1:7" x14ac:dyDescent="0.2">
      <c r="A41" s="29"/>
      <c r="B41" s="30"/>
      <c r="C41" s="31"/>
      <c r="D41" s="32"/>
      <c r="E41" s="30"/>
      <c r="F41" s="44"/>
      <c r="G41" s="35"/>
    </row>
    <row r="42" spans="1:7" ht="13.5" thickBot="1" x14ac:dyDescent="0.25">
      <c r="A42" s="45"/>
      <c r="B42" s="46"/>
      <c r="C42" s="47"/>
      <c r="D42" s="48"/>
      <c r="E42" s="46"/>
      <c r="F42" s="49" t="s">
        <v>15</v>
      </c>
      <c r="G42" s="50"/>
    </row>
    <row r="43" spans="1:7" ht="13.5" thickTop="1" x14ac:dyDescent="0.2">
      <c r="A43" s="17" t="s">
        <v>67</v>
      </c>
      <c r="B43" s="51"/>
      <c r="E43" s="51"/>
      <c r="G43" s="20"/>
    </row>
    <row r="44" spans="1:7" ht="13.5" thickBot="1" x14ac:dyDescent="0.25">
      <c r="A44" s="52"/>
      <c r="B44" s="53"/>
      <c r="C44" s="53"/>
      <c r="D44" s="54"/>
      <c r="E44" s="53"/>
      <c r="F44" s="55"/>
      <c r="G44" s="56"/>
    </row>
    <row r="45" spans="1:7" ht="13.5" thickTop="1" x14ac:dyDescent="0.2">
      <c r="A45" s="906"/>
      <c r="B45" s="907"/>
      <c r="C45" s="907"/>
      <c r="D45" s="57" t="s">
        <v>11</v>
      </c>
      <c r="E45" s="908" t="s">
        <v>12</v>
      </c>
      <c r="F45" s="908"/>
      <c r="G45" s="909"/>
    </row>
    <row r="46" spans="1:7" ht="27.75" customHeight="1" x14ac:dyDescent="0.2">
      <c r="A46" s="910" t="s">
        <v>17</v>
      </c>
      <c r="B46" s="911"/>
      <c r="C46" s="911"/>
      <c r="D46" s="39"/>
      <c r="E46" s="1065"/>
      <c r="F46" s="1066"/>
      <c r="G46" s="1067"/>
    </row>
    <row r="47" spans="1:7" x14ac:dyDescent="0.2">
      <c r="A47" s="910" t="s">
        <v>38</v>
      </c>
      <c r="B47" s="911"/>
      <c r="C47" s="911"/>
      <c r="D47" s="58"/>
      <c r="E47" s="1068" t="s">
        <v>69</v>
      </c>
      <c r="F47" s="1068"/>
      <c r="G47" s="1069"/>
    </row>
    <row r="48" spans="1:7" ht="13.5" thickBot="1" x14ac:dyDescent="0.25">
      <c r="A48" s="901" t="s">
        <v>39</v>
      </c>
      <c r="B48" s="902"/>
      <c r="C48" s="902"/>
      <c r="D48" s="59"/>
      <c r="E48" s="904" t="s">
        <v>0</v>
      </c>
      <c r="F48" s="904"/>
      <c r="G48" s="905"/>
    </row>
  </sheetData>
  <mergeCells count="13">
    <mergeCell ref="A1:G1"/>
    <mergeCell ref="A2:G2"/>
    <mergeCell ref="A3:G3"/>
    <mergeCell ref="E6:F6"/>
    <mergeCell ref="A48:C48"/>
    <mergeCell ref="E48:G48"/>
    <mergeCell ref="E8:F8"/>
    <mergeCell ref="A45:C45"/>
    <mergeCell ref="E45:G45"/>
    <mergeCell ref="A46:C46"/>
    <mergeCell ref="E46:G46"/>
    <mergeCell ref="A47:C47"/>
    <mergeCell ref="E47:G47"/>
  </mergeCells>
  <phoneticPr fontId="3" type="noConversion"/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F35"/>
  <sheetViews>
    <sheetView workbookViewId="0">
      <selection activeCell="N24" sqref="N24"/>
    </sheetView>
  </sheetViews>
  <sheetFormatPr defaultRowHeight="12.75" x14ac:dyDescent="0.2"/>
  <cols>
    <col min="1" max="1" width="5.7109375" customWidth="1"/>
    <col min="2" max="2" width="17.28515625" bestFit="1" customWidth="1"/>
    <col min="3" max="6" width="8.85546875" customWidth="1"/>
    <col min="7" max="38" width="9.140625" customWidth="1"/>
  </cols>
  <sheetData>
    <row r="1" spans="1:6" ht="30" customHeight="1" x14ac:dyDescent="0.2">
      <c r="A1" s="145"/>
      <c r="B1" s="146"/>
      <c r="C1" s="1070" t="s">
        <v>135</v>
      </c>
      <c r="D1" s="1071"/>
      <c r="E1" s="1070" t="s">
        <v>134</v>
      </c>
      <c r="F1" s="1071"/>
    </row>
    <row r="2" spans="1:6" ht="24" customHeight="1" x14ac:dyDescent="0.2">
      <c r="A2" s="76"/>
      <c r="B2" s="76"/>
      <c r="C2" s="147" t="s">
        <v>132</v>
      </c>
      <c r="D2" s="148" t="s">
        <v>133</v>
      </c>
      <c r="E2" s="147" t="s">
        <v>132</v>
      </c>
      <c r="F2" s="148" t="s">
        <v>133</v>
      </c>
    </row>
    <row r="3" spans="1:6" x14ac:dyDescent="0.2">
      <c r="A3" s="68">
        <v>1</v>
      </c>
      <c r="B3" s="31" t="s">
        <v>71</v>
      </c>
      <c r="C3" s="76"/>
      <c r="D3" s="76"/>
      <c r="E3" s="76"/>
      <c r="F3" s="76"/>
    </row>
    <row r="4" spans="1:6" x14ac:dyDescent="0.2">
      <c r="A4" s="68">
        <v>2</v>
      </c>
      <c r="B4" s="31" t="s">
        <v>72</v>
      </c>
      <c r="C4" s="76"/>
      <c r="D4" s="76"/>
      <c r="E4" s="76"/>
      <c r="F4" s="76"/>
    </row>
    <row r="5" spans="1:6" x14ac:dyDescent="0.2">
      <c r="A5" s="68">
        <v>3</v>
      </c>
      <c r="B5" s="135" t="s">
        <v>73</v>
      </c>
      <c r="C5" s="76"/>
      <c r="D5" s="76"/>
      <c r="E5" s="76"/>
      <c r="F5" s="76"/>
    </row>
    <row r="6" spans="1:6" x14ac:dyDescent="0.2">
      <c r="A6" s="68">
        <v>4</v>
      </c>
      <c r="B6" s="135" t="s">
        <v>74</v>
      </c>
      <c r="C6" s="76"/>
      <c r="D6" s="76"/>
      <c r="E6" s="76"/>
      <c r="F6" s="76"/>
    </row>
    <row r="7" spans="1:6" x14ac:dyDescent="0.2">
      <c r="A7" s="68">
        <v>5</v>
      </c>
      <c r="B7" s="135" t="s">
        <v>75</v>
      </c>
      <c r="C7" s="76"/>
      <c r="D7" s="76"/>
      <c r="E7" s="76"/>
      <c r="F7" s="76"/>
    </row>
    <row r="8" spans="1:6" x14ac:dyDescent="0.2">
      <c r="A8" s="68">
        <v>6</v>
      </c>
      <c r="B8" s="135" t="s">
        <v>76</v>
      </c>
      <c r="C8" s="76"/>
      <c r="D8" s="76"/>
      <c r="E8" s="76"/>
      <c r="F8" s="76"/>
    </row>
    <row r="9" spans="1:6" x14ac:dyDescent="0.2">
      <c r="A9" s="68">
        <v>7</v>
      </c>
      <c r="B9" s="135" t="s">
        <v>77</v>
      </c>
      <c r="C9" s="76"/>
      <c r="D9" s="76"/>
      <c r="E9" s="76"/>
      <c r="F9" s="76"/>
    </row>
    <row r="10" spans="1:6" x14ac:dyDescent="0.2">
      <c r="A10" s="68">
        <v>8</v>
      </c>
      <c r="B10" s="135" t="s">
        <v>78</v>
      </c>
      <c r="C10" s="76"/>
      <c r="D10" s="76"/>
      <c r="E10" s="76"/>
      <c r="F10" s="76"/>
    </row>
    <row r="11" spans="1:6" x14ac:dyDescent="0.2">
      <c r="A11" s="68">
        <v>9</v>
      </c>
      <c r="B11" s="135" t="s">
        <v>79</v>
      </c>
      <c r="C11" s="76"/>
      <c r="D11" s="76"/>
      <c r="E11" s="76"/>
      <c r="F11" s="76"/>
    </row>
    <row r="12" spans="1:6" x14ac:dyDescent="0.2">
      <c r="A12" s="68">
        <v>10</v>
      </c>
      <c r="B12" s="135" t="s">
        <v>80</v>
      </c>
      <c r="C12" s="76"/>
      <c r="D12" s="76"/>
      <c r="E12" s="76"/>
      <c r="F12" s="76"/>
    </row>
    <row r="13" spans="1:6" x14ac:dyDescent="0.2">
      <c r="A13" s="68">
        <v>11</v>
      </c>
      <c r="B13" s="135" t="s">
        <v>81</v>
      </c>
      <c r="C13" s="76"/>
      <c r="D13" s="76"/>
      <c r="E13" s="76"/>
      <c r="F13" s="76"/>
    </row>
    <row r="14" spans="1:6" x14ac:dyDescent="0.2">
      <c r="A14" s="68">
        <v>12</v>
      </c>
      <c r="B14" s="119" t="s">
        <v>82</v>
      </c>
      <c r="C14" s="76"/>
      <c r="D14" s="76"/>
      <c r="E14" s="76"/>
      <c r="F14" s="76"/>
    </row>
    <row r="15" spans="1:6" x14ac:dyDescent="0.2">
      <c r="A15" s="68">
        <v>13</v>
      </c>
      <c r="B15" s="119" t="s">
        <v>83</v>
      </c>
      <c r="C15" s="76"/>
      <c r="D15" s="76"/>
      <c r="E15" s="76"/>
      <c r="F15" s="76"/>
    </row>
    <row r="16" spans="1:6" x14ac:dyDescent="0.2">
      <c r="A16" s="68">
        <v>14</v>
      </c>
      <c r="B16" s="135" t="s">
        <v>84</v>
      </c>
      <c r="C16" s="76"/>
      <c r="D16" s="76"/>
      <c r="E16" s="76"/>
      <c r="F16" s="76"/>
    </row>
    <row r="17" spans="1:6" x14ac:dyDescent="0.2">
      <c r="A17" s="68">
        <v>15</v>
      </c>
      <c r="B17" s="135" t="s">
        <v>85</v>
      </c>
      <c r="C17" s="76"/>
      <c r="D17" s="76"/>
      <c r="E17" s="76"/>
      <c r="F17" s="76"/>
    </row>
    <row r="18" spans="1:6" x14ac:dyDescent="0.2">
      <c r="A18" s="68">
        <v>16</v>
      </c>
      <c r="B18" s="135" t="s">
        <v>86</v>
      </c>
      <c r="C18" s="76"/>
      <c r="D18" s="76"/>
      <c r="E18" s="76"/>
      <c r="F18" s="76"/>
    </row>
    <row r="19" spans="1:6" x14ac:dyDescent="0.2">
      <c r="A19" s="68">
        <v>17</v>
      </c>
      <c r="B19" s="135" t="s">
        <v>87</v>
      </c>
      <c r="C19" s="76"/>
      <c r="D19" s="76"/>
      <c r="E19" s="76"/>
      <c r="F19" s="76"/>
    </row>
    <row r="20" spans="1:6" x14ac:dyDescent="0.2">
      <c r="A20" s="68">
        <v>18</v>
      </c>
      <c r="B20" s="135" t="s">
        <v>88</v>
      </c>
      <c r="C20" s="76"/>
      <c r="D20" s="76"/>
      <c r="E20" s="76"/>
      <c r="F20" s="76"/>
    </row>
    <row r="21" spans="1:6" x14ac:dyDescent="0.2">
      <c r="A21" s="68">
        <v>19</v>
      </c>
      <c r="B21" s="135" t="s">
        <v>89</v>
      </c>
      <c r="C21" s="76"/>
      <c r="D21" s="76"/>
      <c r="E21" s="76"/>
      <c r="F21" s="76"/>
    </row>
    <row r="22" spans="1:6" x14ac:dyDescent="0.2">
      <c r="A22" s="68">
        <v>20</v>
      </c>
      <c r="B22" s="135" t="s">
        <v>66</v>
      </c>
      <c r="C22" s="76"/>
      <c r="D22" s="76"/>
      <c r="E22" s="76"/>
      <c r="F22" s="76"/>
    </row>
    <row r="23" spans="1:6" x14ac:dyDescent="0.2">
      <c r="A23" s="68">
        <v>21</v>
      </c>
      <c r="B23" s="135" t="s">
        <v>90</v>
      </c>
      <c r="C23" s="76"/>
      <c r="D23" s="76"/>
      <c r="E23" s="76"/>
      <c r="F23" s="76"/>
    </row>
    <row r="24" spans="1:6" x14ac:dyDescent="0.2">
      <c r="A24" s="68">
        <v>22</v>
      </c>
      <c r="B24" s="135" t="s">
        <v>91</v>
      </c>
      <c r="C24" s="76"/>
      <c r="D24" s="76"/>
      <c r="E24" s="76"/>
      <c r="F24" s="76"/>
    </row>
    <row r="25" spans="1:6" x14ac:dyDescent="0.2">
      <c r="A25" s="68">
        <v>23</v>
      </c>
      <c r="B25" s="135" t="s">
        <v>92</v>
      </c>
      <c r="C25" s="76"/>
      <c r="D25" s="76"/>
      <c r="E25" s="76"/>
      <c r="F25" s="76"/>
    </row>
    <row r="26" spans="1:6" x14ac:dyDescent="0.2">
      <c r="A26" s="68">
        <v>24</v>
      </c>
      <c r="B26" s="135" t="s">
        <v>93</v>
      </c>
      <c r="C26" s="76"/>
      <c r="D26" s="76"/>
      <c r="E26" s="76"/>
      <c r="F26" s="76"/>
    </row>
    <row r="27" spans="1:6" x14ac:dyDescent="0.2">
      <c r="A27" s="68">
        <v>25</v>
      </c>
      <c r="B27" s="135" t="s">
        <v>94</v>
      </c>
      <c r="C27" s="76"/>
      <c r="D27" s="76"/>
      <c r="E27" s="76"/>
      <c r="F27" s="76"/>
    </row>
    <row r="28" spans="1:6" x14ac:dyDescent="0.2">
      <c r="A28" s="68">
        <v>26</v>
      </c>
      <c r="B28" s="135" t="s">
        <v>95</v>
      </c>
      <c r="C28" s="76"/>
      <c r="D28" s="76"/>
      <c r="E28" s="76"/>
      <c r="F28" s="76"/>
    </row>
    <row r="29" spans="1:6" x14ac:dyDescent="0.2">
      <c r="A29" s="68">
        <v>27</v>
      </c>
      <c r="B29" s="135" t="s">
        <v>96</v>
      </c>
      <c r="C29" s="76"/>
      <c r="D29" s="76"/>
      <c r="E29" s="76"/>
      <c r="F29" s="76"/>
    </row>
    <row r="30" spans="1:6" x14ac:dyDescent="0.2">
      <c r="A30" s="68">
        <v>28</v>
      </c>
      <c r="B30" s="135" t="s">
        <v>97</v>
      </c>
      <c r="C30" s="76"/>
      <c r="D30" s="76"/>
      <c r="E30" s="76"/>
      <c r="F30" s="76"/>
    </row>
    <row r="31" spans="1:6" x14ac:dyDescent="0.2">
      <c r="A31" s="68">
        <v>29</v>
      </c>
      <c r="B31" s="135" t="s">
        <v>98</v>
      </c>
      <c r="C31" s="76"/>
      <c r="D31" s="76"/>
      <c r="E31" s="76"/>
      <c r="F31" s="76"/>
    </row>
    <row r="32" spans="1:6" x14ac:dyDescent="0.2">
      <c r="A32" s="68">
        <v>30</v>
      </c>
      <c r="B32" s="135" t="s">
        <v>99</v>
      </c>
      <c r="C32" s="76"/>
      <c r="D32" s="76"/>
      <c r="E32" s="76"/>
      <c r="F32" s="76"/>
    </row>
    <row r="33" spans="1:6" x14ac:dyDescent="0.2">
      <c r="A33" s="68">
        <v>31</v>
      </c>
      <c r="B33" s="135" t="s">
        <v>116</v>
      </c>
      <c r="C33" s="76"/>
      <c r="D33" s="76"/>
      <c r="E33" s="76"/>
      <c r="F33" s="76"/>
    </row>
    <row r="34" spans="1:6" x14ac:dyDescent="0.2">
      <c r="A34" s="68">
        <v>32</v>
      </c>
      <c r="B34" s="135" t="s">
        <v>100</v>
      </c>
      <c r="C34" s="76"/>
      <c r="D34" s="76"/>
      <c r="E34" s="76"/>
      <c r="F34" s="76"/>
    </row>
    <row r="35" spans="1:6" x14ac:dyDescent="0.2">
      <c r="A35" s="68">
        <v>33</v>
      </c>
      <c r="B35" s="135" t="s">
        <v>101</v>
      </c>
      <c r="C35" s="76"/>
      <c r="D35" s="76"/>
      <c r="E35" s="76"/>
      <c r="F35" s="76"/>
    </row>
  </sheetData>
  <mergeCells count="2">
    <mergeCell ref="C1:D1"/>
    <mergeCell ref="E1:F1"/>
  </mergeCells>
  <pageMargins left="0.7" right="0.7" top="0.75" bottom="0.75" header="0.3" footer="0.3"/>
  <pageSetup orientation="portrait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5:Z107"/>
  <sheetViews>
    <sheetView topLeftCell="A39" workbookViewId="0">
      <selection activeCell="B68" sqref="B68"/>
    </sheetView>
  </sheetViews>
  <sheetFormatPr defaultRowHeight="12.75" x14ac:dyDescent="0.2"/>
  <cols>
    <col min="1" max="1" width="5.7109375" customWidth="1"/>
    <col min="2" max="2" width="17.28515625" customWidth="1"/>
    <col min="3" max="3" width="9" customWidth="1"/>
    <col min="4" max="6" width="9.140625" customWidth="1"/>
    <col min="7" max="7" width="8.85546875" customWidth="1"/>
    <col min="8" max="8" width="9.140625" customWidth="1"/>
    <col min="9" max="54" width="6.42578125" customWidth="1"/>
  </cols>
  <sheetData>
    <row r="5" spans="1:6" ht="30" customHeight="1" x14ac:dyDescent="0.2">
      <c r="A5" s="1072" t="s">
        <v>117</v>
      </c>
      <c r="B5" s="1072"/>
      <c r="C5" s="1072"/>
      <c r="D5" s="1072"/>
      <c r="F5" s="2" t="s">
        <v>119</v>
      </c>
    </row>
    <row r="6" spans="1:6" ht="24" customHeight="1" x14ac:dyDescent="0.2">
      <c r="A6" s="76"/>
      <c r="B6" s="76"/>
      <c r="C6" s="137" t="s">
        <v>120</v>
      </c>
      <c r="D6" s="119"/>
    </row>
    <row r="7" spans="1:6" x14ac:dyDescent="0.2">
      <c r="A7" s="68">
        <v>1</v>
      </c>
      <c r="B7" s="31" t="s">
        <v>71</v>
      </c>
      <c r="C7" s="76"/>
      <c r="D7" s="76"/>
    </row>
    <row r="8" spans="1:6" x14ac:dyDescent="0.2">
      <c r="A8" s="68">
        <v>2</v>
      </c>
      <c r="B8" s="31" t="s">
        <v>72</v>
      </c>
      <c r="C8" s="76"/>
      <c r="D8" s="76"/>
    </row>
    <row r="9" spans="1:6" x14ac:dyDescent="0.2">
      <c r="A9" s="68">
        <v>3</v>
      </c>
      <c r="B9" s="135" t="s">
        <v>103</v>
      </c>
      <c r="C9" s="76"/>
      <c r="D9" s="76"/>
    </row>
    <row r="10" spans="1:6" x14ac:dyDescent="0.2">
      <c r="A10" s="68">
        <v>4</v>
      </c>
      <c r="B10" s="135" t="s">
        <v>102</v>
      </c>
      <c r="C10" s="76"/>
      <c r="D10" s="76"/>
    </row>
    <row r="11" spans="1:6" x14ac:dyDescent="0.2">
      <c r="A11" s="68">
        <v>5</v>
      </c>
      <c r="B11" s="135" t="s">
        <v>104</v>
      </c>
      <c r="C11" s="76"/>
      <c r="D11" s="76"/>
    </row>
    <row r="12" spans="1:6" x14ac:dyDescent="0.2">
      <c r="A12" s="68">
        <v>6</v>
      </c>
      <c r="B12" s="135" t="s">
        <v>105</v>
      </c>
      <c r="C12" s="76"/>
      <c r="D12" s="76"/>
    </row>
    <row r="13" spans="1:6" x14ac:dyDescent="0.2">
      <c r="A13" s="68">
        <v>7</v>
      </c>
      <c r="B13" s="135" t="s">
        <v>106</v>
      </c>
      <c r="C13" s="76"/>
      <c r="D13" s="76"/>
    </row>
    <row r="14" spans="1:6" x14ac:dyDescent="0.2">
      <c r="A14" s="68">
        <v>8</v>
      </c>
      <c r="B14" s="135" t="s">
        <v>110</v>
      </c>
      <c r="C14" s="76"/>
      <c r="D14" s="76"/>
    </row>
    <row r="15" spans="1:6" x14ac:dyDescent="0.2">
      <c r="A15" s="68">
        <v>9</v>
      </c>
      <c r="B15" s="135" t="s">
        <v>114</v>
      </c>
      <c r="C15" s="76"/>
      <c r="D15" s="76"/>
    </row>
    <row r="16" spans="1:6" x14ac:dyDescent="0.2">
      <c r="A16" s="68">
        <v>10</v>
      </c>
      <c r="B16" s="135" t="s">
        <v>107</v>
      </c>
      <c r="C16" s="76"/>
      <c r="D16" s="76"/>
    </row>
    <row r="17" spans="1:4" x14ac:dyDescent="0.2">
      <c r="A17" s="68">
        <v>11</v>
      </c>
      <c r="B17" s="135" t="s">
        <v>115</v>
      </c>
      <c r="C17" s="76"/>
      <c r="D17" s="76"/>
    </row>
    <row r="18" spans="1:4" x14ac:dyDescent="0.2">
      <c r="A18" s="68">
        <v>12</v>
      </c>
      <c r="B18" s="135" t="s">
        <v>112</v>
      </c>
      <c r="C18" s="76"/>
      <c r="D18" s="76"/>
    </row>
    <row r="19" spans="1:4" x14ac:dyDescent="0.2">
      <c r="A19" s="68">
        <v>13</v>
      </c>
      <c r="B19" s="135" t="s">
        <v>111</v>
      </c>
      <c r="C19" s="76"/>
      <c r="D19" s="76"/>
    </row>
    <row r="20" spans="1:4" x14ac:dyDescent="0.2">
      <c r="A20" s="68">
        <v>14</v>
      </c>
      <c r="B20" s="135" t="s">
        <v>109</v>
      </c>
      <c r="C20" s="76"/>
      <c r="D20" s="76"/>
    </row>
    <row r="21" spans="1:4" x14ac:dyDescent="0.2">
      <c r="A21" s="68">
        <v>15</v>
      </c>
      <c r="B21" s="135" t="s">
        <v>113</v>
      </c>
      <c r="C21" s="76"/>
      <c r="D21" s="76"/>
    </row>
    <row r="22" spans="1:4" x14ac:dyDescent="0.2">
      <c r="A22" s="68">
        <v>16</v>
      </c>
      <c r="B22" s="135" t="s">
        <v>108</v>
      </c>
      <c r="C22" s="76"/>
      <c r="D22" s="76"/>
    </row>
    <row r="23" spans="1:4" x14ac:dyDescent="0.2">
      <c r="A23" s="68">
        <v>17</v>
      </c>
      <c r="B23" s="135" t="s">
        <v>73</v>
      </c>
      <c r="C23" s="76"/>
      <c r="D23" s="76"/>
    </row>
    <row r="24" spans="1:4" x14ac:dyDescent="0.2">
      <c r="A24" s="68">
        <v>18</v>
      </c>
      <c r="B24" s="135" t="s">
        <v>74</v>
      </c>
      <c r="C24" s="76"/>
      <c r="D24" s="76"/>
    </row>
    <row r="25" spans="1:4" x14ac:dyDescent="0.2">
      <c r="A25" s="68">
        <v>19</v>
      </c>
      <c r="B25" s="135" t="s">
        <v>75</v>
      </c>
      <c r="C25" s="76"/>
      <c r="D25" s="76"/>
    </row>
    <row r="26" spans="1:4" x14ac:dyDescent="0.2">
      <c r="A26" s="68">
        <v>20</v>
      </c>
      <c r="B26" s="135" t="s">
        <v>76</v>
      </c>
      <c r="C26" s="76"/>
      <c r="D26" s="76"/>
    </row>
    <row r="27" spans="1:4" x14ac:dyDescent="0.2">
      <c r="A27" s="68">
        <v>21</v>
      </c>
      <c r="B27" s="135" t="s">
        <v>77</v>
      </c>
      <c r="C27" s="76"/>
      <c r="D27" s="76"/>
    </row>
    <row r="28" spans="1:4" x14ac:dyDescent="0.2">
      <c r="A28" s="68">
        <v>22</v>
      </c>
      <c r="B28" s="135" t="s">
        <v>78</v>
      </c>
      <c r="C28" s="76"/>
      <c r="D28" s="76"/>
    </row>
    <row r="29" spans="1:4" x14ac:dyDescent="0.2">
      <c r="A29" s="68">
        <v>23</v>
      </c>
      <c r="B29" s="135" t="s">
        <v>79</v>
      </c>
      <c r="C29" s="76"/>
      <c r="D29" s="76"/>
    </row>
    <row r="30" spans="1:4" x14ac:dyDescent="0.2">
      <c r="A30" s="68">
        <v>24</v>
      </c>
      <c r="B30" s="135" t="s">
        <v>80</v>
      </c>
      <c r="C30" s="76"/>
      <c r="D30" s="76"/>
    </row>
    <row r="31" spans="1:4" x14ac:dyDescent="0.2">
      <c r="A31" s="68">
        <v>25</v>
      </c>
      <c r="B31" s="135" t="s">
        <v>81</v>
      </c>
      <c r="C31" s="76"/>
      <c r="D31" s="76"/>
    </row>
    <row r="32" spans="1:4" x14ac:dyDescent="0.2">
      <c r="A32" s="68">
        <v>26</v>
      </c>
      <c r="B32" s="119" t="s">
        <v>82</v>
      </c>
      <c r="C32" s="76"/>
      <c r="D32" s="76"/>
    </row>
    <row r="33" spans="1:4" x14ac:dyDescent="0.2">
      <c r="A33" s="68">
        <v>27</v>
      </c>
      <c r="B33" s="119" t="s">
        <v>83</v>
      </c>
      <c r="C33" s="76"/>
      <c r="D33" s="76"/>
    </row>
    <row r="34" spans="1:4" x14ac:dyDescent="0.2">
      <c r="A34" s="68">
        <v>28</v>
      </c>
      <c r="B34" s="135" t="s">
        <v>121</v>
      </c>
      <c r="C34" s="76"/>
      <c r="D34" s="76"/>
    </row>
    <row r="35" spans="1:4" x14ac:dyDescent="0.2">
      <c r="A35" s="68">
        <v>29</v>
      </c>
      <c r="B35" s="135" t="s">
        <v>85</v>
      </c>
      <c r="C35" s="76"/>
      <c r="D35" s="76"/>
    </row>
    <row r="36" spans="1:4" x14ac:dyDescent="0.2">
      <c r="A36" s="68">
        <v>30</v>
      </c>
      <c r="B36" s="135" t="s">
        <v>86</v>
      </c>
      <c r="C36" s="76"/>
      <c r="D36" s="76"/>
    </row>
    <row r="37" spans="1:4" x14ac:dyDescent="0.2">
      <c r="A37" s="68">
        <v>31</v>
      </c>
      <c r="B37" s="135" t="s">
        <v>87</v>
      </c>
      <c r="C37" s="76"/>
      <c r="D37" s="76"/>
    </row>
    <row r="38" spans="1:4" x14ac:dyDescent="0.2">
      <c r="A38" s="68">
        <v>32</v>
      </c>
      <c r="B38" s="135" t="s">
        <v>88</v>
      </c>
      <c r="C38" s="76"/>
      <c r="D38" s="76"/>
    </row>
    <row r="39" spans="1:4" x14ac:dyDescent="0.2">
      <c r="A39" s="68">
        <v>33</v>
      </c>
      <c r="B39" s="135" t="s">
        <v>89</v>
      </c>
      <c r="C39" s="76"/>
      <c r="D39" s="76"/>
    </row>
    <row r="40" spans="1:4" x14ac:dyDescent="0.2">
      <c r="A40" s="68">
        <v>34</v>
      </c>
      <c r="B40" s="135" t="s">
        <v>66</v>
      </c>
      <c r="C40" s="76"/>
      <c r="D40" s="76"/>
    </row>
    <row r="41" spans="1:4" x14ac:dyDescent="0.2">
      <c r="A41" s="68">
        <v>35</v>
      </c>
      <c r="B41" s="135" t="s">
        <v>90</v>
      </c>
      <c r="C41" s="76"/>
      <c r="D41" s="76"/>
    </row>
    <row r="42" spans="1:4" x14ac:dyDescent="0.2">
      <c r="A42" s="68">
        <v>36</v>
      </c>
      <c r="B42" s="135" t="s">
        <v>91</v>
      </c>
      <c r="C42" s="76"/>
      <c r="D42" s="76"/>
    </row>
    <row r="43" spans="1:4" x14ac:dyDescent="0.2">
      <c r="A43" s="68">
        <v>37</v>
      </c>
      <c r="B43" s="135" t="s">
        <v>92</v>
      </c>
      <c r="C43" s="76"/>
      <c r="D43" s="76"/>
    </row>
    <row r="44" spans="1:4" x14ac:dyDescent="0.2">
      <c r="A44" s="68">
        <v>38</v>
      </c>
      <c r="B44" s="135" t="s">
        <v>93</v>
      </c>
      <c r="C44" s="76"/>
      <c r="D44" s="76"/>
    </row>
    <row r="45" spans="1:4" x14ac:dyDescent="0.2">
      <c r="A45" s="68">
        <v>39</v>
      </c>
      <c r="B45" s="135" t="s">
        <v>94</v>
      </c>
      <c r="C45" s="76"/>
      <c r="D45" s="76"/>
    </row>
    <row r="46" spans="1:4" x14ac:dyDescent="0.2">
      <c r="A46" s="68">
        <v>40</v>
      </c>
      <c r="B46" s="135" t="s">
        <v>95</v>
      </c>
      <c r="C46" s="76"/>
      <c r="D46" s="76"/>
    </row>
    <row r="47" spans="1:4" x14ac:dyDescent="0.2">
      <c r="A47" s="68">
        <v>41</v>
      </c>
      <c r="B47" s="135" t="s">
        <v>96</v>
      </c>
      <c r="C47" s="76"/>
      <c r="D47" s="76"/>
    </row>
    <row r="48" spans="1:4" x14ac:dyDescent="0.2">
      <c r="A48" s="68">
        <v>42</v>
      </c>
      <c r="B48" s="135" t="s">
        <v>122</v>
      </c>
      <c r="C48" s="76"/>
      <c r="D48" s="76"/>
    </row>
    <row r="49" spans="1:26" x14ac:dyDescent="0.2">
      <c r="A49" s="68">
        <v>43</v>
      </c>
      <c r="B49" s="135" t="s">
        <v>98</v>
      </c>
      <c r="C49" s="76"/>
      <c r="D49" s="76"/>
    </row>
    <row r="50" spans="1:26" x14ac:dyDescent="0.2">
      <c r="A50" s="68">
        <v>44</v>
      </c>
      <c r="B50" s="135" t="s">
        <v>99</v>
      </c>
      <c r="C50" s="76"/>
      <c r="D50" s="76"/>
    </row>
    <row r="51" spans="1:26" x14ac:dyDescent="0.2">
      <c r="A51" s="68">
        <v>45</v>
      </c>
      <c r="B51" s="135" t="s">
        <v>116</v>
      </c>
      <c r="C51" s="76"/>
      <c r="D51" s="76"/>
    </row>
    <row r="52" spans="1:26" x14ac:dyDescent="0.2">
      <c r="A52" s="68">
        <v>46</v>
      </c>
      <c r="B52" s="135" t="s">
        <v>100</v>
      </c>
      <c r="C52" s="76"/>
      <c r="D52" s="76"/>
    </row>
    <row r="53" spans="1:26" x14ac:dyDescent="0.2">
      <c r="A53" s="68">
        <v>47</v>
      </c>
      <c r="B53" s="135" t="s">
        <v>101</v>
      </c>
      <c r="C53" s="76"/>
      <c r="D53" s="76"/>
    </row>
    <row r="55" spans="1:26" ht="53.25" customHeight="1" x14ac:dyDescent="0.2">
      <c r="I55" s="139" t="s">
        <v>71</v>
      </c>
      <c r="J55" s="139" t="s">
        <v>72</v>
      </c>
      <c r="K55" s="139" t="s">
        <v>102</v>
      </c>
      <c r="L55" s="139" t="s">
        <v>103</v>
      </c>
      <c r="M55" s="139" t="s">
        <v>104</v>
      </c>
      <c r="N55" s="139" t="s">
        <v>105</v>
      </c>
      <c r="O55" s="139" t="s">
        <v>106</v>
      </c>
      <c r="P55" s="139" t="s">
        <v>107</v>
      </c>
      <c r="Q55" s="139" t="s">
        <v>115</v>
      </c>
      <c r="R55" s="140" t="s">
        <v>108</v>
      </c>
      <c r="S55" s="139" t="s">
        <v>109</v>
      </c>
      <c r="T55" s="140" t="s">
        <v>110</v>
      </c>
      <c r="U55" s="139" t="s">
        <v>111</v>
      </c>
      <c r="V55" s="139" t="s">
        <v>112</v>
      </c>
      <c r="W55" s="140" t="s">
        <v>113</v>
      </c>
      <c r="X55" s="139" t="s">
        <v>114</v>
      </c>
      <c r="Y55" s="139" t="s">
        <v>123</v>
      </c>
      <c r="Z55" s="139" t="s">
        <v>74</v>
      </c>
    </row>
    <row r="56" spans="1:26" ht="53.25" customHeight="1" x14ac:dyDescent="0.2">
      <c r="I56" s="140" t="s">
        <v>75</v>
      </c>
      <c r="J56" s="139" t="s">
        <v>76</v>
      </c>
      <c r="K56" s="141" t="s">
        <v>77</v>
      </c>
      <c r="L56" s="139" t="s">
        <v>78</v>
      </c>
      <c r="M56" s="139" t="s">
        <v>79</v>
      </c>
      <c r="N56" s="139" t="s">
        <v>80</v>
      </c>
      <c r="O56" s="139" t="s">
        <v>81</v>
      </c>
      <c r="P56" s="142" t="s">
        <v>124</v>
      </c>
      <c r="Q56" s="142" t="s">
        <v>83</v>
      </c>
      <c r="R56" s="139" t="s">
        <v>121</v>
      </c>
      <c r="S56" s="139" t="s">
        <v>85</v>
      </c>
      <c r="T56" s="139" t="s">
        <v>86</v>
      </c>
      <c r="U56" s="139" t="s">
        <v>87</v>
      </c>
      <c r="V56" s="139" t="s">
        <v>88</v>
      </c>
      <c r="W56" s="139" t="s">
        <v>89</v>
      </c>
      <c r="X56" s="139" t="s">
        <v>66</v>
      </c>
      <c r="Y56" s="140" t="s">
        <v>90</v>
      </c>
      <c r="Z56" s="139" t="s">
        <v>91</v>
      </c>
    </row>
    <row r="57" spans="1:26" ht="53.25" customHeight="1" x14ac:dyDescent="0.2">
      <c r="I57" s="139" t="s">
        <v>92</v>
      </c>
      <c r="J57" s="139" t="s">
        <v>93</v>
      </c>
      <c r="K57" s="139" t="s">
        <v>125</v>
      </c>
      <c r="L57" s="139" t="s">
        <v>95</v>
      </c>
      <c r="M57" s="139" t="s">
        <v>96</v>
      </c>
      <c r="N57" s="139" t="s">
        <v>122</v>
      </c>
      <c r="O57" s="139" t="s">
        <v>98</v>
      </c>
      <c r="P57" s="139" t="s">
        <v>99</v>
      </c>
      <c r="Q57" s="140" t="s">
        <v>100</v>
      </c>
      <c r="R57" s="139" t="s">
        <v>101</v>
      </c>
      <c r="S57" s="139" t="s">
        <v>126</v>
      </c>
      <c r="T57" s="139" t="s">
        <v>127</v>
      </c>
      <c r="U57" s="139"/>
      <c r="V57" s="143"/>
      <c r="W57" s="143"/>
      <c r="X57" s="143"/>
      <c r="Y57" s="143"/>
      <c r="Z57" s="143"/>
    </row>
    <row r="59" spans="1:26" ht="27" customHeight="1" x14ac:dyDescent="0.2"/>
    <row r="60" spans="1:26" ht="25.5" x14ac:dyDescent="0.2">
      <c r="A60" s="76"/>
      <c r="B60" s="76"/>
      <c r="C60" s="137" t="s">
        <v>128</v>
      </c>
      <c r="D60" s="119" t="s">
        <v>129</v>
      </c>
    </row>
    <row r="61" spans="1:26" x14ac:dyDescent="0.2">
      <c r="A61" s="68">
        <v>1</v>
      </c>
      <c r="B61" s="31" t="s">
        <v>71</v>
      </c>
      <c r="C61" s="76"/>
      <c r="D61" s="76"/>
    </row>
    <row r="62" spans="1:26" x14ac:dyDescent="0.2">
      <c r="A62" s="68">
        <v>2</v>
      </c>
      <c r="B62" s="31" t="s">
        <v>72</v>
      </c>
      <c r="C62" s="76"/>
      <c r="D62" s="76"/>
    </row>
    <row r="63" spans="1:26" x14ac:dyDescent="0.2">
      <c r="A63" s="68">
        <v>3</v>
      </c>
      <c r="B63" s="135" t="s">
        <v>103</v>
      </c>
      <c r="C63" s="76"/>
      <c r="D63" s="76"/>
    </row>
    <row r="64" spans="1:26" x14ac:dyDescent="0.2">
      <c r="A64" s="68">
        <v>4</v>
      </c>
      <c r="B64" s="135" t="s">
        <v>102</v>
      </c>
      <c r="C64" s="76"/>
      <c r="D64" s="76"/>
    </row>
    <row r="65" spans="1:4" x14ac:dyDescent="0.2">
      <c r="A65" s="68">
        <v>5</v>
      </c>
      <c r="B65" s="135" t="s">
        <v>104</v>
      </c>
      <c r="C65" s="76"/>
      <c r="D65" s="76"/>
    </row>
    <row r="66" spans="1:4" x14ac:dyDescent="0.2">
      <c r="A66" s="68">
        <v>6</v>
      </c>
      <c r="B66" s="135" t="s">
        <v>105</v>
      </c>
      <c r="C66" s="76"/>
      <c r="D66" s="76"/>
    </row>
    <row r="67" spans="1:4" x14ac:dyDescent="0.2">
      <c r="A67" s="68">
        <v>7</v>
      </c>
      <c r="B67" s="135" t="s">
        <v>106</v>
      </c>
      <c r="C67" s="76"/>
      <c r="D67" s="76"/>
    </row>
    <row r="68" spans="1:4" x14ac:dyDescent="0.2">
      <c r="A68" s="68">
        <v>8</v>
      </c>
      <c r="B68" s="135" t="s">
        <v>110</v>
      </c>
      <c r="C68" s="76"/>
      <c r="D68" s="76"/>
    </row>
    <row r="69" spans="1:4" x14ac:dyDescent="0.2">
      <c r="A69" s="68">
        <v>9</v>
      </c>
      <c r="B69" s="135" t="s">
        <v>114</v>
      </c>
      <c r="C69" s="76"/>
      <c r="D69" s="76"/>
    </row>
    <row r="70" spans="1:4" x14ac:dyDescent="0.2">
      <c r="A70" s="68">
        <v>10</v>
      </c>
      <c r="B70" s="135" t="s">
        <v>107</v>
      </c>
      <c r="C70" s="76"/>
      <c r="D70" s="76"/>
    </row>
    <row r="71" spans="1:4" x14ac:dyDescent="0.2">
      <c r="A71" s="68">
        <v>11</v>
      </c>
      <c r="B71" s="135" t="s">
        <v>115</v>
      </c>
      <c r="C71" s="76"/>
      <c r="D71" s="76"/>
    </row>
    <row r="72" spans="1:4" x14ac:dyDescent="0.2">
      <c r="A72" s="68">
        <v>12</v>
      </c>
      <c r="B72" s="135" t="s">
        <v>112</v>
      </c>
      <c r="C72" s="76"/>
      <c r="D72" s="76"/>
    </row>
    <row r="73" spans="1:4" x14ac:dyDescent="0.2">
      <c r="A73" s="68">
        <v>13</v>
      </c>
      <c r="B73" s="135" t="s">
        <v>111</v>
      </c>
      <c r="C73" s="76"/>
      <c r="D73" s="76"/>
    </row>
    <row r="74" spans="1:4" x14ac:dyDescent="0.2">
      <c r="A74" s="68">
        <v>14</v>
      </c>
      <c r="B74" s="135" t="s">
        <v>109</v>
      </c>
      <c r="C74" s="76"/>
      <c r="D74" s="76"/>
    </row>
    <row r="75" spans="1:4" x14ac:dyDescent="0.2">
      <c r="A75" s="68">
        <v>15</v>
      </c>
      <c r="B75" s="135" t="s">
        <v>113</v>
      </c>
      <c r="C75" s="76"/>
      <c r="D75" s="76"/>
    </row>
    <row r="76" spans="1:4" x14ac:dyDescent="0.2">
      <c r="A76" s="68">
        <v>16</v>
      </c>
      <c r="B76" s="135" t="s">
        <v>108</v>
      </c>
      <c r="C76" s="76"/>
      <c r="D76" s="76"/>
    </row>
    <row r="77" spans="1:4" x14ac:dyDescent="0.2">
      <c r="A77" s="68">
        <v>17</v>
      </c>
      <c r="B77" s="135" t="s">
        <v>73</v>
      </c>
      <c r="C77" s="76"/>
      <c r="D77" s="76"/>
    </row>
    <row r="78" spans="1:4" x14ac:dyDescent="0.2">
      <c r="A78" s="68">
        <v>18</v>
      </c>
      <c r="B78" s="135" t="s">
        <v>74</v>
      </c>
      <c r="C78" s="76"/>
      <c r="D78" s="76"/>
    </row>
    <row r="79" spans="1:4" x14ac:dyDescent="0.2">
      <c r="A79" s="68">
        <v>19</v>
      </c>
      <c r="B79" s="135" t="s">
        <v>75</v>
      </c>
      <c r="C79" s="76"/>
      <c r="D79" s="76"/>
    </row>
    <row r="80" spans="1:4" x14ac:dyDescent="0.2">
      <c r="A80" s="68">
        <v>20</v>
      </c>
      <c r="B80" s="135" t="s">
        <v>76</v>
      </c>
      <c r="C80" s="76"/>
      <c r="D80" s="76"/>
    </row>
    <row r="81" spans="1:4" x14ac:dyDescent="0.2">
      <c r="A81" s="68">
        <v>21</v>
      </c>
      <c r="B81" s="135" t="s">
        <v>77</v>
      </c>
      <c r="C81" s="76"/>
      <c r="D81" s="76"/>
    </row>
    <row r="82" spans="1:4" x14ac:dyDescent="0.2">
      <c r="A82" s="68">
        <v>22</v>
      </c>
      <c r="B82" s="135" t="s">
        <v>78</v>
      </c>
      <c r="C82" s="76"/>
      <c r="D82" s="76"/>
    </row>
    <row r="83" spans="1:4" x14ac:dyDescent="0.2">
      <c r="A83" s="68">
        <v>23</v>
      </c>
      <c r="B83" s="135" t="s">
        <v>79</v>
      </c>
      <c r="C83" s="76"/>
      <c r="D83" s="76"/>
    </row>
    <row r="84" spans="1:4" x14ac:dyDescent="0.2">
      <c r="A84" s="68">
        <v>24</v>
      </c>
      <c r="B84" s="135" t="s">
        <v>80</v>
      </c>
      <c r="C84" s="76"/>
      <c r="D84" s="76"/>
    </row>
    <row r="85" spans="1:4" x14ac:dyDescent="0.2">
      <c r="A85" s="68">
        <v>25</v>
      </c>
      <c r="B85" s="135" t="s">
        <v>81</v>
      </c>
      <c r="C85" s="76"/>
      <c r="D85" s="76"/>
    </row>
    <row r="86" spans="1:4" x14ac:dyDescent="0.2">
      <c r="A86" s="68">
        <v>26</v>
      </c>
      <c r="B86" s="119" t="s">
        <v>82</v>
      </c>
      <c r="C86" s="76"/>
      <c r="D86" s="76"/>
    </row>
    <row r="87" spans="1:4" x14ac:dyDescent="0.2">
      <c r="A87" s="68">
        <v>27</v>
      </c>
      <c r="B87" s="119" t="s">
        <v>83</v>
      </c>
      <c r="C87" s="76"/>
      <c r="D87" s="76"/>
    </row>
    <row r="88" spans="1:4" x14ac:dyDescent="0.2">
      <c r="A88" s="68">
        <v>28</v>
      </c>
      <c r="B88" s="135" t="s">
        <v>121</v>
      </c>
      <c r="C88" s="76"/>
      <c r="D88" s="76"/>
    </row>
    <row r="89" spans="1:4" x14ac:dyDescent="0.2">
      <c r="A89" s="68">
        <v>29</v>
      </c>
      <c r="B89" s="135" t="s">
        <v>85</v>
      </c>
      <c r="C89" s="76"/>
      <c r="D89" s="76"/>
    </row>
    <row r="90" spans="1:4" x14ac:dyDescent="0.2">
      <c r="A90" s="68">
        <v>30</v>
      </c>
      <c r="B90" s="135" t="s">
        <v>86</v>
      </c>
      <c r="C90" s="76"/>
      <c r="D90" s="76"/>
    </row>
    <row r="91" spans="1:4" x14ac:dyDescent="0.2">
      <c r="A91" s="68">
        <v>31</v>
      </c>
      <c r="B91" s="135" t="s">
        <v>87</v>
      </c>
      <c r="C91" s="76"/>
      <c r="D91" s="76"/>
    </row>
    <row r="92" spans="1:4" x14ac:dyDescent="0.2">
      <c r="A92" s="68">
        <v>32</v>
      </c>
      <c r="B92" s="135" t="s">
        <v>88</v>
      </c>
      <c r="C92" s="76"/>
      <c r="D92" s="76"/>
    </row>
    <row r="93" spans="1:4" x14ac:dyDescent="0.2">
      <c r="A93" s="68">
        <v>33</v>
      </c>
      <c r="B93" s="135" t="s">
        <v>89</v>
      </c>
      <c r="C93" s="76"/>
      <c r="D93" s="76"/>
    </row>
    <row r="94" spans="1:4" x14ac:dyDescent="0.2">
      <c r="A94" s="68">
        <v>34</v>
      </c>
      <c r="B94" s="135" t="s">
        <v>66</v>
      </c>
      <c r="C94" s="76"/>
      <c r="D94" s="76"/>
    </row>
    <row r="95" spans="1:4" x14ac:dyDescent="0.2">
      <c r="A95" s="68">
        <v>35</v>
      </c>
      <c r="B95" s="135" t="s">
        <v>90</v>
      </c>
      <c r="C95" s="76"/>
      <c r="D95" s="76"/>
    </row>
    <row r="96" spans="1:4" x14ac:dyDescent="0.2">
      <c r="A96" s="68">
        <v>36</v>
      </c>
      <c r="B96" s="135" t="s">
        <v>91</v>
      </c>
      <c r="C96" s="76"/>
      <c r="D96" s="76"/>
    </row>
    <row r="97" spans="1:4" x14ac:dyDescent="0.2">
      <c r="A97" s="68">
        <v>37</v>
      </c>
      <c r="B97" s="135" t="s">
        <v>92</v>
      </c>
      <c r="C97" s="76"/>
      <c r="D97" s="76"/>
    </row>
    <row r="98" spans="1:4" x14ac:dyDescent="0.2">
      <c r="A98" s="68">
        <v>38</v>
      </c>
      <c r="B98" s="135" t="s">
        <v>93</v>
      </c>
      <c r="C98" s="76"/>
      <c r="D98" s="76"/>
    </row>
    <row r="99" spans="1:4" x14ac:dyDescent="0.2">
      <c r="A99" s="68">
        <v>39</v>
      </c>
      <c r="B99" s="135" t="s">
        <v>94</v>
      </c>
      <c r="C99" s="76"/>
      <c r="D99" s="76"/>
    </row>
    <row r="100" spans="1:4" x14ac:dyDescent="0.2">
      <c r="A100" s="68">
        <v>40</v>
      </c>
      <c r="B100" s="135" t="s">
        <v>95</v>
      </c>
      <c r="C100" s="76"/>
      <c r="D100" s="76"/>
    </row>
    <row r="101" spans="1:4" x14ac:dyDescent="0.2">
      <c r="A101" s="68">
        <v>41</v>
      </c>
      <c r="B101" s="135" t="s">
        <v>96</v>
      </c>
      <c r="C101" s="76"/>
      <c r="D101" s="76"/>
    </row>
    <row r="102" spans="1:4" x14ac:dyDescent="0.2">
      <c r="A102" s="68">
        <v>42</v>
      </c>
      <c r="B102" s="135" t="s">
        <v>122</v>
      </c>
      <c r="C102" s="76"/>
      <c r="D102" s="76"/>
    </row>
    <row r="103" spans="1:4" x14ac:dyDescent="0.2">
      <c r="A103" s="68">
        <v>43</v>
      </c>
      <c r="B103" s="135" t="s">
        <v>98</v>
      </c>
      <c r="C103" s="76"/>
      <c r="D103" s="76"/>
    </row>
    <row r="104" spans="1:4" x14ac:dyDescent="0.2">
      <c r="A104" s="68">
        <v>44</v>
      </c>
      <c r="B104" s="135" t="s">
        <v>99</v>
      </c>
      <c r="C104" s="76"/>
      <c r="D104" s="76"/>
    </row>
    <row r="105" spans="1:4" x14ac:dyDescent="0.2">
      <c r="A105" s="68">
        <v>45</v>
      </c>
      <c r="B105" s="135" t="s">
        <v>116</v>
      </c>
      <c r="C105" s="76"/>
      <c r="D105" s="76"/>
    </row>
    <row r="106" spans="1:4" x14ac:dyDescent="0.2">
      <c r="A106" s="68">
        <v>46</v>
      </c>
      <c r="B106" s="135" t="s">
        <v>100</v>
      </c>
      <c r="C106" s="76"/>
      <c r="D106" s="76"/>
    </row>
    <row r="107" spans="1:4" x14ac:dyDescent="0.2">
      <c r="A107" s="68">
        <v>47</v>
      </c>
      <c r="B107" s="135" t="s">
        <v>101</v>
      </c>
      <c r="C107" s="76"/>
      <c r="D107" s="76"/>
    </row>
  </sheetData>
  <mergeCells count="1">
    <mergeCell ref="A5:D5"/>
  </mergeCells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workbookViewId="0">
      <selection activeCell="C17" sqref="C17"/>
    </sheetView>
  </sheetViews>
  <sheetFormatPr defaultRowHeight="12.75" x14ac:dyDescent="0.2"/>
  <sheetData/>
  <pageMargins left="0.7" right="0.7" top="0.75" bottom="0.75" header="0.3" footer="0.3"/>
  <pageSetup paperSize="5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4:C59"/>
  <sheetViews>
    <sheetView topLeftCell="A19" workbookViewId="0">
      <selection activeCell="F56" sqref="F56"/>
    </sheetView>
  </sheetViews>
  <sheetFormatPr defaultRowHeight="12.75" x14ac:dyDescent="0.2"/>
  <cols>
    <col min="1" max="1" width="16.42578125" customWidth="1"/>
    <col min="2" max="2" width="37.42578125" customWidth="1"/>
  </cols>
  <sheetData>
    <row r="4" spans="1:3" x14ac:dyDescent="0.2">
      <c r="A4" s="340" t="s">
        <v>95</v>
      </c>
      <c r="B4" s="2" t="s">
        <v>923</v>
      </c>
      <c r="C4" s="2" t="s">
        <v>149</v>
      </c>
    </row>
    <row r="5" spans="1:3" x14ac:dyDescent="0.2">
      <c r="A5" s="340"/>
      <c r="B5" s="2" t="s">
        <v>902</v>
      </c>
      <c r="C5" s="2" t="s">
        <v>153</v>
      </c>
    </row>
    <row r="6" spans="1:3" x14ac:dyDescent="0.2">
      <c r="A6" s="340"/>
      <c r="B6" s="2" t="s">
        <v>924</v>
      </c>
      <c r="C6" s="2" t="s">
        <v>153</v>
      </c>
    </row>
    <row r="7" spans="1:3" x14ac:dyDescent="0.2">
      <c r="A7" s="340"/>
      <c r="B7" s="2" t="s">
        <v>925</v>
      </c>
      <c r="C7" s="2" t="s">
        <v>153</v>
      </c>
    </row>
    <row r="8" spans="1:3" x14ac:dyDescent="0.2">
      <c r="A8" s="340"/>
      <c r="B8" s="2" t="s">
        <v>929</v>
      </c>
      <c r="C8" s="2" t="s">
        <v>153</v>
      </c>
    </row>
    <row r="9" spans="1:3" x14ac:dyDescent="0.2">
      <c r="A9" s="340"/>
      <c r="B9" s="2" t="s">
        <v>903</v>
      </c>
      <c r="C9" s="2" t="s">
        <v>153</v>
      </c>
    </row>
    <row r="10" spans="1:3" x14ac:dyDescent="0.2">
      <c r="A10" s="340"/>
    </row>
    <row r="11" spans="1:3" x14ac:dyDescent="0.2">
      <c r="A11" s="340" t="s">
        <v>930</v>
      </c>
      <c r="B11" s="2" t="s">
        <v>926</v>
      </c>
      <c r="C11" s="2" t="s">
        <v>153</v>
      </c>
    </row>
    <row r="12" spans="1:3" x14ac:dyDescent="0.2">
      <c r="A12" s="340"/>
      <c r="B12" s="2"/>
    </row>
    <row r="13" spans="1:3" x14ac:dyDescent="0.2">
      <c r="A13" s="340" t="s">
        <v>931</v>
      </c>
      <c r="B13" s="2" t="s">
        <v>927</v>
      </c>
      <c r="C13" s="2" t="s">
        <v>243</v>
      </c>
    </row>
    <row r="14" spans="1:3" x14ac:dyDescent="0.2">
      <c r="A14" s="340"/>
      <c r="B14" s="2" t="s">
        <v>928</v>
      </c>
      <c r="C14" s="2" t="s">
        <v>243</v>
      </c>
    </row>
    <row r="15" spans="1:3" x14ac:dyDescent="0.2">
      <c r="A15" s="340"/>
    </row>
    <row r="16" spans="1:3" x14ac:dyDescent="0.2">
      <c r="A16" s="340" t="s">
        <v>932</v>
      </c>
      <c r="B16" s="2" t="s">
        <v>933</v>
      </c>
      <c r="C16" s="2" t="s">
        <v>153</v>
      </c>
    </row>
    <row r="17" spans="1:3" x14ac:dyDescent="0.2">
      <c r="A17" s="340"/>
      <c r="B17" t="s">
        <v>934</v>
      </c>
    </row>
    <row r="18" spans="1:3" x14ac:dyDescent="0.2">
      <c r="A18" s="340"/>
      <c r="B18" t="s">
        <v>935</v>
      </c>
    </row>
    <row r="19" spans="1:3" x14ac:dyDescent="0.2">
      <c r="A19" s="340"/>
      <c r="B19" t="s">
        <v>936</v>
      </c>
    </row>
    <row r="20" spans="1:3" x14ac:dyDescent="0.2">
      <c r="A20" s="340"/>
      <c r="B20" t="s">
        <v>937</v>
      </c>
    </row>
    <row r="21" spans="1:3" x14ac:dyDescent="0.2">
      <c r="A21" s="340"/>
      <c r="B21" t="s">
        <v>938</v>
      </c>
    </row>
    <row r="22" spans="1:3" x14ac:dyDescent="0.2">
      <c r="A22" s="340"/>
      <c r="B22" s="2" t="s">
        <v>939</v>
      </c>
      <c r="C22" s="2" t="s">
        <v>153</v>
      </c>
    </row>
    <row r="23" spans="1:3" x14ac:dyDescent="0.2">
      <c r="A23" s="340"/>
      <c r="B23" s="2" t="s">
        <v>940</v>
      </c>
      <c r="C23" s="2" t="s">
        <v>153</v>
      </c>
    </row>
    <row r="24" spans="1:3" x14ac:dyDescent="0.2">
      <c r="A24" s="340"/>
      <c r="B24" t="s">
        <v>941</v>
      </c>
    </row>
    <row r="25" spans="1:3" x14ac:dyDescent="0.2">
      <c r="A25" s="340"/>
      <c r="B25" t="s">
        <v>942</v>
      </c>
    </row>
    <row r="26" spans="1:3" x14ac:dyDescent="0.2">
      <c r="A26" s="340"/>
      <c r="B26" t="s">
        <v>943</v>
      </c>
    </row>
    <row r="27" spans="1:3" x14ac:dyDescent="0.2">
      <c r="A27" s="340"/>
      <c r="B27" t="s">
        <v>944</v>
      </c>
    </row>
    <row r="28" spans="1:3" x14ac:dyDescent="0.2">
      <c r="A28" s="340"/>
      <c r="B28" t="s">
        <v>945</v>
      </c>
    </row>
    <row r="29" spans="1:3" x14ac:dyDescent="0.2">
      <c r="A29" s="340"/>
    </row>
    <row r="30" spans="1:3" x14ac:dyDescent="0.2">
      <c r="A30" s="340" t="s">
        <v>83</v>
      </c>
      <c r="B30" s="2" t="s">
        <v>946</v>
      </c>
    </row>
    <row r="31" spans="1:3" x14ac:dyDescent="0.2">
      <c r="A31" s="340"/>
      <c r="B31" s="2" t="s">
        <v>947</v>
      </c>
    </row>
    <row r="32" spans="1:3" x14ac:dyDescent="0.2">
      <c r="A32" s="340"/>
    </row>
    <row r="33" spans="1:3" x14ac:dyDescent="0.2">
      <c r="A33" s="340" t="s">
        <v>74</v>
      </c>
      <c r="B33" t="s">
        <v>949</v>
      </c>
      <c r="C33" t="s">
        <v>970</v>
      </c>
    </row>
    <row r="34" spans="1:3" x14ac:dyDescent="0.2">
      <c r="A34" s="340"/>
      <c r="B34" t="s">
        <v>948</v>
      </c>
      <c r="C34" t="s">
        <v>971</v>
      </c>
    </row>
    <row r="35" spans="1:3" x14ac:dyDescent="0.2">
      <c r="A35" s="340"/>
      <c r="B35" t="s">
        <v>950</v>
      </c>
      <c r="C35" t="s">
        <v>970</v>
      </c>
    </row>
    <row r="36" spans="1:3" x14ac:dyDescent="0.2">
      <c r="A36" s="340"/>
      <c r="B36" t="s">
        <v>951</v>
      </c>
      <c r="C36" t="s">
        <v>970</v>
      </c>
    </row>
    <row r="37" spans="1:3" x14ac:dyDescent="0.2">
      <c r="A37" s="340"/>
      <c r="B37" t="s">
        <v>952</v>
      </c>
      <c r="C37" t="s">
        <v>970</v>
      </c>
    </row>
    <row r="38" spans="1:3" x14ac:dyDescent="0.2">
      <c r="A38" s="340"/>
      <c r="B38" t="s">
        <v>953</v>
      </c>
      <c r="C38" t="s">
        <v>970</v>
      </c>
    </row>
    <row r="39" spans="1:3" x14ac:dyDescent="0.2">
      <c r="A39" s="340"/>
      <c r="B39" t="s">
        <v>954</v>
      </c>
      <c r="C39" t="s">
        <v>970</v>
      </c>
    </row>
    <row r="40" spans="1:3" x14ac:dyDescent="0.2">
      <c r="A40" s="340"/>
      <c r="B40" t="s">
        <v>955</v>
      </c>
      <c r="C40" t="s">
        <v>970</v>
      </c>
    </row>
    <row r="41" spans="1:3" x14ac:dyDescent="0.2">
      <c r="A41" s="340"/>
      <c r="B41" s="2" t="s">
        <v>956</v>
      </c>
      <c r="C41" t="s">
        <v>912</v>
      </c>
    </row>
    <row r="42" spans="1:3" x14ac:dyDescent="0.2">
      <c r="A42" s="340"/>
      <c r="B42" t="s">
        <v>957</v>
      </c>
      <c r="C42" t="s">
        <v>973</v>
      </c>
    </row>
    <row r="43" spans="1:3" ht="71.25" x14ac:dyDescent="0.2">
      <c r="A43" s="340"/>
      <c r="B43" s="348" t="s">
        <v>958</v>
      </c>
      <c r="C43" t="s">
        <v>972</v>
      </c>
    </row>
    <row r="44" spans="1:3" x14ac:dyDescent="0.2">
      <c r="B44" t="s">
        <v>959</v>
      </c>
      <c r="C44" t="s">
        <v>243</v>
      </c>
    </row>
    <row r="45" spans="1:3" x14ac:dyDescent="0.2">
      <c r="B45" t="s">
        <v>960</v>
      </c>
      <c r="C45" t="s">
        <v>970</v>
      </c>
    </row>
    <row r="46" spans="1:3" x14ac:dyDescent="0.2">
      <c r="B46" t="s">
        <v>961</v>
      </c>
      <c r="C46" t="s">
        <v>970</v>
      </c>
    </row>
    <row r="47" spans="1:3" x14ac:dyDescent="0.2">
      <c r="B47" t="s">
        <v>962</v>
      </c>
      <c r="C47" t="s">
        <v>970</v>
      </c>
    </row>
    <row r="48" spans="1:3" x14ac:dyDescent="0.2">
      <c r="B48" t="s">
        <v>963</v>
      </c>
      <c r="C48" t="s">
        <v>970</v>
      </c>
    </row>
    <row r="49" spans="2:3" x14ac:dyDescent="0.2">
      <c r="B49" t="s">
        <v>964</v>
      </c>
      <c r="C49" t="s">
        <v>970</v>
      </c>
    </row>
    <row r="50" spans="2:3" x14ac:dyDescent="0.2">
      <c r="B50" t="s">
        <v>965</v>
      </c>
      <c r="C50" t="s">
        <v>970</v>
      </c>
    </row>
    <row r="51" spans="2:3" x14ac:dyDescent="0.2">
      <c r="B51" t="s">
        <v>966</v>
      </c>
      <c r="C51" t="s">
        <v>974</v>
      </c>
    </row>
    <row r="52" spans="2:3" x14ac:dyDescent="0.2">
      <c r="B52" t="s">
        <v>904</v>
      </c>
      <c r="C52" t="s">
        <v>970</v>
      </c>
    </row>
    <row r="53" spans="2:3" x14ac:dyDescent="0.2">
      <c r="B53" t="s">
        <v>967</v>
      </c>
      <c r="C53" t="s">
        <v>970</v>
      </c>
    </row>
    <row r="54" spans="2:3" x14ac:dyDescent="0.2">
      <c r="B54" t="s">
        <v>968</v>
      </c>
      <c r="C54" t="s">
        <v>970</v>
      </c>
    </row>
    <row r="55" spans="2:3" x14ac:dyDescent="0.2">
      <c r="B55" t="s">
        <v>969</v>
      </c>
      <c r="C55" t="s">
        <v>974</v>
      </c>
    </row>
    <row r="56" spans="2:3" x14ac:dyDescent="0.2">
      <c r="B56" t="s">
        <v>975</v>
      </c>
      <c r="C56" t="s">
        <v>889</v>
      </c>
    </row>
    <row r="57" spans="2:3" x14ac:dyDescent="0.2">
      <c r="B57" t="s">
        <v>976</v>
      </c>
      <c r="C57" t="s">
        <v>970</v>
      </c>
    </row>
    <row r="58" spans="2:3" ht="127.5" x14ac:dyDescent="0.2">
      <c r="B58" s="349" t="s">
        <v>977</v>
      </c>
      <c r="C58" t="s">
        <v>971</v>
      </c>
    </row>
    <row r="59" spans="2:3" x14ac:dyDescent="0.2">
      <c r="B59" s="350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400"/>
  <sheetViews>
    <sheetView topLeftCell="A21" workbookViewId="0">
      <selection activeCell="B59" sqref="B59"/>
    </sheetView>
  </sheetViews>
  <sheetFormatPr defaultRowHeight="12.75" x14ac:dyDescent="0.2"/>
  <cols>
    <col min="1" max="1" width="14.5703125" customWidth="1"/>
    <col min="3" max="3" width="9.140625" customWidth="1"/>
    <col min="5" max="5" width="10.140625" customWidth="1"/>
    <col min="7" max="7" width="10.85546875" customWidth="1"/>
    <col min="9" max="9" width="10.85546875" customWidth="1"/>
    <col min="10" max="10" width="10.7109375" style="229" bestFit="1" customWidth="1"/>
  </cols>
  <sheetData>
    <row r="1" spans="1:10" x14ac:dyDescent="0.2">
      <c r="G1" t="s">
        <v>200</v>
      </c>
      <c r="H1" s="1095"/>
      <c r="I1" s="1078"/>
      <c r="J1" s="229" t="s">
        <v>8</v>
      </c>
    </row>
    <row r="2" spans="1:10" x14ac:dyDescent="0.2">
      <c r="G2" t="s">
        <v>201</v>
      </c>
      <c r="H2" s="1095"/>
      <c r="I2" s="1078"/>
      <c r="J2" s="230" t="s">
        <v>8</v>
      </c>
    </row>
    <row r="3" spans="1:10" x14ac:dyDescent="0.2">
      <c r="G3" t="s">
        <v>202</v>
      </c>
      <c r="H3" s="1095"/>
      <c r="I3" s="1078"/>
    </row>
    <row r="5" spans="1:10" ht="15" x14ac:dyDescent="0.25">
      <c r="A5" s="229"/>
      <c r="B5" s="229"/>
      <c r="C5" s="229"/>
      <c r="D5" s="229"/>
      <c r="E5" s="231"/>
      <c r="F5" s="229"/>
      <c r="G5" s="229"/>
      <c r="H5" s="229" t="s">
        <v>8</v>
      </c>
      <c r="I5" s="229"/>
    </row>
    <row r="6" spans="1:10" x14ac:dyDescent="0.2">
      <c r="D6" s="1079" t="s">
        <v>204</v>
      </c>
      <c r="E6" s="1079"/>
      <c r="F6" s="1079"/>
      <c r="G6" s="1079"/>
    </row>
    <row r="7" spans="1:10" x14ac:dyDescent="0.2">
      <c r="D7" s="1079" t="s">
        <v>205</v>
      </c>
      <c r="E7" s="1079"/>
      <c r="F7" s="1079"/>
      <c r="G7" s="1079"/>
    </row>
    <row r="9" spans="1:10" x14ac:dyDescent="0.2">
      <c r="A9" t="s">
        <v>206</v>
      </c>
    </row>
    <row r="10" spans="1:10" x14ac:dyDescent="0.2">
      <c r="A10" t="s">
        <v>13</v>
      </c>
    </row>
    <row r="11" spans="1:10" x14ac:dyDescent="0.2">
      <c r="A11" t="s">
        <v>207</v>
      </c>
    </row>
    <row r="12" spans="1:10" x14ac:dyDescent="0.2">
      <c r="A12" t="s">
        <v>208</v>
      </c>
    </row>
    <row r="15" spans="1:10" x14ac:dyDescent="0.2">
      <c r="A15" t="s">
        <v>209</v>
      </c>
    </row>
    <row r="16" spans="1:10" x14ac:dyDescent="0.2">
      <c r="B16" t="s">
        <v>210</v>
      </c>
    </row>
    <row r="17" spans="1:9" ht="15" x14ac:dyDescent="0.25">
      <c r="A17" t="s">
        <v>211</v>
      </c>
      <c r="B17" s="231" t="s">
        <v>989</v>
      </c>
      <c r="C17" s="2" t="s">
        <v>990</v>
      </c>
      <c r="E17" s="232"/>
      <c r="F17" t="s">
        <v>214</v>
      </c>
    </row>
    <row r="19" spans="1:9" ht="13.5" thickBot="1" x14ac:dyDescent="0.25"/>
    <row r="20" spans="1:9" ht="13.5" thickBot="1" x14ac:dyDescent="0.25">
      <c r="A20" s="233" t="s">
        <v>215</v>
      </c>
      <c r="B20" s="1080" t="s">
        <v>216</v>
      </c>
      <c r="C20" s="1081"/>
      <c r="D20" s="1081"/>
      <c r="E20" s="1081"/>
      <c r="F20" s="1081"/>
      <c r="G20" s="1081"/>
      <c r="H20" s="1081"/>
      <c r="I20" s="1082"/>
    </row>
    <row r="21" spans="1:9" x14ac:dyDescent="0.2">
      <c r="A21" s="238" t="s">
        <v>983</v>
      </c>
      <c r="B21" s="1083" t="s">
        <v>982</v>
      </c>
      <c r="C21" s="1084"/>
      <c r="D21" s="1084"/>
      <c r="E21" s="1084"/>
      <c r="F21" s="1084"/>
      <c r="G21" s="1084"/>
      <c r="H21" s="1084"/>
      <c r="I21" s="1085"/>
    </row>
    <row r="22" spans="1:9" x14ac:dyDescent="0.2">
      <c r="A22" s="239"/>
      <c r="B22" s="1092"/>
      <c r="C22" s="1093"/>
      <c r="D22" s="1093"/>
      <c r="E22" s="1093"/>
      <c r="F22" s="1093"/>
      <c r="G22" s="1093"/>
      <c r="H22" s="1093"/>
      <c r="I22" s="1094"/>
    </row>
    <row r="23" spans="1:9" x14ac:dyDescent="0.2">
      <c r="A23" s="239"/>
      <c r="B23" s="1092"/>
      <c r="C23" s="1093"/>
      <c r="D23" s="1093"/>
      <c r="E23" s="1093"/>
      <c r="F23" s="1093"/>
      <c r="G23" s="1093"/>
      <c r="H23" s="1093"/>
      <c r="I23" s="1094"/>
    </row>
    <row r="24" spans="1:9" x14ac:dyDescent="0.2">
      <c r="A24" s="239"/>
      <c r="B24" s="1092"/>
      <c r="C24" s="1093"/>
      <c r="D24" s="1093"/>
      <c r="E24" s="1093"/>
      <c r="F24" s="1093"/>
      <c r="G24" s="1093"/>
      <c r="H24" s="1093"/>
      <c r="I24" s="1094"/>
    </row>
    <row r="25" spans="1:9" x14ac:dyDescent="0.2">
      <c r="A25" s="239"/>
      <c r="B25" s="1092"/>
      <c r="C25" s="1093"/>
      <c r="D25" s="1093"/>
      <c r="E25" s="1093"/>
      <c r="F25" s="1093"/>
      <c r="G25" s="1093"/>
      <c r="H25" s="1093"/>
      <c r="I25" s="1094"/>
    </row>
    <row r="26" spans="1:9" x14ac:dyDescent="0.2">
      <c r="A26" s="239"/>
      <c r="B26" s="966"/>
      <c r="C26" s="967"/>
      <c r="D26" s="967"/>
      <c r="E26" s="967"/>
      <c r="F26" s="967"/>
      <c r="G26" s="967"/>
      <c r="H26" s="967"/>
      <c r="I26" s="1073"/>
    </row>
    <row r="27" spans="1:9" x14ac:dyDescent="0.2">
      <c r="A27" s="239"/>
      <c r="B27" s="966"/>
      <c r="C27" s="967"/>
      <c r="D27" s="967"/>
      <c r="E27" s="967"/>
      <c r="F27" s="967"/>
      <c r="G27" s="967"/>
      <c r="H27" s="967"/>
      <c r="I27" s="1073"/>
    </row>
    <row r="28" spans="1:9" x14ac:dyDescent="0.2">
      <c r="A28" s="239"/>
      <c r="B28" s="966"/>
      <c r="C28" s="967"/>
      <c r="D28" s="967"/>
      <c r="E28" s="967"/>
      <c r="F28" s="967"/>
      <c r="G28" s="967"/>
      <c r="H28" s="967"/>
      <c r="I28" s="1073"/>
    </row>
    <row r="29" spans="1:9" x14ac:dyDescent="0.2">
      <c r="A29" s="239"/>
      <c r="B29" s="966"/>
      <c r="C29" s="967"/>
      <c r="D29" s="967"/>
      <c r="E29" s="967"/>
      <c r="F29" s="967"/>
      <c r="G29" s="967"/>
      <c r="H29" s="967"/>
      <c r="I29" s="1073"/>
    </row>
    <row r="30" spans="1:9" x14ac:dyDescent="0.2">
      <c r="A30" s="239"/>
      <c r="B30" s="966"/>
      <c r="C30" s="967"/>
      <c r="D30" s="967"/>
      <c r="E30" s="967"/>
      <c r="F30" s="967"/>
      <c r="G30" s="967"/>
      <c r="H30" s="967"/>
      <c r="I30" s="1073"/>
    </row>
    <row r="31" spans="1:9" x14ac:dyDescent="0.2">
      <c r="A31" s="239"/>
      <c r="B31" s="966"/>
      <c r="C31" s="967"/>
      <c r="D31" s="967"/>
      <c r="E31" s="967"/>
      <c r="F31" s="967"/>
      <c r="G31" s="967"/>
      <c r="H31" s="967"/>
      <c r="I31" s="1073"/>
    </row>
    <row r="32" spans="1:9" x14ac:dyDescent="0.2">
      <c r="A32" s="239"/>
      <c r="B32" s="966"/>
      <c r="C32" s="967"/>
      <c r="D32" s="967"/>
      <c r="E32" s="967"/>
      <c r="F32" s="967"/>
      <c r="G32" s="967"/>
      <c r="H32" s="967"/>
      <c r="I32" s="1073"/>
    </row>
    <row r="33" spans="1:18" x14ac:dyDescent="0.2">
      <c r="A33" s="239"/>
      <c r="B33" s="966"/>
      <c r="C33" s="967"/>
      <c r="D33" s="967"/>
      <c r="E33" s="967"/>
      <c r="F33" s="967"/>
      <c r="G33" s="967"/>
      <c r="H33" s="967"/>
      <c r="I33" s="1073"/>
    </row>
    <row r="34" spans="1:18" x14ac:dyDescent="0.2">
      <c r="A34" s="239"/>
      <c r="B34" s="966"/>
      <c r="C34" s="967"/>
      <c r="D34" s="967"/>
      <c r="E34" s="967"/>
      <c r="F34" s="967"/>
      <c r="G34" s="967"/>
      <c r="H34" s="967"/>
      <c r="I34" s="1073"/>
    </row>
    <row r="35" spans="1:18" x14ac:dyDescent="0.2">
      <c r="A35" s="239"/>
      <c r="B35" s="966"/>
      <c r="C35" s="967"/>
      <c r="D35" s="967"/>
      <c r="E35" s="967"/>
      <c r="F35" s="967"/>
      <c r="G35" s="967"/>
      <c r="H35" s="967"/>
      <c r="I35" s="1073"/>
    </row>
    <row r="36" spans="1:18" x14ac:dyDescent="0.2">
      <c r="A36" s="239"/>
      <c r="B36" s="966"/>
      <c r="C36" s="967"/>
      <c r="D36" s="967"/>
      <c r="E36" s="967"/>
      <c r="F36" s="967"/>
      <c r="G36" s="967"/>
      <c r="H36" s="967"/>
      <c r="I36" s="1073"/>
    </row>
    <row r="37" spans="1:18" x14ac:dyDescent="0.2">
      <c r="A37" s="240"/>
      <c r="B37" s="966"/>
      <c r="C37" s="967"/>
      <c r="D37" s="967"/>
      <c r="E37" s="967"/>
      <c r="F37" s="967"/>
      <c r="G37" s="967"/>
      <c r="H37" s="967"/>
      <c r="I37" s="1073"/>
    </row>
    <row r="38" spans="1:18" x14ac:dyDescent="0.2">
      <c r="A38" s="239"/>
      <c r="B38" s="966"/>
      <c r="C38" s="967"/>
      <c r="D38" s="967"/>
      <c r="E38" s="967"/>
      <c r="F38" s="967"/>
      <c r="G38" s="967"/>
      <c r="H38" s="967"/>
      <c r="I38" s="1073"/>
    </row>
    <row r="39" spans="1:18" x14ac:dyDescent="0.2">
      <c r="A39" s="239"/>
      <c r="B39" s="966"/>
      <c r="C39" s="967"/>
      <c r="D39" s="967"/>
      <c r="E39" s="967"/>
      <c r="F39" s="967"/>
      <c r="G39" s="967"/>
      <c r="H39" s="967"/>
      <c r="I39" s="1073"/>
    </row>
    <row r="40" spans="1:18" x14ac:dyDescent="0.2">
      <c r="A40" s="240"/>
      <c r="B40" s="966"/>
      <c r="C40" s="967"/>
      <c r="D40" s="967"/>
      <c r="E40" s="967"/>
      <c r="F40" s="967"/>
      <c r="G40" s="967"/>
      <c r="H40" s="967"/>
      <c r="I40" s="1073"/>
    </row>
    <row r="41" spans="1:18" x14ac:dyDescent="0.2">
      <c r="A41" s="240"/>
      <c r="B41" s="966"/>
      <c r="C41" s="967"/>
      <c r="D41" s="967"/>
      <c r="E41" s="967"/>
      <c r="F41" s="967"/>
      <c r="G41" s="967"/>
      <c r="H41" s="967"/>
      <c r="I41" s="1073"/>
    </row>
    <row r="42" spans="1:18" x14ac:dyDescent="0.2">
      <c r="A42" s="240"/>
      <c r="B42" s="966"/>
      <c r="C42" s="967"/>
      <c r="D42" s="967"/>
      <c r="E42" s="967"/>
      <c r="F42" s="967"/>
      <c r="G42" s="967"/>
      <c r="H42" s="967"/>
      <c r="I42" s="1073"/>
    </row>
    <row r="43" spans="1:18" x14ac:dyDescent="0.2">
      <c r="A43" s="240"/>
      <c r="B43" s="966"/>
      <c r="C43" s="967"/>
      <c r="D43" s="967"/>
      <c r="E43" s="967"/>
      <c r="F43" s="967"/>
      <c r="G43" s="967"/>
      <c r="H43" s="967"/>
      <c r="I43" s="1073"/>
    </row>
    <row r="44" spans="1:18" x14ac:dyDescent="0.2">
      <c r="A44" s="234"/>
      <c r="B44" s="966"/>
      <c r="C44" s="967"/>
      <c r="D44" s="967"/>
      <c r="E44" s="967"/>
      <c r="F44" s="967"/>
      <c r="G44" s="967"/>
      <c r="H44" s="967"/>
      <c r="I44" s="1073"/>
    </row>
    <row r="45" spans="1:18" ht="13.5" thickBot="1" x14ac:dyDescent="0.25">
      <c r="A45" s="234"/>
      <c r="B45" s="966"/>
      <c r="C45" s="967"/>
      <c r="D45" s="967"/>
      <c r="E45" s="967"/>
      <c r="F45" s="967"/>
      <c r="G45" s="967"/>
      <c r="H45" s="967"/>
      <c r="I45" s="1073"/>
    </row>
    <row r="46" spans="1:18" ht="14.25" thickTop="1" thickBot="1" x14ac:dyDescent="0.25">
      <c r="A46" s="235"/>
      <c r="B46" s="970"/>
      <c r="C46" s="971"/>
      <c r="D46" s="971"/>
      <c r="E46" s="971"/>
      <c r="F46" s="971"/>
      <c r="G46" s="971"/>
      <c r="H46" s="971"/>
      <c r="I46" s="1076"/>
      <c r="L46" s="189" t="s">
        <v>985</v>
      </c>
      <c r="M46" s="190"/>
      <c r="N46" s="191"/>
      <c r="O46" s="192"/>
      <c r="P46" s="190"/>
      <c r="Q46" s="193"/>
      <c r="R46" s="194"/>
    </row>
    <row r="47" spans="1:18" ht="15.75" thickBot="1" x14ac:dyDescent="0.3">
      <c r="A47" s="1086"/>
      <c r="B47" s="1087"/>
      <c r="C47" s="1087"/>
      <c r="D47" s="1087"/>
      <c r="E47" s="1087"/>
      <c r="F47" s="1087"/>
      <c r="G47" s="1087"/>
      <c r="H47" s="1087"/>
      <c r="I47" s="1088"/>
      <c r="L47" s="195" t="s">
        <v>986</v>
      </c>
      <c r="M47" s="196" t="s">
        <v>8</v>
      </c>
      <c r="N47" s="196" t="s">
        <v>987</v>
      </c>
      <c r="O47" s="196"/>
      <c r="P47" s="197"/>
      <c r="Q47" s="198"/>
      <c r="R47" s="199"/>
    </row>
    <row r="49" spans="1:9" ht="15" x14ac:dyDescent="0.25">
      <c r="A49" s="236" t="s">
        <v>223</v>
      </c>
      <c r="B49" t="s">
        <v>83</v>
      </c>
    </row>
    <row r="50" spans="1:9" ht="15" x14ac:dyDescent="0.25">
      <c r="A50" s="236" t="s">
        <v>224</v>
      </c>
      <c r="B50" t="s">
        <v>984</v>
      </c>
    </row>
    <row r="51" spans="1:9" ht="15" x14ac:dyDescent="0.25">
      <c r="A51" s="236" t="s">
        <v>226</v>
      </c>
      <c r="B51" s="2" t="s">
        <v>988</v>
      </c>
    </row>
    <row r="56" spans="1:9" ht="15" x14ac:dyDescent="0.25">
      <c r="G56" s="1074"/>
      <c r="H56" s="1074"/>
      <c r="I56" s="1074"/>
    </row>
    <row r="57" spans="1:9" ht="15" x14ac:dyDescent="0.25">
      <c r="G57" s="1075"/>
      <c r="H57" s="1075"/>
      <c r="I57" s="1075"/>
    </row>
    <row r="58" spans="1:9" ht="15" x14ac:dyDescent="0.25">
      <c r="G58" s="237"/>
      <c r="H58" s="237"/>
    </row>
    <row r="59" spans="1:9" ht="15" x14ac:dyDescent="0.25">
      <c r="G59" s="237"/>
      <c r="H59" s="237"/>
    </row>
    <row r="60" spans="1:9" ht="15" x14ac:dyDescent="0.25">
      <c r="G60" s="237"/>
      <c r="H60" s="237"/>
    </row>
    <row r="61" spans="1:9" ht="15" x14ac:dyDescent="0.25">
      <c r="G61" s="237"/>
      <c r="H61" s="237"/>
    </row>
    <row r="62" spans="1:9" ht="15" x14ac:dyDescent="0.25">
      <c r="G62" s="237"/>
      <c r="H62" s="237"/>
    </row>
    <row r="63" spans="1:9" ht="15" x14ac:dyDescent="0.25">
      <c r="G63" s="237"/>
      <c r="H63" s="237"/>
    </row>
    <row r="64" spans="1:9" ht="15" x14ac:dyDescent="0.25">
      <c r="G64" s="237"/>
      <c r="H64" s="237"/>
    </row>
    <row r="68" spans="1:10" x14ac:dyDescent="0.2">
      <c r="G68" t="s">
        <v>200</v>
      </c>
      <c r="H68" s="1078"/>
      <c r="I68" s="1078"/>
      <c r="J68" s="229">
        <v>1</v>
      </c>
    </row>
    <row r="69" spans="1:10" x14ac:dyDescent="0.2">
      <c r="G69" t="s">
        <v>201</v>
      </c>
      <c r="H69" s="1078"/>
      <c r="I69" s="1078"/>
      <c r="J69" s="230" t="s">
        <v>227</v>
      </c>
    </row>
    <row r="70" spans="1:10" x14ac:dyDescent="0.2">
      <c r="G70" t="s">
        <v>202</v>
      </c>
      <c r="H70" s="1078"/>
      <c r="I70" s="1078"/>
    </row>
    <row r="72" spans="1:10" ht="15" x14ac:dyDescent="0.25">
      <c r="A72" s="229"/>
      <c r="B72" s="229"/>
      <c r="C72" s="229"/>
      <c r="D72" s="229"/>
      <c r="E72" s="231" t="s">
        <v>203</v>
      </c>
      <c r="F72" s="229"/>
      <c r="G72" s="229"/>
      <c r="H72" s="229"/>
      <c r="I72" s="229"/>
    </row>
    <row r="73" spans="1:10" x14ac:dyDescent="0.2">
      <c r="D73" s="1079" t="s">
        <v>204</v>
      </c>
      <c r="E73" s="1079"/>
      <c r="F73" s="1079"/>
      <c r="G73" s="1079"/>
    </row>
    <row r="74" spans="1:10" x14ac:dyDescent="0.2">
      <c r="D74" s="1079" t="s">
        <v>205</v>
      </c>
      <c r="E74" s="1079"/>
      <c r="F74" s="1079"/>
      <c r="G74" s="1079"/>
    </row>
    <row r="76" spans="1:10" x14ac:dyDescent="0.2">
      <c r="A76" t="s">
        <v>206</v>
      </c>
    </row>
    <row r="77" spans="1:10" x14ac:dyDescent="0.2">
      <c r="A77" t="s">
        <v>13</v>
      </c>
    </row>
    <row r="78" spans="1:10" x14ac:dyDescent="0.2">
      <c r="A78" t="s">
        <v>207</v>
      </c>
    </row>
    <row r="79" spans="1:10" x14ac:dyDescent="0.2">
      <c r="A79" t="s">
        <v>208</v>
      </c>
    </row>
    <row r="82" spans="1:9" x14ac:dyDescent="0.2">
      <c r="A82" t="s">
        <v>209</v>
      </c>
    </row>
    <row r="83" spans="1:9" x14ac:dyDescent="0.2">
      <c r="B83" t="s">
        <v>210</v>
      </c>
    </row>
    <row r="84" spans="1:9" ht="15" x14ac:dyDescent="0.25">
      <c r="A84" t="s">
        <v>211</v>
      </c>
      <c r="B84" s="231" t="s">
        <v>133</v>
      </c>
      <c r="C84" t="s">
        <v>212</v>
      </c>
      <c r="E84" s="232" t="s">
        <v>213</v>
      </c>
      <c r="F84" t="s">
        <v>214</v>
      </c>
    </row>
    <row r="86" spans="1:9" ht="13.5" thickBot="1" x14ac:dyDescent="0.25"/>
    <row r="87" spans="1:9" ht="13.5" thickBot="1" x14ac:dyDescent="0.25">
      <c r="A87" s="233" t="s">
        <v>215</v>
      </c>
      <c r="B87" s="1080" t="s">
        <v>216</v>
      </c>
      <c r="C87" s="1081"/>
      <c r="D87" s="1081"/>
      <c r="E87" s="1081"/>
      <c r="F87" s="1081"/>
      <c r="G87" s="1081"/>
      <c r="H87" s="1081"/>
      <c r="I87" s="1082"/>
    </row>
    <row r="88" spans="1:9" x14ac:dyDescent="0.2">
      <c r="A88" s="238" t="s">
        <v>228</v>
      </c>
      <c r="B88" s="1083" t="s">
        <v>154</v>
      </c>
      <c r="C88" s="1084"/>
      <c r="D88" s="1084"/>
      <c r="E88" s="1084"/>
      <c r="F88" s="1084"/>
      <c r="G88" s="1084"/>
      <c r="H88" s="1084"/>
      <c r="I88" s="1085"/>
    </row>
    <row r="89" spans="1:9" x14ac:dyDescent="0.2">
      <c r="A89" s="239" t="s">
        <v>222</v>
      </c>
      <c r="B89" s="966" t="s">
        <v>164</v>
      </c>
      <c r="C89" s="967"/>
      <c r="D89" s="967"/>
      <c r="E89" s="967"/>
      <c r="F89" s="967"/>
      <c r="G89" s="967"/>
      <c r="H89" s="967"/>
      <c r="I89" s="1073"/>
    </row>
    <row r="90" spans="1:9" x14ac:dyDescent="0.2">
      <c r="A90" s="239" t="s">
        <v>220</v>
      </c>
      <c r="B90" s="966" t="s">
        <v>165</v>
      </c>
      <c r="C90" s="967"/>
      <c r="D90" s="967"/>
      <c r="E90" s="967"/>
      <c r="F90" s="967"/>
      <c r="G90" s="967"/>
      <c r="H90" s="967"/>
      <c r="I90" s="1073"/>
    </row>
    <row r="91" spans="1:9" x14ac:dyDescent="0.2">
      <c r="A91" s="239" t="s">
        <v>220</v>
      </c>
      <c r="B91" s="966" t="s">
        <v>166</v>
      </c>
      <c r="C91" s="967"/>
      <c r="D91" s="967"/>
      <c r="E91" s="967"/>
      <c r="F91" s="967"/>
      <c r="G91" s="967"/>
      <c r="H91" s="967"/>
      <c r="I91" s="1073"/>
    </row>
    <row r="92" spans="1:9" x14ac:dyDescent="0.2">
      <c r="A92" s="239" t="s">
        <v>220</v>
      </c>
      <c r="B92" s="966" t="s">
        <v>167</v>
      </c>
      <c r="C92" s="967"/>
      <c r="D92" s="967"/>
      <c r="E92" s="967"/>
      <c r="F92" s="967"/>
      <c r="G92" s="967"/>
      <c r="H92" s="967"/>
      <c r="I92" s="1073"/>
    </row>
    <row r="93" spans="1:9" x14ac:dyDescent="0.2">
      <c r="A93" s="239" t="s">
        <v>229</v>
      </c>
      <c r="B93" s="966" t="s">
        <v>168</v>
      </c>
      <c r="C93" s="967"/>
      <c r="D93" s="967"/>
      <c r="E93" s="967"/>
      <c r="F93" s="967"/>
      <c r="G93" s="967"/>
      <c r="H93" s="967"/>
      <c r="I93" s="1073"/>
    </row>
    <row r="94" spans="1:9" x14ac:dyDescent="0.2">
      <c r="A94" s="239" t="s">
        <v>228</v>
      </c>
      <c r="B94" s="966" t="s">
        <v>169</v>
      </c>
      <c r="C94" s="967"/>
      <c r="D94" s="967"/>
      <c r="E94" s="967"/>
      <c r="F94" s="967"/>
      <c r="G94" s="967"/>
      <c r="H94" s="967"/>
      <c r="I94" s="1073"/>
    </row>
    <row r="95" spans="1:9" x14ac:dyDescent="0.2">
      <c r="A95" s="239" t="s">
        <v>230</v>
      </c>
      <c r="B95" s="966" t="s">
        <v>157</v>
      </c>
      <c r="C95" s="967"/>
      <c r="D95" s="967"/>
      <c r="E95" s="967"/>
      <c r="F95" s="967"/>
      <c r="G95" s="967"/>
      <c r="H95" s="967"/>
      <c r="I95" s="1073"/>
    </row>
    <row r="96" spans="1:9" x14ac:dyDescent="0.2">
      <c r="A96" s="239" t="s">
        <v>220</v>
      </c>
      <c r="B96" s="966" t="s">
        <v>170</v>
      </c>
      <c r="C96" s="967"/>
      <c r="D96" s="967"/>
      <c r="E96" s="967"/>
      <c r="F96" s="967"/>
      <c r="G96" s="967"/>
      <c r="H96" s="967"/>
      <c r="I96" s="1073"/>
    </row>
    <row r="97" spans="1:9" x14ac:dyDescent="0.2">
      <c r="A97" s="239" t="s">
        <v>220</v>
      </c>
      <c r="B97" s="966" t="s">
        <v>171</v>
      </c>
      <c r="C97" s="967"/>
      <c r="D97" s="967"/>
      <c r="E97" s="967"/>
      <c r="F97" s="967"/>
      <c r="G97" s="967"/>
      <c r="H97" s="967"/>
      <c r="I97" s="1073"/>
    </row>
    <row r="98" spans="1:9" x14ac:dyDescent="0.2">
      <c r="A98" s="239" t="s">
        <v>218</v>
      </c>
      <c r="B98" s="966" t="s">
        <v>172</v>
      </c>
      <c r="C98" s="967"/>
      <c r="D98" s="967"/>
      <c r="E98" s="967"/>
      <c r="F98" s="967"/>
      <c r="G98" s="967"/>
      <c r="H98" s="967"/>
      <c r="I98" s="1073"/>
    </row>
    <row r="99" spans="1:9" x14ac:dyDescent="0.2">
      <c r="A99" s="239" t="s">
        <v>217</v>
      </c>
      <c r="B99" s="966" t="s">
        <v>173</v>
      </c>
      <c r="C99" s="967"/>
      <c r="D99" s="967"/>
      <c r="E99" s="967"/>
      <c r="F99" s="967"/>
      <c r="G99" s="967"/>
      <c r="H99" s="967"/>
      <c r="I99" s="1073"/>
    </row>
    <row r="100" spans="1:9" x14ac:dyDescent="0.2">
      <c r="A100" s="239" t="s">
        <v>219</v>
      </c>
      <c r="B100" s="966" t="s">
        <v>174</v>
      </c>
      <c r="C100" s="967"/>
      <c r="D100" s="967"/>
      <c r="E100" s="967"/>
      <c r="F100" s="967"/>
      <c r="G100" s="967"/>
      <c r="H100" s="967"/>
      <c r="I100" s="1073"/>
    </row>
    <row r="101" spans="1:9" x14ac:dyDescent="0.2">
      <c r="A101" s="239" t="s">
        <v>218</v>
      </c>
      <c r="B101" s="966" t="s">
        <v>162</v>
      </c>
      <c r="C101" s="967"/>
      <c r="D101" s="967"/>
      <c r="E101" s="967"/>
      <c r="F101" s="967"/>
      <c r="G101" s="967"/>
      <c r="H101" s="967"/>
      <c r="I101" s="1073"/>
    </row>
    <row r="102" spans="1:9" x14ac:dyDescent="0.2">
      <c r="A102" s="239" t="s">
        <v>219</v>
      </c>
      <c r="B102" s="966" t="s">
        <v>161</v>
      </c>
      <c r="C102" s="967"/>
      <c r="D102" s="967"/>
      <c r="E102" s="967"/>
      <c r="F102" s="967"/>
      <c r="G102" s="967"/>
      <c r="H102" s="967"/>
      <c r="I102" s="1073"/>
    </row>
    <row r="103" spans="1:9" x14ac:dyDescent="0.2">
      <c r="A103" s="240" t="s">
        <v>218</v>
      </c>
      <c r="B103" s="966" t="s">
        <v>175</v>
      </c>
      <c r="C103" s="967"/>
      <c r="D103" s="967"/>
      <c r="E103" s="967"/>
      <c r="F103" s="967"/>
      <c r="G103" s="967"/>
      <c r="H103" s="967"/>
      <c r="I103" s="1073"/>
    </row>
    <row r="104" spans="1:9" x14ac:dyDescent="0.2">
      <c r="A104" s="240"/>
      <c r="B104" s="1089"/>
      <c r="C104" s="1090"/>
      <c r="D104" s="1090"/>
      <c r="E104" s="1090"/>
      <c r="F104" s="1090"/>
      <c r="G104" s="1090"/>
      <c r="H104" s="1090"/>
      <c r="I104" s="1091"/>
    </row>
    <row r="105" spans="1:9" x14ac:dyDescent="0.2">
      <c r="A105" s="240"/>
      <c r="B105" s="1089"/>
      <c r="C105" s="1090"/>
      <c r="D105" s="1090"/>
      <c r="E105" s="1090"/>
      <c r="F105" s="1090"/>
      <c r="G105" s="1090"/>
      <c r="H105" s="1090"/>
      <c r="I105" s="1091"/>
    </row>
    <row r="106" spans="1:9" x14ac:dyDescent="0.2">
      <c r="A106" s="240"/>
      <c r="B106" s="1089"/>
      <c r="C106" s="1090"/>
      <c r="D106" s="1090"/>
      <c r="E106" s="1090"/>
      <c r="F106" s="1090"/>
      <c r="G106" s="1090"/>
      <c r="H106" s="1090"/>
      <c r="I106" s="1091"/>
    </row>
    <row r="107" spans="1:9" x14ac:dyDescent="0.2">
      <c r="A107" s="240"/>
      <c r="B107" s="1089"/>
      <c r="C107" s="1090"/>
      <c r="D107" s="1090"/>
      <c r="E107" s="1090"/>
      <c r="F107" s="1090"/>
      <c r="G107" s="1090"/>
      <c r="H107" s="1090"/>
      <c r="I107" s="1091"/>
    </row>
    <row r="108" spans="1:9" x14ac:dyDescent="0.2">
      <c r="A108" s="239"/>
      <c r="B108" s="966"/>
      <c r="C108" s="967"/>
      <c r="D108" s="967"/>
      <c r="E108" s="967"/>
      <c r="F108" s="967"/>
      <c r="G108" s="967"/>
      <c r="H108" s="967"/>
      <c r="I108" s="1073"/>
    </row>
    <row r="109" spans="1:9" x14ac:dyDescent="0.2">
      <c r="A109" s="239"/>
      <c r="B109" s="966"/>
      <c r="C109" s="967"/>
      <c r="D109" s="967"/>
      <c r="E109" s="967"/>
      <c r="F109" s="967"/>
      <c r="G109" s="967"/>
      <c r="H109" s="967"/>
      <c r="I109" s="1073"/>
    </row>
    <row r="110" spans="1:9" x14ac:dyDescent="0.2">
      <c r="A110" s="240"/>
      <c r="B110" s="966"/>
      <c r="C110" s="967"/>
      <c r="D110" s="967"/>
      <c r="E110" s="967"/>
      <c r="F110" s="967"/>
      <c r="G110" s="967"/>
      <c r="H110" s="967"/>
      <c r="I110" s="1073"/>
    </row>
    <row r="111" spans="1:9" x14ac:dyDescent="0.2">
      <c r="A111" s="240"/>
      <c r="B111" s="966"/>
      <c r="C111" s="967"/>
      <c r="D111" s="967"/>
      <c r="E111" s="967"/>
      <c r="F111" s="967"/>
      <c r="G111" s="967"/>
      <c r="H111" s="967"/>
      <c r="I111" s="1073"/>
    </row>
    <row r="112" spans="1:9" x14ac:dyDescent="0.2">
      <c r="A112" s="240"/>
      <c r="B112" s="1089"/>
      <c r="C112" s="1090"/>
      <c r="D112" s="1090"/>
      <c r="E112" s="1090"/>
      <c r="F112" s="1090"/>
      <c r="G112" s="1090"/>
      <c r="H112" s="1090"/>
      <c r="I112" s="1091"/>
    </row>
    <row r="113" spans="1:9" x14ac:dyDescent="0.2">
      <c r="A113" s="240"/>
      <c r="B113" s="966"/>
      <c r="C113" s="967"/>
      <c r="D113" s="967"/>
      <c r="E113" s="967"/>
      <c r="F113" s="967"/>
      <c r="G113" s="967"/>
      <c r="H113" s="967"/>
      <c r="I113" s="1073"/>
    </row>
    <row r="114" spans="1:9" x14ac:dyDescent="0.2">
      <c r="A114" s="240"/>
      <c r="B114" s="966"/>
      <c r="C114" s="967"/>
      <c r="D114" s="967"/>
      <c r="E114" s="967"/>
      <c r="F114" s="967"/>
      <c r="G114" s="967"/>
      <c r="H114" s="967"/>
      <c r="I114" s="1073"/>
    </row>
    <row r="115" spans="1:9" x14ac:dyDescent="0.2">
      <c r="A115" s="234"/>
      <c r="B115" s="966"/>
      <c r="C115" s="967"/>
      <c r="D115" s="967"/>
      <c r="E115" s="967"/>
      <c r="F115" s="967"/>
      <c r="G115" s="967"/>
      <c r="H115" s="967"/>
      <c r="I115" s="1073"/>
    </row>
    <row r="116" spans="1:9" x14ac:dyDescent="0.2">
      <c r="A116" s="234"/>
      <c r="B116" s="966"/>
      <c r="C116" s="967"/>
      <c r="D116" s="967"/>
      <c r="E116" s="967"/>
      <c r="F116" s="967"/>
      <c r="G116" s="967"/>
      <c r="H116" s="967"/>
      <c r="I116" s="1073"/>
    </row>
    <row r="117" spans="1:9" ht="13.5" thickBot="1" x14ac:dyDescent="0.25">
      <c r="A117" s="235"/>
      <c r="B117" s="970"/>
      <c r="C117" s="971"/>
      <c r="D117" s="971"/>
      <c r="E117" s="971"/>
      <c r="F117" s="971"/>
      <c r="G117" s="971"/>
      <c r="H117" s="971"/>
      <c r="I117" s="1076"/>
    </row>
    <row r="118" spans="1:9" ht="15.75" thickBot="1" x14ac:dyDescent="0.3">
      <c r="A118" s="1086"/>
      <c r="B118" s="1087"/>
      <c r="C118" s="1087"/>
      <c r="D118" s="1087"/>
      <c r="E118" s="1087"/>
      <c r="F118" s="1087"/>
      <c r="G118" s="1087"/>
      <c r="H118" s="1087"/>
      <c r="I118" s="1088"/>
    </row>
    <row r="120" spans="1:9" ht="15" x14ac:dyDescent="0.25">
      <c r="A120" s="236" t="s">
        <v>223</v>
      </c>
      <c r="B120" t="s">
        <v>232</v>
      </c>
    </row>
    <row r="121" spans="1:9" ht="15" x14ac:dyDescent="0.25">
      <c r="A121" s="236" t="s">
        <v>224</v>
      </c>
      <c r="B121" t="s">
        <v>225</v>
      </c>
    </row>
    <row r="122" spans="1:9" ht="15" x14ac:dyDescent="0.25">
      <c r="A122" s="236" t="s">
        <v>226</v>
      </c>
      <c r="B122" s="2" t="s">
        <v>231</v>
      </c>
    </row>
    <row r="127" spans="1:9" ht="15" x14ac:dyDescent="0.25">
      <c r="G127" s="1074" t="s">
        <v>308</v>
      </c>
      <c r="H127" s="1074"/>
      <c r="I127" s="1074"/>
    </row>
    <row r="128" spans="1:9" ht="15" x14ac:dyDescent="0.25">
      <c r="G128" s="1075" t="s">
        <v>309</v>
      </c>
      <c r="H128" s="1075"/>
      <c r="I128" s="1075"/>
    </row>
    <row r="129" spans="1:10" ht="15" x14ac:dyDescent="0.25">
      <c r="G129" s="237"/>
      <c r="H129" s="237"/>
    </row>
    <row r="136" spans="1:10" x14ac:dyDescent="0.2">
      <c r="G136" t="s">
        <v>200</v>
      </c>
      <c r="H136" s="899" t="s">
        <v>8</v>
      </c>
      <c r="I136" s="1078"/>
      <c r="J136" s="229">
        <v>1</v>
      </c>
    </row>
    <row r="137" spans="1:10" x14ac:dyDescent="0.2">
      <c r="G137" t="s">
        <v>201</v>
      </c>
      <c r="H137" s="899" t="s">
        <v>8</v>
      </c>
      <c r="I137" s="1078"/>
      <c r="J137" s="230" t="s">
        <v>227</v>
      </c>
    </row>
    <row r="138" spans="1:10" x14ac:dyDescent="0.2">
      <c r="G138" t="s">
        <v>202</v>
      </c>
      <c r="H138" s="899" t="s">
        <v>8</v>
      </c>
      <c r="I138" s="1078"/>
    </row>
    <row r="140" spans="1:10" ht="15" x14ac:dyDescent="0.25">
      <c r="A140" s="229"/>
      <c r="B140" s="229"/>
      <c r="C140" s="229"/>
      <c r="D140" s="229"/>
      <c r="E140" s="231" t="s">
        <v>203</v>
      </c>
      <c r="F140" s="229"/>
      <c r="G140" s="229"/>
      <c r="H140" s="229"/>
      <c r="I140" s="229"/>
    </row>
    <row r="141" spans="1:10" x14ac:dyDescent="0.2">
      <c r="D141" s="1079" t="s">
        <v>204</v>
      </c>
      <c r="E141" s="1079"/>
      <c r="F141" s="1079"/>
      <c r="G141" s="1079"/>
    </row>
    <row r="142" spans="1:10" x14ac:dyDescent="0.2">
      <c r="D142" s="1079" t="s">
        <v>205</v>
      </c>
      <c r="E142" s="1079"/>
      <c r="F142" s="1079"/>
      <c r="G142" s="1079"/>
    </row>
    <row r="144" spans="1:10" x14ac:dyDescent="0.2">
      <c r="A144" t="s">
        <v>206</v>
      </c>
    </row>
    <row r="145" spans="1:9" x14ac:dyDescent="0.2">
      <c r="A145" t="s">
        <v>13</v>
      </c>
    </row>
    <row r="146" spans="1:9" x14ac:dyDescent="0.2">
      <c r="A146" t="s">
        <v>207</v>
      </c>
    </row>
    <row r="147" spans="1:9" x14ac:dyDescent="0.2">
      <c r="A147" t="s">
        <v>208</v>
      </c>
    </row>
    <row r="150" spans="1:9" x14ac:dyDescent="0.2">
      <c r="A150" t="s">
        <v>209</v>
      </c>
    </row>
    <row r="151" spans="1:9" x14ac:dyDescent="0.2">
      <c r="B151" t="s">
        <v>210</v>
      </c>
    </row>
    <row r="152" spans="1:9" ht="15" x14ac:dyDescent="0.25">
      <c r="A152" t="s">
        <v>211</v>
      </c>
      <c r="B152" s="231" t="s">
        <v>133</v>
      </c>
      <c r="C152" t="s">
        <v>212</v>
      </c>
      <c r="E152" s="232" t="s">
        <v>213</v>
      </c>
      <c r="F152" t="s">
        <v>214</v>
      </c>
    </row>
    <row r="154" spans="1:9" ht="13.5" thickBot="1" x14ac:dyDescent="0.25"/>
    <row r="155" spans="1:9" ht="13.5" thickBot="1" x14ac:dyDescent="0.25">
      <c r="A155" s="233" t="s">
        <v>215</v>
      </c>
      <c r="B155" s="1080" t="s">
        <v>216</v>
      </c>
      <c r="C155" s="1081"/>
      <c r="D155" s="1081"/>
      <c r="E155" s="1081"/>
      <c r="F155" s="1081"/>
      <c r="G155" s="1081"/>
      <c r="H155" s="1081"/>
      <c r="I155" s="1082"/>
    </row>
    <row r="156" spans="1:9" x14ac:dyDescent="0.2">
      <c r="A156" s="238" t="s">
        <v>260</v>
      </c>
      <c r="B156" s="1083" t="s">
        <v>196</v>
      </c>
      <c r="C156" s="1084" t="s">
        <v>196</v>
      </c>
      <c r="D156" s="1084" t="s">
        <v>196</v>
      </c>
      <c r="E156" s="1084" t="s">
        <v>196</v>
      </c>
      <c r="F156" s="1084" t="s">
        <v>196</v>
      </c>
      <c r="G156" s="1084" t="s">
        <v>196</v>
      </c>
      <c r="H156" s="1084" t="s">
        <v>196</v>
      </c>
      <c r="I156" s="1085" t="s">
        <v>196</v>
      </c>
    </row>
    <row r="157" spans="1:9" x14ac:dyDescent="0.2">
      <c r="A157" s="239" t="s">
        <v>220</v>
      </c>
      <c r="B157" s="966" t="s">
        <v>246</v>
      </c>
      <c r="C157" s="967" t="s">
        <v>246</v>
      </c>
      <c r="D157" s="967" t="s">
        <v>246</v>
      </c>
      <c r="E157" s="967" t="s">
        <v>246</v>
      </c>
      <c r="F157" s="967" t="s">
        <v>246</v>
      </c>
      <c r="G157" s="967" t="s">
        <v>246</v>
      </c>
      <c r="H157" s="967" t="s">
        <v>246</v>
      </c>
      <c r="I157" s="1073" t="s">
        <v>246</v>
      </c>
    </row>
    <row r="158" spans="1:9" x14ac:dyDescent="0.2">
      <c r="A158" s="239" t="s">
        <v>217</v>
      </c>
      <c r="B158" s="966" t="s">
        <v>197</v>
      </c>
      <c r="C158" s="967" t="s">
        <v>197</v>
      </c>
      <c r="D158" s="967" t="s">
        <v>197</v>
      </c>
      <c r="E158" s="967" t="s">
        <v>197</v>
      </c>
      <c r="F158" s="967" t="s">
        <v>197</v>
      </c>
      <c r="G158" s="967" t="s">
        <v>197</v>
      </c>
      <c r="H158" s="967" t="s">
        <v>197</v>
      </c>
      <c r="I158" s="1073" t="s">
        <v>197</v>
      </c>
    </row>
    <row r="159" spans="1:9" x14ac:dyDescent="0.2">
      <c r="A159" s="239" t="s">
        <v>220</v>
      </c>
      <c r="B159" s="966" t="s">
        <v>198</v>
      </c>
      <c r="C159" s="967" t="s">
        <v>198</v>
      </c>
      <c r="D159" s="967" t="s">
        <v>198</v>
      </c>
      <c r="E159" s="967" t="s">
        <v>198</v>
      </c>
      <c r="F159" s="967" t="s">
        <v>198</v>
      </c>
      <c r="G159" s="967" t="s">
        <v>198</v>
      </c>
      <c r="H159" s="967" t="s">
        <v>198</v>
      </c>
      <c r="I159" s="1073" t="s">
        <v>198</v>
      </c>
    </row>
    <row r="160" spans="1:9" x14ac:dyDescent="0.2">
      <c r="A160" s="239" t="s">
        <v>261</v>
      </c>
      <c r="B160" s="966" t="s">
        <v>199</v>
      </c>
      <c r="C160" s="967" t="s">
        <v>199</v>
      </c>
      <c r="D160" s="967" t="s">
        <v>199</v>
      </c>
      <c r="E160" s="967" t="s">
        <v>199</v>
      </c>
      <c r="F160" s="967" t="s">
        <v>199</v>
      </c>
      <c r="G160" s="967" t="s">
        <v>199</v>
      </c>
      <c r="H160" s="967" t="s">
        <v>199</v>
      </c>
      <c r="I160" s="1073" t="s">
        <v>199</v>
      </c>
    </row>
    <row r="161" spans="1:9" x14ac:dyDescent="0.2">
      <c r="A161" s="239" t="s">
        <v>262</v>
      </c>
      <c r="B161" s="966" t="s">
        <v>238</v>
      </c>
      <c r="C161" s="967" t="s">
        <v>238</v>
      </c>
      <c r="D161" s="967" t="s">
        <v>238</v>
      </c>
      <c r="E161" s="967" t="s">
        <v>238</v>
      </c>
      <c r="F161" s="967" t="s">
        <v>238</v>
      </c>
      <c r="G161" s="967" t="s">
        <v>238</v>
      </c>
      <c r="H161" s="967" t="s">
        <v>238</v>
      </c>
      <c r="I161" s="1073" t="s">
        <v>238</v>
      </c>
    </row>
    <row r="162" spans="1:9" x14ac:dyDescent="0.2">
      <c r="A162" s="239" t="s">
        <v>219</v>
      </c>
      <c r="B162" s="966" t="s">
        <v>247</v>
      </c>
      <c r="C162" s="967" t="s">
        <v>247</v>
      </c>
      <c r="D162" s="967" t="s">
        <v>247</v>
      </c>
      <c r="E162" s="967" t="s">
        <v>247</v>
      </c>
      <c r="F162" s="967" t="s">
        <v>247</v>
      </c>
      <c r="G162" s="967" t="s">
        <v>247</v>
      </c>
      <c r="H162" s="967" t="s">
        <v>247</v>
      </c>
      <c r="I162" s="1073" t="s">
        <v>247</v>
      </c>
    </row>
    <row r="163" spans="1:9" x14ac:dyDescent="0.2">
      <c r="A163" s="239" t="s">
        <v>263</v>
      </c>
      <c r="B163" s="966" t="s">
        <v>239</v>
      </c>
      <c r="C163" s="967" t="s">
        <v>239</v>
      </c>
      <c r="D163" s="967" t="s">
        <v>239</v>
      </c>
      <c r="E163" s="967" t="s">
        <v>239</v>
      </c>
      <c r="F163" s="967" t="s">
        <v>239</v>
      </c>
      <c r="G163" s="967" t="s">
        <v>239</v>
      </c>
      <c r="H163" s="967" t="s">
        <v>239</v>
      </c>
      <c r="I163" s="1073" t="s">
        <v>239</v>
      </c>
    </row>
    <row r="164" spans="1:9" x14ac:dyDescent="0.2">
      <c r="A164" s="239" t="s">
        <v>264</v>
      </c>
      <c r="B164" s="966" t="s">
        <v>239</v>
      </c>
      <c r="C164" s="967" t="s">
        <v>239</v>
      </c>
      <c r="D164" s="967" t="s">
        <v>239</v>
      </c>
      <c r="E164" s="967" t="s">
        <v>239</v>
      </c>
      <c r="F164" s="967" t="s">
        <v>239</v>
      </c>
      <c r="G164" s="967" t="s">
        <v>239</v>
      </c>
      <c r="H164" s="967" t="s">
        <v>239</v>
      </c>
      <c r="I164" s="1073" t="s">
        <v>239</v>
      </c>
    </row>
    <row r="165" spans="1:9" x14ac:dyDescent="0.2">
      <c r="A165" s="239" t="s">
        <v>265</v>
      </c>
      <c r="B165" s="966" t="s">
        <v>240</v>
      </c>
      <c r="C165" s="967" t="s">
        <v>240</v>
      </c>
      <c r="D165" s="967" t="s">
        <v>240</v>
      </c>
      <c r="E165" s="967" t="s">
        <v>240</v>
      </c>
      <c r="F165" s="967" t="s">
        <v>240</v>
      </c>
      <c r="G165" s="967" t="s">
        <v>240</v>
      </c>
      <c r="H165" s="967" t="s">
        <v>240</v>
      </c>
      <c r="I165" s="1073" t="s">
        <v>240</v>
      </c>
    </row>
    <row r="166" spans="1:9" x14ac:dyDescent="0.2">
      <c r="A166" s="239" t="s">
        <v>266</v>
      </c>
      <c r="B166" s="966" t="s">
        <v>241</v>
      </c>
      <c r="C166" s="967" t="s">
        <v>241</v>
      </c>
      <c r="D166" s="967" t="s">
        <v>241</v>
      </c>
      <c r="E166" s="967" t="s">
        <v>241</v>
      </c>
      <c r="F166" s="967" t="s">
        <v>241</v>
      </c>
      <c r="G166" s="967" t="s">
        <v>241</v>
      </c>
      <c r="H166" s="967" t="s">
        <v>241</v>
      </c>
      <c r="I166" s="1073" t="s">
        <v>241</v>
      </c>
    </row>
    <row r="167" spans="1:9" x14ac:dyDescent="0.2">
      <c r="A167" s="239" t="s">
        <v>219</v>
      </c>
      <c r="B167" s="966" t="s">
        <v>162</v>
      </c>
      <c r="C167" s="967" t="s">
        <v>162</v>
      </c>
      <c r="D167" s="967" t="s">
        <v>162</v>
      </c>
      <c r="E167" s="967" t="s">
        <v>162</v>
      </c>
      <c r="F167" s="967" t="s">
        <v>162</v>
      </c>
      <c r="G167" s="967" t="s">
        <v>162</v>
      </c>
      <c r="H167" s="967" t="s">
        <v>162</v>
      </c>
      <c r="I167" s="1073" t="s">
        <v>162</v>
      </c>
    </row>
    <row r="168" spans="1:9" x14ac:dyDescent="0.2">
      <c r="A168" s="239" t="s">
        <v>219</v>
      </c>
      <c r="B168" s="966" t="s">
        <v>248</v>
      </c>
      <c r="C168" s="967" t="s">
        <v>248</v>
      </c>
      <c r="D168" s="967" t="s">
        <v>248</v>
      </c>
      <c r="E168" s="967" t="s">
        <v>248</v>
      </c>
      <c r="F168" s="967" t="s">
        <v>248</v>
      </c>
      <c r="G168" s="967" t="s">
        <v>248</v>
      </c>
      <c r="H168" s="967" t="s">
        <v>248</v>
      </c>
      <c r="I168" s="1073" t="s">
        <v>248</v>
      </c>
    </row>
    <row r="169" spans="1:9" x14ac:dyDescent="0.2">
      <c r="A169" s="239" t="s">
        <v>218</v>
      </c>
      <c r="B169" s="966" t="s">
        <v>249</v>
      </c>
      <c r="C169" s="967" t="s">
        <v>249</v>
      </c>
      <c r="D169" s="967" t="s">
        <v>249</v>
      </c>
      <c r="E169" s="967" t="s">
        <v>249</v>
      </c>
      <c r="F169" s="967" t="s">
        <v>249</v>
      </c>
      <c r="G169" s="967" t="s">
        <v>249</v>
      </c>
      <c r="H169" s="967" t="s">
        <v>249</v>
      </c>
      <c r="I169" s="1073" t="s">
        <v>249</v>
      </c>
    </row>
    <row r="170" spans="1:9" x14ac:dyDescent="0.2">
      <c r="A170" s="239" t="s">
        <v>219</v>
      </c>
      <c r="B170" s="966" t="s">
        <v>163</v>
      </c>
      <c r="C170" s="967" t="s">
        <v>163</v>
      </c>
      <c r="D170" s="967" t="s">
        <v>163</v>
      </c>
      <c r="E170" s="967" t="s">
        <v>163</v>
      </c>
      <c r="F170" s="967" t="s">
        <v>163</v>
      </c>
      <c r="G170" s="967" t="s">
        <v>163</v>
      </c>
      <c r="H170" s="967" t="s">
        <v>163</v>
      </c>
      <c r="I170" s="1073" t="s">
        <v>163</v>
      </c>
    </row>
    <row r="171" spans="1:9" x14ac:dyDescent="0.2">
      <c r="A171" s="240" t="s">
        <v>217</v>
      </c>
      <c r="B171" s="966" t="s">
        <v>269</v>
      </c>
      <c r="C171" s="967" t="s">
        <v>250</v>
      </c>
      <c r="D171" s="967" t="s">
        <v>250</v>
      </c>
      <c r="E171" s="967" t="s">
        <v>250</v>
      </c>
      <c r="F171" s="967" t="s">
        <v>250</v>
      </c>
      <c r="G171" s="967" t="s">
        <v>250</v>
      </c>
      <c r="H171" s="967" t="s">
        <v>250</v>
      </c>
      <c r="I171" s="1073" t="s">
        <v>250</v>
      </c>
    </row>
    <row r="172" spans="1:9" x14ac:dyDescent="0.2">
      <c r="A172" s="240" t="s">
        <v>217</v>
      </c>
      <c r="B172" s="966" t="s">
        <v>270</v>
      </c>
      <c r="C172" s="967" t="s">
        <v>251</v>
      </c>
      <c r="D172" s="967" t="s">
        <v>251</v>
      </c>
      <c r="E172" s="967" t="s">
        <v>251</v>
      </c>
      <c r="F172" s="967" t="s">
        <v>251</v>
      </c>
      <c r="G172" s="967" t="s">
        <v>251</v>
      </c>
      <c r="H172" s="967" t="s">
        <v>251</v>
      </c>
      <c r="I172" s="1073" t="s">
        <v>251</v>
      </c>
    </row>
    <row r="173" spans="1:9" x14ac:dyDescent="0.2">
      <c r="A173" s="240" t="s">
        <v>217</v>
      </c>
      <c r="B173" s="966" t="s">
        <v>155</v>
      </c>
      <c r="C173" s="967" t="s">
        <v>155</v>
      </c>
      <c r="D173" s="967" t="s">
        <v>155</v>
      </c>
      <c r="E173" s="967" t="s">
        <v>155</v>
      </c>
      <c r="F173" s="967" t="s">
        <v>155</v>
      </c>
      <c r="G173" s="967" t="s">
        <v>155</v>
      </c>
      <c r="H173" s="967" t="s">
        <v>155</v>
      </c>
      <c r="I173" s="1073" t="s">
        <v>155</v>
      </c>
    </row>
    <row r="174" spans="1:9" x14ac:dyDescent="0.2">
      <c r="A174" s="240" t="s">
        <v>217</v>
      </c>
      <c r="B174" s="966" t="s">
        <v>252</v>
      </c>
      <c r="C174" s="967" t="s">
        <v>252</v>
      </c>
      <c r="D174" s="967" t="s">
        <v>252</v>
      </c>
      <c r="E174" s="967" t="s">
        <v>252</v>
      </c>
      <c r="F174" s="967" t="s">
        <v>252</v>
      </c>
      <c r="G174" s="967" t="s">
        <v>252</v>
      </c>
      <c r="H174" s="967" t="s">
        <v>252</v>
      </c>
      <c r="I174" s="1073" t="s">
        <v>252</v>
      </c>
    </row>
    <row r="175" spans="1:9" x14ac:dyDescent="0.2">
      <c r="A175" s="240" t="s">
        <v>219</v>
      </c>
      <c r="B175" s="966" t="s">
        <v>253</v>
      </c>
      <c r="C175" s="967" t="s">
        <v>253</v>
      </c>
      <c r="D175" s="967" t="s">
        <v>253</v>
      </c>
      <c r="E175" s="967" t="s">
        <v>253</v>
      </c>
      <c r="F175" s="967" t="s">
        <v>253</v>
      </c>
      <c r="G175" s="967" t="s">
        <v>253</v>
      </c>
      <c r="H175" s="967" t="s">
        <v>253</v>
      </c>
      <c r="I175" s="1073" t="s">
        <v>253</v>
      </c>
    </row>
    <row r="176" spans="1:9" x14ac:dyDescent="0.2">
      <c r="A176" s="239" t="s">
        <v>219</v>
      </c>
      <c r="B176" s="966" t="s">
        <v>254</v>
      </c>
      <c r="C176" s="967" t="s">
        <v>254</v>
      </c>
      <c r="D176" s="967" t="s">
        <v>254</v>
      </c>
      <c r="E176" s="967" t="s">
        <v>254</v>
      </c>
      <c r="F176" s="967" t="s">
        <v>254</v>
      </c>
      <c r="G176" s="967" t="s">
        <v>254</v>
      </c>
      <c r="H176" s="967" t="s">
        <v>254</v>
      </c>
      <c r="I176" s="1073" t="s">
        <v>254</v>
      </c>
    </row>
    <row r="177" spans="1:9" x14ac:dyDescent="0.2">
      <c r="A177" s="239" t="s">
        <v>267</v>
      </c>
      <c r="B177" s="966" t="s">
        <v>191</v>
      </c>
      <c r="C177" s="967" t="s">
        <v>191</v>
      </c>
      <c r="D177" s="967" t="s">
        <v>191</v>
      </c>
      <c r="E177" s="967" t="s">
        <v>191</v>
      </c>
      <c r="F177" s="967" t="s">
        <v>191</v>
      </c>
      <c r="G177" s="967" t="s">
        <v>191</v>
      </c>
      <c r="H177" s="967" t="s">
        <v>191</v>
      </c>
      <c r="I177" s="1073" t="s">
        <v>191</v>
      </c>
    </row>
    <row r="178" spans="1:9" x14ac:dyDescent="0.2">
      <c r="A178" s="240" t="s">
        <v>267</v>
      </c>
      <c r="B178" s="966" t="s">
        <v>192</v>
      </c>
      <c r="C178" s="967" t="s">
        <v>192</v>
      </c>
      <c r="D178" s="967" t="s">
        <v>192</v>
      </c>
      <c r="E178" s="967" t="s">
        <v>192</v>
      </c>
      <c r="F178" s="967" t="s">
        <v>192</v>
      </c>
      <c r="G178" s="967" t="s">
        <v>192</v>
      </c>
      <c r="H178" s="967" t="s">
        <v>192</v>
      </c>
      <c r="I178" s="1073" t="s">
        <v>192</v>
      </c>
    </row>
    <row r="179" spans="1:9" x14ac:dyDescent="0.2">
      <c r="A179" s="240" t="s">
        <v>267</v>
      </c>
      <c r="B179" s="966" t="s">
        <v>193</v>
      </c>
      <c r="C179" s="967" t="s">
        <v>193</v>
      </c>
      <c r="D179" s="967" t="s">
        <v>193</v>
      </c>
      <c r="E179" s="967" t="s">
        <v>193</v>
      </c>
      <c r="F179" s="967" t="s">
        <v>193</v>
      </c>
      <c r="G179" s="967" t="s">
        <v>193</v>
      </c>
      <c r="H179" s="967" t="s">
        <v>193</v>
      </c>
      <c r="I179" s="1073" t="s">
        <v>193</v>
      </c>
    </row>
    <row r="180" spans="1:9" x14ac:dyDescent="0.2">
      <c r="A180" s="240" t="s">
        <v>219</v>
      </c>
      <c r="B180" s="966" t="s">
        <v>194</v>
      </c>
      <c r="C180" s="967" t="s">
        <v>194</v>
      </c>
      <c r="D180" s="967" t="s">
        <v>194</v>
      </c>
      <c r="E180" s="967" t="s">
        <v>194</v>
      </c>
      <c r="F180" s="967" t="s">
        <v>194</v>
      </c>
      <c r="G180" s="967" t="s">
        <v>194</v>
      </c>
      <c r="H180" s="967" t="s">
        <v>194</v>
      </c>
      <c r="I180" s="1073" t="s">
        <v>194</v>
      </c>
    </row>
    <row r="181" spans="1:9" x14ac:dyDescent="0.2">
      <c r="A181" s="240" t="s">
        <v>219</v>
      </c>
      <c r="B181" s="966" t="s">
        <v>195</v>
      </c>
      <c r="C181" s="967" t="s">
        <v>195</v>
      </c>
      <c r="D181" s="967" t="s">
        <v>195</v>
      </c>
      <c r="E181" s="967" t="s">
        <v>195</v>
      </c>
      <c r="F181" s="967" t="s">
        <v>195</v>
      </c>
      <c r="G181" s="967" t="s">
        <v>195</v>
      </c>
      <c r="H181" s="967" t="s">
        <v>195</v>
      </c>
      <c r="I181" s="1073" t="s">
        <v>195</v>
      </c>
    </row>
    <row r="182" spans="1:9" x14ac:dyDescent="0.2">
      <c r="A182" s="240" t="s">
        <v>268</v>
      </c>
      <c r="B182" s="966" t="s">
        <v>237</v>
      </c>
      <c r="C182" s="967" t="s">
        <v>237</v>
      </c>
      <c r="D182" s="967" t="s">
        <v>237</v>
      </c>
      <c r="E182" s="967" t="s">
        <v>237</v>
      </c>
      <c r="F182" s="967" t="s">
        <v>237</v>
      </c>
      <c r="G182" s="967" t="s">
        <v>237</v>
      </c>
      <c r="H182" s="967" t="s">
        <v>237</v>
      </c>
      <c r="I182" s="1073" t="s">
        <v>237</v>
      </c>
    </row>
    <row r="183" spans="1:9" x14ac:dyDescent="0.2">
      <c r="A183" s="234"/>
      <c r="B183" s="966"/>
      <c r="C183" s="967"/>
      <c r="D183" s="967"/>
      <c r="E183" s="967"/>
      <c r="F183" s="967"/>
      <c r="G183" s="967"/>
      <c r="H183" s="967"/>
      <c r="I183" s="1073"/>
    </row>
    <row r="184" spans="1:9" x14ac:dyDescent="0.2">
      <c r="A184" s="234"/>
      <c r="B184" s="966"/>
      <c r="C184" s="967"/>
      <c r="D184" s="967"/>
      <c r="E184" s="967"/>
      <c r="F184" s="967"/>
      <c r="G184" s="967"/>
      <c r="H184" s="967"/>
      <c r="I184" s="1073"/>
    </row>
    <row r="185" spans="1:9" ht="13.5" thickBot="1" x14ac:dyDescent="0.25">
      <c r="A185" s="235"/>
      <c r="B185" s="970"/>
      <c r="C185" s="971"/>
      <c r="D185" s="971"/>
      <c r="E185" s="971"/>
      <c r="F185" s="971"/>
      <c r="G185" s="971"/>
      <c r="H185" s="971"/>
      <c r="I185" s="1076"/>
    </row>
    <row r="186" spans="1:9" ht="15" x14ac:dyDescent="0.25">
      <c r="A186" s="1077"/>
      <c r="B186" s="1077"/>
      <c r="C186" s="1077"/>
      <c r="D186" s="1077"/>
      <c r="E186" s="1077"/>
      <c r="F186" s="1077"/>
      <c r="G186" s="1077"/>
      <c r="H186" s="1077"/>
      <c r="I186" s="1077"/>
    </row>
    <row r="188" spans="1:9" ht="15" x14ac:dyDescent="0.25">
      <c r="A188" s="236" t="s">
        <v>223</v>
      </c>
      <c r="B188" t="s">
        <v>232</v>
      </c>
    </row>
    <row r="189" spans="1:9" ht="15" x14ac:dyDescent="0.25">
      <c r="A189" s="236" t="s">
        <v>224</v>
      </c>
      <c r="B189" t="s">
        <v>225</v>
      </c>
    </row>
    <row r="190" spans="1:9" ht="15" x14ac:dyDescent="0.25">
      <c r="A190" s="236" t="s">
        <v>226</v>
      </c>
      <c r="B190" s="2" t="s">
        <v>259</v>
      </c>
    </row>
    <row r="195" spans="1:10" ht="15" x14ac:dyDescent="0.25">
      <c r="G195" s="1074" t="s">
        <v>308</v>
      </c>
      <c r="H195" s="1074"/>
      <c r="I195" s="1074"/>
    </row>
    <row r="196" spans="1:10" ht="15" x14ac:dyDescent="0.25">
      <c r="G196" s="1075" t="s">
        <v>309</v>
      </c>
      <c r="H196" s="1075"/>
      <c r="I196" s="1075"/>
    </row>
    <row r="204" spans="1:10" x14ac:dyDescent="0.2">
      <c r="G204" t="s">
        <v>200</v>
      </c>
      <c r="H204" s="899" t="s">
        <v>8</v>
      </c>
      <c r="I204" s="1078"/>
      <c r="J204" s="229">
        <v>1</v>
      </c>
    </row>
    <row r="205" spans="1:10" x14ac:dyDescent="0.2">
      <c r="G205" t="s">
        <v>201</v>
      </c>
      <c r="H205" s="899" t="s">
        <v>8</v>
      </c>
      <c r="I205" s="1078"/>
      <c r="J205" s="230" t="s">
        <v>227</v>
      </c>
    </row>
    <row r="206" spans="1:10" x14ac:dyDescent="0.2">
      <c r="G206" t="s">
        <v>202</v>
      </c>
      <c r="H206" s="899" t="s">
        <v>8</v>
      </c>
      <c r="I206" s="1078"/>
    </row>
    <row r="208" spans="1:10" ht="15" x14ac:dyDescent="0.25">
      <c r="A208" s="229"/>
      <c r="B208" s="229"/>
      <c r="C208" s="229"/>
      <c r="D208" s="229"/>
      <c r="E208" s="231" t="s">
        <v>203</v>
      </c>
      <c r="F208" s="229"/>
      <c r="G208" s="229"/>
      <c r="H208" s="229"/>
      <c r="I208" s="229"/>
    </row>
    <row r="209" spans="1:9" x14ac:dyDescent="0.2">
      <c r="D209" s="1079" t="s">
        <v>204</v>
      </c>
      <c r="E209" s="1079"/>
      <c r="F209" s="1079"/>
      <c r="G209" s="1079"/>
    </row>
    <row r="210" spans="1:9" x14ac:dyDescent="0.2">
      <c r="D210" s="1079" t="s">
        <v>205</v>
      </c>
      <c r="E210" s="1079"/>
      <c r="F210" s="1079"/>
      <c r="G210" s="1079"/>
    </row>
    <row r="212" spans="1:9" x14ac:dyDescent="0.2">
      <c r="A212" t="s">
        <v>206</v>
      </c>
    </row>
    <row r="213" spans="1:9" x14ac:dyDescent="0.2">
      <c r="A213" t="s">
        <v>13</v>
      </c>
    </row>
    <row r="214" spans="1:9" x14ac:dyDescent="0.2">
      <c r="A214" t="s">
        <v>207</v>
      </c>
    </row>
    <row r="215" spans="1:9" x14ac:dyDescent="0.2">
      <c r="A215" t="s">
        <v>208</v>
      </c>
    </row>
    <row r="218" spans="1:9" x14ac:dyDescent="0.2">
      <c r="A218" t="s">
        <v>209</v>
      </c>
    </row>
    <row r="219" spans="1:9" x14ac:dyDescent="0.2">
      <c r="B219" t="s">
        <v>210</v>
      </c>
    </row>
    <row r="220" spans="1:9" ht="15" x14ac:dyDescent="0.25">
      <c r="A220" t="s">
        <v>211</v>
      </c>
      <c r="B220" s="231" t="s">
        <v>133</v>
      </c>
      <c r="C220" t="s">
        <v>212</v>
      </c>
      <c r="E220" s="232" t="s">
        <v>213</v>
      </c>
      <c r="F220" t="s">
        <v>214</v>
      </c>
    </row>
    <row r="222" spans="1:9" ht="13.5" thickBot="1" x14ac:dyDescent="0.25"/>
    <row r="223" spans="1:9" ht="13.5" thickBot="1" x14ac:dyDescent="0.25">
      <c r="A223" s="233" t="s">
        <v>215</v>
      </c>
      <c r="B223" s="1080" t="s">
        <v>216</v>
      </c>
      <c r="C223" s="1081"/>
      <c r="D223" s="1081"/>
      <c r="E223" s="1081"/>
      <c r="F223" s="1081"/>
      <c r="G223" s="1081"/>
      <c r="H223" s="1081"/>
      <c r="I223" s="1082"/>
    </row>
    <row r="224" spans="1:9" x14ac:dyDescent="0.2">
      <c r="A224" s="238" t="s">
        <v>273</v>
      </c>
      <c r="B224" s="1083" t="s">
        <v>233</v>
      </c>
      <c r="C224" s="1084" t="s">
        <v>233</v>
      </c>
      <c r="D224" s="1084" t="s">
        <v>233</v>
      </c>
      <c r="E224" s="1084" t="s">
        <v>233</v>
      </c>
      <c r="F224" s="1084" t="s">
        <v>233</v>
      </c>
      <c r="G224" s="1084" t="s">
        <v>233</v>
      </c>
      <c r="H224" s="1084" t="s">
        <v>233</v>
      </c>
      <c r="I224" s="1085" t="s">
        <v>233</v>
      </c>
    </row>
    <row r="225" spans="1:9" x14ac:dyDescent="0.2">
      <c r="A225" s="239" t="s">
        <v>221</v>
      </c>
      <c r="B225" s="966" t="s">
        <v>234</v>
      </c>
      <c r="C225" s="967" t="s">
        <v>234</v>
      </c>
      <c r="D225" s="967" t="s">
        <v>234</v>
      </c>
      <c r="E225" s="967" t="s">
        <v>234</v>
      </c>
      <c r="F225" s="967" t="s">
        <v>234</v>
      </c>
      <c r="G225" s="967" t="s">
        <v>234</v>
      </c>
      <c r="H225" s="967" t="s">
        <v>234</v>
      </c>
      <c r="I225" s="1073" t="s">
        <v>234</v>
      </c>
    </row>
    <row r="226" spans="1:9" x14ac:dyDescent="0.2">
      <c r="A226" s="239" t="s">
        <v>274</v>
      </c>
      <c r="B226" s="966" t="s">
        <v>235</v>
      </c>
      <c r="C226" s="967" t="s">
        <v>235</v>
      </c>
      <c r="D226" s="967" t="s">
        <v>235</v>
      </c>
      <c r="E226" s="967" t="s">
        <v>235</v>
      </c>
      <c r="F226" s="967" t="s">
        <v>235</v>
      </c>
      <c r="G226" s="967" t="s">
        <v>235</v>
      </c>
      <c r="H226" s="967" t="s">
        <v>235</v>
      </c>
      <c r="I226" s="1073" t="s">
        <v>235</v>
      </c>
    </row>
    <row r="227" spans="1:9" x14ac:dyDescent="0.2">
      <c r="A227" s="239" t="s">
        <v>229</v>
      </c>
      <c r="B227" s="966" t="s">
        <v>255</v>
      </c>
      <c r="C227" s="967" t="s">
        <v>255</v>
      </c>
      <c r="D227" s="967" t="s">
        <v>255</v>
      </c>
      <c r="E227" s="967" t="s">
        <v>255</v>
      </c>
      <c r="F227" s="967" t="s">
        <v>255</v>
      </c>
      <c r="G227" s="967" t="s">
        <v>255</v>
      </c>
      <c r="H227" s="967" t="s">
        <v>255</v>
      </c>
      <c r="I227" s="1073" t="s">
        <v>255</v>
      </c>
    </row>
    <row r="228" spans="1:9" x14ac:dyDescent="0.2">
      <c r="A228" s="239" t="s">
        <v>222</v>
      </c>
      <c r="B228" s="966" t="s">
        <v>236</v>
      </c>
      <c r="C228" s="967" t="s">
        <v>236</v>
      </c>
      <c r="D228" s="967" t="s">
        <v>236</v>
      </c>
      <c r="E228" s="967" t="s">
        <v>236</v>
      </c>
      <c r="F228" s="967" t="s">
        <v>236</v>
      </c>
      <c r="G228" s="967" t="s">
        <v>236</v>
      </c>
      <c r="H228" s="967" t="s">
        <v>236</v>
      </c>
      <c r="I228" s="1073" t="s">
        <v>236</v>
      </c>
    </row>
    <row r="229" spans="1:9" x14ac:dyDescent="0.2">
      <c r="A229" s="239" t="s">
        <v>218</v>
      </c>
      <c r="B229" s="966" t="s">
        <v>256</v>
      </c>
      <c r="C229" s="967" t="s">
        <v>256</v>
      </c>
      <c r="D229" s="967" t="s">
        <v>256</v>
      </c>
      <c r="E229" s="967" t="s">
        <v>256</v>
      </c>
      <c r="F229" s="967" t="s">
        <v>256</v>
      </c>
      <c r="G229" s="967" t="s">
        <v>256</v>
      </c>
      <c r="H229" s="967" t="s">
        <v>256</v>
      </c>
      <c r="I229" s="1073" t="s">
        <v>256</v>
      </c>
    </row>
    <row r="230" spans="1:9" x14ac:dyDescent="0.2">
      <c r="A230" s="239" t="s">
        <v>218</v>
      </c>
      <c r="B230" s="966" t="s">
        <v>156</v>
      </c>
      <c r="C230" s="967" t="s">
        <v>156</v>
      </c>
      <c r="D230" s="967" t="s">
        <v>156</v>
      </c>
      <c r="E230" s="967" t="s">
        <v>156</v>
      </c>
      <c r="F230" s="967" t="s">
        <v>156</v>
      </c>
      <c r="G230" s="967" t="s">
        <v>156</v>
      </c>
      <c r="H230" s="967" t="s">
        <v>156</v>
      </c>
      <c r="I230" s="1073" t="s">
        <v>156</v>
      </c>
    </row>
    <row r="231" spans="1:9" x14ac:dyDescent="0.2">
      <c r="A231" s="239" t="s">
        <v>230</v>
      </c>
      <c r="B231" s="966" t="s">
        <v>157</v>
      </c>
      <c r="C231" s="967" t="s">
        <v>157</v>
      </c>
      <c r="D231" s="967" t="s">
        <v>157</v>
      </c>
      <c r="E231" s="967" t="s">
        <v>157</v>
      </c>
      <c r="F231" s="967" t="s">
        <v>157</v>
      </c>
      <c r="G231" s="967" t="s">
        <v>157</v>
      </c>
      <c r="H231" s="967" t="s">
        <v>157</v>
      </c>
      <c r="I231" s="1073" t="s">
        <v>157</v>
      </c>
    </row>
    <row r="232" spans="1:9" x14ac:dyDescent="0.2">
      <c r="A232" s="239" t="s">
        <v>275</v>
      </c>
      <c r="B232" s="966" t="s">
        <v>257</v>
      </c>
      <c r="C232" s="967" t="s">
        <v>257</v>
      </c>
      <c r="D232" s="967" t="s">
        <v>257</v>
      </c>
      <c r="E232" s="967" t="s">
        <v>257</v>
      </c>
      <c r="F232" s="967" t="s">
        <v>257</v>
      </c>
      <c r="G232" s="967" t="s">
        <v>257</v>
      </c>
      <c r="H232" s="967" t="s">
        <v>257</v>
      </c>
      <c r="I232" s="1073" t="s">
        <v>257</v>
      </c>
    </row>
    <row r="233" spans="1:9" x14ac:dyDescent="0.2">
      <c r="A233" s="239" t="s">
        <v>276</v>
      </c>
      <c r="B233" s="966" t="s">
        <v>258</v>
      </c>
      <c r="C233" s="967" t="s">
        <v>258</v>
      </c>
      <c r="D233" s="967" t="s">
        <v>258</v>
      </c>
      <c r="E233" s="967" t="s">
        <v>258</v>
      </c>
      <c r="F233" s="967" t="s">
        <v>258</v>
      </c>
      <c r="G233" s="967" t="s">
        <v>258</v>
      </c>
      <c r="H233" s="967" t="s">
        <v>258</v>
      </c>
      <c r="I233" s="1073" t="s">
        <v>258</v>
      </c>
    </row>
    <row r="234" spans="1:9" x14ac:dyDescent="0.2">
      <c r="A234" s="239"/>
      <c r="B234" s="966"/>
      <c r="C234" s="967"/>
      <c r="D234" s="967"/>
      <c r="E234" s="967"/>
      <c r="F234" s="967"/>
      <c r="G234" s="967"/>
      <c r="H234" s="967"/>
      <c r="I234" s="1073"/>
    </row>
    <row r="235" spans="1:9" x14ac:dyDescent="0.2">
      <c r="A235" s="239"/>
      <c r="B235" s="966"/>
      <c r="C235" s="967"/>
      <c r="D235" s="967"/>
      <c r="E235" s="967"/>
      <c r="F235" s="967"/>
      <c r="G235" s="967"/>
      <c r="H235" s="967"/>
      <c r="I235" s="1073"/>
    </row>
    <row r="236" spans="1:9" x14ac:dyDescent="0.2">
      <c r="A236" s="239"/>
      <c r="B236" s="966"/>
      <c r="C236" s="967"/>
      <c r="D236" s="967"/>
      <c r="E236" s="967"/>
      <c r="F236" s="967"/>
      <c r="G236" s="967"/>
      <c r="H236" s="967"/>
      <c r="I236" s="1073"/>
    </row>
    <row r="237" spans="1:9" x14ac:dyDescent="0.2">
      <c r="A237" s="239"/>
      <c r="B237" s="966"/>
      <c r="C237" s="967"/>
      <c r="D237" s="967"/>
      <c r="E237" s="967"/>
      <c r="F237" s="967"/>
      <c r="G237" s="967"/>
      <c r="H237" s="967"/>
      <c r="I237" s="1073"/>
    </row>
    <row r="238" spans="1:9" x14ac:dyDescent="0.2">
      <c r="A238" s="239"/>
      <c r="B238" s="966"/>
      <c r="C238" s="967"/>
      <c r="D238" s="967"/>
      <c r="E238" s="967"/>
      <c r="F238" s="967"/>
      <c r="G238" s="967"/>
      <c r="H238" s="967"/>
      <c r="I238" s="1073"/>
    </row>
    <row r="239" spans="1:9" x14ac:dyDescent="0.2">
      <c r="A239" s="240"/>
      <c r="B239" s="966"/>
      <c r="C239" s="967"/>
      <c r="D239" s="967"/>
      <c r="E239" s="967"/>
      <c r="F239" s="967"/>
      <c r="G239" s="967"/>
      <c r="H239" s="967"/>
      <c r="I239" s="1073"/>
    </row>
    <row r="240" spans="1:9" x14ac:dyDescent="0.2">
      <c r="A240" s="240"/>
      <c r="B240" s="966"/>
      <c r="C240" s="967"/>
      <c r="D240" s="967"/>
      <c r="E240" s="967"/>
      <c r="F240" s="967"/>
      <c r="G240" s="967"/>
      <c r="H240" s="967"/>
      <c r="I240" s="1073"/>
    </row>
    <row r="241" spans="1:9" x14ac:dyDescent="0.2">
      <c r="A241" s="240"/>
      <c r="B241" s="966"/>
      <c r="C241" s="967"/>
      <c r="D241" s="967"/>
      <c r="E241" s="967"/>
      <c r="F241" s="967"/>
      <c r="G241" s="967"/>
      <c r="H241" s="967"/>
      <c r="I241" s="1073"/>
    </row>
    <row r="242" spans="1:9" x14ac:dyDescent="0.2">
      <c r="A242" s="240"/>
      <c r="B242" s="966"/>
      <c r="C242" s="967"/>
      <c r="D242" s="967"/>
      <c r="E242" s="967"/>
      <c r="F242" s="967"/>
      <c r="G242" s="967"/>
      <c r="H242" s="967"/>
      <c r="I242" s="1073"/>
    </row>
    <row r="243" spans="1:9" x14ac:dyDescent="0.2">
      <c r="A243" s="240"/>
      <c r="B243" s="966"/>
      <c r="C243" s="967"/>
      <c r="D243" s="967"/>
      <c r="E243" s="967"/>
      <c r="F243" s="967"/>
      <c r="G243" s="967"/>
      <c r="H243" s="967"/>
      <c r="I243" s="1073"/>
    </row>
    <row r="244" spans="1:9" x14ac:dyDescent="0.2">
      <c r="A244" s="239"/>
      <c r="B244" s="966"/>
      <c r="C244" s="967"/>
      <c r="D244" s="967"/>
      <c r="E244" s="967"/>
      <c r="F244" s="967"/>
      <c r="G244" s="967"/>
      <c r="H244" s="967"/>
      <c r="I244" s="1073"/>
    </row>
    <row r="245" spans="1:9" x14ac:dyDescent="0.2">
      <c r="A245" s="239"/>
      <c r="B245" s="966"/>
      <c r="C245" s="967"/>
      <c r="D245" s="967"/>
      <c r="E245" s="967"/>
      <c r="F245" s="967"/>
      <c r="G245" s="967"/>
      <c r="H245" s="967"/>
      <c r="I245" s="1073"/>
    </row>
    <row r="246" spans="1:9" x14ac:dyDescent="0.2">
      <c r="A246" s="240"/>
      <c r="B246" s="966"/>
      <c r="C246" s="967"/>
      <c r="D246" s="967"/>
      <c r="E246" s="967"/>
      <c r="F246" s="967"/>
      <c r="G246" s="967"/>
      <c r="H246" s="967"/>
      <c r="I246" s="1073"/>
    </row>
    <row r="247" spans="1:9" x14ac:dyDescent="0.2">
      <c r="A247" s="240"/>
      <c r="B247" s="966"/>
      <c r="C247" s="967"/>
      <c r="D247" s="967"/>
      <c r="E247" s="967"/>
      <c r="F247" s="967"/>
      <c r="G247" s="967"/>
      <c r="H247" s="967"/>
      <c r="I247" s="1073"/>
    </row>
    <row r="248" spans="1:9" x14ac:dyDescent="0.2">
      <c r="A248" s="240"/>
      <c r="B248" s="966"/>
      <c r="C248" s="967"/>
      <c r="D248" s="967"/>
      <c r="E248" s="967"/>
      <c r="F248" s="967"/>
      <c r="G248" s="967"/>
      <c r="H248" s="967"/>
      <c r="I248" s="1073"/>
    </row>
    <row r="249" spans="1:9" x14ac:dyDescent="0.2">
      <c r="A249" s="240"/>
      <c r="B249" s="966"/>
      <c r="C249" s="967"/>
      <c r="D249" s="967"/>
      <c r="E249" s="967"/>
      <c r="F249" s="967"/>
      <c r="G249" s="967"/>
      <c r="H249" s="967"/>
      <c r="I249" s="1073"/>
    </row>
    <row r="250" spans="1:9" x14ac:dyDescent="0.2">
      <c r="A250" s="240"/>
      <c r="B250" s="966"/>
      <c r="C250" s="967"/>
      <c r="D250" s="967"/>
      <c r="E250" s="967"/>
      <c r="F250" s="967"/>
      <c r="G250" s="967"/>
      <c r="H250" s="967"/>
      <c r="I250" s="1073"/>
    </row>
    <row r="251" spans="1:9" x14ac:dyDescent="0.2">
      <c r="A251" s="234"/>
      <c r="B251" s="966"/>
      <c r="C251" s="967"/>
      <c r="D251" s="967"/>
      <c r="E251" s="967"/>
      <c r="F251" s="967"/>
      <c r="G251" s="967"/>
      <c r="H251" s="967"/>
      <c r="I251" s="1073"/>
    </row>
    <row r="252" spans="1:9" x14ac:dyDescent="0.2">
      <c r="A252" s="234"/>
      <c r="B252" s="966"/>
      <c r="C252" s="967"/>
      <c r="D252" s="967"/>
      <c r="E252" s="967"/>
      <c r="F252" s="967"/>
      <c r="G252" s="967"/>
      <c r="H252" s="967"/>
      <c r="I252" s="1073"/>
    </row>
    <row r="253" spans="1:9" ht="13.5" thickBot="1" x14ac:dyDescent="0.25">
      <c r="A253" s="235"/>
      <c r="B253" s="970"/>
      <c r="C253" s="971"/>
      <c r="D253" s="971"/>
      <c r="E253" s="971"/>
      <c r="F253" s="971"/>
      <c r="G253" s="971"/>
      <c r="H253" s="971"/>
      <c r="I253" s="1076"/>
    </row>
    <row r="254" spans="1:9" ht="15.75" thickBot="1" x14ac:dyDescent="0.3">
      <c r="A254" s="1086"/>
      <c r="B254" s="1087"/>
      <c r="C254" s="1087"/>
      <c r="D254" s="1087"/>
      <c r="E254" s="1087"/>
      <c r="F254" s="1087"/>
      <c r="G254" s="1087"/>
      <c r="H254" s="1087"/>
      <c r="I254" s="1088"/>
    </row>
    <row r="256" spans="1:9" ht="15" x14ac:dyDescent="0.25">
      <c r="A256" s="236" t="s">
        <v>223</v>
      </c>
      <c r="B256" t="s">
        <v>232</v>
      </c>
    </row>
    <row r="257" spans="1:10" ht="15" x14ac:dyDescent="0.25">
      <c r="A257" s="236" t="s">
        <v>224</v>
      </c>
      <c r="B257" t="s">
        <v>225</v>
      </c>
    </row>
    <row r="258" spans="1:10" ht="15" x14ac:dyDescent="0.25">
      <c r="A258" s="236" t="s">
        <v>226</v>
      </c>
      <c r="B258" s="2" t="s">
        <v>277</v>
      </c>
    </row>
    <row r="263" spans="1:10" ht="15" x14ac:dyDescent="0.25">
      <c r="G263" s="1074" t="s">
        <v>308</v>
      </c>
      <c r="H263" s="1074"/>
      <c r="I263" s="1074"/>
    </row>
    <row r="264" spans="1:10" ht="15" x14ac:dyDescent="0.25">
      <c r="G264" s="1075" t="s">
        <v>309</v>
      </c>
      <c r="H264" s="1075"/>
      <c r="I264" s="1075"/>
    </row>
    <row r="272" spans="1:10" x14ac:dyDescent="0.2">
      <c r="G272" t="s">
        <v>200</v>
      </c>
      <c r="H272" s="899" t="s">
        <v>8</v>
      </c>
      <c r="I272" s="1078"/>
      <c r="J272" s="229">
        <v>1</v>
      </c>
    </row>
    <row r="273" spans="1:10" x14ac:dyDescent="0.2">
      <c r="G273" t="s">
        <v>201</v>
      </c>
      <c r="H273" s="899" t="s">
        <v>8</v>
      </c>
      <c r="I273" s="1078"/>
      <c r="J273" s="230" t="s">
        <v>227</v>
      </c>
    </row>
    <row r="274" spans="1:10" x14ac:dyDescent="0.2">
      <c r="G274" t="s">
        <v>202</v>
      </c>
      <c r="H274" s="899" t="s">
        <v>8</v>
      </c>
      <c r="I274" s="1078"/>
    </row>
    <row r="276" spans="1:10" ht="15" x14ac:dyDescent="0.25">
      <c r="A276" s="229"/>
      <c r="B276" s="229"/>
      <c r="C276" s="229"/>
      <c r="D276" s="229"/>
      <c r="E276" s="231" t="s">
        <v>203</v>
      </c>
      <c r="F276" s="229"/>
      <c r="G276" s="229"/>
      <c r="H276" s="229"/>
      <c r="I276" s="229"/>
    </row>
    <row r="277" spans="1:10" x14ac:dyDescent="0.2">
      <c r="D277" s="1079" t="s">
        <v>204</v>
      </c>
      <c r="E277" s="1079"/>
      <c r="F277" s="1079"/>
      <c r="G277" s="1079"/>
    </row>
    <row r="278" spans="1:10" x14ac:dyDescent="0.2">
      <c r="D278" s="1079" t="s">
        <v>205</v>
      </c>
      <c r="E278" s="1079"/>
      <c r="F278" s="1079"/>
      <c r="G278" s="1079"/>
    </row>
    <row r="280" spans="1:10" x14ac:dyDescent="0.2">
      <c r="A280" t="s">
        <v>206</v>
      </c>
    </row>
    <row r="281" spans="1:10" x14ac:dyDescent="0.2">
      <c r="A281" t="s">
        <v>13</v>
      </c>
    </row>
    <row r="282" spans="1:10" x14ac:dyDescent="0.2">
      <c r="A282" t="s">
        <v>207</v>
      </c>
    </row>
    <row r="283" spans="1:10" x14ac:dyDescent="0.2">
      <c r="A283" t="s">
        <v>208</v>
      </c>
    </row>
    <row r="286" spans="1:10" x14ac:dyDescent="0.2">
      <c r="A286" t="s">
        <v>209</v>
      </c>
    </row>
    <row r="287" spans="1:10" x14ac:dyDescent="0.2">
      <c r="B287" t="s">
        <v>210</v>
      </c>
    </row>
    <row r="288" spans="1:10" ht="15" x14ac:dyDescent="0.25">
      <c r="A288" t="s">
        <v>211</v>
      </c>
      <c r="B288" s="231" t="s">
        <v>133</v>
      </c>
      <c r="C288" t="s">
        <v>212</v>
      </c>
      <c r="E288" s="232" t="s">
        <v>312</v>
      </c>
      <c r="F288" t="s">
        <v>214</v>
      </c>
    </row>
    <row r="290" spans="1:15" ht="13.5" thickBot="1" x14ac:dyDescent="0.25"/>
    <row r="291" spans="1:15" ht="13.5" thickBot="1" x14ac:dyDescent="0.25">
      <c r="A291" s="233" t="s">
        <v>215</v>
      </c>
      <c r="B291" s="1080" t="s">
        <v>216</v>
      </c>
      <c r="C291" s="1081"/>
      <c r="D291" s="1081"/>
      <c r="E291" s="1081"/>
      <c r="F291" s="1081"/>
      <c r="G291" s="1081"/>
      <c r="H291" s="1081"/>
      <c r="I291" s="1082"/>
    </row>
    <row r="292" spans="1:15" x14ac:dyDescent="0.2">
      <c r="A292" s="238" t="s">
        <v>313</v>
      </c>
      <c r="B292" s="1083" t="s">
        <v>281</v>
      </c>
      <c r="C292" s="1084" t="s">
        <v>281</v>
      </c>
      <c r="D292" s="1084" t="s">
        <v>281</v>
      </c>
      <c r="E292" s="1084" t="s">
        <v>281</v>
      </c>
      <c r="F292" s="1084" t="s">
        <v>281</v>
      </c>
      <c r="G292" s="1084" t="s">
        <v>281</v>
      </c>
      <c r="H292" s="1084" t="s">
        <v>281</v>
      </c>
      <c r="I292" s="1085" t="s">
        <v>281</v>
      </c>
    </row>
    <row r="293" spans="1:15" x14ac:dyDescent="0.2">
      <c r="A293" s="239" t="s">
        <v>222</v>
      </c>
      <c r="B293" s="966" t="s">
        <v>282</v>
      </c>
      <c r="C293" s="967" t="s">
        <v>282</v>
      </c>
      <c r="D293" s="967" t="s">
        <v>282</v>
      </c>
      <c r="E293" s="967" t="s">
        <v>282</v>
      </c>
      <c r="F293" s="967" t="s">
        <v>282</v>
      </c>
      <c r="G293" s="967" t="s">
        <v>282</v>
      </c>
      <c r="H293" s="967" t="s">
        <v>282</v>
      </c>
      <c r="I293" s="1073" t="s">
        <v>282</v>
      </c>
    </row>
    <row r="294" spans="1:15" x14ac:dyDescent="0.2">
      <c r="A294" s="239" t="s">
        <v>222</v>
      </c>
      <c r="B294" s="966" t="s">
        <v>236</v>
      </c>
      <c r="C294" s="967" t="s">
        <v>236</v>
      </c>
      <c r="D294" s="967" t="s">
        <v>236</v>
      </c>
      <c r="E294" s="967" t="s">
        <v>236</v>
      </c>
      <c r="F294" s="967" t="s">
        <v>236</v>
      </c>
      <c r="G294" s="967" t="s">
        <v>236</v>
      </c>
      <c r="H294" s="967" t="s">
        <v>236</v>
      </c>
      <c r="I294" s="1073" t="s">
        <v>236</v>
      </c>
    </row>
    <row r="295" spans="1:15" x14ac:dyDescent="0.2">
      <c r="A295" s="239" t="s">
        <v>220</v>
      </c>
      <c r="B295" s="966" t="s">
        <v>234</v>
      </c>
      <c r="C295" s="967" t="s">
        <v>234</v>
      </c>
      <c r="D295" s="967" t="s">
        <v>234</v>
      </c>
      <c r="E295" s="967" t="s">
        <v>234</v>
      </c>
      <c r="F295" s="967" t="s">
        <v>234</v>
      </c>
      <c r="G295" s="967" t="s">
        <v>234</v>
      </c>
      <c r="H295" s="967" t="s">
        <v>234</v>
      </c>
      <c r="I295" s="1073" t="s">
        <v>234</v>
      </c>
    </row>
    <row r="296" spans="1:15" x14ac:dyDescent="0.2">
      <c r="A296" s="239" t="s">
        <v>314</v>
      </c>
      <c r="B296" s="966" t="s">
        <v>283</v>
      </c>
      <c r="C296" s="967" t="s">
        <v>283</v>
      </c>
      <c r="D296" s="967" t="s">
        <v>283</v>
      </c>
      <c r="E296" s="967" t="s">
        <v>283</v>
      </c>
      <c r="F296" s="967" t="s">
        <v>283</v>
      </c>
      <c r="G296" s="967" t="s">
        <v>283</v>
      </c>
      <c r="H296" s="967" t="s">
        <v>283</v>
      </c>
      <c r="I296" s="1073" t="s">
        <v>283</v>
      </c>
      <c r="O296">
        <f>700/63</f>
        <v>11.111111111111111</v>
      </c>
    </row>
    <row r="297" spans="1:15" x14ac:dyDescent="0.2">
      <c r="A297" s="239" t="s">
        <v>315</v>
      </c>
      <c r="B297" s="966" t="s">
        <v>237</v>
      </c>
      <c r="C297" s="967" t="s">
        <v>237</v>
      </c>
      <c r="D297" s="967" t="s">
        <v>237</v>
      </c>
      <c r="E297" s="967" t="s">
        <v>237</v>
      </c>
      <c r="F297" s="967" t="s">
        <v>237</v>
      </c>
      <c r="G297" s="967" t="s">
        <v>237</v>
      </c>
      <c r="H297" s="967" t="s">
        <v>237</v>
      </c>
      <c r="I297" s="1073" t="s">
        <v>237</v>
      </c>
    </row>
    <row r="298" spans="1:15" x14ac:dyDescent="0.2">
      <c r="A298" s="239" t="s">
        <v>316</v>
      </c>
      <c r="B298" s="966" t="s">
        <v>284</v>
      </c>
      <c r="C298" s="967" t="s">
        <v>284</v>
      </c>
      <c r="D298" s="967" t="s">
        <v>284</v>
      </c>
      <c r="E298" s="967" t="s">
        <v>284</v>
      </c>
      <c r="F298" s="967" t="s">
        <v>284</v>
      </c>
      <c r="G298" s="967" t="s">
        <v>284</v>
      </c>
      <c r="H298" s="967" t="s">
        <v>284</v>
      </c>
      <c r="I298" s="1073" t="s">
        <v>284</v>
      </c>
    </row>
    <row r="299" spans="1:15" x14ac:dyDescent="0.2">
      <c r="A299" s="239" t="s">
        <v>317</v>
      </c>
      <c r="B299" s="966" t="s">
        <v>237</v>
      </c>
      <c r="C299" s="967" t="s">
        <v>237</v>
      </c>
      <c r="D299" s="967" t="s">
        <v>237</v>
      </c>
      <c r="E299" s="967" t="s">
        <v>237</v>
      </c>
      <c r="F299" s="967" t="s">
        <v>237</v>
      </c>
      <c r="G299" s="967" t="s">
        <v>237</v>
      </c>
      <c r="H299" s="967" t="s">
        <v>237</v>
      </c>
      <c r="I299" s="1073" t="s">
        <v>237</v>
      </c>
    </row>
    <row r="300" spans="1:15" x14ac:dyDescent="0.2">
      <c r="A300" s="239" t="s">
        <v>222</v>
      </c>
      <c r="B300" s="966" t="s">
        <v>236</v>
      </c>
      <c r="C300" s="967" t="s">
        <v>236</v>
      </c>
      <c r="D300" s="967" t="s">
        <v>236</v>
      </c>
      <c r="E300" s="967" t="s">
        <v>236</v>
      </c>
      <c r="F300" s="967" t="s">
        <v>236</v>
      </c>
      <c r="G300" s="967" t="s">
        <v>236</v>
      </c>
      <c r="H300" s="967" t="s">
        <v>236</v>
      </c>
      <c r="I300" s="1073" t="s">
        <v>236</v>
      </c>
    </row>
    <row r="301" spans="1:15" x14ac:dyDescent="0.2">
      <c r="A301" s="239" t="s">
        <v>222</v>
      </c>
      <c r="B301" s="966" t="s">
        <v>234</v>
      </c>
      <c r="C301" s="967" t="s">
        <v>234</v>
      </c>
      <c r="D301" s="967" t="s">
        <v>234</v>
      </c>
      <c r="E301" s="967" t="s">
        <v>234</v>
      </c>
      <c r="F301" s="967" t="s">
        <v>234</v>
      </c>
      <c r="G301" s="967" t="s">
        <v>234</v>
      </c>
      <c r="H301" s="967" t="s">
        <v>234</v>
      </c>
      <c r="I301" s="1073" t="s">
        <v>234</v>
      </c>
    </row>
    <row r="302" spans="1:15" x14ac:dyDescent="0.2">
      <c r="A302" s="239" t="s">
        <v>318</v>
      </c>
      <c r="B302" s="966" t="s">
        <v>255</v>
      </c>
      <c r="C302" s="967" t="s">
        <v>255</v>
      </c>
      <c r="D302" s="967" t="s">
        <v>255</v>
      </c>
      <c r="E302" s="967" t="s">
        <v>255</v>
      </c>
      <c r="F302" s="967" t="s">
        <v>255</v>
      </c>
      <c r="G302" s="967" t="s">
        <v>255</v>
      </c>
      <c r="H302" s="967" t="s">
        <v>255</v>
      </c>
      <c r="I302" s="1073" t="s">
        <v>255</v>
      </c>
    </row>
    <row r="303" spans="1:15" x14ac:dyDescent="0.2">
      <c r="A303" s="239" t="s">
        <v>319</v>
      </c>
      <c r="B303" s="966" t="s">
        <v>285</v>
      </c>
      <c r="C303" s="967" t="s">
        <v>285</v>
      </c>
      <c r="D303" s="967" t="s">
        <v>285</v>
      </c>
      <c r="E303" s="967" t="s">
        <v>285</v>
      </c>
      <c r="F303" s="967" t="s">
        <v>285</v>
      </c>
      <c r="G303" s="967" t="s">
        <v>285</v>
      </c>
      <c r="H303" s="967" t="s">
        <v>285</v>
      </c>
      <c r="I303" s="1073" t="s">
        <v>285</v>
      </c>
    </row>
    <row r="304" spans="1:15" x14ac:dyDescent="0.2">
      <c r="A304" s="239" t="s">
        <v>319</v>
      </c>
      <c r="B304" s="966" t="s">
        <v>286</v>
      </c>
      <c r="C304" s="967" t="s">
        <v>286</v>
      </c>
      <c r="D304" s="967" t="s">
        <v>286</v>
      </c>
      <c r="E304" s="967" t="s">
        <v>286</v>
      </c>
      <c r="F304" s="967" t="s">
        <v>286</v>
      </c>
      <c r="G304" s="967" t="s">
        <v>286</v>
      </c>
      <c r="H304" s="967" t="s">
        <v>286</v>
      </c>
      <c r="I304" s="1073" t="s">
        <v>286</v>
      </c>
    </row>
    <row r="305" spans="1:9" x14ac:dyDescent="0.2">
      <c r="A305" s="239" t="s">
        <v>220</v>
      </c>
      <c r="B305" s="966" t="s">
        <v>287</v>
      </c>
      <c r="C305" s="967" t="s">
        <v>287</v>
      </c>
      <c r="D305" s="967" t="s">
        <v>287</v>
      </c>
      <c r="E305" s="967" t="s">
        <v>287</v>
      </c>
      <c r="F305" s="967" t="s">
        <v>287</v>
      </c>
      <c r="G305" s="967" t="s">
        <v>287</v>
      </c>
      <c r="H305" s="967" t="s">
        <v>287</v>
      </c>
      <c r="I305" s="1073" t="s">
        <v>287</v>
      </c>
    </row>
    <row r="306" spans="1:9" x14ac:dyDescent="0.2">
      <c r="A306" s="239" t="s">
        <v>220</v>
      </c>
      <c r="B306" s="966" t="s">
        <v>288</v>
      </c>
      <c r="C306" s="967" t="s">
        <v>288</v>
      </c>
      <c r="D306" s="967" t="s">
        <v>288</v>
      </c>
      <c r="E306" s="967" t="s">
        <v>288</v>
      </c>
      <c r="F306" s="967" t="s">
        <v>288</v>
      </c>
      <c r="G306" s="967" t="s">
        <v>288</v>
      </c>
      <c r="H306" s="967" t="s">
        <v>288</v>
      </c>
      <c r="I306" s="1073" t="s">
        <v>288</v>
      </c>
    </row>
    <row r="307" spans="1:9" x14ac:dyDescent="0.2">
      <c r="A307" s="240" t="s">
        <v>319</v>
      </c>
      <c r="B307" s="966" t="s">
        <v>289</v>
      </c>
      <c r="C307" s="967" t="s">
        <v>289</v>
      </c>
      <c r="D307" s="967" t="s">
        <v>289</v>
      </c>
      <c r="E307" s="967" t="s">
        <v>289</v>
      </c>
      <c r="F307" s="967" t="s">
        <v>289</v>
      </c>
      <c r="G307" s="967" t="s">
        <v>289</v>
      </c>
      <c r="H307" s="967" t="s">
        <v>289</v>
      </c>
      <c r="I307" s="1073" t="s">
        <v>289</v>
      </c>
    </row>
    <row r="308" spans="1:9" x14ac:dyDescent="0.2">
      <c r="A308" s="240" t="s">
        <v>314</v>
      </c>
      <c r="B308" s="966" t="s">
        <v>290</v>
      </c>
      <c r="C308" s="967" t="s">
        <v>290</v>
      </c>
      <c r="D308" s="967" t="s">
        <v>290</v>
      </c>
      <c r="E308" s="967" t="s">
        <v>290</v>
      </c>
      <c r="F308" s="967" t="s">
        <v>290</v>
      </c>
      <c r="G308" s="967" t="s">
        <v>290</v>
      </c>
      <c r="H308" s="967" t="s">
        <v>290</v>
      </c>
      <c r="I308" s="1073" t="s">
        <v>290</v>
      </c>
    </row>
    <row r="309" spans="1:9" x14ac:dyDescent="0.2">
      <c r="A309" s="240" t="s">
        <v>217</v>
      </c>
      <c r="B309" s="966" t="s">
        <v>291</v>
      </c>
      <c r="C309" s="967" t="s">
        <v>291</v>
      </c>
      <c r="D309" s="967" t="s">
        <v>291</v>
      </c>
      <c r="E309" s="967" t="s">
        <v>291</v>
      </c>
      <c r="F309" s="967" t="s">
        <v>291</v>
      </c>
      <c r="G309" s="967" t="s">
        <v>291</v>
      </c>
      <c r="H309" s="967" t="s">
        <v>291</v>
      </c>
      <c r="I309" s="1073" t="s">
        <v>291</v>
      </c>
    </row>
    <row r="310" spans="1:9" x14ac:dyDescent="0.2">
      <c r="A310" s="240" t="s">
        <v>320</v>
      </c>
      <c r="B310" s="966" t="s">
        <v>292</v>
      </c>
      <c r="C310" s="967" t="s">
        <v>292</v>
      </c>
      <c r="D310" s="967" t="s">
        <v>292</v>
      </c>
      <c r="E310" s="967" t="s">
        <v>292</v>
      </c>
      <c r="F310" s="967" t="s">
        <v>292</v>
      </c>
      <c r="G310" s="967" t="s">
        <v>292</v>
      </c>
      <c r="H310" s="967" t="s">
        <v>292</v>
      </c>
      <c r="I310" s="1073" t="s">
        <v>292</v>
      </c>
    </row>
    <row r="311" spans="1:9" x14ac:dyDescent="0.2">
      <c r="A311" s="240" t="s">
        <v>314</v>
      </c>
      <c r="B311" s="966" t="s">
        <v>293</v>
      </c>
      <c r="C311" s="967" t="s">
        <v>293</v>
      </c>
      <c r="D311" s="967" t="s">
        <v>293</v>
      </c>
      <c r="E311" s="967" t="s">
        <v>293</v>
      </c>
      <c r="F311" s="967" t="s">
        <v>293</v>
      </c>
      <c r="G311" s="967" t="s">
        <v>293</v>
      </c>
      <c r="H311" s="967" t="s">
        <v>293</v>
      </c>
      <c r="I311" s="1073" t="s">
        <v>293</v>
      </c>
    </row>
    <row r="312" spans="1:9" x14ac:dyDescent="0.2">
      <c r="A312" s="239" t="s">
        <v>267</v>
      </c>
      <c r="B312" s="966" t="s">
        <v>294</v>
      </c>
      <c r="C312" s="967" t="s">
        <v>294</v>
      </c>
      <c r="D312" s="967" t="s">
        <v>294</v>
      </c>
      <c r="E312" s="967" t="s">
        <v>294</v>
      </c>
      <c r="F312" s="967" t="s">
        <v>294</v>
      </c>
      <c r="G312" s="967" t="s">
        <v>294</v>
      </c>
      <c r="H312" s="967" t="s">
        <v>294</v>
      </c>
      <c r="I312" s="1073" t="s">
        <v>294</v>
      </c>
    </row>
    <row r="313" spans="1:9" x14ac:dyDescent="0.2">
      <c r="A313" s="239" t="s">
        <v>321</v>
      </c>
      <c r="B313" s="966" t="s">
        <v>295</v>
      </c>
      <c r="C313" s="967" t="s">
        <v>295</v>
      </c>
      <c r="D313" s="967" t="s">
        <v>295</v>
      </c>
      <c r="E313" s="967" t="s">
        <v>295</v>
      </c>
      <c r="F313" s="967" t="s">
        <v>295</v>
      </c>
      <c r="G313" s="967" t="s">
        <v>295</v>
      </c>
      <c r="H313" s="967" t="s">
        <v>295</v>
      </c>
      <c r="I313" s="1073" t="s">
        <v>295</v>
      </c>
    </row>
    <row r="314" spans="1:9" x14ac:dyDescent="0.2">
      <c r="A314" s="240" t="s">
        <v>219</v>
      </c>
      <c r="B314" s="966" t="s">
        <v>296</v>
      </c>
      <c r="C314" s="967" t="s">
        <v>296</v>
      </c>
      <c r="D314" s="967" t="s">
        <v>296</v>
      </c>
      <c r="E314" s="967" t="s">
        <v>296</v>
      </c>
      <c r="F314" s="967" t="s">
        <v>296</v>
      </c>
      <c r="G314" s="967" t="s">
        <v>296</v>
      </c>
      <c r="H314" s="967" t="s">
        <v>296</v>
      </c>
      <c r="I314" s="1073" t="s">
        <v>296</v>
      </c>
    </row>
    <row r="315" spans="1:9" x14ac:dyDescent="0.2">
      <c r="A315" s="240" t="s">
        <v>322</v>
      </c>
      <c r="B315" s="966" t="s">
        <v>156</v>
      </c>
      <c r="C315" s="967" t="s">
        <v>156</v>
      </c>
      <c r="D315" s="967" t="s">
        <v>156</v>
      </c>
      <c r="E315" s="967" t="s">
        <v>156</v>
      </c>
      <c r="F315" s="967" t="s">
        <v>156</v>
      </c>
      <c r="G315" s="967" t="s">
        <v>156</v>
      </c>
      <c r="H315" s="967" t="s">
        <v>156</v>
      </c>
      <c r="I315" s="1073" t="s">
        <v>156</v>
      </c>
    </row>
    <row r="316" spans="1:9" x14ac:dyDescent="0.2">
      <c r="A316" s="240" t="s">
        <v>323</v>
      </c>
      <c r="B316" s="966" t="s">
        <v>297</v>
      </c>
      <c r="C316" s="967" t="s">
        <v>297</v>
      </c>
      <c r="D316" s="967" t="s">
        <v>297</v>
      </c>
      <c r="E316" s="967" t="s">
        <v>297</v>
      </c>
      <c r="F316" s="967" t="s">
        <v>297</v>
      </c>
      <c r="G316" s="967" t="s">
        <v>297</v>
      </c>
      <c r="H316" s="967" t="s">
        <v>297</v>
      </c>
      <c r="I316" s="1073" t="s">
        <v>297</v>
      </c>
    </row>
    <row r="317" spans="1:9" x14ac:dyDescent="0.2">
      <c r="A317" s="240" t="s">
        <v>217</v>
      </c>
      <c r="B317" s="966" t="s">
        <v>298</v>
      </c>
      <c r="C317" s="967" t="s">
        <v>298</v>
      </c>
      <c r="D317" s="967" t="s">
        <v>298</v>
      </c>
      <c r="E317" s="967" t="s">
        <v>298</v>
      </c>
      <c r="F317" s="967" t="s">
        <v>298</v>
      </c>
      <c r="G317" s="967" t="s">
        <v>298</v>
      </c>
      <c r="H317" s="967" t="s">
        <v>298</v>
      </c>
      <c r="I317" s="1073" t="s">
        <v>298</v>
      </c>
    </row>
    <row r="318" spans="1:9" x14ac:dyDescent="0.2">
      <c r="A318" s="240"/>
      <c r="B318" s="966"/>
      <c r="C318" s="967"/>
      <c r="D318" s="967"/>
      <c r="E318" s="967"/>
      <c r="F318" s="967"/>
      <c r="G318" s="967"/>
      <c r="H318" s="967"/>
      <c r="I318" s="1073"/>
    </row>
    <row r="319" spans="1:9" x14ac:dyDescent="0.2">
      <c r="A319" s="234"/>
      <c r="B319" s="966"/>
      <c r="C319" s="967"/>
      <c r="D319" s="967"/>
      <c r="E319" s="967"/>
      <c r="F319" s="967"/>
      <c r="G319" s="967"/>
      <c r="H319" s="967"/>
      <c r="I319" s="1073"/>
    </row>
    <row r="320" spans="1:9" x14ac:dyDescent="0.2">
      <c r="A320" s="234"/>
      <c r="B320" s="966"/>
      <c r="C320" s="967"/>
      <c r="D320" s="967"/>
      <c r="E320" s="967"/>
      <c r="F320" s="967"/>
      <c r="G320" s="967"/>
      <c r="H320" s="967"/>
      <c r="I320" s="1073"/>
    </row>
    <row r="321" spans="1:9" ht="13.5" thickBot="1" x14ac:dyDescent="0.25">
      <c r="A321" s="235"/>
      <c r="B321" s="970"/>
      <c r="C321" s="971"/>
      <c r="D321" s="971"/>
      <c r="E321" s="971"/>
      <c r="F321" s="971"/>
      <c r="G321" s="971"/>
      <c r="H321" s="971"/>
      <c r="I321" s="1076"/>
    </row>
    <row r="322" spans="1:9" ht="15" x14ac:dyDescent="0.25">
      <c r="A322" s="1077"/>
      <c r="B322" s="1077"/>
      <c r="C322" s="1077"/>
      <c r="D322" s="1077"/>
      <c r="E322" s="1077"/>
      <c r="F322" s="1077"/>
      <c r="G322" s="1077"/>
      <c r="H322" s="1077"/>
      <c r="I322" s="1077"/>
    </row>
    <row r="324" spans="1:9" ht="15" x14ac:dyDescent="0.25">
      <c r="A324" s="236" t="s">
        <v>223</v>
      </c>
      <c r="B324" t="s">
        <v>232</v>
      </c>
    </row>
    <row r="325" spans="1:9" ht="15" x14ac:dyDescent="0.25">
      <c r="A325" s="236" t="s">
        <v>224</v>
      </c>
      <c r="B325" t="s">
        <v>225</v>
      </c>
    </row>
    <row r="326" spans="1:9" ht="15" x14ac:dyDescent="0.25">
      <c r="A326" s="236" t="s">
        <v>226</v>
      </c>
      <c r="B326" s="2" t="s">
        <v>311</v>
      </c>
    </row>
    <row r="331" spans="1:9" ht="15" x14ac:dyDescent="0.25">
      <c r="G331" s="1074" t="s">
        <v>308</v>
      </c>
      <c r="H331" s="1074"/>
      <c r="I331" s="1074"/>
    </row>
    <row r="332" spans="1:9" ht="15" x14ac:dyDescent="0.25">
      <c r="G332" s="1075" t="s">
        <v>309</v>
      </c>
      <c r="H332" s="1075"/>
      <c r="I332" s="1075"/>
    </row>
    <row r="340" spans="1:9" x14ac:dyDescent="0.2">
      <c r="G340" t="s">
        <v>200</v>
      </c>
      <c r="H340" s="899" t="s">
        <v>8</v>
      </c>
      <c r="I340" s="1078"/>
    </row>
    <row r="341" spans="1:9" x14ac:dyDescent="0.2">
      <c r="G341" t="s">
        <v>201</v>
      </c>
      <c r="H341" s="899" t="s">
        <v>8</v>
      </c>
      <c r="I341" s="1078"/>
    </row>
    <row r="342" spans="1:9" x14ac:dyDescent="0.2">
      <c r="G342" t="s">
        <v>202</v>
      </c>
      <c r="H342" s="899" t="s">
        <v>8</v>
      </c>
      <c r="I342" s="1078"/>
    </row>
    <row r="344" spans="1:9" ht="15" x14ac:dyDescent="0.25">
      <c r="A344" s="229"/>
      <c r="B344" s="229"/>
      <c r="C344" s="229"/>
      <c r="D344" s="229"/>
      <c r="E344" s="231" t="s">
        <v>203</v>
      </c>
      <c r="F344" s="229"/>
      <c r="G344" s="229"/>
      <c r="H344" s="229"/>
      <c r="I344" s="229"/>
    </row>
    <row r="345" spans="1:9" x14ac:dyDescent="0.2">
      <c r="D345" s="1079" t="s">
        <v>204</v>
      </c>
      <c r="E345" s="1079"/>
      <c r="F345" s="1079"/>
      <c r="G345" s="1079"/>
    </row>
    <row r="346" spans="1:9" x14ac:dyDescent="0.2">
      <c r="D346" s="1079" t="s">
        <v>205</v>
      </c>
      <c r="E346" s="1079"/>
      <c r="F346" s="1079"/>
      <c r="G346" s="1079"/>
    </row>
    <row r="348" spans="1:9" x14ac:dyDescent="0.2">
      <c r="A348" t="s">
        <v>206</v>
      </c>
    </row>
    <row r="349" spans="1:9" x14ac:dyDescent="0.2">
      <c r="A349" t="s">
        <v>13</v>
      </c>
    </row>
    <row r="350" spans="1:9" x14ac:dyDescent="0.2">
      <c r="A350" t="s">
        <v>207</v>
      </c>
    </row>
    <row r="351" spans="1:9" x14ac:dyDescent="0.2">
      <c r="A351" t="s">
        <v>208</v>
      </c>
    </row>
    <row r="354" spans="1:9" x14ac:dyDescent="0.2">
      <c r="A354" t="s">
        <v>209</v>
      </c>
    </row>
    <row r="355" spans="1:9" x14ac:dyDescent="0.2">
      <c r="B355" t="s">
        <v>210</v>
      </c>
    </row>
    <row r="356" spans="1:9" ht="15" x14ac:dyDescent="0.25">
      <c r="A356" t="s">
        <v>211</v>
      </c>
      <c r="B356" s="231" t="s">
        <v>133</v>
      </c>
      <c r="C356" t="s">
        <v>212</v>
      </c>
      <c r="E356" s="232" t="s">
        <v>312</v>
      </c>
      <c r="F356" t="s">
        <v>214</v>
      </c>
    </row>
    <row r="358" spans="1:9" ht="13.5" thickBot="1" x14ac:dyDescent="0.25"/>
    <row r="359" spans="1:9" ht="13.5" thickBot="1" x14ac:dyDescent="0.25">
      <c r="A359" s="233" t="s">
        <v>215</v>
      </c>
      <c r="B359" s="1080" t="s">
        <v>216</v>
      </c>
      <c r="C359" s="1081"/>
      <c r="D359" s="1081"/>
      <c r="E359" s="1081"/>
      <c r="F359" s="1081"/>
      <c r="G359" s="1081"/>
      <c r="H359" s="1081"/>
      <c r="I359" s="1082"/>
    </row>
    <row r="360" spans="1:9" x14ac:dyDescent="0.2">
      <c r="A360" s="238"/>
      <c r="B360" s="1083"/>
      <c r="C360" s="1084"/>
      <c r="D360" s="1084"/>
      <c r="E360" s="1084"/>
      <c r="F360" s="1084"/>
      <c r="G360" s="1084"/>
      <c r="H360" s="1084"/>
      <c r="I360" s="1085"/>
    </row>
    <row r="361" spans="1:9" x14ac:dyDescent="0.2">
      <c r="A361" s="239" t="s">
        <v>345</v>
      </c>
      <c r="B361" s="966" t="s">
        <v>328</v>
      </c>
      <c r="C361" s="967"/>
      <c r="D361" s="967"/>
      <c r="E361" s="967"/>
      <c r="F361" s="967"/>
      <c r="G361" s="967"/>
      <c r="H361" s="967"/>
      <c r="I361" s="1073"/>
    </row>
    <row r="362" spans="1:9" x14ac:dyDescent="0.2">
      <c r="A362" s="239"/>
      <c r="B362" s="966" t="s">
        <v>340</v>
      </c>
      <c r="C362" s="967"/>
      <c r="D362" s="967"/>
      <c r="E362" s="967"/>
      <c r="F362" s="967"/>
      <c r="G362" s="967"/>
      <c r="H362" s="967"/>
      <c r="I362" s="1073"/>
    </row>
    <row r="363" spans="1:9" x14ac:dyDescent="0.2">
      <c r="A363" s="239"/>
      <c r="B363" s="966" t="s">
        <v>342</v>
      </c>
      <c r="C363" s="967"/>
      <c r="D363" s="967"/>
      <c r="E363" s="967"/>
      <c r="F363" s="967"/>
      <c r="G363" s="967"/>
      <c r="H363" s="967"/>
      <c r="I363" s="1073"/>
    </row>
    <row r="364" spans="1:9" x14ac:dyDescent="0.2">
      <c r="A364" s="239"/>
      <c r="B364" s="966"/>
      <c r="C364" s="967"/>
      <c r="D364" s="967"/>
      <c r="E364" s="967"/>
      <c r="F364" s="967"/>
      <c r="G364" s="967"/>
      <c r="H364" s="967"/>
      <c r="I364" s="1073"/>
    </row>
    <row r="365" spans="1:9" x14ac:dyDescent="0.2">
      <c r="A365" s="239" t="s">
        <v>346</v>
      </c>
      <c r="B365" s="966" t="s">
        <v>329</v>
      </c>
      <c r="C365" s="967"/>
      <c r="D365" s="967"/>
      <c r="E365" s="967"/>
      <c r="F365" s="967"/>
      <c r="G365" s="967"/>
      <c r="H365" s="967"/>
      <c r="I365" s="1073"/>
    </row>
    <row r="366" spans="1:9" x14ac:dyDescent="0.2">
      <c r="A366" s="239"/>
      <c r="B366" s="966" t="s">
        <v>341</v>
      </c>
      <c r="C366" s="967"/>
      <c r="D366" s="967"/>
      <c r="E366" s="967"/>
      <c r="F366" s="967"/>
      <c r="G366" s="967"/>
      <c r="H366" s="967"/>
      <c r="I366" s="1073"/>
    </row>
    <row r="367" spans="1:9" x14ac:dyDescent="0.2">
      <c r="A367" s="239"/>
      <c r="B367" s="966" t="s">
        <v>330</v>
      </c>
      <c r="C367" s="967"/>
      <c r="D367" s="967"/>
      <c r="E367" s="967"/>
      <c r="F367" s="967"/>
      <c r="G367" s="967"/>
      <c r="H367" s="967"/>
      <c r="I367" s="1073"/>
    </row>
    <row r="368" spans="1:9" x14ac:dyDescent="0.2">
      <c r="A368" s="239"/>
      <c r="B368" s="966" t="s">
        <v>342</v>
      </c>
      <c r="C368" s="967"/>
      <c r="D368" s="967"/>
      <c r="E368" s="967"/>
      <c r="F368" s="967"/>
      <c r="G368" s="967"/>
      <c r="H368" s="967"/>
      <c r="I368" s="1073"/>
    </row>
    <row r="369" spans="1:9" x14ac:dyDescent="0.2">
      <c r="A369" s="239"/>
      <c r="B369" s="966"/>
      <c r="C369" s="967"/>
      <c r="D369" s="967"/>
      <c r="E369" s="967"/>
      <c r="F369" s="967"/>
      <c r="G369" s="967"/>
      <c r="H369" s="967"/>
      <c r="I369" s="1073"/>
    </row>
    <row r="370" spans="1:9" x14ac:dyDescent="0.2">
      <c r="A370" s="239" t="s">
        <v>347</v>
      </c>
      <c r="B370" s="966" t="s">
        <v>331</v>
      </c>
      <c r="C370" s="967"/>
      <c r="D370" s="967"/>
      <c r="E370" s="967"/>
      <c r="F370" s="967"/>
      <c r="G370" s="967"/>
      <c r="H370" s="967"/>
      <c r="I370" s="1073"/>
    </row>
    <row r="371" spans="1:9" x14ac:dyDescent="0.2">
      <c r="A371" s="239"/>
      <c r="B371" s="966" t="s">
        <v>344</v>
      </c>
      <c r="C371" s="967"/>
      <c r="D371" s="967"/>
      <c r="E371" s="967"/>
      <c r="F371" s="967"/>
      <c r="G371" s="967"/>
      <c r="H371" s="967"/>
      <c r="I371" s="1073"/>
    </row>
    <row r="372" spans="1:9" x14ac:dyDescent="0.2">
      <c r="A372" s="239"/>
      <c r="B372" s="966" t="s">
        <v>237</v>
      </c>
      <c r="C372" s="967"/>
      <c r="D372" s="967"/>
      <c r="E372" s="967"/>
      <c r="F372" s="967"/>
      <c r="G372" s="967"/>
      <c r="H372" s="967"/>
      <c r="I372" s="1073"/>
    </row>
    <row r="373" spans="1:9" x14ac:dyDescent="0.2">
      <c r="A373" s="239"/>
      <c r="B373" s="966" t="s">
        <v>332</v>
      </c>
      <c r="C373" s="967"/>
      <c r="D373" s="967"/>
      <c r="E373" s="967"/>
      <c r="F373" s="967"/>
      <c r="G373" s="967"/>
      <c r="H373" s="967"/>
      <c r="I373" s="1073"/>
    </row>
    <row r="374" spans="1:9" x14ac:dyDescent="0.2">
      <c r="A374" s="239"/>
      <c r="B374" s="966" t="s">
        <v>342</v>
      </c>
      <c r="C374" s="967"/>
      <c r="D374" s="967"/>
      <c r="E374" s="967"/>
      <c r="F374" s="967"/>
      <c r="G374" s="967"/>
      <c r="H374" s="967"/>
      <c r="I374" s="1073"/>
    </row>
    <row r="375" spans="1:9" x14ac:dyDescent="0.2">
      <c r="A375" s="240"/>
      <c r="B375" s="966"/>
      <c r="C375" s="967"/>
      <c r="D375" s="967"/>
      <c r="E375" s="967"/>
      <c r="F375" s="967"/>
      <c r="G375" s="967"/>
      <c r="H375" s="967"/>
      <c r="I375" s="1073"/>
    </row>
    <row r="376" spans="1:9" x14ac:dyDescent="0.2">
      <c r="A376" s="240" t="s">
        <v>346</v>
      </c>
      <c r="B376" s="966" t="s">
        <v>331</v>
      </c>
      <c r="C376" s="967"/>
      <c r="D376" s="967"/>
      <c r="E376" s="967"/>
      <c r="F376" s="967"/>
      <c r="G376" s="967"/>
      <c r="H376" s="967"/>
      <c r="I376" s="1073"/>
    </row>
    <row r="377" spans="1:9" x14ac:dyDescent="0.2">
      <c r="A377" s="240"/>
      <c r="B377" s="966" t="s">
        <v>333</v>
      </c>
      <c r="C377" s="967"/>
      <c r="D377" s="967"/>
      <c r="E377" s="967"/>
      <c r="F377" s="967"/>
      <c r="G377" s="967"/>
      <c r="H377" s="967"/>
      <c r="I377" s="1073"/>
    </row>
    <row r="378" spans="1:9" x14ac:dyDescent="0.2">
      <c r="A378" s="240"/>
      <c r="B378" s="966" t="s">
        <v>237</v>
      </c>
      <c r="C378" s="967"/>
      <c r="D378" s="967"/>
      <c r="E378" s="967"/>
      <c r="F378" s="967"/>
      <c r="G378" s="967"/>
      <c r="H378" s="967"/>
      <c r="I378" s="1073"/>
    </row>
    <row r="379" spans="1:9" x14ac:dyDescent="0.2">
      <c r="A379" s="240"/>
      <c r="B379" s="966" t="s">
        <v>332</v>
      </c>
      <c r="C379" s="967"/>
      <c r="D379" s="967"/>
      <c r="E379" s="967"/>
      <c r="F379" s="967"/>
      <c r="G379" s="967"/>
      <c r="H379" s="967"/>
      <c r="I379" s="1073"/>
    </row>
    <row r="380" spans="1:9" x14ac:dyDescent="0.2">
      <c r="A380" s="239"/>
      <c r="B380" s="966" t="s">
        <v>342</v>
      </c>
      <c r="C380" s="967"/>
      <c r="D380" s="967"/>
      <c r="E380" s="967"/>
      <c r="F380" s="967"/>
      <c r="G380" s="967"/>
      <c r="H380" s="967"/>
      <c r="I380" s="1073"/>
    </row>
    <row r="381" spans="1:9" x14ac:dyDescent="0.2">
      <c r="A381" s="239"/>
      <c r="B381" s="966"/>
      <c r="C381" s="967"/>
      <c r="D381" s="967"/>
      <c r="E381" s="967"/>
      <c r="F381" s="967"/>
      <c r="G381" s="967"/>
      <c r="H381" s="967"/>
      <c r="I381" s="1073"/>
    </row>
    <row r="382" spans="1:9" x14ac:dyDescent="0.2">
      <c r="A382" s="240"/>
      <c r="B382" s="966"/>
      <c r="C382" s="967"/>
      <c r="D382" s="967"/>
      <c r="E382" s="967"/>
      <c r="F382" s="967"/>
      <c r="G382" s="967"/>
      <c r="H382" s="967"/>
      <c r="I382" s="1073"/>
    </row>
    <row r="383" spans="1:9" x14ac:dyDescent="0.2">
      <c r="A383" s="240"/>
      <c r="B383" s="966"/>
      <c r="C383" s="967"/>
      <c r="D383" s="967"/>
      <c r="E383" s="967"/>
      <c r="F383" s="967"/>
      <c r="G383" s="967"/>
      <c r="H383" s="967"/>
      <c r="I383" s="1073"/>
    </row>
    <row r="384" spans="1:9" x14ac:dyDescent="0.2">
      <c r="A384" s="240"/>
      <c r="B384" s="966"/>
      <c r="C384" s="967"/>
      <c r="D384" s="967"/>
      <c r="E384" s="967"/>
      <c r="F384" s="967"/>
      <c r="G384" s="967"/>
      <c r="H384" s="967"/>
      <c r="I384" s="1073"/>
    </row>
    <row r="385" spans="1:9" x14ac:dyDescent="0.2">
      <c r="A385" s="240"/>
      <c r="B385" s="966"/>
      <c r="C385" s="967"/>
      <c r="D385" s="967"/>
      <c r="E385" s="967"/>
      <c r="F385" s="967"/>
      <c r="G385" s="967"/>
      <c r="H385" s="967"/>
      <c r="I385" s="1073"/>
    </row>
    <row r="386" spans="1:9" x14ac:dyDescent="0.2">
      <c r="A386" s="240"/>
      <c r="B386" s="966"/>
      <c r="C386" s="967"/>
      <c r="D386" s="967"/>
      <c r="E386" s="967"/>
      <c r="F386" s="967"/>
      <c r="G386" s="967"/>
      <c r="H386" s="967"/>
      <c r="I386" s="1073"/>
    </row>
    <row r="387" spans="1:9" x14ac:dyDescent="0.2">
      <c r="A387" s="234"/>
      <c r="B387" s="966"/>
      <c r="C387" s="967"/>
      <c r="D387" s="967"/>
      <c r="E387" s="967"/>
      <c r="F387" s="967"/>
      <c r="G387" s="967"/>
      <c r="H387" s="967"/>
      <c r="I387" s="1073"/>
    </row>
    <row r="388" spans="1:9" x14ac:dyDescent="0.2">
      <c r="A388" s="234"/>
      <c r="B388" s="966"/>
      <c r="C388" s="967"/>
      <c r="D388" s="967"/>
      <c r="E388" s="967"/>
      <c r="F388" s="967"/>
      <c r="G388" s="967"/>
      <c r="H388" s="967"/>
      <c r="I388" s="1073"/>
    </row>
    <row r="389" spans="1:9" ht="13.5" thickBot="1" x14ac:dyDescent="0.25">
      <c r="A389" s="235"/>
      <c r="B389" s="970"/>
      <c r="C389" s="971"/>
      <c r="D389" s="971"/>
      <c r="E389" s="971"/>
      <c r="F389" s="971"/>
      <c r="G389" s="971"/>
      <c r="H389" s="971"/>
      <c r="I389" s="1076"/>
    </row>
    <row r="390" spans="1:9" ht="15" x14ac:dyDescent="0.25">
      <c r="A390" s="1077"/>
      <c r="B390" s="1077"/>
      <c r="C390" s="1077"/>
      <c r="D390" s="1077"/>
      <c r="E390" s="1077"/>
      <c r="F390" s="1077"/>
      <c r="G390" s="1077"/>
      <c r="H390" s="1077"/>
      <c r="I390" s="1077"/>
    </row>
    <row r="392" spans="1:9" ht="15" x14ac:dyDescent="0.25">
      <c r="A392" s="236" t="s">
        <v>223</v>
      </c>
      <c r="B392" t="s">
        <v>232</v>
      </c>
    </row>
    <row r="393" spans="1:9" ht="15" x14ac:dyDescent="0.25">
      <c r="A393" s="236" t="s">
        <v>224</v>
      </c>
      <c r="B393" t="s">
        <v>225</v>
      </c>
    </row>
    <row r="394" spans="1:9" ht="15" x14ac:dyDescent="0.25">
      <c r="A394" s="236" t="s">
        <v>226</v>
      </c>
      <c r="B394" s="2" t="s">
        <v>8</v>
      </c>
    </row>
    <row r="399" spans="1:9" ht="15" x14ac:dyDescent="0.25">
      <c r="G399" s="1074" t="s">
        <v>308</v>
      </c>
      <c r="H399" s="1074"/>
      <c r="I399" s="1074"/>
    </row>
    <row r="400" spans="1:9" ht="15" x14ac:dyDescent="0.25">
      <c r="G400" s="1075" t="s">
        <v>309</v>
      </c>
      <c r="H400" s="1075"/>
      <c r="I400" s="1075"/>
    </row>
  </sheetData>
  <mergeCells count="230">
    <mergeCell ref="H1:I1"/>
    <mergeCell ref="H2:I2"/>
    <mergeCell ref="H3:I3"/>
    <mergeCell ref="D6:G6"/>
    <mergeCell ref="D7:G7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A47:I47"/>
    <mergeCell ref="G56:I56"/>
    <mergeCell ref="G57:I57"/>
    <mergeCell ref="H68:I68"/>
    <mergeCell ref="H69:I69"/>
    <mergeCell ref="H70:I70"/>
    <mergeCell ref="D73:G73"/>
    <mergeCell ref="D74:G74"/>
    <mergeCell ref="B87:I87"/>
    <mergeCell ref="B88:I88"/>
    <mergeCell ref="B89:I89"/>
    <mergeCell ref="B90:I90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B101:I101"/>
    <mergeCell ref="B102:I102"/>
    <mergeCell ref="B103:I103"/>
    <mergeCell ref="B104:I104"/>
    <mergeCell ref="B105:I105"/>
    <mergeCell ref="B106:I106"/>
    <mergeCell ref="B107:I107"/>
    <mergeCell ref="B108:I108"/>
    <mergeCell ref="B109:I109"/>
    <mergeCell ref="B110:I110"/>
    <mergeCell ref="B111:I111"/>
    <mergeCell ref="B112:I112"/>
    <mergeCell ref="B113:I113"/>
    <mergeCell ref="B114:I114"/>
    <mergeCell ref="B115:I115"/>
    <mergeCell ref="B116:I116"/>
    <mergeCell ref="B117:I117"/>
    <mergeCell ref="A118:I118"/>
    <mergeCell ref="G127:I127"/>
    <mergeCell ref="G128:I128"/>
    <mergeCell ref="H136:I136"/>
    <mergeCell ref="H137:I137"/>
    <mergeCell ref="H138:I138"/>
    <mergeCell ref="D141:G141"/>
    <mergeCell ref="D142:G142"/>
    <mergeCell ref="B155:I155"/>
    <mergeCell ref="B156:I156"/>
    <mergeCell ref="B157:I157"/>
    <mergeCell ref="B158:I158"/>
    <mergeCell ref="B159:I159"/>
    <mergeCell ref="B160:I160"/>
    <mergeCell ref="B161:I161"/>
    <mergeCell ref="B162:I162"/>
    <mergeCell ref="B163:I163"/>
    <mergeCell ref="B164:I164"/>
    <mergeCell ref="B165:I165"/>
    <mergeCell ref="B166:I166"/>
    <mergeCell ref="B167:I167"/>
    <mergeCell ref="B168:I168"/>
    <mergeCell ref="B169:I169"/>
    <mergeCell ref="B170:I170"/>
    <mergeCell ref="B171:I171"/>
    <mergeCell ref="B172:I172"/>
    <mergeCell ref="B173:I173"/>
    <mergeCell ref="B174:I174"/>
    <mergeCell ref="B175:I175"/>
    <mergeCell ref="B176:I176"/>
    <mergeCell ref="B177:I177"/>
    <mergeCell ref="B178:I178"/>
    <mergeCell ref="B179:I179"/>
    <mergeCell ref="B180:I180"/>
    <mergeCell ref="B181:I181"/>
    <mergeCell ref="B182:I182"/>
    <mergeCell ref="B183:I183"/>
    <mergeCell ref="B184:I184"/>
    <mergeCell ref="B185:I185"/>
    <mergeCell ref="A186:I186"/>
    <mergeCell ref="G195:I195"/>
    <mergeCell ref="G196:I196"/>
    <mergeCell ref="H204:I204"/>
    <mergeCell ref="H205:I205"/>
    <mergeCell ref="H206:I206"/>
    <mergeCell ref="D209:G209"/>
    <mergeCell ref="D210:G210"/>
    <mergeCell ref="B223:I223"/>
    <mergeCell ref="B224:I224"/>
    <mergeCell ref="B225:I225"/>
    <mergeCell ref="B226:I226"/>
    <mergeCell ref="B227:I227"/>
    <mergeCell ref="B228:I228"/>
    <mergeCell ref="B229:I229"/>
    <mergeCell ref="B230:I230"/>
    <mergeCell ref="B231:I231"/>
    <mergeCell ref="B232:I232"/>
    <mergeCell ref="B233:I233"/>
    <mergeCell ref="B234:I234"/>
    <mergeCell ref="B235:I235"/>
    <mergeCell ref="B236:I236"/>
    <mergeCell ref="B237:I237"/>
    <mergeCell ref="B238:I238"/>
    <mergeCell ref="B239:I239"/>
    <mergeCell ref="B240:I240"/>
    <mergeCell ref="B241:I241"/>
    <mergeCell ref="B242:I242"/>
    <mergeCell ref="B243:I243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B252:I252"/>
    <mergeCell ref="B253:I253"/>
    <mergeCell ref="A254:I254"/>
    <mergeCell ref="G263:I263"/>
    <mergeCell ref="G264:I264"/>
    <mergeCell ref="H272:I272"/>
    <mergeCell ref="H273:I273"/>
    <mergeCell ref="H274:I274"/>
    <mergeCell ref="D277:G277"/>
    <mergeCell ref="D278:G278"/>
    <mergeCell ref="B291:I291"/>
    <mergeCell ref="B292:I292"/>
    <mergeCell ref="B293:I293"/>
    <mergeCell ref="B294:I294"/>
    <mergeCell ref="B295:I295"/>
    <mergeCell ref="B296:I296"/>
    <mergeCell ref="B297:I297"/>
    <mergeCell ref="B298:I298"/>
    <mergeCell ref="B299:I299"/>
    <mergeCell ref="B300:I300"/>
    <mergeCell ref="B301:I301"/>
    <mergeCell ref="B302:I302"/>
    <mergeCell ref="B303:I303"/>
    <mergeCell ref="B304:I304"/>
    <mergeCell ref="B305:I305"/>
    <mergeCell ref="B306:I306"/>
    <mergeCell ref="B307:I307"/>
    <mergeCell ref="B308:I308"/>
    <mergeCell ref="B309:I309"/>
    <mergeCell ref="B310:I310"/>
    <mergeCell ref="B311:I311"/>
    <mergeCell ref="B312:I312"/>
    <mergeCell ref="B313:I313"/>
    <mergeCell ref="B314:I314"/>
    <mergeCell ref="B315:I315"/>
    <mergeCell ref="B316:I316"/>
    <mergeCell ref="B317:I317"/>
    <mergeCell ref="B318:I318"/>
    <mergeCell ref="B319:I319"/>
    <mergeCell ref="B320:I320"/>
    <mergeCell ref="B321:I321"/>
    <mergeCell ref="A322:I322"/>
    <mergeCell ref="G331:I331"/>
    <mergeCell ref="G332:I332"/>
    <mergeCell ref="H340:I340"/>
    <mergeCell ref="H341:I341"/>
    <mergeCell ref="H342:I342"/>
    <mergeCell ref="D345:G345"/>
    <mergeCell ref="D346:G346"/>
    <mergeCell ref="B359:I359"/>
    <mergeCell ref="B360:I360"/>
    <mergeCell ref="B361:I361"/>
    <mergeCell ref="B362:I362"/>
    <mergeCell ref="B363:I363"/>
    <mergeCell ref="B364:I364"/>
    <mergeCell ref="B365:I365"/>
    <mergeCell ref="B366:I366"/>
    <mergeCell ref="B367:I367"/>
    <mergeCell ref="B368:I368"/>
    <mergeCell ref="B369:I369"/>
    <mergeCell ref="B370:I370"/>
    <mergeCell ref="B371:I371"/>
    <mergeCell ref="B372:I372"/>
    <mergeCell ref="B373:I373"/>
    <mergeCell ref="B374:I374"/>
    <mergeCell ref="B375:I375"/>
    <mergeCell ref="B376:I376"/>
    <mergeCell ref="B377:I377"/>
    <mergeCell ref="B378:I378"/>
    <mergeCell ref="B379:I379"/>
    <mergeCell ref="B380:I380"/>
    <mergeCell ref="B381:I381"/>
    <mergeCell ref="B382:I382"/>
    <mergeCell ref="B383:I383"/>
    <mergeCell ref="B384:I384"/>
    <mergeCell ref="G399:I399"/>
    <mergeCell ref="G400:I400"/>
    <mergeCell ref="B385:I385"/>
    <mergeCell ref="B386:I386"/>
    <mergeCell ref="B387:I387"/>
    <mergeCell ref="B388:I388"/>
    <mergeCell ref="B389:I389"/>
    <mergeCell ref="A390:I390"/>
  </mergeCells>
  <pageMargins left="0.5118110236220472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603"/>
  <sheetViews>
    <sheetView topLeftCell="A57" workbookViewId="0">
      <selection activeCell="B94" sqref="B94"/>
    </sheetView>
  </sheetViews>
  <sheetFormatPr defaultRowHeight="12.75" x14ac:dyDescent="0.2"/>
  <cols>
    <col min="1" max="1" width="12.42578125" bestFit="1" customWidth="1"/>
    <col min="2" max="2" width="68.5703125" style="321" customWidth="1"/>
    <col min="3" max="3" width="14.28515625" style="304" customWidth="1"/>
    <col min="4" max="4" width="9.140625" style="281"/>
  </cols>
  <sheetData>
    <row r="1" spans="1:4" x14ac:dyDescent="0.2">
      <c r="A1" s="276" t="s">
        <v>350</v>
      </c>
      <c r="B1" s="314" t="s">
        <v>351</v>
      </c>
      <c r="C1" s="277" t="s">
        <v>352</v>
      </c>
      <c r="D1" s="278"/>
    </row>
    <row r="2" spans="1:4" x14ac:dyDescent="0.2">
      <c r="A2" s="135" t="s">
        <v>185</v>
      </c>
      <c r="B2" s="315" t="s">
        <v>353</v>
      </c>
      <c r="C2" s="279">
        <v>65</v>
      </c>
      <c r="D2" s="278"/>
    </row>
    <row r="3" spans="1:4" x14ac:dyDescent="0.2">
      <c r="A3" s="135" t="s">
        <v>185</v>
      </c>
      <c r="B3" s="315" t="s">
        <v>354</v>
      </c>
      <c r="C3" s="279">
        <v>65</v>
      </c>
      <c r="D3" s="278"/>
    </row>
    <row r="4" spans="1:4" x14ac:dyDescent="0.2">
      <c r="A4" s="280" t="s">
        <v>185</v>
      </c>
      <c r="B4" s="315" t="s">
        <v>355</v>
      </c>
      <c r="C4" s="279">
        <v>38</v>
      </c>
      <c r="D4" s="278"/>
    </row>
    <row r="5" spans="1:4" x14ac:dyDescent="0.2">
      <c r="A5" s="135" t="s">
        <v>185</v>
      </c>
      <c r="B5" s="315" t="s">
        <v>356</v>
      </c>
      <c r="C5" s="279">
        <v>65</v>
      </c>
      <c r="D5" s="278"/>
    </row>
    <row r="6" spans="1:4" x14ac:dyDescent="0.2">
      <c r="A6" s="135" t="s">
        <v>185</v>
      </c>
      <c r="B6" s="315" t="s">
        <v>357</v>
      </c>
      <c r="C6" s="279">
        <v>82</v>
      </c>
      <c r="D6" s="278"/>
    </row>
    <row r="7" spans="1:4" x14ac:dyDescent="0.2">
      <c r="A7" s="135" t="s">
        <v>185</v>
      </c>
      <c r="B7" s="253" t="s">
        <v>358</v>
      </c>
      <c r="C7" s="279">
        <v>82</v>
      </c>
      <c r="D7" s="278"/>
    </row>
    <row r="8" spans="1:4" x14ac:dyDescent="0.2">
      <c r="A8" s="135" t="s">
        <v>185</v>
      </c>
      <c r="B8" s="253" t="s">
        <v>359</v>
      </c>
      <c r="C8" s="279">
        <v>82</v>
      </c>
      <c r="D8" s="278"/>
    </row>
    <row r="9" spans="1:4" x14ac:dyDescent="0.2">
      <c r="A9" s="135" t="s">
        <v>185</v>
      </c>
      <c r="B9" s="315" t="s">
        <v>360</v>
      </c>
      <c r="C9" s="279">
        <v>82</v>
      </c>
      <c r="D9" s="278"/>
    </row>
    <row r="10" spans="1:4" x14ac:dyDescent="0.2">
      <c r="A10" s="135" t="s">
        <v>185</v>
      </c>
      <c r="B10" s="315" t="s">
        <v>361</v>
      </c>
      <c r="C10" s="279">
        <v>65</v>
      </c>
      <c r="D10" s="278"/>
    </row>
    <row r="11" spans="1:4" x14ac:dyDescent="0.2">
      <c r="A11" s="135" t="s">
        <v>185</v>
      </c>
      <c r="B11" s="253" t="s">
        <v>362</v>
      </c>
      <c r="C11" s="279">
        <v>65</v>
      </c>
      <c r="D11" s="278"/>
    </row>
    <row r="12" spans="1:4" x14ac:dyDescent="0.2">
      <c r="A12" s="135" t="s">
        <v>185</v>
      </c>
      <c r="B12" s="253" t="s">
        <v>363</v>
      </c>
      <c r="C12" s="279">
        <v>98</v>
      </c>
      <c r="D12" s="278"/>
    </row>
    <row r="13" spans="1:4" x14ac:dyDescent="0.2">
      <c r="A13" s="135" t="s">
        <v>185</v>
      </c>
      <c r="B13" s="253" t="s">
        <v>364</v>
      </c>
      <c r="C13" s="279">
        <v>98</v>
      </c>
      <c r="D13" s="278"/>
    </row>
    <row r="14" spans="1:4" x14ac:dyDescent="0.2">
      <c r="A14" s="135" t="s">
        <v>185</v>
      </c>
      <c r="B14" s="315" t="s">
        <v>365</v>
      </c>
      <c r="C14" s="279">
        <v>465</v>
      </c>
      <c r="D14" s="278"/>
    </row>
    <row r="15" spans="1:4" x14ac:dyDescent="0.2">
      <c r="A15" s="119" t="s">
        <v>366</v>
      </c>
      <c r="B15" s="253" t="s">
        <v>367</v>
      </c>
      <c r="C15" s="279">
        <v>142</v>
      </c>
    </row>
    <row r="16" spans="1:4" x14ac:dyDescent="0.2">
      <c r="A16" s="119" t="s">
        <v>366</v>
      </c>
      <c r="B16" s="253" t="s">
        <v>368</v>
      </c>
      <c r="C16" s="279">
        <v>195</v>
      </c>
    </row>
    <row r="17" spans="1:4" x14ac:dyDescent="0.2">
      <c r="A17" s="119" t="s">
        <v>366</v>
      </c>
      <c r="B17" s="253" t="s">
        <v>369</v>
      </c>
      <c r="C17" s="279">
        <v>89</v>
      </c>
    </row>
    <row r="18" spans="1:4" x14ac:dyDescent="0.2">
      <c r="A18" s="41" t="s">
        <v>366</v>
      </c>
      <c r="B18" s="170" t="s">
        <v>370</v>
      </c>
      <c r="C18" s="282">
        <v>383</v>
      </c>
    </row>
    <row r="19" spans="1:4" x14ac:dyDescent="0.2">
      <c r="A19" s="135" t="s">
        <v>179</v>
      </c>
      <c r="B19" s="253" t="s">
        <v>371</v>
      </c>
      <c r="C19" s="279">
        <v>12.5</v>
      </c>
    </row>
    <row r="20" spans="1:4" x14ac:dyDescent="0.2">
      <c r="A20" s="135" t="s">
        <v>187</v>
      </c>
      <c r="B20" s="253" t="s">
        <v>372</v>
      </c>
      <c r="C20" s="279">
        <v>18</v>
      </c>
    </row>
    <row r="21" spans="1:4" x14ac:dyDescent="0.2">
      <c r="A21" s="135" t="s">
        <v>187</v>
      </c>
      <c r="B21" s="253" t="s">
        <v>373</v>
      </c>
      <c r="C21" s="283"/>
    </row>
    <row r="22" spans="1:4" x14ac:dyDescent="0.2">
      <c r="A22" s="135" t="s">
        <v>187</v>
      </c>
      <c r="B22" s="253" t="s">
        <v>374</v>
      </c>
      <c r="C22" s="279">
        <v>34</v>
      </c>
    </row>
    <row r="23" spans="1:4" x14ac:dyDescent="0.2">
      <c r="A23" s="135" t="s">
        <v>375</v>
      </c>
      <c r="B23" s="253" t="s">
        <v>376</v>
      </c>
      <c r="C23" s="279">
        <v>1540</v>
      </c>
    </row>
    <row r="24" spans="1:4" x14ac:dyDescent="0.2">
      <c r="A24" s="135" t="s">
        <v>366</v>
      </c>
      <c r="B24" s="253" t="s">
        <v>377</v>
      </c>
      <c r="C24" s="279">
        <v>91.5</v>
      </c>
    </row>
    <row r="25" spans="1:4" x14ac:dyDescent="0.2">
      <c r="A25" s="135" t="s">
        <v>187</v>
      </c>
      <c r="B25" s="253" t="s">
        <v>378</v>
      </c>
      <c r="C25" s="279">
        <v>7.75</v>
      </c>
    </row>
    <row r="26" spans="1:4" x14ac:dyDescent="0.2">
      <c r="A26" s="135" t="s">
        <v>187</v>
      </c>
      <c r="B26" s="253" t="s">
        <v>379</v>
      </c>
      <c r="C26" s="284">
        <v>1.9</v>
      </c>
      <c r="D26" s="285"/>
    </row>
    <row r="27" spans="1:4" x14ac:dyDescent="0.2">
      <c r="A27" s="135" t="s">
        <v>187</v>
      </c>
      <c r="B27" s="253" t="s">
        <v>380</v>
      </c>
      <c r="C27" s="284">
        <v>4.2</v>
      </c>
      <c r="D27" s="285"/>
    </row>
    <row r="28" spans="1:4" x14ac:dyDescent="0.2">
      <c r="A28" s="135" t="s">
        <v>187</v>
      </c>
      <c r="B28" s="253" t="s">
        <v>381</v>
      </c>
      <c r="C28" s="284">
        <v>1.5</v>
      </c>
      <c r="D28" s="285"/>
    </row>
    <row r="29" spans="1:4" x14ac:dyDescent="0.2">
      <c r="A29" s="135" t="s">
        <v>187</v>
      </c>
      <c r="B29" s="253" t="s">
        <v>382</v>
      </c>
      <c r="C29" s="284">
        <v>1.75</v>
      </c>
      <c r="D29" s="285"/>
    </row>
    <row r="30" spans="1:4" x14ac:dyDescent="0.2">
      <c r="A30" s="135" t="s">
        <v>185</v>
      </c>
      <c r="B30" s="253" t="s">
        <v>383</v>
      </c>
      <c r="C30" s="284">
        <v>32</v>
      </c>
      <c r="D30" s="285"/>
    </row>
    <row r="31" spans="1:4" s="143" customFormat="1" x14ac:dyDescent="0.2">
      <c r="A31" s="135" t="s">
        <v>187</v>
      </c>
      <c r="B31" s="253" t="s">
        <v>384</v>
      </c>
      <c r="C31" s="284">
        <v>2.4</v>
      </c>
      <c r="D31" s="285"/>
    </row>
    <row r="32" spans="1:4" s="143" customFormat="1" x14ac:dyDescent="0.2">
      <c r="A32" s="119" t="s">
        <v>375</v>
      </c>
      <c r="B32" s="253" t="s">
        <v>385</v>
      </c>
      <c r="C32" s="279">
        <v>35</v>
      </c>
      <c r="D32" s="285"/>
    </row>
    <row r="33" spans="1:4" s="143" customFormat="1" x14ac:dyDescent="0.2">
      <c r="A33" s="119" t="s">
        <v>375</v>
      </c>
      <c r="B33" s="170" t="s">
        <v>386</v>
      </c>
      <c r="C33" s="279">
        <v>97.88</v>
      </c>
      <c r="D33" s="285"/>
    </row>
    <row r="34" spans="1:4" s="143" customFormat="1" x14ac:dyDescent="0.2">
      <c r="A34" s="119" t="s">
        <v>375</v>
      </c>
      <c r="B34" s="253" t="s">
        <v>387</v>
      </c>
      <c r="C34" s="279">
        <v>75</v>
      </c>
      <c r="D34" s="285"/>
    </row>
    <row r="35" spans="1:4" s="143" customFormat="1" x14ac:dyDescent="0.2">
      <c r="A35" s="135" t="s">
        <v>187</v>
      </c>
      <c r="B35" s="253" t="s">
        <v>388</v>
      </c>
      <c r="C35" s="279">
        <v>12.75</v>
      </c>
      <c r="D35" s="285"/>
    </row>
    <row r="36" spans="1:4" x14ac:dyDescent="0.2">
      <c r="A36" s="280" t="s">
        <v>375</v>
      </c>
      <c r="B36" s="315" t="s">
        <v>389</v>
      </c>
      <c r="C36" s="279">
        <v>165</v>
      </c>
      <c r="D36" s="285"/>
    </row>
    <row r="37" spans="1:4" x14ac:dyDescent="0.2">
      <c r="A37" s="135" t="s">
        <v>366</v>
      </c>
      <c r="B37" s="253" t="s">
        <v>390</v>
      </c>
      <c r="C37" s="279">
        <v>25</v>
      </c>
      <c r="D37" s="285"/>
    </row>
    <row r="38" spans="1:4" x14ac:dyDescent="0.2">
      <c r="A38" s="41" t="s">
        <v>366</v>
      </c>
      <c r="B38" s="130" t="s">
        <v>391</v>
      </c>
      <c r="C38" s="286"/>
    </row>
    <row r="39" spans="1:4" x14ac:dyDescent="0.2">
      <c r="A39" s="135" t="s">
        <v>366</v>
      </c>
      <c r="B39" s="253" t="s">
        <v>392</v>
      </c>
      <c r="C39" s="279">
        <v>270</v>
      </c>
      <c r="D39" s="285"/>
    </row>
    <row r="40" spans="1:4" x14ac:dyDescent="0.2">
      <c r="A40" s="280" t="s">
        <v>187</v>
      </c>
      <c r="B40" s="315" t="s">
        <v>393</v>
      </c>
      <c r="C40" s="279">
        <v>18.75</v>
      </c>
      <c r="D40" s="287"/>
    </row>
    <row r="41" spans="1:4" x14ac:dyDescent="0.2">
      <c r="A41" s="135" t="s">
        <v>187</v>
      </c>
      <c r="B41" s="118" t="s">
        <v>394</v>
      </c>
      <c r="C41" s="284">
        <v>1.5</v>
      </c>
      <c r="D41" s="285"/>
    </row>
    <row r="42" spans="1:4" x14ac:dyDescent="0.2">
      <c r="A42" s="288" t="s">
        <v>187</v>
      </c>
      <c r="B42" s="253" t="s">
        <v>395</v>
      </c>
      <c r="C42" s="284">
        <v>1.2</v>
      </c>
      <c r="D42" s="287"/>
    </row>
    <row r="43" spans="1:4" x14ac:dyDescent="0.2">
      <c r="A43" s="280" t="s">
        <v>185</v>
      </c>
      <c r="B43" s="170" t="s">
        <v>396</v>
      </c>
      <c r="C43" s="284">
        <v>27</v>
      </c>
      <c r="D43" s="285"/>
    </row>
    <row r="44" spans="1:4" s="143" customFormat="1" x14ac:dyDescent="0.2">
      <c r="A44" s="280" t="s">
        <v>185</v>
      </c>
      <c r="B44" s="170" t="s">
        <v>397</v>
      </c>
      <c r="C44" s="284">
        <v>69.599999999999994</v>
      </c>
      <c r="D44" s="285"/>
    </row>
    <row r="45" spans="1:4" s="290" customFormat="1" x14ac:dyDescent="0.2">
      <c r="A45" s="280" t="s">
        <v>185</v>
      </c>
      <c r="B45" s="315" t="s">
        <v>398</v>
      </c>
      <c r="C45" s="284">
        <v>32</v>
      </c>
      <c r="D45" s="289"/>
    </row>
    <row r="46" spans="1:4" s="291" customFormat="1" x14ac:dyDescent="0.2">
      <c r="A46" s="280" t="s">
        <v>185</v>
      </c>
      <c r="B46" s="315" t="s">
        <v>399</v>
      </c>
      <c r="C46" s="284">
        <v>45</v>
      </c>
      <c r="D46" s="285"/>
    </row>
    <row r="47" spans="1:4" s="143" customFormat="1" x14ac:dyDescent="0.2">
      <c r="A47" s="280" t="s">
        <v>186</v>
      </c>
      <c r="B47" s="315" t="s">
        <v>400</v>
      </c>
      <c r="C47" s="284">
        <v>2.5</v>
      </c>
      <c r="D47" s="285"/>
    </row>
    <row r="48" spans="1:4" s="143" customFormat="1" x14ac:dyDescent="0.2">
      <c r="A48" s="280" t="s">
        <v>186</v>
      </c>
      <c r="B48" s="315" t="s">
        <v>401</v>
      </c>
      <c r="C48" s="284">
        <v>2.9</v>
      </c>
      <c r="D48" s="285"/>
    </row>
    <row r="49" spans="1:4" s="143" customFormat="1" x14ac:dyDescent="0.2">
      <c r="A49" s="135" t="s">
        <v>375</v>
      </c>
      <c r="B49" s="253" t="s">
        <v>402</v>
      </c>
      <c r="C49" s="279">
        <v>245</v>
      </c>
      <c r="D49" s="285"/>
    </row>
    <row r="50" spans="1:4" s="143" customFormat="1" x14ac:dyDescent="0.2">
      <c r="A50" s="135" t="s">
        <v>375</v>
      </c>
      <c r="B50" s="253" t="s">
        <v>403</v>
      </c>
      <c r="C50" s="279">
        <v>210</v>
      </c>
      <c r="D50" s="285"/>
    </row>
    <row r="51" spans="1:4" s="143" customFormat="1" x14ac:dyDescent="0.2">
      <c r="A51" s="135" t="s">
        <v>375</v>
      </c>
      <c r="B51" s="253" t="s">
        <v>404</v>
      </c>
      <c r="C51" s="279">
        <v>35</v>
      </c>
      <c r="D51" s="285"/>
    </row>
    <row r="52" spans="1:4" s="143" customFormat="1" x14ac:dyDescent="0.2">
      <c r="A52" s="135" t="s">
        <v>375</v>
      </c>
      <c r="B52" s="253" t="s">
        <v>405</v>
      </c>
      <c r="C52" s="279">
        <v>22.9</v>
      </c>
      <c r="D52" s="285"/>
    </row>
    <row r="53" spans="1:4" s="143" customFormat="1" x14ac:dyDescent="0.2">
      <c r="A53" s="135" t="s">
        <v>375</v>
      </c>
      <c r="B53" s="253" t="s">
        <v>406</v>
      </c>
      <c r="C53" s="279">
        <v>32</v>
      </c>
      <c r="D53" s="285"/>
    </row>
    <row r="54" spans="1:4" s="143" customFormat="1" x14ac:dyDescent="0.2">
      <c r="A54" s="41" t="s">
        <v>375</v>
      </c>
      <c r="B54" s="130" t="s">
        <v>407</v>
      </c>
      <c r="C54" s="292"/>
      <c r="D54" s="281"/>
    </row>
    <row r="55" spans="1:4" s="143" customFormat="1" x14ac:dyDescent="0.2">
      <c r="A55" s="119" t="s">
        <v>185</v>
      </c>
      <c r="B55" s="118" t="s">
        <v>408</v>
      </c>
      <c r="C55" s="284">
        <v>48</v>
      </c>
      <c r="D55" s="285"/>
    </row>
    <row r="56" spans="1:4" s="143" customFormat="1" x14ac:dyDescent="0.2">
      <c r="A56" s="280" t="s">
        <v>185</v>
      </c>
      <c r="B56" s="315" t="s">
        <v>409</v>
      </c>
      <c r="C56" s="284">
        <v>38</v>
      </c>
      <c r="D56" s="285"/>
    </row>
    <row r="57" spans="1:4" s="143" customFormat="1" x14ac:dyDescent="0.2">
      <c r="A57" s="135" t="s">
        <v>185</v>
      </c>
      <c r="B57" s="253" t="s">
        <v>410</v>
      </c>
      <c r="C57" s="284">
        <v>28</v>
      </c>
      <c r="D57" s="285"/>
    </row>
    <row r="58" spans="1:4" s="143" customFormat="1" x14ac:dyDescent="0.2">
      <c r="A58" s="135" t="s">
        <v>185</v>
      </c>
      <c r="B58" s="253" t="s">
        <v>411</v>
      </c>
      <c r="C58" s="284">
        <v>24</v>
      </c>
      <c r="D58" s="285"/>
    </row>
    <row r="59" spans="1:4" s="143" customFormat="1" x14ac:dyDescent="0.2">
      <c r="A59" s="135" t="s">
        <v>366</v>
      </c>
      <c r="B59" s="253" t="s">
        <v>412</v>
      </c>
      <c r="C59" s="279">
        <v>24.5</v>
      </c>
      <c r="D59" s="285"/>
    </row>
    <row r="60" spans="1:4" s="143" customFormat="1" x14ac:dyDescent="0.2">
      <c r="A60" s="135" t="s">
        <v>187</v>
      </c>
      <c r="B60" s="253" t="s">
        <v>413</v>
      </c>
      <c r="C60" s="284">
        <v>2.2000000000000002</v>
      </c>
      <c r="D60" s="285"/>
    </row>
    <row r="61" spans="1:4" s="143" customFormat="1" x14ac:dyDescent="0.2">
      <c r="A61" s="41" t="s">
        <v>187</v>
      </c>
      <c r="B61" s="130" t="s">
        <v>414</v>
      </c>
      <c r="C61" s="286"/>
      <c r="D61" s="281"/>
    </row>
    <row r="62" spans="1:4" s="143" customFormat="1" x14ac:dyDescent="0.2">
      <c r="A62" s="41" t="s">
        <v>187</v>
      </c>
      <c r="B62" s="130" t="s">
        <v>415</v>
      </c>
      <c r="C62" s="286"/>
      <c r="D62" s="281"/>
    </row>
    <row r="63" spans="1:4" s="143" customFormat="1" x14ac:dyDescent="0.2">
      <c r="A63" s="41" t="s">
        <v>187</v>
      </c>
      <c r="B63" s="130" t="s">
        <v>416</v>
      </c>
      <c r="C63" s="286"/>
      <c r="D63" s="281"/>
    </row>
    <row r="64" spans="1:4" s="143" customFormat="1" x14ac:dyDescent="0.2">
      <c r="A64" s="280" t="s">
        <v>187</v>
      </c>
      <c r="B64" s="315" t="s">
        <v>417</v>
      </c>
      <c r="C64" s="279">
        <v>1.2</v>
      </c>
      <c r="D64" s="285"/>
    </row>
    <row r="65" spans="1:4" s="143" customFormat="1" x14ac:dyDescent="0.2">
      <c r="A65" s="135" t="s">
        <v>187</v>
      </c>
      <c r="B65" s="253" t="s">
        <v>418</v>
      </c>
      <c r="C65" s="279">
        <v>4.25</v>
      </c>
      <c r="D65" s="285"/>
    </row>
    <row r="66" spans="1:4" s="143" customFormat="1" x14ac:dyDescent="0.2">
      <c r="A66" s="135" t="s">
        <v>187</v>
      </c>
      <c r="B66" s="253" t="s">
        <v>419</v>
      </c>
      <c r="C66" s="279">
        <v>7.95</v>
      </c>
      <c r="D66" s="285"/>
    </row>
    <row r="67" spans="1:4" s="143" customFormat="1" x14ac:dyDescent="0.2">
      <c r="A67" s="135" t="s">
        <v>187</v>
      </c>
      <c r="B67" s="253" t="s">
        <v>420</v>
      </c>
      <c r="C67" s="279">
        <v>11.5</v>
      </c>
      <c r="D67" s="285"/>
    </row>
    <row r="68" spans="1:4" s="143" customFormat="1" x14ac:dyDescent="0.2">
      <c r="A68" s="135" t="s">
        <v>366</v>
      </c>
      <c r="B68" s="253" t="s">
        <v>421</v>
      </c>
      <c r="C68" s="279">
        <v>190</v>
      </c>
      <c r="D68" s="285"/>
    </row>
    <row r="69" spans="1:4" s="143" customFormat="1" x14ac:dyDescent="0.2">
      <c r="A69" s="135" t="s">
        <v>366</v>
      </c>
      <c r="B69" s="253" t="s">
        <v>422</v>
      </c>
      <c r="C69" s="279">
        <v>22</v>
      </c>
      <c r="D69" s="285"/>
    </row>
    <row r="70" spans="1:4" s="143" customFormat="1" x14ac:dyDescent="0.2">
      <c r="A70" s="280" t="s">
        <v>185</v>
      </c>
      <c r="B70" s="315" t="s">
        <v>423</v>
      </c>
      <c r="C70" s="279">
        <v>395</v>
      </c>
      <c r="D70" s="285"/>
    </row>
    <row r="71" spans="1:4" s="143" customFormat="1" x14ac:dyDescent="0.2">
      <c r="A71" s="280"/>
      <c r="B71" s="315"/>
      <c r="C71" s="279"/>
      <c r="D71" s="285"/>
    </row>
    <row r="72" spans="1:4" s="143" customFormat="1" x14ac:dyDescent="0.2">
      <c r="A72" s="280"/>
      <c r="B72" s="315"/>
      <c r="C72" s="279"/>
      <c r="D72" s="285"/>
    </row>
    <row r="73" spans="1:4" s="143" customFormat="1" x14ac:dyDescent="0.2">
      <c r="A73" s="135" t="s">
        <v>187</v>
      </c>
      <c r="B73" s="253" t="s">
        <v>424</v>
      </c>
      <c r="C73" s="279">
        <v>36</v>
      </c>
      <c r="D73" s="285"/>
    </row>
    <row r="74" spans="1:4" s="143" customFormat="1" x14ac:dyDescent="0.2">
      <c r="A74" s="135" t="s">
        <v>375</v>
      </c>
      <c r="B74" s="253" t="s">
        <v>425</v>
      </c>
      <c r="C74" s="279">
        <v>495</v>
      </c>
      <c r="D74" s="285"/>
    </row>
    <row r="75" spans="1:4" s="143" customFormat="1" x14ac:dyDescent="0.2">
      <c r="A75" s="119" t="s">
        <v>185</v>
      </c>
      <c r="B75" s="253" t="s">
        <v>426</v>
      </c>
      <c r="C75" s="279">
        <v>275</v>
      </c>
      <c r="D75" s="285"/>
    </row>
    <row r="76" spans="1:4" s="143" customFormat="1" x14ac:dyDescent="0.2">
      <c r="A76" s="119" t="s">
        <v>375</v>
      </c>
      <c r="B76" s="252" t="s">
        <v>427</v>
      </c>
      <c r="C76" s="283"/>
      <c r="D76" s="285"/>
    </row>
    <row r="77" spans="1:4" s="143" customFormat="1" x14ac:dyDescent="0.2">
      <c r="A77" s="135" t="s">
        <v>428</v>
      </c>
      <c r="B77" s="253" t="s">
        <v>429</v>
      </c>
      <c r="C77" s="279">
        <v>39</v>
      </c>
      <c r="D77" s="285"/>
    </row>
    <row r="78" spans="1:4" s="143" customFormat="1" x14ac:dyDescent="0.2">
      <c r="A78" s="135" t="s">
        <v>185</v>
      </c>
      <c r="B78" s="253" t="s">
        <v>430</v>
      </c>
      <c r="C78" s="279">
        <v>65</v>
      </c>
      <c r="D78" s="285"/>
    </row>
    <row r="79" spans="1:4" s="143" customFormat="1" x14ac:dyDescent="0.2">
      <c r="A79" s="135" t="s">
        <v>185</v>
      </c>
      <c r="B79" s="253" t="s">
        <v>431</v>
      </c>
      <c r="C79" s="279">
        <v>65</v>
      </c>
      <c r="D79" s="285"/>
    </row>
    <row r="80" spans="1:4" s="143" customFormat="1" x14ac:dyDescent="0.2">
      <c r="A80" s="135" t="s">
        <v>185</v>
      </c>
      <c r="B80" s="253" t="s">
        <v>432</v>
      </c>
      <c r="C80" s="279">
        <v>65</v>
      </c>
      <c r="D80" s="285"/>
    </row>
    <row r="81" spans="1:4" s="143" customFormat="1" x14ac:dyDescent="0.2">
      <c r="A81" s="280" t="s">
        <v>375</v>
      </c>
      <c r="B81" s="315" t="s">
        <v>433</v>
      </c>
      <c r="C81" s="279">
        <v>20.95</v>
      </c>
      <c r="D81" s="285"/>
    </row>
    <row r="82" spans="1:4" s="143" customFormat="1" x14ac:dyDescent="0.2">
      <c r="A82" s="135" t="s">
        <v>187</v>
      </c>
      <c r="B82" s="253" t="s">
        <v>434</v>
      </c>
      <c r="C82" s="279">
        <v>45</v>
      </c>
      <c r="D82" s="285" t="s">
        <v>435</v>
      </c>
    </row>
    <row r="83" spans="1:4" s="143" customFormat="1" x14ac:dyDescent="0.2">
      <c r="A83" s="135" t="s">
        <v>187</v>
      </c>
      <c r="B83" s="253" t="s">
        <v>436</v>
      </c>
      <c r="C83" s="279">
        <v>9.6999999999999993</v>
      </c>
      <c r="D83" s="285"/>
    </row>
    <row r="84" spans="1:4" s="143" customFormat="1" x14ac:dyDescent="0.2">
      <c r="A84" s="280" t="s">
        <v>178</v>
      </c>
      <c r="B84" s="315" t="s">
        <v>437</v>
      </c>
      <c r="C84" s="279">
        <v>95</v>
      </c>
      <c r="D84" s="285"/>
    </row>
    <row r="85" spans="1:4" s="143" customFormat="1" x14ac:dyDescent="0.2">
      <c r="A85" s="135" t="s">
        <v>375</v>
      </c>
      <c r="B85" s="315" t="s">
        <v>438</v>
      </c>
      <c r="C85" s="279">
        <v>1090</v>
      </c>
      <c r="D85" s="285"/>
    </row>
    <row r="86" spans="1:4" s="143" customFormat="1" x14ac:dyDescent="0.2">
      <c r="A86" s="135" t="s">
        <v>375</v>
      </c>
      <c r="B86" s="253" t="s">
        <v>439</v>
      </c>
      <c r="C86" s="279">
        <v>595</v>
      </c>
      <c r="D86" s="285"/>
    </row>
    <row r="87" spans="1:4" s="143" customFormat="1" x14ac:dyDescent="0.2">
      <c r="A87" s="135" t="s">
        <v>375</v>
      </c>
      <c r="B87" s="253" t="s">
        <v>440</v>
      </c>
      <c r="C87" s="283"/>
      <c r="D87" s="285"/>
    </row>
    <row r="88" spans="1:4" s="143" customFormat="1" x14ac:dyDescent="0.2">
      <c r="A88" s="280" t="s">
        <v>153</v>
      </c>
      <c r="B88" s="315" t="s">
        <v>441</v>
      </c>
      <c r="C88" s="279">
        <v>56.75</v>
      </c>
      <c r="D88" s="285"/>
    </row>
    <row r="89" spans="1:4" s="143" customFormat="1" x14ac:dyDescent="0.2">
      <c r="A89" s="280" t="s">
        <v>187</v>
      </c>
      <c r="B89" s="315" t="s">
        <v>442</v>
      </c>
      <c r="C89" s="279">
        <v>3</v>
      </c>
      <c r="D89" s="285"/>
    </row>
    <row r="90" spans="1:4" s="143" customFormat="1" x14ac:dyDescent="0.2">
      <c r="A90" s="280" t="s">
        <v>153</v>
      </c>
      <c r="B90" s="315" t="s">
        <v>443</v>
      </c>
      <c r="C90" s="279">
        <v>25</v>
      </c>
      <c r="D90" s="285"/>
    </row>
    <row r="91" spans="1:4" s="143" customFormat="1" x14ac:dyDescent="0.2">
      <c r="A91" s="280" t="s">
        <v>187</v>
      </c>
      <c r="B91" s="315" t="s">
        <v>444</v>
      </c>
      <c r="C91" s="279">
        <v>5.75</v>
      </c>
      <c r="D91" s="285"/>
    </row>
    <row r="92" spans="1:4" s="143" customFormat="1" ht="25.5" x14ac:dyDescent="0.2">
      <c r="A92" s="280" t="s">
        <v>153</v>
      </c>
      <c r="B92" s="315" t="s">
        <v>445</v>
      </c>
      <c r="C92" s="279">
        <v>1125</v>
      </c>
      <c r="D92" s="285"/>
    </row>
    <row r="93" spans="1:4" s="143" customFormat="1" x14ac:dyDescent="0.2">
      <c r="A93" s="135" t="s">
        <v>446</v>
      </c>
      <c r="B93" s="253" t="s">
        <v>447</v>
      </c>
      <c r="C93" s="279">
        <v>53.9</v>
      </c>
      <c r="D93" s="285"/>
    </row>
    <row r="94" spans="1:4" s="143" customFormat="1" x14ac:dyDescent="0.2">
      <c r="A94" s="280" t="s">
        <v>366</v>
      </c>
      <c r="B94" s="253" t="s">
        <v>448</v>
      </c>
      <c r="C94" s="279">
        <v>795</v>
      </c>
      <c r="D94" s="285"/>
    </row>
    <row r="95" spans="1:4" s="143" customFormat="1" x14ac:dyDescent="0.2">
      <c r="A95" s="135" t="s">
        <v>375</v>
      </c>
      <c r="B95" s="253" t="s">
        <v>449</v>
      </c>
      <c r="C95" s="279">
        <v>1135</v>
      </c>
      <c r="D95" s="285"/>
    </row>
    <row r="96" spans="1:4" s="143" customFormat="1" x14ac:dyDescent="0.2">
      <c r="A96" s="135" t="s">
        <v>187</v>
      </c>
      <c r="B96" s="253" t="s">
        <v>450</v>
      </c>
      <c r="C96" s="279">
        <v>12</v>
      </c>
      <c r="D96" s="285"/>
    </row>
    <row r="97" spans="1:4" s="143" customFormat="1" x14ac:dyDescent="0.2">
      <c r="A97" s="135" t="s">
        <v>187</v>
      </c>
      <c r="B97" s="253" t="s">
        <v>451</v>
      </c>
      <c r="C97" s="283"/>
      <c r="D97" s="285"/>
    </row>
    <row r="98" spans="1:4" s="143" customFormat="1" x14ac:dyDescent="0.2">
      <c r="A98" s="280" t="s">
        <v>185</v>
      </c>
      <c r="B98" s="315" t="s">
        <v>452</v>
      </c>
      <c r="C98" s="279">
        <v>155</v>
      </c>
      <c r="D98" s="285"/>
    </row>
    <row r="99" spans="1:4" s="143" customFormat="1" x14ac:dyDescent="0.2">
      <c r="A99" s="135" t="s">
        <v>366</v>
      </c>
      <c r="B99" s="315" t="s">
        <v>453</v>
      </c>
      <c r="C99" s="279">
        <v>525</v>
      </c>
      <c r="D99" s="285"/>
    </row>
    <row r="100" spans="1:4" s="143" customFormat="1" x14ac:dyDescent="0.2">
      <c r="A100" s="135" t="s">
        <v>187</v>
      </c>
      <c r="B100" s="253" t="s">
        <v>454</v>
      </c>
      <c r="C100" s="279">
        <v>7.75</v>
      </c>
      <c r="D100" s="285"/>
    </row>
    <row r="101" spans="1:4" s="143" customFormat="1" x14ac:dyDescent="0.2">
      <c r="A101" s="280" t="s">
        <v>366</v>
      </c>
      <c r="B101" s="315" t="s">
        <v>455</v>
      </c>
      <c r="C101" s="279">
        <v>339</v>
      </c>
      <c r="D101" s="285"/>
    </row>
    <row r="102" spans="1:4" s="143" customFormat="1" x14ac:dyDescent="0.2">
      <c r="A102" s="135" t="s">
        <v>375</v>
      </c>
      <c r="B102" s="253" t="s">
        <v>456</v>
      </c>
      <c r="C102" s="279">
        <v>19.8</v>
      </c>
      <c r="D102" s="285"/>
    </row>
    <row r="103" spans="1:4" s="143" customFormat="1" x14ac:dyDescent="0.2">
      <c r="A103" s="135" t="s">
        <v>187</v>
      </c>
      <c r="B103" s="253" t="s">
        <v>457</v>
      </c>
      <c r="C103" s="279">
        <v>11.75</v>
      </c>
      <c r="D103" s="285"/>
    </row>
    <row r="104" spans="1:4" s="143" customFormat="1" x14ac:dyDescent="0.2">
      <c r="A104" s="135" t="s">
        <v>187</v>
      </c>
      <c r="B104" s="253" t="s">
        <v>458</v>
      </c>
      <c r="C104" s="279">
        <v>4.25</v>
      </c>
      <c r="D104" s="285"/>
    </row>
    <row r="105" spans="1:4" s="143" customFormat="1" x14ac:dyDescent="0.2">
      <c r="A105" s="280" t="s">
        <v>186</v>
      </c>
      <c r="B105" s="315" t="s">
        <v>459</v>
      </c>
      <c r="C105" s="284">
        <v>6.35</v>
      </c>
      <c r="D105" s="285"/>
    </row>
    <row r="106" spans="1:4" s="143" customFormat="1" x14ac:dyDescent="0.2">
      <c r="A106" s="135" t="s">
        <v>366</v>
      </c>
      <c r="B106" s="253" t="s">
        <v>460</v>
      </c>
      <c r="C106" s="283"/>
      <c r="D106" s="285"/>
    </row>
    <row r="107" spans="1:4" s="143" customFormat="1" x14ac:dyDescent="0.2">
      <c r="A107" s="135" t="s">
        <v>366</v>
      </c>
      <c r="B107" s="253" t="s">
        <v>461</v>
      </c>
      <c r="C107" s="279">
        <v>475</v>
      </c>
      <c r="D107" s="285"/>
    </row>
    <row r="108" spans="1:4" s="143" customFormat="1" x14ac:dyDescent="0.2">
      <c r="A108" s="135" t="s">
        <v>187</v>
      </c>
      <c r="B108" s="253" t="s">
        <v>462</v>
      </c>
      <c r="C108" s="279">
        <v>7.5</v>
      </c>
      <c r="D108" s="285"/>
    </row>
    <row r="109" spans="1:4" s="143" customFormat="1" x14ac:dyDescent="0.2">
      <c r="A109" s="135" t="s">
        <v>187</v>
      </c>
      <c r="B109" s="253" t="s">
        <v>463</v>
      </c>
      <c r="C109" s="279">
        <v>4.95</v>
      </c>
      <c r="D109" s="285"/>
    </row>
    <row r="110" spans="1:4" s="143" customFormat="1" x14ac:dyDescent="0.2">
      <c r="A110" s="135" t="s">
        <v>185</v>
      </c>
      <c r="B110" s="253" t="s">
        <v>464</v>
      </c>
      <c r="C110" s="279">
        <v>125</v>
      </c>
      <c r="D110" s="285"/>
    </row>
    <row r="111" spans="1:4" s="143" customFormat="1" x14ac:dyDescent="0.2">
      <c r="A111" s="135" t="s">
        <v>185</v>
      </c>
      <c r="B111" s="253" t="s">
        <v>465</v>
      </c>
      <c r="C111" s="279">
        <v>192</v>
      </c>
      <c r="D111" s="285"/>
    </row>
    <row r="112" spans="1:4" s="143" customFormat="1" x14ac:dyDescent="0.2">
      <c r="A112" s="135" t="s">
        <v>185</v>
      </c>
      <c r="B112" s="253" t="s">
        <v>466</v>
      </c>
      <c r="C112" s="279">
        <v>305</v>
      </c>
      <c r="D112" s="285"/>
    </row>
    <row r="113" spans="1:4" s="143" customFormat="1" x14ac:dyDescent="0.2">
      <c r="A113" s="135" t="s">
        <v>185</v>
      </c>
      <c r="B113" s="253" t="s">
        <v>467</v>
      </c>
      <c r="C113" s="284">
        <v>27</v>
      </c>
      <c r="D113" s="285"/>
    </row>
    <row r="114" spans="1:4" s="143" customFormat="1" x14ac:dyDescent="0.2">
      <c r="A114" s="135" t="s">
        <v>185</v>
      </c>
      <c r="B114" s="253" t="s">
        <v>468</v>
      </c>
      <c r="C114" s="284">
        <v>75</v>
      </c>
      <c r="D114" s="285"/>
    </row>
    <row r="115" spans="1:4" s="143" customFormat="1" x14ac:dyDescent="0.2">
      <c r="A115" s="135" t="s">
        <v>186</v>
      </c>
      <c r="B115" s="253" t="s">
        <v>469</v>
      </c>
      <c r="C115" s="284">
        <v>6.5</v>
      </c>
      <c r="D115" s="285"/>
    </row>
    <row r="116" spans="1:4" s="143" customFormat="1" x14ac:dyDescent="0.2">
      <c r="A116" s="135" t="s">
        <v>375</v>
      </c>
      <c r="B116" s="253" t="s">
        <v>470</v>
      </c>
      <c r="C116" s="279">
        <v>235</v>
      </c>
      <c r="D116" s="285"/>
    </row>
    <row r="117" spans="1:4" s="143" customFormat="1" x14ac:dyDescent="0.2">
      <c r="A117" s="135" t="s">
        <v>185</v>
      </c>
      <c r="B117" s="253" t="s">
        <v>471</v>
      </c>
      <c r="C117" s="284">
        <v>225</v>
      </c>
      <c r="D117" s="285"/>
    </row>
    <row r="118" spans="1:4" s="143" customFormat="1" x14ac:dyDescent="0.2">
      <c r="A118" s="135" t="s">
        <v>185</v>
      </c>
      <c r="B118" s="253" t="s">
        <v>472</v>
      </c>
      <c r="C118" s="279">
        <v>220</v>
      </c>
      <c r="D118" s="285"/>
    </row>
    <row r="119" spans="1:4" s="143" customFormat="1" x14ac:dyDescent="0.2">
      <c r="A119" s="135" t="s">
        <v>186</v>
      </c>
      <c r="B119" s="253" t="s">
        <v>473</v>
      </c>
      <c r="C119" s="279">
        <v>25.9</v>
      </c>
      <c r="D119" s="285"/>
    </row>
    <row r="120" spans="1:4" s="143" customFormat="1" x14ac:dyDescent="0.2">
      <c r="A120" s="135" t="s">
        <v>375</v>
      </c>
      <c r="B120" s="253" t="s">
        <v>474</v>
      </c>
      <c r="C120" s="279">
        <v>118</v>
      </c>
      <c r="D120" s="285"/>
    </row>
    <row r="121" spans="1:4" s="143" customFormat="1" x14ac:dyDescent="0.2">
      <c r="A121" s="135" t="s">
        <v>375</v>
      </c>
      <c r="B121" s="253" t="s">
        <v>475</v>
      </c>
      <c r="C121" s="279">
        <v>725</v>
      </c>
      <c r="D121" s="285" t="s">
        <v>435</v>
      </c>
    </row>
    <row r="122" spans="1:4" s="143" customFormat="1" x14ac:dyDescent="0.2">
      <c r="A122" s="135" t="s">
        <v>375</v>
      </c>
      <c r="B122" s="253" t="s">
        <v>476</v>
      </c>
      <c r="C122" s="279">
        <v>449</v>
      </c>
      <c r="D122" s="285"/>
    </row>
    <row r="123" spans="1:4" s="143" customFormat="1" x14ac:dyDescent="0.2">
      <c r="A123" s="135" t="s">
        <v>375</v>
      </c>
      <c r="B123" s="253" t="s">
        <v>477</v>
      </c>
      <c r="C123" s="283"/>
      <c r="D123" s="285"/>
    </row>
    <row r="124" spans="1:4" s="143" customFormat="1" x14ac:dyDescent="0.2">
      <c r="A124" s="135" t="s">
        <v>375</v>
      </c>
      <c r="B124" s="253" t="s">
        <v>478</v>
      </c>
      <c r="C124" s="279">
        <v>57.5</v>
      </c>
      <c r="D124" s="285"/>
    </row>
    <row r="125" spans="1:4" s="143" customFormat="1" x14ac:dyDescent="0.2">
      <c r="A125" s="135" t="s">
        <v>375</v>
      </c>
      <c r="B125" s="253" t="s">
        <v>479</v>
      </c>
      <c r="C125" s="279">
        <v>148</v>
      </c>
      <c r="D125" s="285"/>
    </row>
    <row r="126" spans="1:4" s="143" customFormat="1" x14ac:dyDescent="0.2">
      <c r="A126" s="135" t="s">
        <v>185</v>
      </c>
      <c r="B126" s="253" t="s">
        <v>480</v>
      </c>
      <c r="C126" s="279">
        <v>129</v>
      </c>
      <c r="D126" s="285"/>
    </row>
    <row r="127" spans="1:4" s="143" customFormat="1" x14ac:dyDescent="0.2">
      <c r="A127" s="135" t="s">
        <v>187</v>
      </c>
      <c r="B127" s="253" t="s">
        <v>481</v>
      </c>
      <c r="C127" s="279">
        <v>14</v>
      </c>
      <c r="D127" s="285"/>
    </row>
    <row r="128" spans="1:4" s="143" customFormat="1" x14ac:dyDescent="0.2">
      <c r="A128" s="135" t="s">
        <v>375</v>
      </c>
      <c r="B128" s="253" t="s">
        <v>482</v>
      </c>
      <c r="C128" s="279">
        <v>75</v>
      </c>
      <c r="D128" s="285"/>
    </row>
    <row r="129" spans="1:4" s="143" customFormat="1" x14ac:dyDescent="0.2">
      <c r="A129" s="135" t="s">
        <v>186</v>
      </c>
      <c r="B129" s="253" t="s">
        <v>483</v>
      </c>
      <c r="C129" s="279">
        <v>6.95</v>
      </c>
      <c r="D129" s="285"/>
    </row>
    <row r="130" spans="1:4" s="143" customFormat="1" x14ac:dyDescent="0.2">
      <c r="A130" s="135" t="s">
        <v>187</v>
      </c>
      <c r="B130" s="253" t="s">
        <v>484</v>
      </c>
      <c r="C130" s="284">
        <v>3</v>
      </c>
      <c r="D130" s="285"/>
    </row>
    <row r="131" spans="1:4" s="143" customFormat="1" x14ac:dyDescent="0.2">
      <c r="A131" s="135" t="s">
        <v>185</v>
      </c>
      <c r="B131" s="253" t="s">
        <v>485</v>
      </c>
      <c r="C131" s="284">
        <v>38</v>
      </c>
      <c r="D131" s="285"/>
    </row>
    <row r="132" spans="1:4" s="143" customFormat="1" x14ac:dyDescent="0.2">
      <c r="A132" s="135" t="s">
        <v>185</v>
      </c>
      <c r="B132" s="253" t="s">
        <v>486</v>
      </c>
      <c r="C132" s="284">
        <v>38</v>
      </c>
      <c r="D132" s="285"/>
    </row>
    <row r="133" spans="1:4" s="143" customFormat="1" x14ac:dyDescent="0.2">
      <c r="A133" s="135" t="s">
        <v>185</v>
      </c>
      <c r="B133" s="253" t="s">
        <v>487</v>
      </c>
      <c r="C133" s="284">
        <v>42</v>
      </c>
      <c r="D133" s="285"/>
    </row>
    <row r="134" spans="1:4" s="143" customFormat="1" x14ac:dyDescent="0.2">
      <c r="A134" s="135" t="s">
        <v>185</v>
      </c>
      <c r="B134" s="253" t="s">
        <v>488</v>
      </c>
      <c r="C134" s="284">
        <v>236</v>
      </c>
      <c r="D134" s="285" t="s">
        <v>435</v>
      </c>
    </row>
    <row r="135" spans="1:4" s="143" customFormat="1" x14ac:dyDescent="0.2">
      <c r="A135" s="135" t="s">
        <v>185</v>
      </c>
      <c r="B135" s="253" t="s">
        <v>489</v>
      </c>
      <c r="C135" s="284">
        <v>36</v>
      </c>
      <c r="D135" s="285"/>
    </row>
    <row r="136" spans="1:4" s="143" customFormat="1" x14ac:dyDescent="0.2">
      <c r="A136" s="135" t="s">
        <v>187</v>
      </c>
      <c r="B136" s="253" t="s">
        <v>490</v>
      </c>
      <c r="C136" s="284">
        <v>3.5</v>
      </c>
      <c r="D136" s="285"/>
    </row>
    <row r="137" spans="1:4" s="143" customFormat="1" x14ac:dyDescent="0.2">
      <c r="A137" s="135" t="s">
        <v>187</v>
      </c>
      <c r="B137" s="253" t="s">
        <v>491</v>
      </c>
      <c r="C137" s="279">
        <v>12.5</v>
      </c>
      <c r="D137" s="285"/>
    </row>
    <row r="138" spans="1:4" s="143" customFormat="1" x14ac:dyDescent="0.2">
      <c r="A138" s="135" t="s">
        <v>187</v>
      </c>
      <c r="B138" s="253" t="s">
        <v>492</v>
      </c>
      <c r="C138" s="279">
        <v>1.1000000000000001</v>
      </c>
      <c r="D138" s="285"/>
    </row>
    <row r="139" spans="1:4" s="143" customFormat="1" x14ac:dyDescent="0.2">
      <c r="A139" s="135" t="s">
        <v>375</v>
      </c>
      <c r="B139" s="253" t="s">
        <v>493</v>
      </c>
      <c r="C139" s="279">
        <v>235</v>
      </c>
      <c r="D139" s="285"/>
    </row>
    <row r="140" spans="1:4" s="143" customFormat="1" x14ac:dyDescent="0.2">
      <c r="A140" s="135" t="s">
        <v>187</v>
      </c>
      <c r="B140" s="315" t="s">
        <v>494</v>
      </c>
      <c r="C140" s="284">
        <v>5.5</v>
      </c>
      <c r="D140" s="285"/>
    </row>
    <row r="141" spans="1:4" s="143" customFormat="1" x14ac:dyDescent="0.2">
      <c r="A141" s="135" t="s">
        <v>187</v>
      </c>
      <c r="B141" s="315" t="s">
        <v>495</v>
      </c>
      <c r="C141" s="284">
        <v>6.75</v>
      </c>
      <c r="D141" s="285"/>
    </row>
    <row r="142" spans="1:4" s="143" customFormat="1" x14ac:dyDescent="0.2">
      <c r="A142" s="135" t="s">
        <v>366</v>
      </c>
      <c r="B142" s="253" t="s">
        <v>496</v>
      </c>
      <c r="C142" s="279">
        <v>175</v>
      </c>
      <c r="D142" s="285"/>
    </row>
    <row r="143" spans="1:4" s="143" customFormat="1" x14ac:dyDescent="0.2">
      <c r="A143" s="135"/>
      <c r="B143" s="253"/>
      <c r="C143" s="279"/>
      <c r="D143" s="285"/>
    </row>
    <row r="144" spans="1:4" s="143" customFormat="1" x14ac:dyDescent="0.2">
      <c r="A144" s="135"/>
      <c r="B144" s="253"/>
      <c r="C144" s="279"/>
      <c r="D144" s="285"/>
    </row>
    <row r="145" spans="1:4" s="143" customFormat="1" x14ac:dyDescent="0.2">
      <c r="A145" s="135" t="s">
        <v>187</v>
      </c>
      <c r="B145" s="253" t="s">
        <v>497</v>
      </c>
      <c r="C145" s="279">
        <v>72</v>
      </c>
      <c r="D145" s="285"/>
    </row>
    <row r="146" spans="1:4" s="143" customFormat="1" x14ac:dyDescent="0.2">
      <c r="A146" s="135" t="s">
        <v>366</v>
      </c>
      <c r="B146" s="253" t="s">
        <v>498</v>
      </c>
      <c r="C146" s="283"/>
      <c r="D146" s="285"/>
    </row>
    <row r="147" spans="1:4" s="143" customFormat="1" x14ac:dyDescent="0.2">
      <c r="A147" s="135" t="s">
        <v>187</v>
      </c>
      <c r="B147" s="253" t="s">
        <v>499</v>
      </c>
      <c r="C147" s="279">
        <v>52</v>
      </c>
      <c r="D147" s="285"/>
    </row>
    <row r="148" spans="1:4" s="143" customFormat="1" x14ac:dyDescent="0.2">
      <c r="A148" s="135" t="s">
        <v>185</v>
      </c>
      <c r="B148" s="253" t="s">
        <v>500</v>
      </c>
      <c r="C148" s="279">
        <v>195</v>
      </c>
      <c r="D148" s="285"/>
    </row>
    <row r="149" spans="1:4" s="143" customFormat="1" x14ac:dyDescent="0.2">
      <c r="A149" s="135" t="s">
        <v>185</v>
      </c>
      <c r="B149" s="253" t="s">
        <v>501</v>
      </c>
      <c r="C149" s="279">
        <v>220</v>
      </c>
      <c r="D149" s="285"/>
    </row>
    <row r="150" spans="1:4" s="143" customFormat="1" x14ac:dyDescent="0.2">
      <c r="A150" s="135" t="s">
        <v>187</v>
      </c>
      <c r="B150" s="253" t="s">
        <v>502</v>
      </c>
      <c r="C150" s="279">
        <v>9.75</v>
      </c>
      <c r="D150" s="285"/>
    </row>
    <row r="151" spans="1:4" s="143" customFormat="1" x14ac:dyDescent="0.2">
      <c r="A151" s="135" t="s">
        <v>185</v>
      </c>
      <c r="B151" s="315" t="s">
        <v>503</v>
      </c>
      <c r="C151" s="279">
        <v>475</v>
      </c>
      <c r="D151" s="285"/>
    </row>
    <row r="152" spans="1:4" s="143" customFormat="1" x14ac:dyDescent="0.2">
      <c r="A152" s="135" t="s">
        <v>187</v>
      </c>
      <c r="B152" s="253" t="s">
        <v>504</v>
      </c>
      <c r="C152" s="279">
        <v>15.95</v>
      </c>
      <c r="D152" s="285"/>
    </row>
    <row r="153" spans="1:4" s="143" customFormat="1" x14ac:dyDescent="0.2">
      <c r="A153" s="135" t="s">
        <v>366</v>
      </c>
      <c r="B153" s="253" t="s">
        <v>505</v>
      </c>
      <c r="C153" s="279">
        <v>475</v>
      </c>
      <c r="D153" s="285"/>
    </row>
    <row r="154" spans="1:4" s="143" customFormat="1" x14ac:dyDescent="0.2">
      <c r="A154" s="135" t="s">
        <v>186</v>
      </c>
      <c r="B154" s="253" t="s">
        <v>506</v>
      </c>
      <c r="C154" s="284">
        <v>9.5</v>
      </c>
      <c r="D154" s="285"/>
    </row>
    <row r="155" spans="1:4" s="143" customFormat="1" x14ac:dyDescent="0.2">
      <c r="A155" s="135" t="s">
        <v>178</v>
      </c>
      <c r="B155" s="254" t="s">
        <v>507</v>
      </c>
      <c r="C155" s="279">
        <v>113.85</v>
      </c>
      <c r="D155" s="285" t="s">
        <v>435</v>
      </c>
    </row>
    <row r="156" spans="1:4" s="143" customFormat="1" x14ac:dyDescent="0.2">
      <c r="A156" s="135" t="s">
        <v>187</v>
      </c>
      <c r="B156" s="253" t="s">
        <v>508</v>
      </c>
      <c r="C156" s="279">
        <v>9.75</v>
      </c>
      <c r="D156" s="285"/>
    </row>
    <row r="157" spans="1:4" s="143" customFormat="1" x14ac:dyDescent="0.2">
      <c r="A157" s="135" t="s">
        <v>187</v>
      </c>
      <c r="B157" s="315" t="s">
        <v>509</v>
      </c>
      <c r="C157" s="279">
        <v>45</v>
      </c>
      <c r="D157" s="285"/>
    </row>
    <row r="158" spans="1:4" s="143" customFormat="1" x14ac:dyDescent="0.2">
      <c r="A158" s="135" t="s">
        <v>187</v>
      </c>
      <c r="B158" s="253" t="s">
        <v>510</v>
      </c>
      <c r="C158" s="279">
        <v>2.2000000000000002</v>
      </c>
      <c r="D158" s="285"/>
    </row>
    <row r="159" spans="1:4" s="143" customFormat="1" x14ac:dyDescent="0.2">
      <c r="A159" s="135" t="s">
        <v>185</v>
      </c>
      <c r="B159" s="253" t="s">
        <v>511</v>
      </c>
      <c r="C159" s="284">
        <v>65</v>
      </c>
      <c r="D159" s="285"/>
    </row>
    <row r="160" spans="1:4" s="143" customFormat="1" x14ac:dyDescent="0.2">
      <c r="A160" s="135" t="s">
        <v>186</v>
      </c>
      <c r="B160" s="253" t="s">
        <v>512</v>
      </c>
      <c r="C160" s="279">
        <v>3.6</v>
      </c>
      <c r="D160" s="285"/>
    </row>
    <row r="161" spans="1:4" s="143" customFormat="1" x14ac:dyDescent="0.2">
      <c r="A161" s="135" t="s">
        <v>375</v>
      </c>
      <c r="B161" s="253" t="s">
        <v>512</v>
      </c>
      <c r="C161" s="279">
        <v>42</v>
      </c>
      <c r="D161" s="285"/>
    </row>
    <row r="162" spans="1:4" s="143" customFormat="1" x14ac:dyDescent="0.2">
      <c r="A162" s="135" t="s">
        <v>185</v>
      </c>
      <c r="B162" s="253" t="s">
        <v>513</v>
      </c>
      <c r="C162" s="279">
        <v>174</v>
      </c>
      <c r="D162" s="285"/>
    </row>
    <row r="163" spans="1:4" s="143" customFormat="1" x14ac:dyDescent="0.2">
      <c r="A163" s="135" t="s">
        <v>514</v>
      </c>
      <c r="B163" s="253" t="s">
        <v>515</v>
      </c>
      <c r="C163" s="293"/>
      <c r="D163" s="285"/>
    </row>
    <row r="164" spans="1:4" s="143" customFormat="1" x14ac:dyDescent="0.2">
      <c r="A164" s="135" t="s">
        <v>185</v>
      </c>
      <c r="B164" s="253" t="s">
        <v>516</v>
      </c>
      <c r="C164" s="279">
        <v>165</v>
      </c>
      <c r="D164" s="285"/>
    </row>
    <row r="165" spans="1:4" s="143" customFormat="1" x14ac:dyDescent="0.2">
      <c r="A165" s="135" t="s">
        <v>185</v>
      </c>
      <c r="B165" s="253" t="s">
        <v>517</v>
      </c>
      <c r="C165" s="279">
        <v>269</v>
      </c>
      <c r="D165" s="285"/>
    </row>
    <row r="166" spans="1:4" s="143" customFormat="1" x14ac:dyDescent="0.2">
      <c r="A166" s="135" t="s">
        <v>187</v>
      </c>
      <c r="B166" s="253" t="s">
        <v>518</v>
      </c>
      <c r="C166" s="279">
        <v>11.95</v>
      </c>
      <c r="D166" s="294"/>
    </row>
    <row r="167" spans="1:4" s="143" customFormat="1" x14ac:dyDescent="0.2">
      <c r="A167" s="135" t="s">
        <v>187</v>
      </c>
      <c r="B167" s="253" t="s">
        <v>519</v>
      </c>
      <c r="C167" s="279">
        <v>32</v>
      </c>
      <c r="D167" s="285"/>
    </row>
    <row r="168" spans="1:4" s="143" customFormat="1" x14ac:dyDescent="0.2">
      <c r="A168" s="135" t="s">
        <v>185</v>
      </c>
      <c r="B168" s="253" t="s">
        <v>520</v>
      </c>
      <c r="C168" s="293"/>
      <c r="D168" s="285"/>
    </row>
    <row r="169" spans="1:4" s="143" customFormat="1" ht="18.600000000000001" customHeight="1" x14ac:dyDescent="0.2">
      <c r="A169" s="135" t="s">
        <v>185</v>
      </c>
      <c r="B169" s="253" t="s">
        <v>521</v>
      </c>
      <c r="C169" s="293"/>
      <c r="D169" s="285"/>
    </row>
    <row r="170" spans="1:4" s="143" customFormat="1" ht="18.600000000000001" customHeight="1" x14ac:dyDescent="0.2">
      <c r="A170" s="135" t="s">
        <v>185</v>
      </c>
      <c r="B170" s="253" t="s">
        <v>522</v>
      </c>
      <c r="C170" s="293"/>
      <c r="D170" s="285"/>
    </row>
    <row r="171" spans="1:4" s="143" customFormat="1" ht="18.600000000000001" customHeight="1" x14ac:dyDescent="0.2">
      <c r="A171" s="135" t="s">
        <v>375</v>
      </c>
      <c r="B171" s="253" t="s">
        <v>523</v>
      </c>
      <c r="C171" s="293"/>
      <c r="D171" s="285"/>
    </row>
    <row r="172" spans="1:4" s="143" customFormat="1" ht="18.600000000000001" customHeight="1" x14ac:dyDescent="0.2">
      <c r="A172" s="135" t="s">
        <v>185</v>
      </c>
      <c r="B172" s="253" t="s">
        <v>524</v>
      </c>
      <c r="C172" s="293"/>
      <c r="D172" s="285"/>
    </row>
    <row r="173" spans="1:4" s="143" customFormat="1" ht="18.600000000000001" customHeight="1" x14ac:dyDescent="0.2">
      <c r="A173" s="135" t="s">
        <v>185</v>
      </c>
      <c r="B173" s="253" t="s">
        <v>525</v>
      </c>
      <c r="C173" s="293">
        <v>174</v>
      </c>
      <c r="D173" s="285"/>
    </row>
    <row r="174" spans="1:4" s="143" customFormat="1" x14ac:dyDescent="0.2">
      <c r="A174" s="135" t="s">
        <v>185</v>
      </c>
      <c r="B174" s="253" t="s">
        <v>526</v>
      </c>
      <c r="C174" s="293"/>
      <c r="D174" s="285"/>
    </row>
    <row r="175" spans="1:4" s="143" customFormat="1" x14ac:dyDescent="0.2">
      <c r="A175" s="135" t="s">
        <v>185</v>
      </c>
      <c r="B175" s="253" t="s">
        <v>527</v>
      </c>
      <c r="C175" s="293"/>
      <c r="D175" s="285"/>
    </row>
    <row r="176" spans="1:4" s="143" customFormat="1" x14ac:dyDescent="0.2">
      <c r="A176" s="135" t="s">
        <v>185</v>
      </c>
      <c r="B176" s="253" t="s">
        <v>528</v>
      </c>
      <c r="C176" s="293">
        <v>165</v>
      </c>
      <c r="D176" s="285"/>
    </row>
    <row r="177" spans="1:4" s="143" customFormat="1" x14ac:dyDescent="0.2">
      <c r="A177" s="135" t="s">
        <v>185</v>
      </c>
      <c r="B177" s="253" t="s">
        <v>528</v>
      </c>
      <c r="C177" s="293">
        <v>165</v>
      </c>
      <c r="D177" s="285"/>
    </row>
    <row r="178" spans="1:4" s="143" customFormat="1" x14ac:dyDescent="0.2">
      <c r="A178" s="135" t="s">
        <v>185</v>
      </c>
      <c r="B178" s="253" t="s">
        <v>529</v>
      </c>
      <c r="C178" s="293">
        <v>269</v>
      </c>
      <c r="D178" s="285"/>
    </row>
    <row r="179" spans="1:4" s="143" customFormat="1" x14ac:dyDescent="0.2">
      <c r="A179" s="135" t="s">
        <v>375</v>
      </c>
      <c r="B179" s="253" t="s">
        <v>530</v>
      </c>
      <c r="C179" s="293"/>
      <c r="D179" s="285"/>
    </row>
    <row r="180" spans="1:4" s="143" customFormat="1" x14ac:dyDescent="0.2">
      <c r="A180" s="135" t="s">
        <v>185</v>
      </c>
      <c r="B180" s="253" t="s">
        <v>531</v>
      </c>
      <c r="C180" s="293"/>
      <c r="D180" s="285"/>
    </row>
    <row r="181" spans="1:4" s="143" customFormat="1" x14ac:dyDescent="0.2">
      <c r="A181" s="135" t="s">
        <v>187</v>
      </c>
      <c r="B181" s="253" t="s">
        <v>532</v>
      </c>
      <c r="C181" s="279">
        <v>2.2000000000000002</v>
      </c>
      <c r="D181" s="285"/>
    </row>
    <row r="182" spans="1:4" x14ac:dyDescent="0.2">
      <c r="A182" s="135" t="s">
        <v>185</v>
      </c>
      <c r="B182" s="315" t="s">
        <v>533</v>
      </c>
      <c r="C182" s="284">
        <v>72</v>
      </c>
      <c r="D182" s="285"/>
    </row>
    <row r="183" spans="1:4" x14ac:dyDescent="0.2">
      <c r="A183" s="135" t="s">
        <v>185</v>
      </c>
      <c r="B183" s="253" t="s">
        <v>534</v>
      </c>
      <c r="C183" s="284">
        <v>95</v>
      </c>
      <c r="D183" s="285"/>
    </row>
    <row r="184" spans="1:4" x14ac:dyDescent="0.2">
      <c r="A184" s="135" t="s">
        <v>186</v>
      </c>
      <c r="B184" s="253" t="s">
        <v>535</v>
      </c>
      <c r="C184" s="284">
        <v>3.75</v>
      </c>
      <c r="D184" s="285"/>
    </row>
    <row r="185" spans="1:4" s="143" customFormat="1" x14ac:dyDescent="0.2">
      <c r="A185" s="135" t="s">
        <v>187</v>
      </c>
      <c r="B185" s="253" t="s">
        <v>536</v>
      </c>
      <c r="C185" s="284">
        <v>6</v>
      </c>
      <c r="D185" s="285"/>
    </row>
    <row r="186" spans="1:4" s="143" customFormat="1" x14ac:dyDescent="0.2">
      <c r="A186" s="135" t="s">
        <v>185</v>
      </c>
      <c r="B186" s="253" t="s">
        <v>537</v>
      </c>
      <c r="C186" s="279">
        <v>65</v>
      </c>
      <c r="D186" s="285"/>
    </row>
    <row r="187" spans="1:4" s="143" customFormat="1" x14ac:dyDescent="0.2">
      <c r="A187" s="135" t="s">
        <v>375</v>
      </c>
      <c r="B187" s="253" t="s">
        <v>538</v>
      </c>
      <c r="C187" s="279"/>
      <c r="D187" s="285"/>
    </row>
    <row r="188" spans="1:4" s="143" customFormat="1" x14ac:dyDescent="0.2">
      <c r="A188" s="135" t="s">
        <v>375</v>
      </c>
      <c r="B188" s="253" t="s">
        <v>539</v>
      </c>
      <c r="C188" s="279">
        <v>31.5</v>
      </c>
      <c r="D188" s="285"/>
    </row>
    <row r="189" spans="1:4" s="143" customFormat="1" x14ac:dyDescent="0.2">
      <c r="A189" s="119" t="s">
        <v>366</v>
      </c>
      <c r="B189" s="253" t="s">
        <v>540</v>
      </c>
      <c r="C189" s="279">
        <v>88.5</v>
      </c>
      <c r="D189" s="285"/>
    </row>
    <row r="190" spans="1:4" s="143" customFormat="1" x14ac:dyDescent="0.2">
      <c r="A190" s="135" t="s">
        <v>185</v>
      </c>
      <c r="B190" s="253" t="s">
        <v>541</v>
      </c>
      <c r="C190" s="279">
        <v>670</v>
      </c>
      <c r="D190" s="285"/>
    </row>
    <row r="191" spans="1:4" s="143" customFormat="1" x14ac:dyDescent="0.2">
      <c r="A191" s="135" t="s">
        <v>185</v>
      </c>
      <c r="B191" s="253" t="s">
        <v>542</v>
      </c>
      <c r="C191" s="279">
        <v>65</v>
      </c>
      <c r="D191" s="285"/>
    </row>
    <row r="192" spans="1:4" s="143" customFormat="1" x14ac:dyDescent="0.2">
      <c r="A192" s="135" t="s">
        <v>187</v>
      </c>
      <c r="B192" s="253" t="s">
        <v>543</v>
      </c>
      <c r="C192" s="279">
        <v>1.9</v>
      </c>
      <c r="D192" s="285"/>
    </row>
    <row r="193" spans="1:4" s="143" customFormat="1" x14ac:dyDescent="0.2">
      <c r="A193" s="135" t="s">
        <v>187</v>
      </c>
      <c r="B193" s="253" t="s">
        <v>544</v>
      </c>
      <c r="C193" s="279">
        <v>0.45</v>
      </c>
      <c r="D193" s="285"/>
    </row>
    <row r="194" spans="1:4" s="143" customFormat="1" x14ac:dyDescent="0.2">
      <c r="A194" s="135" t="s">
        <v>185</v>
      </c>
      <c r="B194" s="253" t="s">
        <v>545</v>
      </c>
      <c r="C194" s="284">
        <v>22</v>
      </c>
      <c r="D194" s="285"/>
    </row>
    <row r="195" spans="1:4" x14ac:dyDescent="0.2">
      <c r="A195" s="135" t="s">
        <v>185</v>
      </c>
      <c r="B195" s="253" t="s">
        <v>546</v>
      </c>
      <c r="C195" s="283"/>
      <c r="D195" s="285"/>
    </row>
    <row r="196" spans="1:4" s="143" customFormat="1" x14ac:dyDescent="0.2">
      <c r="A196" s="135" t="s">
        <v>187</v>
      </c>
      <c r="B196" s="315" t="s">
        <v>547</v>
      </c>
      <c r="C196" s="279">
        <v>3.75</v>
      </c>
      <c r="D196" s="285"/>
    </row>
    <row r="197" spans="1:4" s="143" customFormat="1" x14ac:dyDescent="0.2">
      <c r="A197" s="119" t="s">
        <v>366</v>
      </c>
      <c r="B197" s="253" t="s">
        <v>548</v>
      </c>
      <c r="C197" s="279">
        <v>235</v>
      </c>
      <c r="D197" s="285"/>
    </row>
    <row r="198" spans="1:4" s="143" customFormat="1" x14ac:dyDescent="0.2">
      <c r="A198" s="135" t="s">
        <v>185</v>
      </c>
      <c r="B198" s="253" t="s">
        <v>549</v>
      </c>
      <c r="C198" s="284">
        <v>32</v>
      </c>
      <c r="D198" s="285"/>
    </row>
    <row r="199" spans="1:4" s="143" customFormat="1" x14ac:dyDescent="0.2">
      <c r="A199" s="135" t="s">
        <v>186</v>
      </c>
      <c r="B199" s="253" t="s">
        <v>550</v>
      </c>
      <c r="C199" s="284">
        <v>2.2000000000000002</v>
      </c>
      <c r="D199" s="285"/>
    </row>
    <row r="200" spans="1:4" s="143" customFormat="1" x14ac:dyDescent="0.2">
      <c r="A200" s="135" t="s">
        <v>366</v>
      </c>
      <c r="B200" s="253" t="s">
        <v>551</v>
      </c>
      <c r="C200" s="279">
        <v>65</v>
      </c>
      <c r="D200" s="285"/>
    </row>
    <row r="201" spans="1:4" s="143" customFormat="1" x14ac:dyDescent="0.2">
      <c r="A201" s="135" t="s">
        <v>375</v>
      </c>
      <c r="B201" s="253" t="s">
        <v>552</v>
      </c>
      <c r="C201" s="283"/>
      <c r="D201" s="285"/>
    </row>
    <row r="202" spans="1:4" s="143" customFormat="1" x14ac:dyDescent="0.2">
      <c r="A202" s="135" t="s">
        <v>375</v>
      </c>
      <c r="B202" s="253" t="s">
        <v>553</v>
      </c>
      <c r="C202" s="283"/>
      <c r="D202" s="285"/>
    </row>
    <row r="203" spans="1:4" s="143" customFormat="1" x14ac:dyDescent="0.2">
      <c r="A203" s="135" t="s">
        <v>375</v>
      </c>
      <c r="B203" s="253" t="s">
        <v>554</v>
      </c>
      <c r="C203" s="279">
        <v>395</v>
      </c>
      <c r="D203" s="285"/>
    </row>
    <row r="204" spans="1:4" s="143" customFormat="1" x14ac:dyDescent="0.2">
      <c r="A204" s="135" t="s">
        <v>187</v>
      </c>
      <c r="B204" s="253" t="s">
        <v>555</v>
      </c>
      <c r="C204" s="279">
        <v>13.95</v>
      </c>
      <c r="D204" s="285"/>
    </row>
    <row r="205" spans="1:4" s="143" customFormat="1" x14ac:dyDescent="0.2">
      <c r="A205" s="135" t="s">
        <v>185</v>
      </c>
      <c r="B205" s="253" t="s">
        <v>556</v>
      </c>
      <c r="C205" s="283"/>
      <c r="D205" s="285"/>
    </row>
    <row r="206" spans="1:4" s="143" customFormat="1" x14ac:dyDescent="0.2">
      <c r="A206" s="135" t="s">
        <v>185</v>
      </c>
      <c r="B206" s="253" t="s">
        <v>557</v>
      </c>
      <c r="C206" s="279">
        <v>185</v>
      </c>
      <c r="D206" s="285"/>
    </row>
    <row r="207" spans="1:4" s="143" customFormat="1" x14ac:dyDescent="0.2">
      <c r="A207" s="135" t="s">
        <v>366</v>
      </c>
      <c r="B207" s="253" t="s">
        <v>558</v>
      </c>
      <c r="C207" s="279">
        <v>74</v>
      </c>
      <c r="D207" s="285"/>
    </row>
    <row r="208" spans="1:4" s="143" customFormat="1" x14ac:dyDescent="0.2">
      <c r="A208" s="135" t="s">
        <v>187</v>
      </c>
      <c r="B208" s="253" t="s">
        <v>559</v>
      </c>
      <c r="C208" s="279">
        <v>24.5</v>
      </c>
      <c r="D208" s="285"/>
    </row>
    <row r="209" spans="1:4" s="143" customFormat="1" x14ac:dyDescent="0.2">
      <c r="A209" s="135" t="s">
        <v>186</v>
      </c>
      <c r="B209" s="253" t="s">
        <v>560</v>
      </c>
      <c r="C209" s="284">
        <v>5.2</v>
      </c>
      <c r="D209" s="285"/>
    </row>
    <row r="210" spans="1:4" s="143" customFormat="1" x14ac:dyDescent="0.2">
      <c r="A210" s="135" t="s">
        <v>187</v>
      </c>
      <c r="B210" s="253" t="s">
        <v>561</v>
      </c>
      <c r="C210" s="283"/>
      <c r="D210" s="285"/>
    </row>
    <row r="211" spans="1:4" s="143" customFormat="1" x14ac:dyDescent="0.2">
      <c r="A211" s="135" t="s">
        <v>187</v>
      </c>
      <c r="B211" s="253" t="s">
        <v>562</v>
      </c>
      <c r="C211" s="283"/>
      <c r="D211" s="285"/>
    </row>
    <row r="212" spans="1:4" s="143" customFormat="1" x14ac:dyDescent="0.2">
      <c r="A212" s="135" t="s">
        <v>187</v>
      </c>
      <c r="B212" s="253" t="s">
        <v>563</v>
      </c>
      <c r="C212" s="283"/>
      <c r="D212" s="285"/>
    </row>
    <row r="213" spans="1:4" s="143" customFormat="1" x14ac:dyDescent="0.2">
      <c r="A213" s="135" t="s">
        <v>187</v>
      </c>
      <c r="B213" s="253" t="s">
        <v>564</v>
      </c>
      <c r="C213" s="279">
        <v>6</v>
      </c>
      <c r="D213" s="285"/>
    </row>
    <row r="214" spans="1:4" s="143" customFormat="1" x14ac:dyDescent="0.2">
      <c r="A214" s="135" t="s">
        <v>187</v>
      </c>
      <c r="B214" s="253" t="s">
        <v>565</v>
      </c>
      <c r="C214" s="283"/>
      <c r="D214" s="285"/>
    </row>
    <row r="215" spans="1:4" s="143" customFormat="1" x14ac:dyDescent="0.2">
      <c r="A215" s="135" t="s">
        <v>366</v>
      </c>
      <c r="B215" s="253" t="s">
        <v>566</v>
      </c>
      <c r="C215" s="279">
        <v>32</v>
      </c>
      <c r="D215" s="285"/>
    </row>
    <row r="216" spans="1:4" s="143" customFormat="1" x14ac:dyDescent="0.2">
      <c r="A216" s="280" t="s">
        <v>178</v>
      </c>
      <c r="B216" s="315" t="s">
        <v>567</v>
      </c>
      <c r="C216" s="279">
        <v>115</v>
      </c>
      <c r="D216" s="285"/>
    </row>
    <row r="217" spans="1:4" s="143" customFormat="1" x14ac:dyDescent="0.2">
      <c r="A217" s="280" t="s">
        <v>185</v>
      </c>
      <c r="B217" s="253" t="s">
        <v>568</v>
      </c>
      <c r="C217" s="295">
        <v>100</v>
      </c>
      <c r="D217" s="285" t="s">
        <v>435</v>
      </c>
    </row>
    <row r="218" spans="1:4" s="143" customFormat="1" x14ac:dyDescent="0.2">
      <c r="A218" s="135" t="s">
        <v>185</v>
      </c>
      <c r="B218" s="253" t="s">
        <v>569</v>
      </c>
      <c r="C218" s="284">
        <v>95</v>
      </c>
      <c r="D218" s="285"/>
    </row>
    <row r="219" spans="1:4" s="143" customFormat="1" x14ac:dyDescent="0.2">
      <c r="A219" s="135" t="s">
        <v>187</v>
      </c>
      <c r="B219" s="253" t="s">
        <v>570</v>
      </c>
      <c r="C219" s="284">
        <v>12</v>
      </c>
      <c r="D219" s="285"/>
    </row>
    <row r="220" spans="1:4" s="143" customFormat="1" x14ac:dyDescent="0.2">
      <c r="A220" s="280" t="s">
        <v>187</v>
      </c>
      <c r="B220" s="315" t="s">
        <v>571</v>
      </c>
      <c r="C220" s="279">
        <v>52</v>
      </c>
      <c r="D220" s="285"/>
    </row>
    <row r="221" spans="1:4" s="143" customFormat="1" x14ac:dyDescent="0.2">
      <c r="A221" s="135" t="s">
        <v>375</v>
      </c>
      <c r="B221" s="253" t="s">
        <v>572</v>
      </c>
      <c r="C221" s="279">
        <v>175</v>
      </c>
      <c r="D221" s="285"/>
    </row>
    <row r="222" spans="1:4" s="143" customFormat="1" x14ac:dyDescent="0.2">
      <c r="A222" s="135" t="s">
        <v>187</v>
      </c>
      <c r="B222" s="253" t="s">
        <v>573</v>
      </c>
      <c r="C222" s="279">
        <v>45</v>
      </c>
      <c r="D222" s="285"/>
    </row>
    <row r="223" spans="1:4" s="143" customFormat="1" x14ac:dyDescent="0.2">
      <c r="A223" s="135" t="s">
        <v>187</v>
      </c>
      <c r="B223" s="253" t="s">
        <v>574</v>
      </c>
      <c r="C223" s="279">
        <v>79.95</v>
      </c>
      <c r="D223" s="285"/>
    </row>
    <row r="224" spans="1:4" s="143" customFormat="1" x14ac:dyDescent="0.2">
      <c r="A224" s="280" t="s">
        <v>186</v>
      </c>
      <c r="B224" s="315" t="s">
        <v>575</v>
      </c>
      <c r="C224" s="279">
        <v>29</v>
      </c>
      <c r="D224" s="285"/>
    </row>
    <row r="225" spans="1:4" s="143" customFormat="1" x14ac:dyDescent="0.2">
      <c r="A225" s="135" t="s">
        <v>187</v>
      </c>
      <c r="B225" s="253" t="s">
        <v>576</v>
      </c>
      <c r="C225" s="279">
        <v>19.75</v>
      </c>
      <c r="D225" s="285"/>
    </row>
    <row r="226" spans="1:4" s="143" customFormat="1" x14ac:dyDescent="0.2">
      <c r="A226" s="135" t="s">
        <v>187</v>
      </c>
      <c r="B226" s="253" t="s">
        <v>577</v>
      </c>
      <c r="C226" s="279">
        <v>16</v>
      </c>
      <c r="D226" s="285"/>
    </row>
    <row r="227" spans="1:4" s="143" customFormat="1" x14ac:dyDescent="0.2">
      <c r="A227" s="135" t="s">
        <v>186</v>
      </c>
      <c r="B227" s="253" t="s">
        <v>578</v>
      </c>
      <c r="C227" s="279">
        <v>27</v>
      </c>
      <c r="D227" s="285" t="s">
        <v>435</v>
      </c>
    </row>
    <row r="228" spans="1:4" s="143" customFormat="1" x14ac:dyDescent="0.2">
      <c r="A228" s="135" t="s">
        <v>186</v>
      </c>
      <c r="B228" s="253" t="s">
        <v>579</v>
      </c>
      <c r="C228" s="284">
        <v>2.9</v>
      </c>
      <c r="D228" s="285"/>
    </row>
    <row r="229" spans="1:4" s="143" customFormat="1" x14ac:dyDescent="0.2">
      <c r="A229" s="119" t="s">
        <v>187</v>
      </c>
      <c r="B229" s="253" t="s">
        <v>580</v>
      </c>
      <c r="C229" s="279">
        <v>1.9</v>
      </c>
      <c r="D229" s="285"/>
    </row>
    <row r="230" spans="1:4" s="143" customFormat="1" x14ac:dyDescent="0.2">
      <c r="A230" s="296" t="s">
        <v>186</v>
      </c>
      <c r="B230" s="315" t="s">
        <v>581</v>
      </c>
      <c r="C230" s="283"/>
      <c r="D230" s="285"/>
    </row>
    <row r="231" spans="1:4" s="143" customFormat="1" x14ac:dyDescent="0.2">
      <c r="A231" s="296" t="s">
        <v>186</v>
      </c>
      <c r="B231" s="315" t="s">
        <v>582</v>
      </c>
      <c r="C231" s="279">
        <v>105</v>
      </c>
      <c r="D231" s="285"/>
    </row>
    <row r="232" spans="1:4" s="143" customFormat="1" x14ac:dyDescent="0.2">
      <c r="A232" s="296" t="s">
        <v>583</v>
      </c>
      <c r="B232" s="315" t="s">
        <v>584</v>
      </c>
      <c r="C232" s="283"/>
      <c r="D232" s="285"/>
    </row>
    <row r="233" spans="1:4" s="143" customFormat="1" x14ac:dyDescent="0.2">
      <c r="A233" s="296" t="s">
        <v>583</v>
      </c>
      <c r="B233" s="315" t="s">
        <v>585</v>
      </c>
      <c r="C233" s="283"/>
      <c r="D233" s="285"/>
    </row>
    <row r="234" spans="1:4" s="143" customFormat="1" ht="25.5" x14ac:dyDescent="0.2">
      <c r="A234" s="296" t="s">
        <v>583</v>
      </c>
      <c r="B234" s="315" t="s">
        <v>586</v>
      </c>
      <c r="C234" s="279">
        <v>515</v>
      </c>
      <c r="D234" s="285"/>
    </row>
    <row r="235" spans="1:4" s="143" customFormat="1" x14ac:dyDescent="0.2">
      <c r="A235" s="135" t="s">
        <v>153</v>
      </c>
      <c r="B235" s="253" t="s">
        <v>587</v>
      </c>
      <c r="C235" s="279">
        <v>310</v>
      </c>
      <c r="D235" s="285"/>
    </row>
    <row r="236" spans="1:4" s="143" customFormat="1" x14ac:dyDescent="0.2">
      <c r="A236" s="280" t="s">
        <v>583</v>
      </c>
      <c r="B236" s="253" t="s">
        <v>588</v>
      </c>
      <c r="C236" s="283"/>
      <c r="D236" s="285"/>
    </row>
    <row r="237" spans="1:4" s="143" customFormat="1" x14ac:dyDescent="0.2">
      <c r="A237" s="280" t="s">
        <v>583</v>
      </c>
      <c r="B237" s="253" t="s">
        <v>589</v>
      </c>
      <c r="C237" s="283"/>
      <c r="D237" s="285"/>
    </row>
    <row r="238" spans="1:4" s="143" customFormat="1" x14ac:dyDescent="0.2">
      <c r="A238" s="280" t="s">
        <v>583</v>
      </c>
      <c r="B238" s="253" t="s">
        <v>590</v>
      </c>
      <c r="C238" s="283"/>
      <c r="D238" s="285"/>
    </row>
    <row r="239" spans="1:4" s="143" customFormat="1" x14ac:dyDescent="0.2">
      <c r="A239" s="280" t="s">
        <v>583</v>
      </c>
      <c r="B239" s="253" t="s">
        <v>591</v>
      </c>
      <c r="C239" s="283"/>
      <c r="D239" s="285"/>
    </row>
    <row r="240" spans="1:4" s="143" customFormat="1" x14ac:dyDescent="0.2">
      <c r="A240" s="280" t="s">
        <v>583</v>
      </c>
      <c r="B240" s="253" t="s">
        <v>592</v>
      </c>
      <c r="C240" s="283"/>
      <c r="D240" s="285"/>
    </row>
    <row r="241" spans="1:5" s="143" customFormat="1" x14ac:dyDescent="0.2">
      <c r="A241" s="135" t="s">
        <v>186</v>
      </c>
      <c r="B241" s="253" t="s">
        <v>593</v>
      </c>
      <c r="C241" s="279">
        <v>2.75</v>
      </c>
      <c r="D241" s="285"/>
    </row>
    <row r="242" spans="1:5" s="143" customFormat="1" x14ac:dyDescent="0.2">
      <c r="A242" s="280" t="s">
        <v>366</v>
      </c>
      <c r="B242" s="315" t="s">
        <v>594</v>
      </c>
      <c r="C242" s="279">
        <v>16.95</v>
      </c>
      <c r="D242" s="285"/>
      <c r="E242" s="297"/>
    </row>
    <row r="243" spans="1:5" s="143" customFormat="1" x14ac:dyDescent="0.2">
      <c r="A243" s="280" t="s">
        <v>187</v>
      </c>
      <c r="B243" s="315" t="s">
        <v>595</v>
      </c>
      <c r="C243" s="295">
        <v>1</v>
      </c>
      <c r="D243" s="285" t="s">
        <v>435</v>
      </c>
      <c r="E243" s="297"/>
    </row>
    <row r="244" spans="1:5" s="143" customFormat="1" x14ac:dyDescent="0.2">
      <c r="A244" s="280" t="s">
        <v>187</v>
      </c>
      <c r="B244" s="315" t="s">
        <v>596</v>
      </c>
      <c r="C244" s="279">
        <v>1.3</v>
      </c>
      <c r="D244" s="285"/>
    </row>
    <row r="245" spans="1:5" s="143" customFormat="1" x14ac:dyDescent="0.2">
      <c r="A245" s="280" t="s">
        <v>178</v>
      </c>
      <c r="B245" s="315" t="s">
        <v>597</v>
      </c>
      <c r="C245" s="279">
        <v>690</v>
      </c>
      <c r="D245" s="285"/>
    </row>
    <row r="246" spans="1:5" s="143" customFormat="1" x14ac:dyDescent="0.2">
      <c r="A246" s="280" t="s">
        <v>178</v>
      </c>
      <c r="B246" s="315" t="s">
        <v>598</v>
      </c>
      <c r="C246" s="283">
        <v>170</v>
      </c>
      <c r="D246" s="285"/>
    </row>
    <row r="247" spans="1:5" s="143" customFormat="1" x14ac:dyDescent="0.2">
      <c r="A247" s="280" t="s">
        <v>178</v>
      </c>
      <c r="B247" s="315" t="s">
        <v>599</v>
      </c>
      <c r="C247" s="295">
        <v>210</v>
      </c>
      <c r="D247" s="285"/>
    </row>
    <row r="248" spans="1:5" s="143" customFormat="1" x14ac:dyDescent="0.2">
      <c r="A248" s="280" t="s">
        <v>186</v>
      </c>
      <c r="B248" s="253" t="s">
        <v>600</v>
      </c>
      <c r="C248" s="283"/>
      <c r="D248" s="285"/>
    </row>
    <row r="249" spans="1:5" s="143" customFormat="1" x14ac:dyDescent="0.2">
      <c r="A249" s="135" t="s">
        <v>186</v>
      </c>
      <c r="B249" s="253" t="s">
        <v>601</v>
      </c>
      <c r="C249" s="279">
        <v>11</v>
      </c>
      <c r="D249" s="285"/>
    </row>
    <row r="250" spans="1:5" s="143" customFormat="1" x14ac:dyDescent="0.2">
      <c r="A250" s="135" t="s">
        <v>366</v>
      </c>
      <c r="B250" s="253" t="s">
        <v>602</v>
      </c>
      <c r="C250" s="283"/>
      <c r="D250" s="285"/>
    </row>
    <row r="251" spans="1:5" s="143" customFormat="1" x14ac:dyDescent="0.2">
      <c r="A251" s="135" t="s">
        <v>375</v>
      </c>
      <c r="B251" s="253" t="s">
        <v>603</v>
      </c>
      <c r="C251" s="279">
        <v>82.75</v>
      </c>
      <c r="D251" s="285"/>
    </row>
    <row r="252" spans="1:5" s="143" customFormat="1" x14ac:dyDescent="0.2">
      <c r="A252" s="135" t="s">
        <v>187</v>
      </c>
      <c r="B252" s="253" t="s">
        <v>604</v>
      </c>
      <c r="C252" s="279">
        <v>3.55</v>
      </c>
      <c r="D252" s="285"/>
    </row>
    <row r="253" spans="1:5" s="143" customFormat="1" x14ac:dyDescent="0.2">
      <c r="A253" s="135" t="s">
        <v>187</v>
      </c>
      <c r="B253" s="253" t="s">
        <v>605</v>
      </c>
      <c r="C253" s="295">
        <v>4.5</v>
      </c>
      <c r="D253" s="285" t="s">
        <v>435</v>
      </c>
    </row>
    <row r="254" spans="1:5" s="143" customFormat="1" x14ac:dyDescent="0.2">
      <c r="A254" s="135" t="s">
        <v>187</v>
      </c>
      <c r="B254" s="253" t="s">
        <v>606</v>
      </c>
      <c r="C254" s="279">
        <v>14.5</v>
      </c>
      <c r="D254" s="285"/>
    </row>
    <row r="255" spans="1:5" s="143" customFormat="1" x14ac:dyDescent="0.2">
      <c r="A255" s="280" t="s">
        <v>187</v>
      </c>
      <c r="B255" s="253" t="s">
        <v>607</v>
      </c>
      <c r="C255" s="279">
        <v>5.9</v>
      </c>
      <c r="D255" s="285"/>
    </row>
    <row r="256" spans="1:5" s="143" customFormat="1" x14ac:dyDescent="0.2">
      <c r="A256" s="135" t="s">
        <v>187</v>
      </c>
      <c r="B256" s="253" t="s">
        <v>608</v>
      </c>
      <c r="C256" s="279">
        <v>12</v>
      </c>
      <c r="D256" s="285"/>
    </row>
    <row r="257" spans="1:4" s="143" customFormat="1" x14ac:dyDescent="0.2">
      <c r="A257" s="135" t="s">
        <v>366</v>
      </c>
      <c r="B257" s="253" t="s">
        <v>609</v>
      </c>
      <c r="C257" s="279">
        <v>729.89</v>
      </c>
      <c r="D257" s="285" t="s">
        <v>435</v>
      </c>
    </row>
    <row r="258" spans="1:4" s="143" customFormat="1" x14ac:dyDescent="0.2">
      <c r="A258" s="135" t="s">
        <v>187</v>
      </c>
      <c r="B258" s="253" t="s">
        <v>610</v>
      </c>
      <c r="C258" s="295">
        <v>3.34</v>
      </c>
      <c r="D258" s="285" t="s">
        <v>435</v>
      </c>
    </row>
    <row r="259" spans="1:4" s="143" customFormat="1" x14ac:dyDescent="0.2">
      <c r="A259" s="135" t="s">
        <v>366</v>
      </c>
      <c r="B259" s="253" t="s">
        <v>611</v>
      </c>
      <c r="C259" s="283"/>
      <c r="D259" s="285"/>
    </row>
    <row r="260" spans="1:4" s="143" customFormat="1" x14ac:dyDescent="0.2">
      <c r="A260" s="119" t="s">
        <v>375</v>
      </c>
      <c r="B260" s="253" t="s">
        <v>612</v>
      </c>
      <c r="C260" s="279">
        <v>112</v>
      </c>
      <c r="D260" s="285"/>
    </row>
    <row r="261" spans="1:4" s="143" customFormat="1" x14ac:dyDescent="0.2">
      <c r="A261" s="280" t="s">
        <v>375</v>
      </c>
      <c r="B261" s="315" t="s">
        <v>613</v>
      </c>
      <c r="C261" s="279">
        <v>150</v>
      </c>
      <c r="D261" s="285"/>
    </row>
    <row r="262" spans="1:4" s="143" customFormat="1" x14ac:dyDescent="0.2">
      <c r="A262" s="280" t="s">
        <v>375</v>
      </c>
      <c r="B262" s="315" t="s">
        <v>614</v>
      </c>
      <c r="C262" s="295">
        <v>2400</v>
      </c>
      <c r="D262" s="285" t="s">
        <v>435</v>
      </c>
    </row>
    <row r="263" spans="1:4" s="143" customFormat="1" x14ac:dyDescent="0.2">
      <c r="A263" s="280" t="s">
        <v>375</v>
      </c>
      <c r="B263" s="315" t="s">
        <v>615</v>
      </c>
      <c r="C263" s="283"/>
      <c r="D263" s="285"/>
    </row>
    <row r="264" spans="1:4" s="143" customFormat="1" x14ac:dyDescent="0.2">
      <c r="A264" s="280" t="s">
        <v>185</v>
      </c>
      <c r="B264" s="315" t="s">
        <v>616</v>
      </c>
      <c r="C264" s="279">
        <v>215</v>
      </c>
      <c r="D264" s="285"/>
    </row>
    <row r="265" spans="1:4" s="143" customFormat="1" x14ac:dyDescent="0.2">
      <c r="A265" s="119" t="s">
        <v>366</v>
      </c>
      <c r="B265" s="253" t="s">
        <v>617</v>
      </c>
      <c r="C265" s="279">
        <v>150</v>
      </c>
      <c r="D265" s="285"/>
    </row>
    <row r="266" spans="1:4" s="143" customFormat="1" x14ac:dyDescent="0.2">
      <c r="A266" s="119" t="s">
        <v>187</v>
      </c>
      <c r="B266" s="253" t="s">
        <v>618</v>
      </c>
      <c r="C266" s="283"/>
      <c r="D266" s="285"/>
    </row>
    <row r="267" spans="1:4" s="143" customFormat="1" x14ac:dyDescent="0.2">
      <c r="A267" s="119" t="s">
        <v>187</v>
      </c>
      <c r="B267" s="253" t="s">
        <v>619</v>
      </c>
      <c r="C267" s="283"/>
      <c r="D267" s="285"/>
    </row>
    <row r="268" spans="1:4" s="143" customFormat="1" x14ac:dyDescent="0.2">
      <c r="A268" s="119" t="s">
        <v>187</v>
      </c>
      <c r="B268" s="253" t="s">
        <v>620</v>
      </c>
      <c r="C268" s="283"/>
      <c r="D268" s="285"/>
    </row>
    <row r="269" spans="1:4" s="143" customFormat="1" x14ac:dyDescent="0.2">
      <c r="A269" s="135" t="s">
        <v>178</v>
      </c>
      <c r="B269" s="253" t="s">
        <v>621</v>
      </c>
      <c r="C269" s="279">
        <v>110</v>
      </c>
      <c r="D269" s="285"/>
    </row>
    <row r="270" spans="1:4" s="143" customFormat="1" x14ac:dyDescent="0.2">
      <c r="A270" s="280" t="s">
        <v>178</v>
      </c>
      <c r="B270" s="315" t="s">
        <v>622</v>
      </c>
      <c r="C270" s="279">
        <v>89</v>
      </c>
      <c r="D270" s="285"/>
    </row>
    <row r="271" spans="1:4" s="143" customFormat="1" x14ac:dyDescent="0.2">
      <c r="A271" s="135" t="s">
        <v>375</v>
      </c>
      <c r="B271" s="253" t="s">
        <v>623</v>
      </c>
      <c r="C271" s="279">
        <v>28.75</v>
      </c>
      <c r="D271" s="285"/>
    </row>
    <row r="272" spans="1:4" s="143" customFormat="1" x14ac:dyDescent="0.2">
      <c r="A272" s="135" t="s">
        <v>375</v>
      </c>
      <c r="B272" s="253" t="s">
        <v>624</v>
      </c>
      <c r="C272" s="279">
        <v>270</v>
      </c>
      <c r="D272" s="285" t="s">
        <v>435</v>
      </c>
    </row>
    <row r="273" spans="1:4" s="143" customFormat="1" x14ac:dyDescent="0.2">
      <c r="A273" s="135" t="s">
        <v>375</v>
      </c>
      <c r="B273" s="253" t="s">
        <v>625</v>
      </c>
      <c r="C273" s="279">
        <v>92</v>
      </c>
      <c r="D273" s="285"/>
    </row>
    <row r="274" spans="1:4" s="143" customFormat="1" x14ac:dyDescent="0.2">
      <c r="A274" s="135" t="s">
        <v>375</v>
      </c>
      <c r="B274" s="253" t="s">
        <v>626</v>
      </c>
      <c r="C274" s="283"/>
      <c r="D274" s="285"/>
    </row>
    <row r="275" spans="1:4" s="143" customFormat="1" x14ac:dyDescent="0.2">
      <c r="A275" s="135" t="s">
        <v>185</v>
      </c>
      <c r="B275" s="253" t="s">
        <v>627</v>
      </c>
      <c r="C275" s="279">
        <v>49</v>
      </c>
      <c r="D275" s="285"/>
    </row>
    <row r="276" spans="1:4" s="143" customFormat="1" x14ac:dyDescent="0.2">
      <c r="A276" s="135" t="s">
        <v>185</v>
      </c>
      <c r="B276" s="253" t="s">
        <v>628</v>
      </c>
      <c r="C276" s="279">
        <v>575</v>
      </c>
      <c r="D276" s="285"/>
    </row>
    <row r="277" spans="1:4" s="143" customFormat="1" x14ac:dyDescent="0.2">
      <c r="A277" s="280" t="s">
        <v>187</v>
      </c>
      <c r="B277" s="315" t="s">
        <v>629</v>
      </c>
      <c r="C277" s="279">
        <v>33.75</v>
      </c>
      <c r="D277" s="285"/>
    </row>
    <row r="278" spans="1:4" s="143" customFormat="1" x14ac:dyDescent="0.2">
      <c r="A278" s="280" t="s">
        <v>187</v>
      </c>
      <c r="B278" s="315" t="s">
        <v>630</v>
      </c>
      <c r="C278" s="279">
        <v>4.75</v>
      </c>
      <c r="D278" s="285"/>
    </row>
    <row r="279" spans="1:4" s="143" customFormat="1" x14ac:dyDescent="0.2">
      <c r="A279" s="280" t="s">
        <v>366</v>
      </c>
      <c r="B279" s="315" t="s">
        <v>631</v>
      </c>
      <c r="C279" s="279">
        <v>47.5</v>
      </c>
      <c r="D279" s="285"/>
    </row>
    <row r="280" spans="1:4" s="143" customFormat="1" x14ac:dyDescent="0.2">
      <c r="A280" s="135" t="s">
        <v>186</v>
      </c>
      <c r="B280" s="253" t="s">
        <v>632</v>
      </c>
      <c r="C280" s="284">
        <v>2.9</v>
      </c>
      <c r="D280" s="285"/>
    </row>
    <row r="281" spans="1:4" s="143" customFormat="1" x14ac:dyDescent="0.2">
      <c r="A281" s="135" t="s">
        <v>185</v>
      </c>
      <c r="B281" s="253" t="s">
        <v>633</v>
      </c>
      <c r="C281" s="293">
        <v>99</v>
      </c>
      <c r="D281" s="285" t="s">
        <v>435</v>
      </c>
    </row>
    <row r="282" spans="1:4" s="143" customFormat="1" x14ac:dyDescent="0.2">
      <c r="A282" s="135" t="s">
        <v>187</v>
      </c>
      <c r="B282" s="253" t="s">
        <v>634</v>
      </c>
      <c r="C282" s="293">
        <v>2.23</v>
      </c>
      <c r="D282" s="285" t="s">
        <v>435</v>
      </c>
    </row>
    <row r="283" spans="1:4" s="143" customFormat="1" x14ac:dyDescent="0.2">
      <c r="A283" s="135" t="s">
        <v>185</v>
      </c>
      <c r="B283" s="254" t="s">
        <v>635</v>
      </c>
      <c r="C283" s="293">
        <v>137.69999999999999</v>
      </c>
      <c r="D283" s="285" t="s">
        <v>435</v>
      </c>
    </row>
    <row r="284" spans="1:4" s="143" customFormat="1" x14ac:dyDescent="0.2">
      <c r="A284" s="135" t="s">
        <v>187</v>
      </c>
      <c r="B284" s="253" t="s">
        <v>636</v>
      </c>
      <c r="C284" s="279">
        <v>1.95</v>
      </c>
      <c r="D284" s="285"/>
    </row>
    <row r="285" spans="1:4" s="143" customFormat="1" x14ac:dyDescent="0.2">
      <c r="A285" s="135"/>
      <c r="B285" s="253"/>
      <c r="C285" s="279"/>
      <c r="D285" s="285"/>
    </row>
    <row r="286" spans="1:4" s="143" customFormat="1" x14ac:dyDescent="0.2">
      <c r="A286" s="135"/>
      <c r="B286" s="253"/>
      <c r="C286" s="279"/>
      <c r="D286" s="285"/>
    </row>
    <row r="287" spans="1:4" s="143" customFormat="1" x14ac:dyDescent="0.2">
      <c r="A287" s="280" t="s">
        <v>366</v>
      </c>
      <c r="B287" s="315" t="s">
        <v>637</v>
      </c>
      <c r="C287" s="279">
        <v>2795</v>
      </c>
      <c r="D287" s="285"/>
    </row>
    <row r="288" spans="1:4" s="143" customFormat="1" x14ac:dyDescent="0.2">
      <c r="A288" s="280" t="s">
        <v>375</v>
      </c>
      <c r="B288" s="315" t="s">
        <v>638</v>
      </c>
      <c r="C288" s="283">
        <v>595</v>
      </c>
      <c r="D288" s="285" t="s">
        <v>435</v>
      </c>
    </row>
    <row r="289" spans="1:4" s="143" customFormat="1" x14ac:dyDescent="0.2">
      <c r="A289" s="280" t="s">
        <v>639</v>
      </c>
      <c r="B289" s="315" t="s">
        <v>640</v>
      </c>
      <c r="C289" s="279">
        <v>1270</v>
      </c>
      <c r="D289" s="285"/>
    </row>
    <row r="290" spans="1:4" s="143" customFormat="1" x14ac:dyDescent="0.2">
      <c r="A290" s="280" t="s">
        <v>375</v>
      </c>
      <c r="B290" s="315" t="s">
        <v>641</v>
      </c>
      <c r="C290" s="283"/>
      <c r="D290" s="285"/>
    </row>
    <row r="291" spans="1:4" s="143" customFormat="1" x14ac:dyDescent="0.2">
      <c r="A291" s="280" t="s">
        <v>375</v>
      </c>
      <c r="B291" s="315" t="s">
        <v>642</v>
      </c>
      <c r="C291" s="279">
        <v>705</v>
      </c>
      <c r="D291" s="285"/>
    </row>
    <row r="292" spans="1:4" s="143" customFormat="1" x14ac:dyDescent="0.2">
      <c r="A292" s="280" t="s">
        <v>643</v>
      </c>
      <c r="B292" s="253" t="s">
        <v>644</v>
      </c>
      <c r="C292" s="283"/>
      <c r="D292" s="285"/>
    </row>
    <row r="293" spans="1:4" s="143" customFormat="1" x14ac:dyDescent="0.2">
      <c r="A293" s="135" t="s">
        <v>446</v>
      </c>
      <c r="B293" s="253" t="s">
        <v>645</v>
      </c>
      <c r="C293" s="279">
        <v>20.5</v>
      </c>
      <c r="D293" s="285"/>
    </row>
    <row r="294" spans="1:4" s="143" customFormat="1" x14ac:dyDescent="0.2">
      <c r="A294" s="280" t="s">
        <v>583</v>
      </c>
      <c r="B294" s="253" t="s">
        <v>646</v>
      </c>
      <c r="C294" s="283"/>
      <c r="D294" s="285"/>
    </row>
    <row r="295" spans="1:4" s="143" customFormat="1" x14ac:dyDescent="0.2">
      <c r="A295" s="135" t="s">
        <v>366</v>
      </c>
      <c r="B295" s="253" t="s">
        <v>647</v>
      </c>
      <c r="C295" s="279">
        <v>243</v>
      </c>
      <c r="D295" s="285"/>
    </row>
    <row r="296" spans="1:4" s="143" customFormat="1" x14ac:dyDescent="0.2">
      <c r="A296" s="135" t="s">
        <v>375</v>
      </c>
      <c r="B296" s="315" t="s">
        <v>648</v>
      </c>
      <c r="C296" s="279">
        <v>1850</v>
      </c>
      <c r="D296" s="285"/>
    </row>
    <row r="297" spans="1:4" s="143" customFormat="1" x14ac:dyDescent="0.2">
      <c r="A297" s="135" t="s">
        <v>366</v>
      </c>
      <c r="B297" s="253" t="s">
        <v>649</v>
      </c>
      <c r="C297" s="279">
        <v>670</v>
      </c>
      <c r="D297" s="285"/>
    </row>
    <row r="298" spans="1:4" s="143" customFormat="1" x14ac:dyDescent="0.2">
      <c r="A298" s="280" t="s">
        <v>187</v>
      </c>
      <c r="B298" s="315" t="s">
        <v>650</v>
      </c>
      <c r="C298" s="279">
        <v>17.5</v>
      </c>
      <c r="D298" s="285"/>
    </row>
    <row r="299" spans="1:4" s="143" customFormat="1" x14ac:dyDescent="0.2">
      <c r="A299" s="135" t="s">
        <v>187</v>
      </c>
      <c r="B299" s="253" t="s">
        <v>651</v>
      </c>
      <c r="C299" s="279">
        <v>8.75</v>
      </c>
      <c r="D299" s="285"/>
    </row>
    <row r="300" spans="1:4" s="143" customFormat="1" x14ac:dyDescent="0.2">
      <c r="A300" s="135" t="s">
        <v>187</v>
      </c>
      <c r="B300" s="315" t="s">
        <v>652</v>
      </c>
      <c r="C300" s="279">
        <v>9.5</v>
      </c>
      <c r="D300" s="285"/>
    </row>
    <row r="301" spans="1:4" s="143" customFormat="1" x14ac:dyDescent="0.2">
      <c r="A301" s="135" t="s">
        <v>187</v>
      </c>
      <c r="B301" s="253" t="s">
        <v>653</v>
      </c>
      <c r="C301" s="279">
        <v>15.75</v>
      </c>
      <c r="D301" s="285"/>
    </row>
    <row r="302" spans="1:4" s="143" customFormat="1" x14ac:dyDescent="0.2">
      <c r="A302" s="135" t="s">
        <v>366</v>
      </c>
      <c r="B302" s="253" t="s">
        <v>654</v>
      </c>
      <c r="C302" s="279">
        <v>180</v>
      </c>
      <c r="D302" s="285"/>
    </row>
    <row r="303" spans="1:4" s="143" customFormat="1" x14ac:dyDescent="0.2">
      <c r="A303" s="135" t="s">
        <v>178</v>
      </c>
      <c r="B303" s="253" t="s">
        <v>655</v>
      </c>
      <c r="C303" s="283"/>
      <c r="D303" s="285"/>
    </row>
    <row r="304" spans="1:4" s="143" customFormat="1" x14ac:dyDescent="0.2">
      <c r="A304" s="135" t="s">
        <v>178</v>
      </c>
      <c r="B304" s="254" t="s">
        <v>656</v>
      </c>
      <c r="C304" s="295">
        <v>114</v>
      </c>
      <c r="D304" s="285" t="s">
        <v>435</v>
      </c>
    </row>
    <row r="305" spans="1:4" s="143" customFormat="1" x14ac:dyDescent="0.2">
      <c r="A305" s="135" t="s">
        <v>187</v>
      </c>
      <c r="B305" s="315" t="s">
        <v>657</v>
      </c>
      <c r="C305" s="279">
        <v>23.5</v>
      </c>
      <c r="D305" s="285"/>
    </row>
    <row r="306" spans="1:4" s="143" customFormat="1" x14ac:dyDescent="0.2">
      <c r="A306" s="119" t="s">
        <v>366</v>
      </c>
      <c r="B306" s="253" t="s">
        <v>658</v>
      </c>
      <c r="C306" s="279">
        <v>39</v>
      </c>
      <c r="D306" s="285"/>
    </row>
    <row r="307" spans="1:4" s="143" customFormat="1" x14ac:dyDescent="0.2">
      <c r="A307" s="135" t="s">
        <v>185</v>
      </c>
      <c r="B307" s="253" t="s">
        <v>659</v>
      </c>
      <c r="C307" s="279">
        <v>82</v>
      </c>
      <c r="D307" s="285"/>
    </row>
    <row r="308" spans="1:4" s="143" customFormat="1" x14ac:dyDescent="0.2">
      <c r="A308" s="135" t="s">
        <v>185</v>
      </c>
      <c r="B308" s="253" t="s">
        <v>660</v>
      </c>
      <c r="C308" s="279">
        <v>65</v>
      </c>
      <c r="D308" s="285"/>
    </row>
    <row r="309" spans="1:4" s="143" customFormat="1" x14ac:dyDescent="0.2">
      <c r="A309" s="135" t="s">
        <v>185</v>
      </c>
      <c r="B309" s="253" t="s">
        <v>661</v>
      </c>
      <c r="C309" s="279">
        <v>65</v>
      </c>
      <c r="D309" s="285"/>
    </row>
    <row r="310" spans="1:4" s="143" customFormat="1" x14ac:dyDescent="0.2">
      <c r="A310" s="135" t="s">
        <v>185</v>
      </c>
      <c r="B310" s="253" t="s">
        <v>662</v>
      </c>
      <c r="C310" s="279">
        <v>82</v>
      </c>
      <c r="D310" s="285"/>
    </row>
    <row r="311" spans="1:4" s="143" customFormat="1" x14ac:dyDescent="0.2">
      <c r="A311" s="135" t="s">
        <v>185</v>
      </c>
      <c r="B311" s="253" t="s">
        <v>663</v>
      </c>
      <c r="C311" s="279">
        <v>90</v>
      </c>
      <c r="D311" s="285"/>
    </row>
    <row r="312" spans="1:4" s="143" customFormat="1" x14ac:dyDescent="0.2">
      <c r="A312" s="135" t="s">
        <v>185</v>
      </c>
      <c r="B312" s="253" t="s">
        <v>664</v>
      </c>
      <c r="C312" s="279">
        <v>48</v>
      </c>
      <c r="D312" s="285"/>
    </row>
    <row r="313" spans="1:4" s="143" customFormat="1" x14ac:dyDescent="0.2">
      <c r="A313" s="135" t="s">
        <v>187</v>
      </c>
      <c r="B313" s="253" t="s">
        <v>665</v>
      </c>
      <c r="C313" s="279">
        <v>3.25</v>
      </c>
      <c r="D313" s="285"/>
    </row>
    <row r="314" spans="1:4" s="143" customFormat="1" x14ac:dyDescent="0.2">
      <c r="A314" s="135" t="s">
        <v>187</v>
      </c>
      <c r="B314" s="253" t="s">
        <v>666</v>
      </c>
      <c r="C314" s="279">
        <v>6.75</v>
      </c>
      <c r="D314" s="285"/>
    </row>
    <row r="315" spans="1:4" s="143" customFormat="1" x14ac:dyDescent="0.2">
      <c r="A315" s="135" t="s">
        <v>375</v>
      </c>
      <c r="B315" s="315" t="s">
        <v>667</v>
      </c>
      <c r="C315" s="279">
        <v>815</v>
      </c>
      <c r="D315" s="285"/>
    </row>
    <row r="316" spans="1:4" s="143" customFormat="1" x14ac:dyDescent="0.2">
      <c r="A316" s="135" t="s">
        <v>187</v>
      </c>
      <c r="B316" s="253" t="s">
        <v>668</v>
      </c>
      <c r="C316" s="279">
        <v>29</v>
      </c>
      <c r="D316" s="285"/>
    </row>
    <row r="317" spans="1:4" s="143" customFormat="1" x14ac:dyDescent="0.2">
      <c r="A317" s="135" t="s">
        <v>187</v>
      </c>
      <c r="B317" s="253" t="s">
        <v>669</v>
      </c>
      <c r="C317" s="283"/>
      <c r="D317" s="285"/>
    </row>
    <row r="318" spans="1:4" s="143" customFormat="1" x14ac:dyDescent="0.2">
      <c r="A318" s="135" t="s">
        <v>187</v>
      </c>
      <c r="B318" s="253" t="s">
        <v>670</v>
      </c>
      <c r="C318" s="283"/>
      <c r="D318" s="285"/>
    </row>
    <row r="319" spans="1:4" s="143" customFormat="1" x14ac:dyDescent="0.2">
      <c r="A319" s="135" t="s">
        <v>187</v>
      </c>
      <c r="B319" s="253" t="s">
        <v>671</v>
      </c>
      <c r="C319" s="283"/>
      <c r="D319" s="285"/>
    </row>
    <row r="320" spans="1:4" s="143" customFormat="1" x14ac:dyDescent="0.2">
      <c r="A320" s="135" t="s">
        <v>672</v>
      </c>
      <c r="B320" s="315" t="s">
        <v>673</v>
      </c>
      <c r="C320" s="279">
        <v>24</v>
      </c>
      <c r="D320" s="285"/>
    </row>
    <row r="321" spans="1:4" s="143" customFormat="1" x14ac:dyDescent="0.2">
      <c r="A321" s="135" t="s">
        <v>185</v>
      </c>
      <c r="B321" s="315" t="s">
        <v>674</v>
      </c>
      <c r="C321" s="279">
        <v>2290</v>
      </c>
      <c r="D321" s="285"/>
    </row>
    <row r="322" spans="1:4" s="143" customFormat="1" x14ac:dyDescent="0.2">
      <c r="A322" s="135" t="s">
        <v>375</v>
      </c>
      <c r="B322" s="253" t="s">
        <v>675</v>
      </c>
      <c r="C322" s="283"/>
      <c r="D322" s="285"/>
    </row>
    <row r="323" spans="1:4" s="143" customFormat="1" x14ac:dyDescent="0.2">
      <c r="A323" s="119" t="s">
        <v>366</v>
      </c>
      <c r="B323" s="253" t="s">
        <v>676</v>
      </c>
      <c r="C323" s="279">
        <v>52</v>
      </c>
      <c r="D323" s="285"/>
    </row>
    <row r="324" spans="1:4" s="143" customFormat="1" x14ac:dyDescent="0.2">
      <c r="A324" s="135" t="s">
        <v>375</v>
      </c>
      <c r="B324" s="253" t="s">
        <v>677</v>
      </c>
      <c r="C324" s="279">
        <v>42</v>
      </c>
      <c r="D324" s="285"/>
    </row>
    <row r="325" spans="1:4" s="143" customFormat="1" x14ac:dyDescent="0.2">
      <c r="A325" s="135" t="s">
        <v>186</v>
      </c>
      <c r="B325" s="253" t="s">
        <v>678</v>
      </c>
      <c r="C325" s="284">
        <v>1.75</v>
      </c>
      <c r="D325" s="285"/>
    </row>
    <row r="326" spans="1:4" s="143" customFormat="1" x14ac:dyDescent="0.2">
      <c r="A326" s="135" t="s">
        <v>187</v>
      </c>
      <c r="B326" s="253" t="s">
        <v>679</v>
      </c>
      <c r="C326" s="284">
        <v>4.25</v>
      </c>
      <c r="D326" s="285"/>
    </row>
    <row r="327" spans="1:4" s="143" customFormat="1" x14ac:dyDescent="0.2">
      <c r="A327" s="135" t="s">
        <v>187</v>
      </c>
      <c r="B327" s="253" t="s">
        <v>680</v>
      </c>
      <c r="C327" s="279">
        <v>17.5</v>
      </c>
      <c r="D327" s="285"/>
    </row>
    <row r="328" spans="1:4" s="143" customFormat="1" x14ac:dyDescent="0.2">
      <c r="A328" s="135" t="s">
        <v>187</v>
      </c>
      <c r="B328" s="253" t="s">
        <v>681</v>
      </c>
      <c r="C328" s="279">
        <v>9.75</v>
      </c>
      <c r="D328" s="285"/>
    </row>
    <row r="329" spans="1:4" s="143" customFormat="1" x14ac:dyDescent="0.2">
      <c r="A329" s="135" t="s">
        <v>187</v>
      </c>
      <c r="B329" s="315" t="s">
        <v>682</v>
      </c>
      <c r="C329" s="279">
        <v>4.2</v>
      </c>
      <c r="D329" s="285"/>
    </row>
    <row r="330" spans="1:4" s="143" customFormat="1" x14ac:dyDescent="0.2">
      <c r="A330" s="280" t="s">
        <v>187</v>
      </c>
      <c r="B330" s="253" t="s">
        <v>683</v>
      </c>
      <c r="C330" s="279">
        <v>2.95</v>
      </c>
      <c r="D330" s="285"/>
    </row>
    <row r="331" spans="1:4" s="143" customFormat="1" x14ac:dyDescent="0.2">
      <c r="A331" s="135" t="s">
        <v>375</v>
      </c>
      <c r="B331" s="253" t="s">
        <v>684</v>
      </c>
      <c r="C331" s="279">
        <v>42</v>
      </c>
      <c r="D331" s="285"/>
    </row>
    <row r="332" spans="1:4" s="143" customFormat="1" x14ac:dyDescent="0.2">
      <c r="A332" s="135" t="s">
        <v>185</v>
      </c>
      <c r="B332" s="253" t="s">
        <v>685</v>
      </c>
      <c r="C332" s="279">
        <v>210</v>
      </c>
      <c r="D332" s="285"/>
    </row>
    <row r="333" spans="1:4" s="143" customFormat="1" x14ac:dyDescent="0.2">
      <c r="A333" s="135" t="s">
        <v>185</v>
      </c>
      <c r="B333" s="253" t="s">
        <v>686</v>
      </c>
      <c r="C333" s="279">
        <v>22</v>
      </c>
      <c r="D333" s="285"/>
    </row>
    <row r="334" spans="1:4" s="143" customFormat="1" x14ac:dyDescent="0.2">
      <c r="A334" s="135" t="s">
        <v>187</v>
      </c>
      <c r="B334" s="253" t="s">
        <v>687</v>
      </c>
      <c r="C334" s="279">
        <v>3.71</v>
      </c>
      <c r="D334" s="285" t="s">
        <v>435</v>
      </c>
    </row>
    <row r="335" spans="1:4" s="143" customFormat="1" x14ac:dyDescent="0.2">
      <c r="A335" s="135" t="s">
        <v>186</v>
      </c>
      <c r="B335" s="315" t="s">
        <v>688</v>
      </c>
      <c r="C335" s="284">
        <v>0.85</v>
      </c>
      <c r="D335" s="285"/>
    </row>
    <row r="336" spans="1:4" s="143" customFormat="1" x14ac:dyDescent="0.2">
      <c r="A336" s="135" t="s">
        <v>185</v>
      </c>
      <c r="B336" s="253" t="s">
        <v>689</v>
      </c>
      <c r="C336" s="284">
        <v>27</v>
      </c>
      <c r="D336" s="285"/>
    </row>
    <row r="337" spans="1:4" s="301" customFormat="1" ht="15" x14ac:dyDescent="0.2">
      <c r="A337" s="298" t="s">
        <v>186</v>
      </c>
      <c r="B337" s="118" t="s">
        <v>690</v>
      </c>
      <c r="C337" s="299">
        <v>2.2000000000000002</v>
      </c>
      <c r="D337" s="300"/>
    </row>
    <row r="338" spans="1:4" s="301" customFormat="1" ht="15" x14ac:dyDescent="0.2">
      <c r="A338" s="135" t="s">
        <v>186</v>
      </c>
      <c r="B338" s="253" t="s">
        <v>691</v>
      </c>
      <c r="C338" s="279">
        <v>9.75</v>
      </c>
      <c r="D338" s="300"/>
    </row>
    <row r="339" spans="1:4" s="301" customFormat="1" ht="15" x14ac:dyDescent="0.2">
      <c r="A339" s="119" t="s">
        <v>375</v>
      </c>
      <c r="B339" s="253" t="s">
        <v>692</v>
      </c>
      <c r="C339" s="279">
        <v>712</v>
      </c>
      <c r="D339" s="300"/>
    </row>
    <row r="340" spans="1:4" s="301" customFormat="1" ht="15" x14ac:dyDescent="0.2">
      <c r="A340" s="135" t="s">
        <v>375</v>
      </c>
      <c r="B340" s="253" t="s">
        <v>693</v>
      </c>
      <c r="C340" s="283"/>
      <c r="D340" s="300"/>
    </row>
    <row r="341" spans="1:4" s="301" customFormat="1" ht="15" x14ac:dyDescent="0.2">
      <c r="A341" s="135" t="s">
        <v>375</v>
      </c>
      <c r="B341" s="315" t="s">
        <v>694</v>
      </c>
      <c r="C341" s="279">
        <v>455</v>
      </c>
      <c r="D341" s="300"/>
    </row>
    <row r="342" spans="1:4" s="301" customFormat="1" ht="15" x14ac:dyDescent="0.2">
      <c r="A342" s="135" t="s">
        <v>375</v>
      </c>
      <c r="B342" s="315" t="s">
        <v>695</v>
      </c>
      <c r="C342" s="283"/>
      <c r="D342" s="300"/>
    </row>
    <row r="343" spans="1:4" s="143" customFormat="1" x14ac:dyDescent="0.2">
      <c r="A343" s="280" t="s">
        <v>187</v>
      </c>
      <c r="B343" s="253" t="s">
        <v>696</v>
      </c>
      <c r="C343" s="284">
        <v>1.5</v>
      </c>
      <c r="D343" s="285"/>
    </row>
    <row r="344" spans="1:4" s="143" customFormat="1" x14ac:dyDescent="0.2">
      <c r="A344" s="280" t="s">
        <v>187</v>
      </c>
      <c r="B344" s="253" t="s">
        <v>697</v>
      </c>
      <c r="C344" s="293"/>
      <c r="D344" s="285"/>
    </row>
    <row r="345" spans="1:4" s="143" customFormat="1" x14ac:dyDescent="0.2">
      <c r="A345" s="280" t="s">
        <v>187</v>
      </c>
      <c r="B345" s="253" t="s">
        <v>698</v>
      </c>
      <c r="C345" s="293"/>
      <c r="D345" s="285"/>
    </row>
    <row r="346" spans="1:4" s="143" customFormat="1" x14ac:dyDescent="0.2">
      <c r="A346" s="280" t="s">
        <v>187</v>
      </c>
      <c r="B346" s="253" t="s">
        <v>699</v>
      </c>
      <c r="C346" s="279">
        <v>8.75</v>
      </c>
      <c r="D346" s="285"/>
    </row>
    <row r="347" spans="1:4" s="143" customFormat="1" x14ac:dyDescent="0.2">
      <c r="A347" s="280" t="s">
        <v>187</v>
      </c>
      <c r="B347" s="253" t="s">
        <v>700</v>
      </c>
      <c r="C347" s="279">
        <v>5.5</v>
      </c>
      <c r="D347" s="285"/>
    </row>
    <row r="348" spans="1:4" s="143" customFormat="1" x14ac:dyDescent="0.2">
      <c r="A348" s="135" t="s">
        <v>366</v>
      </c>
      <c r="B348" s="315" t="s">
        <v>701</v>
      </c>
      <c r="C348" s="279">
        <v>57.75</v>
      </c>
      <c r="D348" s="285"/>
    </row>
    <row r="349" spans="1:4" s="143" customFormat="1" x14ac:dyDescent="0.2">
      <c r="A349" s="135" t="s">
        <v>187</v>
      </c>
      <c r="B349" s="253" t="s">
        <v>702</v>
      </c>
      <c r="C349" s="279">
        <v>19.5</v>
      </c>
      <c r="D349" s="285"/>
    </row>
    <row r="350" spans="1:4" s="143" customFormat="1" x14ac:dyDescent="0.2">
      <c r="A350" s="135" t="s">
        <v>187</v>
      </c>
      <c r="B350" s="315" t="s">
        <v>703</v>
      </c>
      <c r="C350" s="279">
        <v>9.9</v>
      </c>
      <c r="D350" s="285"/>
    </row>
    <row r="351" spans="1:4" s="143" customFormat="1" x14ac:dyDescent="0.2">
      <c r="A351" s="135" t="s">
        <v>375</v>
      </c>
      <c r="B351" s="315" t="s">
        <v>704</v>
      </c>
      <c r="C351" s="283"/>
      <c r="D351" s="285"/>
    </row>
    <row r="352" spans="1:4" s="143" customFormat="1" x14ac:dyDescent="0.2">
      <c r="A352" s="135" t="s">
        <v>187</v>
      </c>
      <c r="B352" s="253" t="s">
        <v>705</v>
      </c>
      <c r="C352" s="279">
        <v>3.75</v>
      </c>
      <c r="D352" s="285"/>
    </row>
    <row r="353" spans="1:4" s="143" customFormat="1" x14ac:dyDescent="0.2">
      <c r="A353" s="135" t="s">
        <v>185</v>
      </c>
      <c r="B353" s="316" t="s">
        <v>706</v>
      </c>
      <c r="C353" s="279">
        <v>22.5</v>
      </c>
      <c r="D353" s="285" t="s">
        <v>435</v>
      </c>
    </row>
    <row r="354" spans="1:4" s="143" customFormat="1" x14ac:dyDescent="0.2">
      <c r="A354" s="135" t="s">
        <v>366</v>
      </c>
      <c r="B354" s="317" t="s">
        <v>707</v>
      </c>
      <c r="C354" s="279">
        <v>12</v>
      </c>
      <c r="D354" s="285"/>
    </row>
    <row r="355" spans="1:4" s="143" customFormat="1" x14ac:dyDescent="0.2">
      <c r="A355" s="135" t="s">
        <v>187</v>
      </c>
      <c r="B355" s="315" t="s">
        <v>708</v>
      </c>
      <c r="C355" s="293"/>
      <c r="D355" s="285"/>
    </row>
    <row r="356" spans="1:4" s="143" customFormat="1" x14ac:dyDescent="0.2">
      <c r="A356" s="135"/>
      <c r="B356" s="315"/>
      <c r="C356" s="293"/>
      <c r="D356" s="285"/>
    </row>
    <row r="357" spans="1:4" s="143" customFormat="1" x14ac:dyDescent="0.2">
      <c r="A357" s="135"/>
      <c r="B357" s="315"/>
      <c r="C357" s="293"/>
      <c r="D357" s="285"/>
    </row>
    <row r="358" spans="1:4" s="143" customFormat="1" x14ac:dyDescent="0.2">
      <c r="A358" s="135" t="s">
        <v>187</v>
      </c>
      <c r="B358" s="315" t="s">
        <v>709</v>
      </c>
      <c r="C358" s="284">
        <v>1.2</v>
      </c>
      <c r="D358" s="285"/>
    </row>
    <row r="359" spans="1:4" s="143" customFormat="1" x14ac:dyDescent="0.2">
      <c r="A359" s="135" t="s">
        <v>185</v>
      </c>
      <c r="B359" s="253" t="s">
        <v>710</v>
      </c>
      <c r="C359" s="279">
        <v>37</v>
      </c>
      <c r="D359" s="285"/>
    </row>
    <row r="360" spans="1:4" s="143" customFormat="1" x14ac:dyDescent="0.2">
      <c r="A360" s="135" t="s">
        <v>187</v>
      </c>
      <c r="B360" s="253" t="s">
        <v>711</v>
      </c>
      <c r="C360" s="284">
        <v>2.95</v>
      </c>
      <c r="D360" s="285"/>
    </row>
    <row r="361" spans="1:4" s="143" customFormat="1" x14ac:dyDescent="0.2">
      <c r="A361" s="119" t="s">
        <v>375</v>
      </c>
      <c r="B361" s="253" t="s">
        <v>711</v>
      </c>
      <c r="C361" s="279">
        <v>47.5</v>
      </c>
      <c r="D361" s="285"/>
    </row>
    <row r="362" spans="1:4" s="143" customFormat="1" x14ac:dyDescent="0.2">
      <c r="A362" s="135" t="s">
        <v>375</v>
      </c>
      <c r="B362" s="253" t="s">
        <v>712</v>
      </c>
      <c r="C362" s="302">
        <v>79.86</v>
      </c>
      <c r="D362" s="285" t="s">
        <v>435</v>
      </c>
    </row>
    <row r="363" spans="1:4" s="143" customFormat="1" x14ac:dyDescent="0.2">
      <c r="A363" s="288" t="s">
        <v>185</v>
      </c>
      <c r="B363" s="253" t="s">
        <v>713</v>
      </c>
      <c r="C363" s="279">
        <v>179</v>
      </c>
      <c r="D363" s="285"/>
    </row>
    <row r="364" spans="1:4" s="143" customFormat="1" x14ac:dyDescent="0.2">
      <c r="A364" s="119" t="s">
        <v>187</v>
      </c>
      <c r="B364" s="253" t="s">
        <v>714</v>
      </c>
      <c r="C364" s="279">
        <v>25</v>
      </c>
      <c r="D364" s="285"/>
    </row>
    <row r="365" spans="1:4" s="143" customFormat="1" x14ac:dyDescent="0.2">
      <c r="A365" s="280" t="s">
        <v>187</v>
      </c>
      <c r="B365" s="253" t="s">
        <v>715</v>
      </c>
      <c r="C365" s="284">
        <v>8</v>
      </c>
      <c r="D365" s="285"/>
    </row>
    <row r="366" spans="1:4" s="143" customFormat="1" x14ac:dyDescent="0.2">
      <c r="A366" s="119" t="s">
        <v>187</v>
      </c>
      <c r="B366" s="253" t="s">
        <v>716</v>
      </c>
      <c r="C366" s="279">
        <v>17.25</v>
      </c>
      <c r="D366" s="285"/>
    </row>
    <row r="367" spans="1:4" s="143" customFormat="1" x14ac:dyDescent="0.2">
      <c r="A367" s="280" t="s">
        <v>186</v>
      </c>
      <c r="B367" s="253" t="s">
        <v>717</v>
      </c>
      <c r="C367" s="279">
        <v>5.5</v>
      </c>
      <c r="D367" s="285"/>
    </row>
    <row r="368" spans="1:4" s="143" customFormat="1" x14ac:dyDescent="0.2">
      <c r="A368" s="135" t="s">
        <v>186</v>
      </c>
      <c r="B368" s="253" t="s">
        <v>718</v>
      </c>
      <c r="C368" s="284">
        <v>3.9</v>
      </c>
      <c r="D368" s="285"/>
    </row>
    <row r="369" spans="1:4" s="143" customFormat="1" x14ac:dyDescent="0.2">
      <c r="A369" s="135" t="s">
        <v>186</v>
      </c>
      <c r="B369" s="253" t="s">
        <v>719</v>
      </c>
      <c r="C369" s="279">
        <v>14.5</v>
      </c>
      <c r="D369" s="285"/>
    </row>
    <row r="370" spans="1:4" s="143" customFormat="1" x14ac:dyDescent="0.2">
      <c r="A370" s="135" t="s">
        <v>185</v>
      </c>
      <c r="B370" s="253" t="s">
        <v>720</v>
      </c>
      <c r="C370" s="279">
        <v>495</v>
      </c>
      <c r="D370" s="285"/>
    </row>
    <row r="371" spans="1:4" s="143" customFormat="1" x14ac:dyDescent="0.2">
      <c r="A371" s="280" t="s">
        <v>186</v>
      </c>
      <c r="B371" s="253" t="s">
        <v>721</v>
      </c>
      <c r="C371" s="284">
        <v>4.2</v>
      </c>
      <c r="D371" s="285"/>
    </row>
    <row r="372" spans="1:4" s="143" customFormat="1" x14ac:dyDescent="0.2">
      <c r="A372" s="135" t="s">
        <v>185</v>
      </c>
      <c r="B372" s="253" t="s">
        <v>722</v>
      </c>
      <c r="C372" s="284">
        <v>38</v>
      </c>
      <c r="D372" s="285"/>
    </row>
    <row r="373" spans="1:4" s="143" customFormat="1" x14ac:dyDescent="0.2">
      <c r="A373" s="280" t="s">
        <v>185</v>
      </c>
      <c r="B373" s="253" t="s">
        <v>723</v>
      </c>
      <c r="C373" s="284">
        <v>75</v>
      </c>
      <c r="D373" s="285"/>
    </row>
    <row r="374" spans="1:4" s="143" customFormat="1" x14ac:dyDescent="0.2">
      <c r="A374" s="135" t="s">
        <v>185</v>
      </c>
      <c r="B374" s="253" t="s">
        <v>724</v>
      </c>
      <c r="C374" s="284">
        <v>42</v>
      </c>
      <c r="D374" s="285"/>
    </row>
    <row r="375" spans="1:4" s="143" customFormat="1" x14ac:dyDescent="0.2">
      <c r="A375" s="135" t="s">
        <v>178</v>
      </c>
      <c r="B375" s="253" t="s">
        <v>725</v>
      </c>
      <c r="C375" s="279">
        <v>78</v>
      </c>
      <c r="D375" s="285"/>
    </row>
    <row r="376" spans="1:4" s="143" customFormat="1" x14ac:dyDescent="0.2">
      <c r="A376" s="280" t="s">
        <v>187</v>
      </c>
      <c r="B376" s="253" t="s">
        <v>726</v>
      </c>
      <c r="C376" s="279">
        <v>5.6</v>
      </c>
      <c r="D376" s="285"/>
    </row>
    <row r="377" spans="1:4" s="143" customFormat="1" x14ac:dyDescent="0.2">
      <c r="A377" s="119" t="s">
        <v>366</v>
      </c>
      <c r="B377" s="253" t="s">
        <v>727</v>
      </c>
      <c r="C377" s="279">
        <v>355</v>
      </c>
      <c r="D377" s="285"/>
    </row>
    <row r="378" spans="1:4" s="143" customFormat="1" x14ac:dyDescent="0.2">
      <c r="A378" s="119" t="s">
        <v>366</v>
      </c>
      <c r="B378" s="318" t="s">
        <v>728</v>
      </c>
      <c r="C378" s="279">
        <v>450</v>
      </c>
      <c r="D378" s="285" t="s">
        <v>435</v>
      </c>
    </row>
    <row r="379" spans="1:4" s="143" customFormat="1" x14ac:dyDescent="0.2">
      <c r="A379" s="135" t="s">
        <v>186</v>
      </c>
      <c r="B379" s="253" t="s">
        <v>729</v>
      </c>
      <c r="C379" s="279">
        <v>3.95</v>
      </c>
      <c r="D379" s="285"/>
    </row>
    <row r="380" spans="1:4" s="143" customFormat="1" x14ac:dyDescent="0.2">
      <c r="A380" s="135" t="s">
        <v>187</v>
      </c>
      <c r="B380" s="253" t="s">
        <v>730</v>
      </c>
      <c r="C380" s="283"/>
      <c r="D380" s="285"/>
    </row>
    <row r="381" spans="1:4" s="143" customFormat="1" x14ac:dyDescent="0.2">
      <c r="A381" s="135" t="s">
        <v>187</v>
      </c>
      <c r="B381" s="253" t="s">
        <v>731</v>
      </c>
      <c r="C381" s="279">
        <v>34</v>
      </c>
      <c r="D381" s="285"/>
    </row>
    <row r="382" spans="1:4" s="143" customFormat="1" x14ac:dyDescent="0.2">
      <c r="A382" s="135" t="s">
        <v>186</v>
      </c>
      <c r="B382" s="253" t="s">
        <v>732</v>
      </c>
      <c r="C382" s="279">
        <v>2.75</v>
      </c>
      <c r="D382" s="285"/>
    </row>
    <row r="383" spans="1:4" s="143" customFormat="1" x14ac:dyDescent="0.2">
      <c r="A383" s="135" t="s">
        <v>186</v>
      </c>
      <c r="B383" s="319" t="s">
        <v>733</v>
      </c>
      <c r="C383" s="283">
        <v>15</v>
      </c>
      <c r="D383" s="285" t="s">
        <v>435</v>
      </c>
    </row>
    <row r="384" spans="1:4" s="143" customFormat="1" x14ac:dyDescent="0.2">
      <c r="A384" s="135" t="s">
        <v>186</v>
      </c>
      <c r="B384" s="253" t="s">
        <v>734</v>
      </c>
      <c r="C384" s="283"/>
      <c r="D384" s="285"/>
    </row>
    <row r="385" spans="1:4" s="143" customFormat="1" x14ac:dyDescent="0.2">
      <c r="A385" s="135" t="s">
        <v>187</v>
      </c>
      <c r="B385" s="317" t="s">
        <v>735</v>
      </c>
      <c r="C385" s="283"/>
      <c r="D385" s="285"/>
    </row>
    <row r="386" spans="1:4" s="143" customFormat="1" x14ac:dyDescent="0.2">
      <c r="A386" s="280" t="s">
        <v>736</v>
      </c>
      <c r="B386" s="253" t="s">
        <v>737</v>
      </c>
      <c r="C386" s="279">
        <v>94</v>
      </c>
      <c r="D386" s="285"/>
    </row>
    <row r="387" spans="1:4" s="143" customFormat="1" x14ac:dyDescent="0.2">
      <c r="A387" s="135" t="s">
        <v>366</v>
      </c>
      <c r="B387" s="253" t="s">
        <v>738</v>
      </c>
      <c r="C387" s="279">
        <v>287</v>
      </c>
      <c r="D387" s="285"/>
    </row>
    <row r="388" spans="1:4" s="143" customFormat="1" x14ac:dyDescent="0.2">
      <c r="A388" s="135" t="s">
        <v>366</v>
      </c>
      <c r="B388" s="253" t="s">
        <v>739</v>
      </c>
      <c r="C388" s="279">
        <v>590</v>
      </c>
      <c r="D388" s="285"/>
    </row>
    <row r="389" spans="1:4" s="143" customFormat="1" x14ac:dyDescent="0.2">
      <c r="A389" s="280" t="s">
        <v>185</v>
      </c>
      <c r="B389" s="253" t="s">
        <v>740</v>
      </c>
      <c r="C389" s="279">
        <v>195</v>
      </c>
      <c r="D389" s="285"/>
    </row>
    <row r="390" spans="1:4" s="143" customFormat="1" x14ac:dyDescent="0.2">
      <c r="A390" s="280" t="s">
        <v>186</v>
      </c>
      <c r="B390" s="253" t="s">
        <v>741</v>
      </c>
      <c r="C390" s="279">
        <v>4.2</v>
      </c>
      <c r="D390" s="285"/>
    </row>
    <row r="391" spans="1:4" s="143" customFormat="1" x14ac:dyDescent="0.2">
      <c r="A391" s="135" t="s">
        <v>186</v>
      </c>
      <c r="B391" s="253" t="s">
        <v>742</v>
      </c>
      <c r="C391" s="279">
        <v>9.5</v>
      </c>
      <c r="D391" s="285"/>
    </row>
    <row r="392" spans="1:4" s="143" customFormat="1" x14ac:dyDescent="0.2">
      <c r="A392" s="280" t="s">
        <v>375</v>
      </c>
      <c r="B392" s="253" t="s">
        <v>743</v>
      </c>
      <c r="C392" s="279">
        <v>275</v>
      </c>
      <c r="D392" s="285"/>
    </row>
    <row r="393" spans="1:4" s="143" customFormat="1" x14ac:dyDescent="0.2">
      <c r="A393" s="135" t="s">
        <v>366</v>
      </c>
      <c r="B393" s="253" t="s">
        <v>744</v>
      </c>
      <c r="C393" s="283"/>
      <c r="D393" s="285"/>
    </row>
    <row r="394" spans="1:4" s="143" customFormat="1" x14ac:dyDescent="0.2">
      <c r="A394" s="280" t="s">
        <v>179</v>
      </c>
      <c r="B394" s="253" t="s">
        <v>745</v>
      </c>
      <c r="C394" s="293">
        <v>16</v>
      </c>
      <c r="D394" s="285" t="s">
        <v>435</v>
      </c>
    </row>
    <row r="395" spans="1:4" s="143" customFormat="1" x14ac:dyDescent="0.2">
      <c r="A395" s="280" t="s">
        <v>179</v>
      </c>
      <c r="B395" s="253" t="s">
        <v>746</v>
      </c>
      <c r="C395" s="284">
        <v>4.8</v>
      </c>
      <c r="D395" s="285"/>
    </row>
    <row r="396" spans="1:4" s="143" customFormat="1" x14ac:dyDescent="0.2">
      <c r="A396" s="280" t="s">
        <v>179</v>
      </c>
      <c r="B396" s="253" t="s">
        <v>747</v>
      </c>
      <c r="C396" s="293"/>
      <c r="D396" s="285"/>
    </row>
    <row r="397" spans="1:4" s="143" customFormat="1" x14ac:dyDescent="0.2">
      <c r="A397" s="135" t="s">
        <v>375</v>
      </c>
      <c r="B397" s="253" t="s">
        <v>748</v>
      </c>
      <c r="C397" s="279">
        <v>105</v>
      </c>
      <c r="D397" s="285"/>
    </row>
    <row r="398" spans="1:4" s="143" customFormat="1" x14ac:dyDescent="0.2">
      <c r="A398" s="135" t="s">
        <v>187</v>
      </c>
      <c r="B398" s="253" t="s">
        <v>749</v>
      </c>
      <c r="C398" s="279">
        <v>21.95</v>
      </c>
      <c r="D398" s="285"/>
    </row>
    <row r="399" spans="1:4" s="143" customFormat="1" x14ac:dyDescent="0.2">
      <c r="A399" s="280" t="s">
        <v>185</v>
      </c>
      <c r="B399" s="315" t="s">
        <v>750</v>
      </c>
      <c r="C399" s="279">
        <v>825</v>
      </c>
      <c r="D399" s="285"/>
    </row>
    <row r="400" spans="1:4" s="143" customFormat="1" x14ac:dyDescent="0.2">
      <c r="A400" s="135" t="s">
        <v>178</v>
      </c>
      <c r="B400" s="253" t="s">
        <v>751</v>
      </c>
      <c r="C400" s="279">
        <v>825</v>
      </c>
      <c r="D400" s="285"/>
    </row>
    <row r="401" spans="1:4" s="143" customFormat="1" x14ac:dyDescent="0.2">
      <c r="A401" s="135" t="s">
        <v>366</v>
      </c>
      <c r="B401" s="253" t="s">
        <v>752</v>
      </c>
      <c r="C401" s="279">
        <v>37.5</v>
      </c>
      <c r="D401" s="285"/>
    </row>
    <row r="402" spans="1:4" s="143" customFormat="1" x14ac:dyDescent="0.2">
      <c r="A402" s="280" t="s">
        <v>187</v>
      </c>
      <c r="B402" s="253" t="s">
        <v>753</v>
      </c>
      <c r="C402" s="279">
        <v>8.1999999999999993</v>
      </c>
      <c r="D402" s="285"/>
    </row>
    <row r="403" spans="1:4" s="143" customFormat="1" x14ac:dyDescent="0.2">
      <c r="A403" s="135" t="s">
        <v>187</v>
      </c>
      <c r="B403" s="253" t="s">
        <v>754</v>
      </c>
      <c r="C403" s="284">
        <v>3</v>
      </c>
      <c r="D403" s="285"/>
    </row>
    <row r="404" spans="1:4" s="143" customFormat="1" x14ac:dyDescent="0.2">
      <c r="A404" s="280" t="s">
        <v>185</v>
      </c>
      <c r="B404" s="253" t="s">
        <v>755</v>
      </c>
      <c r="C404" s="284">
        <v>25</v>
      </c>
      <c r="D404" s="285"/>
    </row>
    <row r="405" spans="1:4" s="143" customFormat="1" x14ac:dyDescent="0.2">
      <c r="A405" s="135" t="s">
        <v>375</v>
      </c>
      <c r="B405" s="315" t="s">
        <v>756</v>
      </c>
      <c r="C405" s="293">
        <v>415</v>
      </c>
      <c r="D405" s="285" t="s">
        <v>435</v>
      </c>
    </row>
    <row r="406" spans="1:4" s="143" customFormat="1" x14ac:dyDescent="0.2">
      <c r="A406" s="135" t="s">
        <v>757</v>
      </c>
      <c r="B406" s="253" t="s">
        <v>758</v>
      </c>
      <c r="C406" s="279">
        <v>22</v>
      </c>
      <c r="D406" s="285"/>
    </row>
    <row r="407" spans="1:4" s="143" customFormat="1" x14ac:dyDescent="0.2">
      <c r="A407" s="135" t="s">
        <v>185</v>
      </c>
      <c r="B407" s="253" t="s">
        <v>759</v>
      </c>
      <c r="C407" s="283"/>
      <c r="D407" s="285"/>
    </row>
    <row r="408" spans="1:4" s="143" customFormat="1" x14ac:dyDescent="0.2">
      <c r="A408" s="280" t="s">
        <v>185</v>
      </c>
      <c r="B408" s="253" t="s">
        <v>760</v>
      </c>
      <c r="C408" s="284">
        <v>28</v>
      </c>
      <c r="D408" s="285"/>
    </row>
    <row r="409" spans="1:4" s="143" customFormat="1" x14ac:dyDescent="0.2">
      <c r="A409" s="135" t="s">
        <v>366</v>
      </c>
      <c r="B409" s="253" t="s">
        <v>761</v>
      </c>
      <c r="C409" s="279">
        <v>12.5</v>
      </c>
      <c r="D409" s="285"/>
    </row>
    <row r="410" spans="1:4" s="143" customFormat="1" x14ac:dyDescent="0.2">
      <c r="A410" s="135" t="s">
        <v>757</v>
      </c>
      <c r="B410" s="253" t="s">
        <v>762</v>
      </c>
      <c r="C410" s="279">
        <v>25</v>
      </c>
      <c r="D410" s="285"/>
    </row>
    <row r="411" spans="1:4" s="143" customFormat="1" x14ac:dyDescent="0.2">
      <c r="A411" s="135" t="s">
        <v>185</v>
      </c>
      <c r="B411" s="253" t="s">
        <v>763</v>
      </c>
      <c r="C411" s="293"/>
      <c r="D411" s="285"/>
    </row>
    <row r="412" spans="1:4" s="143" customFormat="1" x14ac:dyDescent="0.2">
      <c r="A412" s="135" t="s">
        <v>185</v>
      </c>
      <c r="B412" s="253" t="s">
        <v>764</v>
      </c>
      <c r="C412" s="283"/>
      <c r="D412" s="285"/>
    </row>
    <row r="413" spans="1:4" s="143" customFormat="1" x14ac:dyDescent="0.2">
      <c r="A413" s="135" t="s">
        <v>185</v>
      </c>
      <c r="B413" s="253" t="s">
        <v>765</v>
      </c>
      <c r="C413" s="284">
        <v>32</v>
      </c>
      <c r="D413" s="285"/>
    </row>
    <row r="414" spans="1:4" s="143" customFormat="1" x14ac:dyDescent="0.2">
      <c r="A414" s="135" t="s">
        <v>187</v>
      </c>
      <c r="B414" s="253" t="s">
        <v>766</v>
      </c>
      <c r="C414" s="283"/>
      <c r="D414" s="285"/>
    </row>
    <row r="415" spans="1:4" s="143" customFormat="1" x14ac:dyDescent="0.2">
      <c r="A415" s="135" t="s">
        <v>187</v>
      </c>
      <c r="B415" s="315" t="s">
        <v>767</v>
      </c>
      <c r="C415" s="284">
        <v>0.9</v>
      </c>
      <c r="D415" s="285"/>
    </row>
    <row r="416" spans="1:4" s="143" customFormat="1" x14ac:dyDescent="0.2">
      <c r="A416" s="135" t="s">
        <v>375</v>
      </c>
      <c r="B416" s="253" t="s">
        <v>768</v>
      </c>
      <c r="C416" s="279">
        <v>129</v>
      </c>
      <c r="D416" s="285"/>
    </row>
    <row r="417" spans="1:4" s="143" customFormat="1" x14ac:dyDescent="0.2">
      <c r="A417" s="119" t="s">
        <v>187</v>
      </c>
      <c r="B417" s="253" t="s">
        <v>769</v>
      </c>
      <c r="C417" s="284">
        <v>4</v>
      </c>
      <c r="D417" s="285"/>
    </row>
    <row r="418" spans="1:4" s="143" customFormat="1" x14ac:dyDescent="0.2">
      <c r="A418" s="119" t="s">
        <v>185</v>
      </c>
      <c r="B418" s="320" t="s">
        <v>770</v>
      </c>
      <c r="C418" s="284">
        <v>47.5</v>
      </c>
      <c r="D418" s="285"/>
    </row>
    <row r="419" spans="1:4" s="143" customFormat="1" x14ac:dyDescent="0.2">
      <c r="A419" s="135" t="s">
        <v>186</v>
      </c>
      <c r="B419" s="253" t="s">
        <v>771</v>
      </c>
      <c r="C419" s="279">
        <v>25</v>
      </c>
      <c r="D419" s="285"/>
    </row>
    <row r="420" spans="1:4" s="143" customFormat="1" x14ac:dyDescent="0.2">
      <c r="A420" s="135" t="s">
        <v>366</v>
      </c>
      <c r="B420" s="253" t="s">
        <v>772</v>
      </c>
      <c r="C420" s="279">
        <v>575</v>
      </c>
      <c r="D420" s="285"/>
    </row>
    <row r="421" spans="1:4" s="143" customFormat="1" x14ac:dyDescent="0.2">
      <c r="A421" s="135" t="s">
        <v>366</v>
      </c>
      <c r="B421" s="253" t="s">
        <v>773</v>
      </c>
      <c r="C421" s="279">
        <v>39.950000000000003</v>
      </c>
      <c r="D421" s="285"/>
    </row>
    <row r="422" spans="1:4" s="143" customFormat="1" x14ac:dyDescent="0.2">
      <c r="A422" s="135" t="s">
        <v>375</v>
      </c>
      <c r="B422" s="253" t="s">
        <v>774</v>
      </c>
      <c r="C422" s="279">
        <v>250</v>
      </c>
      <c r="D422" s="285"/>
    </row>
    <row r="423" spans="1:4" s="143" customFormat="1" x14ac:dyDescent="0.2">
      <c r="A423" s="135" t="s">
        <v>375</v>
      </c>
      <c r="B423" s="253" t="s">
        <v>775</v>
      </c>
      <c r="C423" s="283"/>
      <c r="D423" s="285"/>
    </row>
    <row r="424" spans="1:4" s="143" customFormat="1" x14ac:dyDescent="0.2">
      <c r="A424" s="135" t="s">
        <v>375</v>
      </c>
      <c r="B424" s="253" t="s">
        <v>776</v>
      </c>
      <c r="C424" s="279">
        <v>295</v>
      </c>
      <c r="D424" s="285"/>
    </row>
    <row r="425" spans="1:4" s="143" customFormat="1" x14ac:dyDescent="0.2">
      <c r="A425" s="135" t="s">
        <v>375</v>
      </c>
      <c r="B425" s="253" t="s">
        <v>777</v>
      </c>
      <c r="C425" s="279">
        <v>295</v>
      </c>
      <c r="D425" s="285"/>
    </row>
    <row r="426" spans="1:4" s="143" customFormat="1" x14ac:dyDescent="0.2">
      <c r="A426" s="119" t="s">
        <v>185</v>
      </c>
      <c r="B426" s="253" t="s">
        <v>778</v>
      </c>
      <c r="C426" s="279">
        <v>82</v>
      </c>
      <c r="D426" s="285"/>
    </row>
    <row r="427" spans="1:4" s="143" customFormat="1" x14ac:dyDescent="0.2">
      <c r="A427" s="119" t="s">
        <v>185</v>
      </c>
      <c r="B427" s="253" t="s">
        <v>779</v>
      </c>
      <c r="C427" s="279">
        <v>65</v>
      </c>
      <c r="D427" s="285"/>
    </row>
    <row r="428" spans="1:4" s="143" customFormat="1" x14ac:dyDescent="0.2">
      <c r="A428" s="119"/>
      <c r="B428" s="253"/>
      <c r="C428" s="279"/>
      <c r="D428" s="285"/>
    </row>
    <row r="429" spans="1:4" s="143" customFormat="1" x14ac:dyDescent="0.2">
      <c r="A429" s="119"/>
      <c r="B429" s="253"/>
      <c r="C429" s="279"/>
      <c r="D429" s="285"/>
    </row>
    <row r="430" spans="1:4" s="143" customFormat="1" x14ac:dyDescent="0.2">
      <c r="A430" s="135" t="s">
        <v>185</v>
      </c>
      <c r="B430" s="253" t="s">
        <v>780</v>
      </c>
      <c r="C430" s="279">
        <v>82</v>
      </c>
      <c r="D430" s="285"/>
    </row>
    <row r="431" spans="1:4" s="143" customFormat="1" x14ac:dyDescent="0.2">
      <c r="A431" s="135" t="s">
        <v>375</v>
      </c>
      <c r="B431" s="253" t="s">
        <v>781</v>
      </c>
      <c r="C431" s="279">
        <v>54</v>
      </c>
      <c r="D431" s="285"/>
    </row>
    <row r="432" spans="1:4" s="143" customFormat="1" x14ac:dyDescent="0.2">
      <c r="A432" s="135" t="s">
        <v>375</v>
      </c>
      <c r="B432" s="253" t="s">
        <v>782</v>
      </c>
      <c r="C432" s="279">
        <v>54</v>
      </c>
      <c r="D432" s="285"/>
    </row>
    <row r="433" spans="1:4" s="143" customFormat="1" x14ac:dyDescent="0.2">
      <c r="A433" s="119" t="s">
        <v>187</v>
      </c>
      <c r="B433" s="253" t="s">
        <v>783</v>
      </c>
      <c r="C433" s="279">
        <v>15</v>
      </c>
      <c r="D433" s="285"/>
    </row>
    <row r="434" spans="1:4" s="143" customFormat="1" x14ac:dyDescent="0.2">
      <c r="A434" s="135" t="s">
        <v>187</v>
      </c>
      <c r="B434" s="253" t="s">
        <v>784</v>
      </c>
      <c r="C434" s="279">
        <v>19</v>
      </c>
      <c r="D434" s="285"/>
    </row>
    <row r="435" spans="1:4" s="143" customFormat="1" x14ac:dyDescent="0.2">
      <c r="A435" s="135" t="s">
        <v>187</v>
      </c>
      <c r="B435" s="253" t="s">
        <v>785</v>
      </c>
      <c r="C435" s="279">
        <v>14.25</v>
      </c>
      <c r="D435" s="285"/>
    </row>
    <row r="436" spans="1:4" s="143" customFormat="1" x14ac:dyDescent="0.2">
      <c r="A436" s="135" t="s">
        <v>185</v>
      </c>
      <c r="B436" s="253" t="s">
        <v>786</v>
      </c>
      <c r="C436" s="279">
        <v>210</v>
      </c>
      <c r="D436" s="285"/>
    </row>
    <row r="437" spans="1:4" s="143" customFormat="1" x14ac:dyDescent="0.2">
      <c r="A437" s="135" t="s">
        <v>185</v>
      </c>
      <c r="B437" s="253" t="s">
        <v>787</v>
      </c>
      <c r="C437" s="279">
        <v>350</v>
      </c>
      <c r="D437" s="285"/>
    </row>
    <row r="438" spans="1:4" s="143" customFormat="1" x14ac:dyDescent="0.2">
      <c r="A438" s="135" t="s">
        <v>185</v>
      </c>
      <c r="B438" s="253" t="s">
        <v>788</v>
      </c>
      <c r="C438" s="279">
        <v>42</v>
      </c>
      <c r="D438" s="285"/>
    </row>
    <row r="439" spans="1:4" s="143" customFormat="1" x14ac:dyDescent="0.2">
      <c r="A439" s="135" t="s">
        <v>185</v>
      </c>
      <c r="B439" s="253" t="s">
        <v>789</v>
      </c>
      <c r="C439" s="279">
        <v>495</v>
      </c>
      <c r="D439" s="285"/>
    </row>
    <row r="440" spans="1:4" s="143" customFormat="1" x14ac:dyDescent="0.2">
      <c r="A440" s="135" t="s">
        <v>185</v>
      </c>
      <c r="B440" s="253" t="s">
        <v>790</v>
      </c>
      <c r="C440" s="283"/>
      <c r="D440" s="285"/>
    </row>
    <row r="441" spans="1:4" s="143" customFormat="1" x14ac:dyDescent="0.2">
      <c r="A441" s="135" t="s">
        <v>187</v>
      </c>
      <c r="B441" s="253" t="s">
        <v>791</v>
      </c>
      <c r="C441" s="279">
        <v>3.25</v>
      </c>
      <c r="D441" s="285"/>
    </row>
    <row r="442" spans="1:4" s="143" customFormat="1" x14ac:dyDescent="0.2">
      <c r="A442" s="135" t="s">
        <v>185</v>
      </c>
      <c r="B442" s="253" t="s">
        <v>792</v>
      </c>
      <c r="C442" s="295">
        <v>111</v>
      </c>
      <c r="D442" s="285" t="s">
        <v>435</v>
      </c>
    </row>
    <row r="443" spans="1:4" s="143" customFormat="1" x14ac:dyDescent="0.2">
      <c r="A443" s="135" t="s">
        <v>187</v>
      </c>
      <c r="B443" s="253" t="s">
        <v>793</v>
      </c>
      <c r="C443" s="279">
        <v>7.75</v>
      </c>
      <c r="D443" s="285"/>
    </row>
    <row r="444" spans="1:4" s="143" customFormat="1" x14ac:dyDescent="0.2">
      <c r="A444" s="135" t="s">
        <v>187</v>
      </c>
      <c r="B444" s="253" t="s">
        <v>794</v>
      </c>
      <c r="C444" s="279">
        <v>1.45</v>
      </c>
      <c r="D444" s="285"/>
    </row>
    <row r="445" spans="1:4" s="143" customFormat="1" x14ac:dyDescent="0.2">
      <c r="A445" s="135" t="s">
        <v>185</v>
      </c>
      <c r="B445" s="253" t="s">
        <v>795</v>
      </c>
      <c r="C445" s="283"/>
      <c r="D445" s="285"/>
    </row>
    <row r="446" spans="1:4" s="143" customFormat="1" x14ac:dyDescent="0.2">
      <c r="A446" s="135" t="s">
        <v>186</v>
      </c>
      <c r="B446" s="253" t="s">
        <v>796</v>
      </c>
      <c r="C446" s="279">
        <v>79</v>
      </c>
      <c r="D446" s="285"/>
    </row>
    <row r="447" spans="1:4" s="143" customFormat="1" x14ac:dyDescent="0.2">
      <c r="A447" s="135" t="s">
        <v>366</v>
      </c>
      <c r="B447" s="253" t="s">
        <v>797</v>
      </c>
      <c r="C447" s="279">
        <v>34.75</v>
      </c>
      <c r="D447" s="285"/>
    </row>
    <row r="448" spans="1:4" s="143" customFormat="1" x14ac:dyDescent="0.2">
      <c r="A448" s="135" t="s">
        <v>187</v>
      </c>
      <c r="B448" s="253" t="s">
        <v>798</v>
      </c>
      <c r="C448" s="283">
        <v>8.4499999999999993</v>
      </c>
      <c r="D448" s="285" t="s">
        <v>435</v>
      </c>
    </row>
    <row r="449" spans="1:4" s="143" customFormat="1" x14ac:dyDescent="0.2">
      <c r="A449" s="135" t="s">
        <v>187</v>
      </c>
      <c r="B449" s="253" t="s">
        <v>799</v>
      </c>
      <c r="C449" s="283">
        <v>20</v>
      </c>
      <c r="D449" s="285" t="s">
        <v>435</v>
      </c>
    </row>
    <row r="450" spans="1:4" s="143" customFormat="1" x14ac:dyDescent="0.2">
      <c r="A450" s="135" t="s">
        <v>187</v>
      </c>
      <c r="B450" s="253" t="s">
        <v>800</v>
      </c>
      <c r="C450" s="283">
        <v>13.75</v>
      </c>
      <c r="D450" s="285" t="s">
        <v>435</v>
      </c>
    </row>
    <row r="451" spans="1:4" s="143" customFormat="1" x14ac:dyDescent="0.2">
      <c r="A451" s="119" t="s">
        <v>366</v>
      </c>
      <c r="B451" s="253" t="s">
        <v>801</v>
      </c>
      <c r="C451" s="279">
        <v>45</v>
      </c>
      <c r="D451" s="285"/>
    </row>
    <row r="452" spans="1:4" s="143" customFormat="1" x14ac:dyDescent="0.2">
      <c r="A452" s="135" t="s">
        <v>187</v>
      </c>
      <c r="B452" s="253" t="s">
        <v>802</v>
      </c>
      <c r="C452" s="279">
        <v>1.3</v>
      </c>
      <c r="D452" s="285"/>
    </row>
    <row r="453" spans="1:4" s="143" customFormat="1" x14ac:dyDescent="0.2">
      <c r="A453" s="135" t="s">
        <v>366</v>
      </c>
      <c r="B453" s="253" t="s">
        <v>803</v>
      </c>
      <c r="C453" s="279">
        <v>25</v>
      </c>
      <c r="D453" s="285"/>
    </row>
    <row r="454" spans="1:4" s="143" customFormat="1" x14ac:dyDescent="0.2">
      <c r="A454" s="135" t="s">
        <v>375</v>
      </c>
      <c r="B454" s="315" t="s">
        <v>804</v>
      </c>
      <c r="C454" s="279">
        <v>1850</v>
      </c>
      <c r="D454" s="285"/>
    </row>
    <row r="455" spans="1:4" s="143" customFormat="1" x14ac:dyDescent="0.2">
      <c r="A455" s="135" t="s">
        <v>375</v>
      </c>
      <c r="B455" s="315" t="s">
        <v>805</v>
      </c>
      <c r="C455" s="283"/>
      <c r="D455" s="285"/>
    </row>
    <row r="456" spans="1:4" s="143" customFormat="1" x14ac:dyDescent="0.2">
      <c r="A456" s="135" t="s">
        <v>187</v>
      </c>
      <c r="B456" s="253" t="s">
        <v>806</v>
      </c>
      <c r="C456" s="279">
        <v>5.85</v>
      </c>
      <c r="D456" s="285"/>
    </row>
    <row r="457" spans="1:4" s="143" customFormat="1" x14ac:dyDescent="0.2">
      <c r="A457" s="135" t="s">
        <v>187</v>
      </c>
      <c r="B457" s="253" t="s">
        <v>807</v>
      </c>
      <c r="C457" s="279">
        <v>7.75</v>
      </c>
      <c r="D457" s="285"/>
    </row>
    <row r="458" spans="1:4" s="143" customFormat="1" x14ac:dyDescent="0.2">
      <c r="A458" s="135" t="s">
        <v>187</v>
      </c>
      <c r="B458" s="253" t="s">
        <v>808</v>
      </c>
      <c r="C458" s="283"/>
      <c r="D458" s="285"/>
    </row>
    <row r="459" spans="1:4" s="143" customFormat="1" x14ac:dyDescent="0.2">
      <c r="A459" s="135" t="s">
        <v>187</v>
      </c>
      <c r="B459" s="253" t="s">
        <v>809</v>
      </c>
      <c r="C459" s="283"/>
      <c r="D459" s="285"/>
    </row>
    <row r="460" spans="1:4" s="143" customFormat="1" x14ac:dyDescent="0.2">
      <c r="A460" s="135" t="s">
        <v>187</v>
      </c>
      <c r="B460" s="253" t="s">
        <v>810</v>
      </c>
      <c r="C460" s="283"/>
      <c r="D460" s="285"/>
    </row>
    <row r="461" spans="1:4" s="143" customFormat="1" x14ac:dyDescent="0.2">
      <c r="A461" s="135" t="s">
        <v>446</v>
      </c>
      <c r="B461" s="253" t="s">
        <v>811</v>
      </c>
      <c r="C461" s="283"/>
      <c r="D461" s="285"/>
    </row>
    <row r="462" spans="1:4" s="143" customFormat="1" x14ac:dyDescent="0.2">
      <c r="A462" s="135" t="s">
        <v>583</v>
      </c>
      <c r="B462" s="253" t="s">
        <v>812</v>
      </c>
      <c r="C462" s="283"/>
      <c r="D462" s="285"/>
    </row>
    <row r="463" spans="1:4" s="143" customFormat="1" x14ac:dyDescent="0.2">
      <c r="A463" s="303" t="s">
        <v>813</v>
      </c>
      <c r="B463" s="253" t="s">
        <v>814</v>
      </c>
      <c r="C463" s="283"/>
      <c r="D463" s="285"/>
    </row>
    <row r="464" spans="1:4" s="143" customFormat="1" x14ac:dyDescent="0.2">
      <c r="A464" s="303" t="s">
        <v>813</v>
      </c>
      <c r="B464" s="253" t="s">
        <v>815</v>
      </c>
      <c r="C464" s="283"/>
      <c r="D464" s="285"/>
    </row>
    <row r="465" spans="1:4" s="143" customFormat="1" x14ac:dyDescent="0.2">
      <c r="A465" s="303" t="s">
        <v>153</v>
      </c>
      <c r="B465" s="253" t="s">
        <v>816</v>
      </c>
      <c r="C465" s="283"/>
      <c r="D465" s="285"/>
    </row>
    <row r="466" spans="1:4" s="143" customFormat="1" x14ac:dyDescent="0.2">
      <c r="A466" s="303" t="s">
        <v>153</v>
      </c>
      <c r="B466" s="253" t="s">
        <v>817</v>
      </c>
      <c r="C466" s="283"/>
      <c r="D466" s="285"/>
    </row>
    <row r="467" spans="1:4" s="143" customFormat="1" x14ac:dyDescent="0.2">
      <c r="A467" s="303" t="s">
        <v>446</v>
      </c>
      <c r="B467" s="253" t="s">
        <v>818</v>
      </c>
      <c r="C467" s="283"/>
      <c r="D467" s="285"/>
    </row>
    <row r="468" spans="1:4" s="143" customFormat="1" x14ac:dyDescent="0.2">
      <c r="A468" s="303" t="s">
        <v>153</v>
      </c>
      <c r="B468" s="253" t="s">
        <v>819</v>
      </c>
      <c r="C468" s="283"/>
      <c r="D468" s="285"/>
    </row>
    <row r="469" spans="1:4" s="143" customFormat="1" x14ac:dyDescent="0.2">
      <c r="A469" s="135" t="s">
        <v>186</v>
      </c>
      <c r="B469" s="253" t="s">
        <v>820</v>
      </c>
      <c r="C469" s="284">
        <v>5</v>
      </c>
      <c r="D469" s="285"/>
    </row>
    <row r="470" spans="1:4" s="143" customFormat="1" x14ac:dyDescent="0.2">
      <c r="A470" s="135" t="s">
        <v>153</v>
      </c>
      <c r="B470" s="253" t="s">
        <v>821</v>
      </c>
      <c r="C470" s="279">
        <v>98.95</v>
      </c>
      <c r="D470" s="285"/>
    </row>
    <row r="471" spans="1:4" s="143" customFormat="1" x14ac:dyDescent="0.2">
      <c r="A471" s="135" t="s">
        <v>153</v>
      </c>
      <c r="B471" s="253" t="s">
        <v>822</v>
      </c>
      <c r="C471" s="283"/>
      <c r="D471" s="285"/>
    </row>
    <row r="472" spans="1:4" s="143" customFormat="1" x14ac:dyDescent="0.2">
      <c r="A472" s="135" t="s">
        <v>185</v>
      </c>
      <c r="B472" s="253" t="s">
        <v>823</v>
      </c>
      <c r="C472" s="284">
        <v>38</v>
      </c>
      <c r="D472" s="285"/>
    </row>
    <row r="473" spans="1:4" s="143" customFormat="1" x14ac:dyDescent="0.2">
      <c r="A473" s="135" t="s">
        <v>446</v>
      </c>
      <c r="B473" s="253" t="s">
        <v>824</v>
      </c>
      <c r="C473" s="279">
        <v>8.25</v>
      </c>
      <c r="D473" s="285"/>
    </row>
    <row r="474" spans="1:4" s="143" customFormat="1" x14ac:dyDescent="0.2">
      <c r="A474" s="135" t="s">
        <v>643</v>
      </c>
      <c r="B474" s="253" t="s">
        <v>825</v>
      </c>
      <c r="C474" s="283"/>
      <c r="D474" s="285"/>
    </row>
    <row r="475" spans="1:4" s="143" customFormat="1" x14ac:dyDescent="0.2">
      <c r="A475" s="135" t="s">
        <v>826</v>
      </c>
      <c r="B475" s="253" t="s">
        <v>827</v>
      </c>
      <c r="C475" s="283"/>
      <c r="D475" s="285"/>
    </row>
    <row r="476" spans="1:4" s="143" customFormat="1" x14ac:dyDescent="0.2">
      <c r="A476" s="119" t="s">
        <v>187</v>
      </c>
      <c r="B476" s="315" t="s">
        <v>828</v>
      </c>
      <c r="C476" s="279">
        <v>4.9000000000000004</v>
      </c>
      <c r="D476" s="285"/>
    </row>
    <row r="477" spans="1:4" s="143" customFormat="1" x14ac:dyDescent="0.2">
      <c r="A477" s="119" t="s">
        <v>185</v>
      </c>
      <c r="B477" s="315" t="s">
        <v>829</v>
      </c>
      <c r="C477" s="283"/>
      <c r="D477" s="285"/>
    </row>
    <row r="478" spans="1:4" s="143" customFormat="1" x14ac:dyDescent="0.2">
      <c r="A478" s="135" t="s">
        <v>178</v>
      </c>
      <c r="B478" s="253" t="s">
        <v>830</v>
      </c>
      <c r="C478" s="279">
        <v>54</v>
      </c>
      <c r="D478" s="285"/>
    </row>
    <row r="479" spans="1:4" s="143" customFormat="1" x14ac:dyDescent="0.2">
      <c r="A479" s="135" t="s">
        <v>178</v>
      </c>
      <c r="B479" s="253" t="s">
        <v>831</v>
      </c>
      <c r="C479" s="279">
        <v>129.78</v>
      </c>
      <c r="D479" s="285" t="s">
        <v>435</v>
      </c>
    </row>
    <row r="480" spans="1:4" s="143" customFormat="1" x14ac:dyDescent="0.2">
      <c r="A480" s="119" t="s">
        <v>832</v>
      </c>
      <c r="B480" s="253" t="s">
        <v>833</v>
      </c>
      <c r="C480" s="279">
        <v>785</v>
      </c>
      <c r="D480" s="285"/>
    </row>
    <row r="481" spans="1:4" s="143" customFormat="1" x14ac:dyDescent="0.2">
      <c r="A481" s="119" t="s">
        <v>187</v>
      </c>
      <c r="B481" s="253" t="s">
        <v>834</v>
      </c>
      <c r="C481" s="283"/>
      <c r="D481" s="285"/>
    </row>
    <row r="482" spans="1:4" s="143" customFormat="1" x14ac:dyDescent="0.2">
      <c r="A482" s="119" t="s">
        <v>187</v>
      </c>
      <c r="B482" s="253" t="s">
        <v>835</v>
      </c>
      <c r="C482" s="279">
        <v>3.9</v>
      </c>
      <c r="D482" s="285"/>
    </row>
    <row r="483" spans="1:4" s="143" customFormat="1" x14ac:dyDescent="0.2">
      <c r="A483" s="135" t="s">
        <v>187</v>
      </c>
      <c r="B483" s="253" t="s">
        <v>836</v>
      </c>
      <c r="C483" s="279">
        <v>5.9</v>
      </c>
      <c r="D483" s="285"/>
    </row>
    <row r="484" spans="1:4" s="143" customFormat="1" x14ac:dyDescent="0.2">
      <c r="A484" s="135" t="s">
        <v>187</v>
      </c>
      <c r="B484" s="253" t="s">
        <v>837</v>
      </c>
      <c r="C484" s="283"/>
      <c r="D484" s="285"/>
    </row>
    <row r="485" spans="1:4" s="143" customFormat="1" x14ac:dyDescent="0.2">
      <c r="A485" s="135" t="s">
        <v>187</v>
      </c>
      <c r="B485" s="253" t="s">
        <v>838</v>
      </c>
      <c r="C485" s="279">
        <v>35</v>
      </c>
      <c r="D485" s="285"/>
    </row>
    <row r="486" spans="1:4" s="143" customFormat="1" x14ac:dyDescent="0.2">
      <c r="A486" s="135" t="s">
        <v>187</v>
      </c>
      <c r="B486" s="253" t="s">
        <v>839</v>
      </c>
      <c r="C486" s="284">
        <v>4.5</v>
      </c>
      <c r="D486" s="285"/>
    </row>
    <row r="487" spans="1:4" s="143" customFormat="1" x14ac:dyDescent="0.2">
      <c r="A487" s="135" t="s">
        <v>187</v>
      </c>
      <c r="B487" s="253" t="s">
        <v>840</v>
      </c>
      <c r="C487" s="279">
        <v>1.9</v>
      </c>
      <c r="D487" s="285"/>
    </row>
    <row r="488" spans="1:4" s="143" customFormat="1" x14ac:dyDescent="0.2">
      <c r="A488" s="135" t="s">
        <v>375</v>
      </c>
      <c r="B488" s="253" t="s">
        <v>841</v>
      </c>
      <c r="C488" s="283"/>
      <c r="D488" s="285"/>
    </row>
    <row r="489" spans="1:4" s="143" customFormat="1" x14ac:dyDescent="0.2">
      <c r="A489" s="135" t="s">
        <v>375</v>
      </c>
      <c r="B489" s="253" t="s">
        <v>842</v>
      </c>
      <c r="C489" s="279">
        <v>104</v>
      </c>
      <c r="D489" s="285"/>
    </row>
    <row r="490" spans="1:4" s="143" customFormat="1" x14ac:dyDescent="0.2">
      <c r="A490" s="119" t="s">
        <v>366</v>
      </c>
      <c r="B490" s="253" t="s">
        <v>843</v>
      </c>
      <c r="C490" s="279">
        <v>101</v>
      </c>
      <c r="D490" s="285"/>
    </row>
    <row r="491" spans="1:4" s="143" customFormat="1" x14ac:dyDescent="0.2">
      <c r="A491" s="135" t="s">
        <v>187</v>
      </c>
      <c r="B491" s="253" t="s">
        <v>844</v>
      </c>
      <c r="C491" s="279">
        <v>2.4</v>
      </c>
      <c r="D491" s="285"/>
    </row>
    <row r="492" spans="1:4" s="143" customFormat="1" x14ac:dyDescent="0.2">
      <c r="A492" s="135" t="s">
        <v>375</v>
      </c>
      <c r="B492" s="253" t="s">
        <v>845</v>
      </c>
      <c r="C492" s="279">
        <v>44</v>
      </c>
      <c r="D492" s="285"/>
    </row>
    <row r="493" spans="1:4" s="143" customFormat="1" x14ac:dyDescent="0.2">
      <c r="A493" s="135" t="s">
        <v>187</v>
      </c>
      <c r="B493" s="253" t="s">
        <v>846</v>
      </c>
      <c r="C493" s="283">
        <v>17.5</v>
      </c>
      <c r="D493" s="285" t="s">
        <v>435</v>
      </c>
    </row>
    <row r="494" spans="1:4" s="143" customFormat="1" x14ac:dyDescent="0.2">
      <c r="A494" s="135" t="s">
        <v>187</v>
      </c>
      <c r="B494" s="253" t="s">
        <v>847</v>
      </c>
      <c r="C494" s="283">
        <v>28</v>
      </c>
      <c r="D494" s="285" t="s">
        <v>435</v>
      </c>
    </row>
    <row r="495" spans="1:4" s="143" customFormat="1" x14ac:dyDescent="0.2">
      <c r="A495" s="119" t="s">
        <v>375</v>
      </c>
      <c r="B495" s="253" t="s">
        <v>848</v>
      </c>
      <c r="C495" s="279">
        <v>65</v>
      </c>
      <c r="D495" s="285"/>
    </row>
    <row r="496" spans="1:4" s="143" customFormat="1" x14ac:dyDescent="0.2">
      <c r="A496" s="135" t="s">
        <v>185</v>
      </c>
      <c r="B496" s="253" t="s">
        <v>849</v>
      </c>
      <c r="C496" s="279">
        <v>65</v>
      </c>
      <c r="D496" s="285"/>
    </row>
    <row r="497" spans="1:4" s="143" customFormat="1" x14ac:dyDescent="0.2">
      <c r="A497" s="135" t="s">
        <v>375</v>
      </c>
      <c r="B497" s="253" t="s">
        <v>850</v>
      </c>
      <c r="C497" s="279">
        <v>254</v>
      </c>
      <c r="D497" s="285"/>
    </row>
    <row r="498" spans="1:4" s="143" customFormat="1" x14ac:dyDescent="0.2">
      <c r="A498" s="280" t="s">
        <v>186</v>
      </c>
      <c r="B498" s="315" t="s">
        <v>851</v>
      </c>
      <c r="C498" s="279">
        <v>77.5</v>
      </c>
      <c r="D498" s="285"/>
    </row>
    <row r="499" spans="1:4" s="143" customFormat="1" x14ac:dyDescent="0.2">
      <c r="A499" s="280" t="s">
        <v>187</v>
      </c>
      <c r="B499" s="315" t="s">
        <v>852</v>
      </c>
      <c r="C499" s="279">
        <v>59</v>
      </c>
      <c r="D499" s="285"/>
    </row>
    <row r="500" spans="1:4" s="143" customFormat="1" x14ac:dyDescent="0.2">
      <c r="A500" s="280"/>
      <c r="B500" s="315"/>
      <c r="C500" s="279"/>
      <c r="D500" s="285"/>
    </row>
    <row r="501" spans="1:4" s="143" customFormat="1" x14ac:dyDescent="0.2">
      <c r="A501" s="280"/>
      <c r="B501" s="315"/>
      <c r="C501" s="279"/>
      <c r="D501" s="285"/>
    </row>
    <row r="502" spans="1:4" s="143" customFormat="1" x14ac:dyDescent="0.2">
      <c r="A502" s="280" t="s">
        <v>187</v>
      </c>
      <c r="B502" s="315" t="s">
        <v>853</v>
      </c>
      <c r="C502" s="279">
        <v>24.5</v>
      </c>
      <c r="D502" s="285"/>
    </row>
    <row r="503" spans="1:4" s="143" customFormat="1" x14ac:dyDescent="0.2">
      <c r="A503" s="280" t="s">
        <v>187</v>
      </c>
      <c r="B503" s="315" t="s">
        <v>854</v>
      </c>
      <c r="C503" s="279">
        <v>32</v>
      </c>
      <c r="D503" s="285"/>
    </row>
    <row r="504" spans="1:4" s="143" customFormat="1" x14ac:dyDescent="0.2">
      <c r="A504" s="119" t="s">
        <v>187</v>
      </c>
      <c r="B504" s="253" t="s">
        <v>855</v>
      </c>
      <c r="C504" s="279">
        <v>12</v>
      </c>
      <c r="D504" s="285"/>
    </row>
    <row r="505" spans="1:4" s="143" customFormat="1" x14ac:dyDescent="0.2">
      <c r="A505" s="280" t="s">
        <v>187</v>
      </c>
      <c r="B505" s="315" t="s">
        <v>856</v>
      </c>
      <c r="C505" s="279">
        <v>16</v>
      </c>
      <c r="D505" s="285"/>
    </row>
    <row r="506" spans="1:4" s="143" customFormat="1" x14ac:dyDescent="0.2">
      <c r="A506" s="280" t="s">
        <v>366</v>
      </c>
      <c r="B506" s="315" t="s">
        <v>857</v>
      </c>
      <c r="C506" s="279">
        <v>82.5</v>
      </c>
      <c r="D506" s="285"/>
    </row>
    <row r="507" spans="1:4" s="143" customFormat="1" x14ac:dyDescent="0.2">
      <c r="A507" s="135" t="s">
        <v>185</v>
      </c>
      <c r="B507" s="253" t="s">
        <v>858</v>
      </c>
      <c r="C507" s="279">
        <v>250</v>
      </c>
      <c r="D507" s="285"/>
    </row>
    <row r="508" spans="1:4" s="143" customFormat="1" x14ac:dyDescent="0.2">
      <c r="A508" s="280" t="s">
        <v>185</v>
      </c>
      <c r="B508" s="253" t="s">
        <v>859</v>
      </c>
      <c r="C508" s="279">
        <v>185</v>
      </c>
      <c r="D508" s="285"/>
    </row>
    <row r="509" spans="1:4" s="143" customFormat="1" x14ac:dyDescent="0.2">
      <c r="A509" s="280" t="s">
        <v>185</v>
      </c>
      <c r="B509" s="315" t="s">
        <v>860</v>
      </c>
      <c r="C509" s="279">
        <v>170</v>
      </c>
      <c r="D509" s="285"/>
    </row>
    <row r="510" spans="1:4" s="143" customFormat="1" x14ac:dyDescent="0.2">
      <c r="A510" s="280" t="s">
        <v>187</v>
      </c>
      <c r="B510" s="315" t="s">
        <v>861</v>
      </c>
      <c r="C510" s="279">
        <v>5.9</v>
      </c>
      <c r="D510" s="285"/>
    </row>
    <row r="511" spans="1:4" s="143" customFormat="1" x14ac:dyDescent="0.2">
      <c r="A511" s="280" t="s">
        <v>186</v>
      </c>
      <c r="B511" s="315" t="s">
        <v>862</v>
      </c>
      <c r="C511" s="279">
        <v>5.5</v>
      </c>
      <c r="D511" s="285"/>
    </row>
    <row r="512" spans="1:4" s="143" customFormat="1" x14ac:dyDescent="0.2">
      <c r="A512" s="135" t="s">
        <v>366</v>
      </c>
      <c r="B512" s="253" t="s">
        <v>863</v>
      </c>
      <c r="C512" s="279">
        <v>49.75</v>
      </c>
      <c r="D512" s="285"/>
    </row>
    <row r="513" spans="1:4" s="143" customFormat="1" x14ac:dyDescent="0.2">
      <c r="A513" s="135" t="s">
        <v>366</v>
      </c>
      <c r="B513" s="253" t="s">
        <v>864</v>
      </c>
      <c r="C513" s="283">
        <v>130</v>
      </c>
      <c r="D513" s="285" t="s">
        <v>435</v>
      </c>
    </row>
    <row r="514" spans="1:4" s="143" customFormat="1" x14ac:dyDescent="0.2">
      <c r="A514" s="119" t="s">
        <v>366</v>
      </c>
      <c r="B514" s="253" t="s">
        <v>865</v>
      </c>
      <c r="C514" s="279">
        <v>320</v>
      </c>
      <c r="D514" s="285"/>
    </row>
    <row r="515" spans="1:4" s="143" customFormat="1" x14ac:dyDescent="0.2">
      <c r="A515" s="119" t="s">
        <v>186</v>
      </c>
      <c r="B515" s="253" t="s">
        <v>865</v>
      </c>
      <c r="C515" s="284">
        <v>9</v>
      </c>
      <c r="D515" s="285"/>
    </row>
    <row r="516" spans="1:4" s="143" customFormat="1" x14ac:dyDescent="0.2">
      <c r="A516" s="119" t="s">
        <v>187</v>
      </c>
      <c r="B516" s="253" t="s">
        <v>866</v>
      </c>
      <c r="C516" s="279">
        <v>11.5</v>
      </c>
      <c r="D516" s="285"/>
    </row>
    <row r="517" spans="1:4" s="143" customFormat="1" x14ac:dyDescent="0.2">
      <c r="A517" s="119" t="s">
        <v>187</v>
      </c>
      <c r="B517" s="253" t="s">
        <v>867</v>
      </c>
      <c r="C517" s="283"/>
      <c r="D517" s="285"/>
    </row>
    <row r="518" spans="1:4" s="143" customFormat="1" x14ac:dyDescent="0.2">
      <c r="A518" s="119" t="s">
        <v>375</v>
      </c>
      <c r="B518" s="253" t="s">
        <v>868</v>
      </c>
      <c r="C518" s="283"/>
      <c r="D518" s="285"/>
    </row>
    <row r="519" spans="1:4" s="143" customFormat="1" x14ac:dyDescent="0.2">
      <c r="A519" s="135" t="s">
        <v>375</v>
      </c>
      <c r="B519" s="253" t="s">
        <v>869</v>
      </c>
      <c r="C519" s="279">
        <v>839</v>
      </c>
      <c r="D519" s="285"/>
    </row>
    <row r="520" spans="1:4" s="143" customFormat="1" x14ac:dyDescent="0.2">
      <c r="A520" s="119" t="s">
        <v>366</v>
      </c>
      <c r="B520" s="253" t="s">
        <v>870</v>
      </c>
      <c r="C520" s="279">
        <v>239</v>
      </c>
      <c r="D520" s="285"/>
    </row>
    <row r="521" spans="1:4" s="143" customFormat="1" x14ac:dyDescent="0.2">
      <c r="A521" s="135" t="s">
        <v>187</v>
      </c>
      <c r="B521" s="253" t="s">
        <v>871</v>
      </c>
      <c r="C521" s="284">
        <v>2.75</v>
      </c>
      <c r="D521" s="285"/>
    </row>
    <row r="522" spans="1:4" s="143" customFormat="1" x14ac:dyDescent="0.2">
      <c r="A522" s="280" t="s">
        <v>187</v>
      </c>
      <c r="B522" s="315" t="s">
        <v>872</v>
      </c>
      <c r="C522" s="284">
        <v>5.5</v>
      </c>
      <c r="D522" s="285"/>
    </row>
    <row r="523" spans="1:4" s="143" customFormat="1" x14ac:dyDescent="0.2">
      <c r="A523" s="135" t="s">
        <v>366</v>
      </c>
      <c r="B523" s="253" t="s">
        <v>873</v>
      </c>
      <c r="C523" s="279">
        <v>135</v>
      </c>
      <c r="D523" s="285"/>
    </row>
    <row r="524" spans="1:4" s="143" customFormat="1" x14ac:dyDescent="0.2">
      <c r="A524" s="280" t="s">
        <v>186</v>
      </c>
      <c r="B524" s="253" t="s">
        <v>874</v>
      </c>
      <c r="C524" s="279">
        <v>7.75</v>
      </c>
      <c r="D524" s="285"/>
    </row>
    <row r="525" spans="1:4" s="143" customFormat="1" x14ac:dyDescent="0.2">
      <c r="A525" s="280" t="s">
        <v>186</v>
      </c>
      <c r="B525" s="315" t="s">
        <v>875</v>
      </c>
      <c r="C525" s="279">
        <v>4.9000000000000004</v>
      </c>
      <c r="D525" s="285"/>
    </row>
    <row r="526" spans="1:4" s="143" customFormat="1" x14ac:dyDescent="0.2">
      <c r="A526" s="280" t="s">
        <v>185</v>
      </c>
      <c r="B526" s="315" t="s">
        <v>876</v>
      </c>
      <c r="C526" s="284">
        <v>38</v>
      </c>
      <c r="D526" s="285"/>
    </row>
    <row r="527" spans="1:4" s="143" customFormat="1" x14ac:dyDescent="0.2">
      <c r="A527" s="135" t="s">
        <v>185</v>
      </c>
      <c r="B527" s="253" t="s">
        <v>877</v>
      </c>
      <c r="C527" s="284">
        <v>42</v>
      </c>
      <c r="D527" s="285"/>
    </row>
    <row r="528" spans="1:4" s="143" customFormat="1" x14ac:dyDescent="0.2">
      <c r="A528"/>
      <c r="B528" s="321"/>
      <c r="C528" s="304"/>
      <c r="D528" s="281"/>
    </row>
    <row r="529" spans="1:4" s="143" customFormat="1" ht="15" x14ac:dyDescent="0.2">
      <c r="A529" s="305"/>
      <c r="B529" s="322"/>
      <c r="C529" s="306"/>
      <c r="D529" s="285"/>
    </row>
    <row r="530" spans="1:4" s="143" customFormat="1" x14ac:dyDescent="0.2">
      <c r="A530" s="307"/>
      <c r="B530" s="323"/>
      <c r="C530" s="306"/>
      <c r="D530" s="285"/>
    </row>
    <row r="531" spans="1:4" s="143" customFormat="1" ht="15" x14ac:dyDescent="0.2">
      <c r="A531" s="305"/>
      <c r="B531" s="322"/>
      <c r="C531" s="306"/>
      <c r="D531" s="285"/>
    </row>
    <row r="532" spans="1:4" s="143" customFormat="1" x14ac:dyDescent="0.2">
      <c r="A532" s="307"/>
      <c r="B532" s="297"/>
      <c r="C532" s="306"/>
      <c r="D532" s="285"/>
    </row>
    <row r="533" spans="1:4" s="143" customFormat="1" x14ac:dyDescent="0.2">
      <c r="A533"/>
      <c r="B533" s="321"/>
      <c r="C533" s="304"/>
      <c r="D533" s="281"/>
    </row>
    <row r="534" spans="1:4" s="143" customFormat="1" x14ac:dyDescent="0.2">
      <c r="A534"/>
      <c r="B534" s="321"/>
      <c r="C534" s="304"/>
      <c r="D534" s="281"/>
    </row>
    <row r="535" spans="1:4" s="143" customFormat="1" ht="15" x14ac:dyDescent="0.2">
      <c r="A535" s="305"/>
      <c r="B535" s="322"/>
      <c r="C535" s="306"/>
      <c r="D535" s="285"/>
    </row>
    <row r="536" spans="1:4" s="143" customFormat="1" x14ac:dyDescent="0.2">
      <c r="A536"/>
      <c r="B536" s="321"/>
      <c r="C536" s="304"/>
      <c r="D536" s="281"/>
    </row>
    <row r="537" spans="1:4" s="143" customFormat="1" x14ac:dyDescent="0.2">
      <c r="A537"/>
      <c r="B537" s="321"/>
      <c r="C537" s="304"/>
      <c r="D537" s="281"/>
    </row>
    <row r="538" spans="1:4" s="143" customFormat="1" ht="15" x14ac:dyDescent="0.2">
      <c r="A538" s="305"/>
      <c r="B538" s="322"/>
      <c r="C538" s="306"/>
      <c r="D538" s="285"/>
    </row>
    <row r="539" spans="1:4" s="143" customFormat="1" x14ac:dyDescent="0.2">
      <c r="A539"/>
      <c r="B539" s="321"/>
      <c r="C539" s="304"/>
      <c r="D539" s="281"/>
    </row>
    <row r="540" spans="1:4" s="143" customFormat="1" ht="15" x14ac:dyDescent="0.2">
      <c r="A540" s="305"/>
      <c r="B540" s="322"/>
      <c r="C540" s="306"/>
      <c r="D540" s="285"/>
    </row>
    <row r="541" spans="1:4" s="143" customFormat="1" x14ac:dyDescent="0.2">
      <c r="A541"/>
      <c r="B541" s="321"/>
      <c r="C541" s="304"/>
      <c r="D541" s="281"/>
    </row>
    <row r="542" spans="1:4" s="143" customFormat="1" ht="15" x14ac:dyDescent="0.2">
      <c r="A542" s="305"/>
      <c r="B542" s="322"/>
      <c r="C542" s="306"/>
      <c r="D542" s="285"/>
    </row>
    <row r="543" spans="1:4" s="143" customFormat="1" x14ac:dyDescent="0.2">
      <c r="A543"/>
      <c r="B543" s="321"/>
      <c r="C543" s="304"/>
      <c r="D543" s="281"/>
    </row>
    <row r="544" spans="1:4" s="143" customFormat="1" x14ac:dyDescent="0.2">
      <c r="A544"/>
      <c r="B544" s="321"/>
      <c r="C544" s="304"/>
      <c r="D544" s="281"/>
    </row>
    <row r="545" spans="1:4" s="143" customFormat="1" ht="15" x14ac:dyDescent="0.2">
      <c r="A545" s="305"/>
      <c r="B545" s="322"/>
      <c r="C545" s="306"/>
      <c r="D545" s="285"/>
    </row>
    <row r="546" spans="1:4" s="143" customFormat="1" x14ac:dyDescent="0.2">
      <c r="A546"/>
      <c r="B546" s="321"/>
      <c r="C546" s="304"/>
      <c r="D546" s="281"/>
    </row>
    <row r="547" spans="1:4" s="143" customFormat="1" x14ac:dyDescent="0.2">
      <c r="A547"/>
      <c r="B547" s="321"/>
      <c r="C547" s="304"/>
      <c r="D547" s="281"/>
    </row>
    <row r="548" spans="1:4" s="143" customFormat="1" ht="15" x14ac:dyDescent="0.2">
      <c r="A548" s="305"/>
      <c r="B548" s="322"/>
      <c r="C548" s="306"/>
      <c r="D548" s="285"/>
    </row>
    <row r="549" spans="1:4" s="143" customFormat="1" x14ac:dyDescent="0.2">
      <c r="A549"/>
      <c r="B549" s="321"/>
      <c r="C549" s="304"/>
      <c r="D549" s="281"/>
    </row>
    <row r="550" spans="1:4" s="143" customFormat="1" x14ac:dyDescent="0.2">
      <c r="A550"/>
      <c r="B550" s="321"/>
      <c r="C550" s="304"/>
      <c r="D550" s="281"/>
    </row>
    <row r="551" spans="1:4" s="143" customFormat="1" ht="15" x14ac:dyDescent="0.2">
      <c r="A551" s="305"/>
      <c r="B551" s="322"/>
      <c r="C551" s="306"/>
      <c r="D551" s="285"/>
    </row>
    <row r="552" spans="1:4" s="143" customFormat="1" x14ac:dyDescent="0.2">
      <c r="A552"/>
      <c r="B552" s="321"/>
      <c r="C552" s="304"/>
      <c r="D552" s="281"/>
    </row>
    <row r="553" spans="1:4" s="143" customFormat="1" x14ac:dyDescent="0.2">
      <c r="A553"/>
      <c r="B553" s="321"/>
      <c r="C553" s="304"/>
      <c r="D553" s="281"/>
    </row>
    <row r="554" spans="1:4" s="143" customFormat="1" ht="15" x14ac:dyDescent="0.2">
      <c r="A554" s="305"/>
      <c r="B554" s="322"/>
      <c r="C554" s="306"/>
      <c r="D554" s="285"/>
    </row>
    <row r="555" spans="1:4" s="143" customFormat="1" x14ac:dyDescent="0.2">
      <c r="A555"/>
      <c r="B555" s="321"/>
      <c r="C555" s="304"/>
      <c r="D555" s="281"/>
    </row>
    <row r="556" spans="1:4" s="143" customFormat="1" x14ac:dyDescent="0.2">
      <c r="A556"/>
      <c r="B556" s="321"/>
      <c r="C556" s="304"/>
      <c r="D556" s="281"/>
    </row>
    <row r="557" spans="1:4" s="143" customFormat="1" ht="15" x14ac:dyDescent="0.2">
      <c r="A557" s="305"/>
      <c r="B557" s="322"/>
      <c r="C557" s="306"/>
      <c r="D557" s="285"/>
    </row>
    <row r="558" spans="1:4" s="143" customFormat="1" x14ac:dyDescent="0.2">
      <c r="A558"/>
      <c r="B558" s="321"/>
      <c r="C558" s="304"/>
      <c r="D558" s="281"/>
    </row>
    <row r="559" spans="1:4" s="143" customFormat="1" x14ac:dyDescent="0.2">
      <c r="A559"/>
      <c r="B559" s="321"/>
      <c r="C559" s="304"/>
      <c r="D559" s="281"/>
    </row>
    <row r="560" spans="1:4" s="143" customFormat="1" ht="15" x14ac:dyDescent="0.2">
      <c r="A560" s="305"/>
      <c r="B560" s="322"/>
      <c r="C560" s="306"/>
      <c r="D560" s="285"/>
    </row>
    <row r="561" spans="1:4" s="143" customFormat="1" x14ac:dyDescent="0.2">
      <c r="A561"/>
      <c r="B561" s="321"/>
      <c r="C561" s="304"/>
      <c r="D561" s="281"/>
    </row>
    <row r="562" spans="1:4" s="143" customFormat="1" x14ac:dyDescent="0.2">
      <c r="A562"/>
      <c r="B562" s="321"/>
      <c r="C562" s="304"/>
      <c r="D562" s="281"/>
    </row>
    <row r="563" spans="1:4" s="143" customFormat="1" ht="15" x14ac:dyDescent="0.2">
      <c r="A563" s="305"/>
      <c r="B563" s="322"/>
      <c r="C563" s="306"/>
      <c r="D563" s="285"/>
    </row>
    <row r="564" spans="1:4" s="143" customFormat="1" x14ac:dyDescent="0.2">
      <c r="A564"/>
      <c r="B564" s="321"/>
      <c r="C564" s="304"/>
      <c r="D564" s="281"/>
    </row>
    <row r="565" spans="1:4" s="143" customFormat="1" x14ac:dyDescent="0.2">
      <c r="A565"/>
      <c r="B565" s="321"/>
      <c r="C565" s="304"/>
      <c r="D565" s="281"/>
    </row>
    <row r="566" spans="1:4" s="143" customFormat="1" ht="15" x14ac:dyDescent="0.2">
      <c r="A566" s="305"/>
      <c r="B566" s="322"/>
      <c r="C566" s="306"/>
      <c r="D566" s="285"/>
    </row>
    <row r="567" spans="1:4" s="143" customFormat="1" x14ac:dyDescent="0.2">
      <c r="A567" s="307"/>
      <c r="B567" s="297"/>
      <c r="C567" s="306"/>
      <c r="D567" s="285"/>
    </row>
    <row r="568" spans="1:4" s="143" customFormat="1" ht="15" x14ac:dyDescent="0.2">
      <c r="A568" s="305"/>
      <c r="B568" s="322"/>
      <c r="C568" s="306"/>
      <c r="D568" s="285"/>
    </row>
    <row r="569" spans="1:4" s="143" customFormat="1" x14ac:dyDescent="0.2">
      <c r="A569" s="307"/>
      <c r="B569" s="297"/>
      <c r="C569" s="306"/>
      <c r="D569" s="285"/>
    </row>
    <row r="570" spans="1:4" s="143" customFormat="1" ht="15" x14ac:dyDescent="0.2">
      <c r="A570" s="305"/>
      <c r="B570" s="322"/>
      <c r="C570" s="306"/>
      <c r="D570" s="285"/>
    </row>
    <row r="571" spans="1:4" s="143" customFormat="1" x14ac:dyDescent="0.2">
      <c r="B571" s="297"/>
      <c r="C571" s="306"/>
      <c r="D571" s="285"/>
    </row>
    <row r="572" spans="1:4" s="143" customFormat="1" ht="15" x14ac:dyDescent="0.2">
      <c r="A572" s="305"/>
      <c r="B572" s="322"/>
      <c r="C572" s="306"/>
      <c r="D572" s="285"/>
    </row>
    <row r="573" spans="1:4" s="143" customFormat="1" x14ac:dyDescent="0.2">
      <c r="A573" s="308"/>
      <c r="B573" s="323"/>
      <c r="C573" s="306"/>
      <c r="D573" s="285"/>
    </row>
    <row r="574" spans="1:4" s="143" customFormat="1" x14ac:dyDescent="0.2">
      <c r="A574" s="307"/>
      <c r="B574" s="297"/>
      <c r="C574" s="306"/>
      <c r="D574" s="285"/>
    </row>
    <row r="575" spans="1:4" s="143" customFormat="1" ht="15" x14ac:dyDescent="0.2">
      <c r="A575" s="305"/>
      <c r="B575" s="322"/>
      <c r="C575" s="306"/>
      <c r="D575" s="285"/>
    </row>
    <row r="576" spans="1:4" s="143" customFormat="1" x14ac:dyDescent="0.2">
      <c r="A576" s="307"/>
      <c r="B576" s="297"/>
      <c r="C576" s="306"/>
      <c r="D576" s="285"/>
    </row>
    <row r="577" spans="1:4" s="143" customFormat="1" ht="15" x14ac:dyDescent="0.2">
      <c r="A577" s="309"/>
      <c r="B577" s="324"/>
      <c r="C577" s="306"/>
      <c r="D577" s="285"/>
    </row>
    <row r="578" spans="1:4" s="143" customFormat="1" x14ac:dyDescent="0.2">
      <c r="A578" s="307"/>
      <c r="B578" s="297"/>
      <c r="C578" s="306"/>
      <c r="D578" s="285"/>
    </row>
    <row r="579" spans="1:4" s="143" customFormat="1" ht="15" x14ac:dyDescent="0.2">
      <c r="A579" s="309"/>
      <c r="B579" s="324"/>
      <c r="C579" s="306"/>
      <c r="D579" s="285"/>
    </row>
    <row r="580" spans="1:4" s="143" customFormat="1" x14ac:dyDescent="0.2">
      <c r="A580" s="307"/>
      <c r="B580" s="297"/>
      <c r="C580" s="306"/>
      <c r="D580" s="285"/>
    </row>
    <row r="581" spans="1:4" s="143" customFormat="1" ht="15" x14ac:dyDescent="0.2">
      <c r="A581" s="309"/>
      <c r="B581" s="324"/>
      <c r="C581" s="306"/>
      <c r="D581" s="285"/>
    </row>
    <row r="582" spans="1:4" s="143" customFormat="1" ht="15" x14ac:dyDescent="0.2">
      <c r="A582" s="305"/>
      <c r="B582" s="322"/>
      <c r="C582" s="306"/>
      <c r="D582" s="285"/>
    </row>
    <row r="583" spans="1:4" s="143" customFormat="1" ht="15" x14ac:dyDescent="0.2">
      <c r="A583" s="305"/>
      <c r="B583" s="322"/>
      <c r="C583" s="306"/>
      <c r="D583" s="285"/>
    </row>
    <row r="584" spans="1:4" s="143" customFormat="1" ht="15" x14ac:dyDescent="0.2">
      <c r="A584" s="305"/>
      <c r="B584" s="322"/>
      <c r="C584" s="306"/>
      <c r="D584" s="285"/>
    </row>
    <row r="585" spans="1:4" s="143" customFormat="1" ht="15" x14ac:dyDescent="0.2">
      <c r="A585" s="305"/>
      <c r="B585" s="322"/>
      <c r="C585" s="306"/>
      <c r="D585" s="285"/>
    </row>
    <row r="586" spans="1:4" s="143" customFormat="1" ht="15" x14ac:dyDescent="0.2">
      <c r="A586" s="305"/>
      <c r="B586" s="322"/>
      <c r="C586" s="306"/>
      <c r="D586" s="285"/>
    </row>
    <row r="587" spans="1:4" s="143" customFormat="1" x14ac:dyDescent="0.2">
      <c r="A587" s="307"/>
      <c r="B587" s="297"/>
      <c r="C587" s="306"/>
      <c r="D587" s="285"/>
    </row>
    <row r="588" spans="1:4" s="143" customFormat="1" ht="15" x14ac:dyDescent="0.2">
      <c r="A588" s="305"/>
      <c r="B588" s="322"/>
      <c r="C588" s="306"/>
      <c r="D588" s="285"/>
    </row>
    <row r="589" spans="1:4" s="143" customFormat="1" x14ac:dyDescent="0.2">
      <c r="A589" s="307"/>
      <c r="B589" s="297"/>
      <c r="C589" s="306"/>
      <c r="D589" s="285"/>
    </row>
    <row r="590" spans="1:4" s="143" customFormat="1" ht="15" x14ac:dyDescent="0.2">
      <c r="A590" s="310"/>
      <c r="B590" s="325"/>
      <c r="C590" s="306"/>
      <c r="D590" s="285"/>
    </row>
    <row r="591" spans="1:4" s="143" customFormat="1" x14ac:dyDescent="0.2">
      <c r="A591" s="308"/>
      <c r="B591" s="323"/>
      <c r="C591" s="306"/>
      <c r="D591" s="285"/>
    </row>
    <row r="592" spans="1:4" s="143" customFormat="1" ht="15" x14ac:dyDescent="0.2">
      <c r="A592" s="310"/>
      <c r="B592" s="325"/>
      <c r="C592" s="306"/>
      <c r="D592" s="285"/>
    </row>
    <row r="593" spans="1:4" s="143" customFormat="1" ht="15" x14ac:dyDescent="0.2">
      <c r="A593" s="311"/>
      <c r="B593" s="326"/>
      <c r="C593" s="306"/>
      <c r="D593" s="285"/>
    </row>
    <row r="594" spans="1:4" s="143" customFormat="1" ht="15" x14ac:dyDescent="0.2">
      <c r="A594" s="310"/>
      <c r="B594" s="325"/>
      <c r="C594" s="306"/>
      <c r="D594" s="285"/>
    </row>
    <row r="595" spans="1:4" s="143" customFormat="1" ht="15" x14ac:dyDescent="0.2">
      <c r="A595" s="311"/>
      <c r="B595" s="326"/>
      <c r="C595" s="306"/>
      <c r="D595" s="285"/>
    </row>
    <row r="596" spans="1:4" s="143" customFormat="1" ht="15" x14ac:dyDescent="0.2">
      <c r="A596" s="310"/>
      <c r="B596" s="325"/>
      <c r="C596" s="306"/>
      <c r="D596" s="285"/>
    </row>
    <row r="597" spans="1:4" s="143" customFormat="1" ht="15" x14ac:dyDescent="0.2">
      <c r="A597" s="311"/>
      <c r="B597" s="326"/>
      <c r="C597" s="306"/>
      <c r="D597" s="285"/>
    </row>
    <row r="598" spans="1:4" s="143" customFormat="1" ht="15" x14ac:dyDescent="0.2">
      <c r="A598" s="310"/>
      <c r="B598" s="325"/>
      <c r="C598" s="306"/>
      <c r="D598" s="285"/>
    </row>
    <row r="599" spans="1:4" s="143" customFormat="1" ht="15" x14ac:dyDescent="0.2">
      <c r="A599" s="312"/>
      <c r="B599" s="327"/>
      <c r="C599" s="306"/>
      <c r="D599" s="285"/>
    </row>
    <row r="600" spans="1:4" s="143" customFormat="1" ht="15" x14ac:dyDescent="0.2">
      <c r="A600" s="310"/>
      <c r="B600" s="325"/>
      <c r="C600" s="306"/>
      <c r="D600" s="285"/>
    </row>
    <row r="601" spans="1:4" s="143" customFormat="1" ht="15" x14ac:dyDescent="0.2">
      <c r="A601" s="312"/>
      <c r="B601" s="327"/>
      <c r="C601" s="306"/>
      <c r="D601" s="285"/>
    </row>
    <row r="602" spans="1:4" s="143" customFormat="1" ht="15" x14ac:dyDescent="0.2">
      <c r="A602" s="313"/>
      <c r="B602" s="322"/>
      <c r="C602" s="306"/>
      <c r="D602" s="285"/>
    </row>
    <row r="603" spans="1:4" s="143" customFormat="1" ht="15" x14ac:dyDescent="0.2">
      <c r="A603" s="312"/>
      <c r="B603" s="297"/>
      <c r="C603" s="306"/>
      <c r="D603" s="285"/>
    </row>
  </sheetData>
  <pageMargins left="0.51181102362204722" right="0.11811023622047245" top="0.35433070866141736" bottom="0.74803149606299213" header="0.31496062992125984" footer="0.31496062992125984"/>
  <pageSetup paperSize="5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K56"/>
  <sheetViews>
    <sheetView workbookViewId="0">
      <selection activeCell="F14" sqref="F14"/>
    </sheetView>
  </sheetViews>
  <sheetFormatPr defaultRowHeight="12.75" x14ac:dyDescent="0.2"/>
  <cols>
    <col min="1" max="1" width="41" customWidth="1"/>
    <col min="2" max="2" width="2.7109375" customWidth="1"/>
    <col min="3" max="3" width="40.5703125" customWidth="1"/>
    <col min="7" max="7" width="10.28515625" bestFit="1" customWidth="1"/>
    <col min="8" max="8" width="11.5703125" customWidth="1"/>
    <col min="9" max="9" width="16" customWidth="1"/>
  </cols>
  <sheetData>
    <row r="2" spans="1:11" x14ac:dyDescent="0.2">
      <c r="A2" s="435" t="s">
        <v>1086</v>
      </c>
      <c r="C2" s="435" t="s">
        <v>1088</v>
      </c>
    </row>
    <row r="3" spans="1:11" x14ac:dyDescent="0.2">
      <c r="A3" s="435" t="s">
        <v>1077</v>
      </c>
      <c r="C3" s="435" t="s">
        <v>1089</v>
      </c>
    </row>
    <row r="4" spans="1:11" x14ac:dyDescent="0.2">
      <c r="A4" s="435" t="s">
        <v>1087</v>
      </c>
      <c r="C4" s="76"/>
    </row>
    <row r="5" spans="1:11" x14ac:dyDescent="0.2">
      <c r="A5" s="435" t="s">
        <v>1078</v>
      </c>
      <c r="C5" s="435" t="s">
        <v>1091</v>
      </c>
    </row>
    <row r="6" spans="1:11" x14ac:dyDescent="0.2">
      <c r="A6" s="76"/>
      <c r="C6" s="435" t="s">
        <v>1092</v>
      </c>
    </row>
    <row r="7" spans="1:11" x14ac:dyDescent="0.2">
      <c r="A7" s="435" t="s">
        <v>1079</v>
      </c>
      <c r="C7" s="76"/>
      <c r="G7" s="353"/>
      <c r="H7" s="354"/>
    </row>
    <row r="8" spans="1:11" ht="25.5" x14ac:dyDescent="0.2">
      <c r="A8" s="436" t="s">
        <v>1085</v>
      </c>
      <c r="C8" s="435" t="s">
        <v>1090</v>
      </c>
    </row>
    <row r="9" spans="1:11" x14ac:dyDescent="0.2">
      <c r="A9" s="435" t="s">
        <v>1080</v>
      </c>
    </row>
    <row r="10" spans="1:11" x14ac:dyDescent="0.2">
      <c r="A10" s="435" t="s">
        <v>1081</v>
      </c>
      <c r="C10" s="435" t="s">
        <v>1088</v>
      </c>
    </row>
    <row r="11" spans="1:11" x14ac:dyDescent="0.2">
      <c r="A11" s="435" t="s">
        <v>1082</v>
      </c>
      <c r="C11" s="435" t="s">
        <v>1089</v>
      </c>
    </row>
    <row r="12" spans="1:11" x14ac:dyDescent="0.2">
      <c r="A12" s="435" t="s">
        <v>1083</v>
      </c>
      <c r="C12" s="76"/>
      <c r="I12" s="353"/>
      <c r="K12" s="354"/>
    </row>
    <row r="13" spans="1:11" x14ac:dyDescent="0.2">
      <c r="A13" s="435" t="s">
        <v>1084</v>
      </c>
      <c r="C13" s="435" t="s">
        <v>1091</v>
      </c>
    </row>
    <row r="14" spans="1:11" x14ac:dyDescent="0.2">
      <c r="C14" s="435" t="s">
        <v>1092</v>
      </c>
      <c r="F14" t="s">
        <v>8</v>
      </c>
    </row>
    <row r="15" spans="1:11" x14ac:dyDescent="0.2">
      <c r="A15" s="435" t="s">
        <v>1086</v>
      </c>
      <c r="C15" s="76"/>
    </row>
    <row r="16" spans="1:11" x14ac:dyDescent="0.2">
      <c r="A16" s="435" t="s">
        <v>1077</v>
      </c>
      <c r="C16" s="435" t="s">
        <v>1090</v>
      </c>
    </row>
    <row r="17" spans="1:3" x14ac:dyDescent="0.2">
      <c r="A17" s="435" t="s">
        <v>1087</v>
      </c>
    </row>
    <row r="18" spans="1:3" x14ac:dyDescent="0.2">
      <c r="A18" s="435" t="s">
        <v>1078</v>
      </c>
      <c r="C18" s="435" t="s">
        <v>1088</v>
      </c>
    </row>
    <row r="19" spans="1:3" x14ac:dyDescent="0.2">
      <c r="A19" s="76"/>
      <c r="C19" s="435" t="s">
        <v>1089</v>
      </c>
    </row>
    <row r="20" spans="1:3" x14ac:dyDescent="0.2">
      <c r="A20" s="435" t="s">
        <v>1079</v>
      </c>
      <c r="C20" s="76"/>
    </row>
    <row r="21" spans="1:3" ht="25.5" x14ac:dyDescent="0.2">
      <c r="A21" s="436" t="s">
        <v>1085</v>
      </c>
      <c r="C21" s="435" t="s">
        <v>1091</v>
      </c>
    </row>
    <row r="22" spans="1:3" x14ac:dyDescent="0.2">
      <c r="A22" s="435" t="s">
        <v>1080</v>
      </c>
      <c r="C22" s="435" t="s">
        <v>1092</v>
      </c>
    </row>
    <row r="23" spans="1:3" x14ac:dyDescent="0.2">
      <c r="A23" s="435" t="s">
        <v>1081</v>
      </c>
      <c r="C23" s="76"/>
    </row>
    <row r="24" spans="1:3" x14ac:dyDescent="0.2">
      <c r="A24" s="435" t="s">
        <v>1082</v>
      </c>
      <c r="C24" s="435" t="s">
        <v>1090</v>
      </c>
    </row>
    <row r="25" spans="1:3" x14ac:dyDescent="0.2">
      <c r="A25" s="435" t="s">
        <v>1083</v>
      </c>
    </row>
    <row r="26" spans="1:3" x14ac:dyDescent="0.2">
      <c r="A26" s="435" t="s">
        <v>1084</v>
      </c>
      <c r="C26" s="435" t="s">
        <v>1088</v>
      </c>
    </row>
    <row r="27" spans="1:3" x14ac:dyDescent="0.2">
      <c r="C27" s="435" t="s">
        <v>1089</v>
      </c>
    </row>
    <row r="28" spans="1:3" x14ac:dyDescent="0.2">
      <c r="A28" s="435" t="s">
        <v>1088</v>
      </c>
      <c r="C28" s="76"/>
    </row>
    <row r="29" spans="1:3" x14ac:dyDescent="0.2">
      <c r="A29" s="435" t="s">
        <v>1089</v>
      </c>
      <c r="C29" s="435" t="s">
        <v>1091</v>
      </c>
    </row>
    <row r="30" spans="1:3" x14ac:dyDescent="0.2">
      <c r="A30" s="76"/>
      <c r="C30" s="435" t="s">
        <v>1092</v>
      </c>
    </row>
    <row r="31" spans="1:3" x14ac:dyDescent="0.2">
      <c r="A31" s="435" t="s">
        <v>1091</v>
      </c>
      <c r="C31" s="76"/>
    </row>
    <row r="32" spans="1:3" x14ac:dyDescent="0.2">
      <c r="A32" s="435" t="s">
        <v>1092</v>
      </c>
      <c r="C32" s="435" t="s">
        <v>1090</v>
      </c>
    </row>
    <row r="33" spans="1:3" x14ac:dyDescent="0.2">
      <c r="A33" s="76"/>
    </row>
    <row r="34" spans="1:3" x14ac:dyDescent="0.2">
      <c r="A34" s="435" t="s">
        <v>1090</v>
      </c>
      <c r="C34" s="435" t="s">
        <v>1088</v>
      </c>
    </row>
    <row r="35" spans="1:3" x14ac:dyDescent="0.2">
      <c r="B35" s="430" t="s">
        <v>150</v>
      </c>
      <c r="C35" s="435" t="s">
        <v>1089</v>
      </c>
    </row>
    <row r="36" spans="1:3" x14ac:dyDescent="0.2">
      <c r="A36" s="435" t="s">
        <v>1088</v>
      </c>
      <c r="C36" s="76"/>
    </row>
    <row r="37" spans="1:3" x14ac:dyDescent="0.2">
      <c r="A37" s="435" t="s">
        <v>1089</v>
      </c>
      <c r="C37" s="435" t="s">
        <v>1091</v>
      </c>
    </row>
    <row r="38" spans="1:3" x14ac:dyDescent="0.2">
      <c r="A38" s="76"/>
      <c r="C38" s="435" t="s">
        <v>1092</v>
      </c>
    </row>
    <row r="39" spans="1:3" x14ac:dyDescent="0.2">
      <c r="A39" s="435" t="s">
        <v>1091</v>
      </c>
      <c r="C39" s="76"/>
    </row>
    <row r="40" spans="1:3" x14ac:dyDescent="0.2">
      <c r="A40" s="435" t="s">
        <v>1092</v>
      </c>
      <c r="C40" s="435" t="s">
        <v>1090</v>
      </c>
    </row>
    <row r="41" spans="1:3" x14ac:dyDescent="0.2">
      <c r="A41" s="76"/>
    </row>
    <row r="42" spans="1:3" x14ac:dyDescent="0.2">
      <c r="A42" s="435" t="s">
        <v>1090</v>
      </c>
      <c r="C42" s="435" t="s">
        <v>1088</v>
      </c>
    </row>
    <row r="43" spans="1:3" x14ac:dyDescent="0.2">
      <c r="C43" s="435" t="s">
        <v>1089</v>
      </c>
    </row>
    <row r="44" spans="1:3" x14ac:dyDescent="0.2">
      <c r="A44" s="435" t="s">
        <v>1088</v>
      </c>
      <c r="C44" s="76"/>
    </row>
    <row r="45" spans="1:3" x14ac:dyDescent="0.2">
      <c r="A45" s="435" t="s">
        <v>1089</v>
      </c>
      <c r="C45" s="435" t="s">
        <v>1091</v>
      </c>
    </row>
    <row r="46" spans="1:3" x14ac:dyDescent="0.2">
      <c r="A46" s="76"/>
      <c r="C46" s="435" t="s">
        <v>1092</v>
      </c>
    </row>
    <row r="47" spans="1:3" x14ac:dyDescent="0.2">
      <c r="A47" s="435" t="s">
        <v>1091</v>
      </c>
      <c r="C47" s="76"/>
    </row>
    <row r="48" spans="1:3" x14ac:dyDescent="0.2">
      <c r="A48" s="435" t="s">
        <v>1092</v>
      </c>
      <c r="C48" s="435" t="s">
        <v>1090</v>
      </c>
    </row>
    <row r="49" spans="1:3" x14ac:dyDescent="0.2">
      <c r="A49" s="76"/>
    </row>
    <row r="50" spans="1:3" x14ac:dyDescent="0.2">
      <c r="A50" s="435" t="s">
        <v>1090</v>
      </c>
      <c r="C50" s="340"/>
    </row>
    <row r="51" spans="1:3" x14ac:dyDescent="0.2">
      <c r="C51" s="340"/>
    </row>
    <row r="53" spans="1:3" x14ac:dyDescent="0.2">
      <c r="C53" s="340"/>
    </row>
    <row r="54" spans="1:3" x14ac:dyDescent="0.2">
      <c r="C54" s="340"/>
    </row>
    <row r="56" spans="1:3" x14ac:dyDescent="0.2">
      <c r="C56" s="340"/>
    </row>
  </sheetData>
  <pageMargins left="0.7" right="0.7" top="0.75" bottom="0.75" header="0.3" footer="0.3"/>
  <pageSetup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J6:S66"/>
  <sheetViews>
    <sheetView topLeftCell="C1" workbookViewId="0">
      <selection activeCell="I39" sqref="I39"/>
    </sheetView>
  </sheetViews>
  <sheetFormatPr defaultRowHeight="12.75" x14ac:dyDescent="0.2"/>
  <cols>
    <col min="10" max="10" width="14.42578125" customWidth="1"/>
    <col min="11" max="11" width="13.140625" customWidth="1"/>
    <col min="12" max="12" width="14.85546875" customWidth="1"/>
    <col min="14" max="14" width="12.85546875" bestFit="1" customWidth="1"/>
    <col min="16" max="16" width="12.5703125" customWidth="1"/>
    <col min="18" max="18" width="10.28515625" bestFit="1" customWidth="1"/>
    <col min="19" max="19" width="12.42578125" customWidth="1"/>
  </cols>
  <sheetData>
    <row r="6" spans="10:19" ht="13.5" thickBot="1" x14ac:dyDescent="0.25"/>
    <row r="7" spans="10:19" ht="13.5" thickBot="1" x14ac:dyDescent="0.25">
      <c r="J7" s="570" t="s">
        <v>2001</v>
      </c>
      <c r="K7" s="571" t="s">
        <v>2002</v>
      </c>
      <c r="L7" s="571" t="s">
        <v>2003</v>
      </c>
      <c r="M7" s="571"/>
      <c r="N7" s="571" t="s">
        <v>2000</v>
      </c>
      <c r="O7" s="572"/>
      <c r="P7" s="573"/>
    </row>
    <row r="8" spans="10:19" x14ac:dyDescent="0.2">
      <c r="J8" s="574">
        <v>3</v>
      </c>
      <c r="K8" s="575">
        <v>34321</v>
      </c>
      <c r="L8" s="576">
        <f>K8*J8</f>
        <v>102963</v>
      </c>
      <c r="M8" s="577"/>
      <c r="N8" s="575">
        <v>118407.45</v>
      </c>
      <c r="O8" s="578"/>
      <c r="P8" s="579">
        <f>N8-L8</f>
        <v>15444.449999999997</v>
      </c>
      <c r="S8" s="354">
        <f>N8/J8</f>
        <v>39469.15</v>
      </c>
    </row>
    <row r="9" spans="10:19" x14ac:dyDescent="0.2">
      <c r="J9" s="580">
        <v>3</v>
      </c>
      <c r="K9" s="568">
        <v>33483</v>
      </c>
      <c r="L9" s="569">
        <f t="shared" ref="L9:L23" si="0">K9*J9</f>
        <v>100449</v>
      </c>
      <c r="M9" s="68"/>
      <c r="N9" s="568">
        <v>115516.35</v>
      </c>
      <c r="O9" s="76"/>
      <c r="P9" s="581">
        <f t="shared" ref="P9:P23" si="1">N9-L9</f>
        <v>15067.350000000006</v>
      </c>
      <c r="S9" s="354">
        <f t="shared" ref="S9:S23" si="2">N9/J9</f>
        <v>38505.450000000004</v>
      </c>
    </row>
    <row r="10" spans="10:19" x14ac:dyDescent="0.2">
      <c r="J10" s="580">
        <v>2</v>
      </c>
      <c r="K10" s="568">
        <v>29542</v>
      </c>
      <c r="L10" s="569">
        <f t="shared" si="0"/>
        <v>59084</v>
      </c>
      <c r="M10" s="68"/>
      <c r="N10" s="568">
        <v>67946.600000000006</v>
      </c>
      <c r="O10" s="76"/>
      <c r="P10" s="581">
        <f t="shared" si="1"/>
        <v>8862.6000000000058</v>
      </c>
      <c r="S10" s="354">
        <f t="shared" si="2"/>
        <v>33973.300000000003</v>
      </c>
    </row>
    <row r="11" spans="10:19" x14ac:dyDescent="0.2">
      <c r="J11" s="580">
        <v>2</v>
      </c>
      <c r="K11" s="568">
        <v>38078</v>
      </c>
      <c r="L11" s="569">
        <f t="shared" si="0"/>
        <v>76156</v>
      </c>
      <c r="M11" s="68"/>
      <c r="N11" s="568">
        <v>87579.4</v>
      </c>
      <c r="O11" s="76"/>
      <c r="P11" s="581">
        <f t="shared" si="1"/>
        <v>11423.399999999994</v>
      </c>
      <c r="S11" s="354">
        <f t="shared" si="2"/>
        <v>43789.7</v>
      </c>
    </row>
    <row r="12" spans="10:19" x14ac:dyDescent="0.2">
      <c r="J12" s="580">
        <v>3</v>
      </c>
      <c r="K12" s="568">
        <v>33483</v>
      </c>
      <c r="L12" s="569">
        <f t="shared" si="0"/>
        <v>100449</v>
      </c>
      <c r="M12" s="68"/>
      <c r="N12" s="568">
        <v>115516.35</v>
      </c>
      <c r="O12" s="76"/>
      <c r="P12" s="581">
        <f t="shared" si="1"/>
        <v>15067.350000000006</v>
      </c>
      <c r="S12" s="354">
        <f t="shared" si="2"/>
        <v>38505.450000000004</v>
      </c>
    </row>
    <row r="13" spans="10:19" x14ac:dyDescent="0.2">
      <c r="J13" s="580">
        <v>3</v>
      </c>
      <c r="K13" s="568">
        <v>46069</v>
      </c>
      <c r="L13" s="569">
        <f t="shared" si="0"/>
        <v>138207</v>
      </c>
      <c r="M13" s="68"/>
      <c r="N13" s="568">
        <v>158938.04999999999</v>
      </c>
      <c r="O13" s="76"/>
      <c r="P13" s="581">
        <f t="shared" si="1"/>
        <v>20731.049999999988</v>
      </c>
      <c r="S13" s="354">
        <f t="shared" si="2"/>
        <v>52979.35</v>
      </c>
    </row>
    <row r="14" spans="10:19" x14ac:dyDescent="0.2">
      <c r="J14" s="580">
        <v>2</v>
      </c>
      <c r="K14" s="568">
        <v>25734</v>
      </c>
      <c r="L14" s="569">
        <f t="shared" si="0"/>
        <v>51468</v>
      </c>
      <c r="M14" s="68"/>
      <c r="N14" s="568">
        <v>59188.2</v>
      </c>
      <c r="O14" s="76"/>
      <c r="P14" s="581">
        <f t="shared" si="1"/>
        <v>7720.1999999999971</v>
      </c>
      <c r="S14" s="354">
        <f t="shared" si="2"/>
        <v>29594.1</v>
      </c>
    </row>
    <row r="15" spans="10:19" x14ac:dyDescent="0.2">
      <c r="J15" s="580">
        <v>2</v>
      </c>
      <c r="K15" s="568">
        <v>24619</v>
      </c>
      <c r="L15" s="569">
        <f t="shared" si="0"/>
        <v>49238</v>
      </c>
      <c r="M15" s="68"/>
      <c r="N15" s="568">
        <v>56623.7</v>
      </c>
      <c r="O15" s="76"/>
      <c r="P15" s="581">
        <f t="shared" si="1"/>
        <v>7385.6999999999971</v>
      </c>
      <c r="S15" s="354">
        <f t="shared" si="2"/>
        <v>28311.85</v>
      </c>
    </row>
    <row r="16" spans="10:19" x14ac:dyDescent="0.2">
      <c r="J16" s="580">
        <v>3</v>
      </c>
      <c r="K16" s="568">
        <v>78909</v>
      </c>
      <c r="L16" s="569">
        <f t="shared" si="0"/>
        <v>236727</v>
      </c>
      <c r="M16" s="68"/>
      <c r="N16" s="568">
        <v>272236.05</v>
      </c>
      <c r="O16" s="76"/>
      <c r="P16" s="581">
        <f t="shared" si="1"/>
        <v>35509.049999999988</v>
      </c>
      <c r="S16" s="354">
        <f t="shared" si="2"/>
        <v>90745.349999999991</v>
      </c>
    </row>
    <row r="17" spans="10:19" x14ac:dyDescent="0.2">
      <c r="J17" s="580">
        <v>2</v>
      </c>
      <c r="K17" s="568">
        <v>63250</v>
      </c>
      <c r="L17" s="569">
        <f t="shared" si="0"/>
        <v>126500</v>
      </c>
      <c r="M17" s="68"/>
      <c r="N17" s="568">
        <v>132825</v>
      </c>
      <c r="O17" s="76"/>
      <c r="P17" s="581">
        <f t="shared" si="1"/>
        <v>6325</v>
      </c>
      <c r="S17" s="354">
        <f t="shared" si="2"/>
        <v>66412.5</v>
      </c>
    </row>
    <row r="18" spans="10:19" x14ac:dyDescent="0.2">
      <c r="J18" s="580">
        <v>2</v>
      </c>
      <c r="K18" s="568">
        <v>71300</v>
      </c>
      <c r="L18" s="569">
        <f t="shared" si="0"/>
        <v>142600</v>
      </c>
      <c r="M18" s="68"/>
      <c r="N18" s="568">
        <v>149730</v>
      </c>
      <c r="O18" s="76"/>
      <c r="P18" s="581">
        <f t="shared" si="1"/>
        <v>7130</v>
      </c>
      <c r="S18" s="354">
        <f t="shared" si="2"/>
        <v>74865</v>
      </c>
    </row>
    <row r="19" spans="10:19" x14ac:dyDescent="0.2">
      <c r="J19" s="580">
        <v>2</v>
      </c>
      <c r="K19" s="568">
        <v>86250</v>
      </c>
      <c r="L19" s="569">
        <f t="shared" si="0"/>
        <v>172500</v>
      </c>
      <c r="M19" s="68"/>
      <c r="N19" s="568">
        <v>181125</v>
      </c>
      <c r="O19" s="76"/>
      <c r="P19" s="581">
        <f t="shared" si="1"/>
        <v>8625</v>
      </c>
      <c r="S19" s="354">
        <f t="shared" si="2"/>
        <v>90562.5</v>
      </c>
    </row>
    <row r="20" spans="10:19" x14ac:dyDescent="0.2">
      <c r="J20" s="580">
        <v>2</v>
      </c>
      <c r="K20" s="568" t="s">
        <v>152</v>
      </c>
      <c r="L20" s="569" t="e">
        <f t="shared" si="0"/>
        <v>#VALUE!</v>
      </c>
      <c r="M20" s="68"/>
      <c r="N20" s="568">
        <v>52561.9</v>
      </c>
      <c r="O20" s="76"/>
      <c r="P20" s="581" t="e">
        <f t="shared" si="1"/>
        <v>#VALUE!</v>
      </c>
      <c r="S20" s="354">
        <f t="shared" si="2"/>
        <v>26280.95</v>
      </c>
    </row>
    <row r="21" spans="10:19" x14ac:dyDescent="0.2">
      <c r="J21" s="580">
        <v>4</v>
      </c>
      <c r="K21" s="568">
        <v>198500</v>
      </c>
      <c r="L21" s="569">
        <f t="shared" si="0"/>
        <v>794000</v>
      </c>
      <c r="M21" s="68"/>
      <c r="N21" s="568">
        <v>794000</v>
      </c>
      <c r="O21" s="76"/>
      <c r="P21" s="581">
        <f t="shared" si="1"/>
        <v>0</v>
      </c>
      <c r="S21" s="354">
        <f t="shared" si="2"/>
        <v>198500</v>
      </c>
    </row>
    <row r="22" spans="10:19" x14ac:dyDescent="0.2">
      <c r="J22" s="580">
        <v>1</v>
      </c>
      <c r="K22" s="568">
        <v>34500</v>
      </c>
      <c r="L22" s="569">
        <f t="shared" si="0"/>
        <v>34500</v>
      </c>
      <c r="M22" s="68"/>
      <c r="N22" s="568">
        <v>34500</v>
      </c>
      <c r="O22" s="76"/>
      <c r="P22" s="581">
        <f t="shared" si="1"/>
        <v>0</v>
      </c>
      <c r="S22" s="354">
        <f t="shared" si="2"/>
        <v>34500</v>
      </c>
    </row>
    <row r="23" spans="10:19" ht="13.5" thickBot="1" x14ac:dyDescent="0.25">
      <c r="J23" s="582">
        <v>2</v>
      </c>
      <c r="K23" s="583">
        <v>34500</v>
      </c>
      <c r="L23" s="584">
        <f t="shared" si="0"/>
        <v>69000</v>
      </c>
      <c r="M23" s="585"/>
      <c r="N23" s="583">
        <v>69000</v>
      </c>
      <c r="O23" s="459"/>
      <c r="P23" s="586">
        <f t="shared" si="1"/>
        <v>0</v>
      </c>
      <c r="S23" s="354">
        <f t="shared" si="2"/>
        <v>34500</v>
      </c>
    </row>
    <row r="27" spans="10:19" x14ac:dyDescent="0.2">
      <c r="J27">
        <v>6</v>
      </c>
      <c r="K27" s="353">
        <v>38078</v>
      </c>
      <c r="L27" s="354">
        <f>K27*J27</f>
        <v>228468</v>
      </c>
      <c r="N27" s="353">
        <v>525476.4</v>
      </c>
      <c r="P27" s="354"/>
    </row>
    <row r="28" spans="10:19" x14ac:dyDescent="0.2">
      <c r="J28">
        <v>6</v>
      </c>
      <c r="K28" s="353">
        <v>29542</v>
      </c>
      <c r="L28" s="354">
        <f t="shared" ref="L28:L45" si="3">K28*J28</f>
        <v>177252</v>
      </c>
      <c r="N28" s="353">
        <v>407679.6</v>
      </c>
    </row>
    <row r="29" spans="10:19" x14ac:dyDescent="0.2">
      <c r="J29">
        <v>6</v>
      </c>
      <c r="K29" s="353">
        <v>33483</v>
      </c>
      <c r="L29" s="354">
        <f t="shared" si="3"/>
        <v>200898</v>
      </c>
      <c r="N29" s="353">
        <v>462065.4</v>
      </c>
    </row>
    <row r="30" spans="10:19" x14ac:dyDescent="0.2">
      <c r="J30">
        <v>6</v>
      </c>
      <c r="K30" s="353">
        <v>33483</v>
      </c>
      <c r="L30" s="354">
        <f t="shared" si="3"/>
        <v>200898</v>
      </c>
      <c r="N30" s="353">
        <v>462065.4</v>
      </c>
    </row>
    <row r="31" spans="10:19" x14ac:dyDescent="0.2">
      <c r="J31">
        <v>2</v>
      </c>
      <c r="K31" s="353">
        <v>22853</v>
      </c>
      <c r="L31" s="354">
        <f t="shared" si="3"/>
        <v>45706</v>
      </c>
      <c r="N31" s="353">
        <v>78842.850000000006</v>
      </c>
      <c r="R31" s="354"/>
    </row>
    <row r="32" spans="10:19" x14ac:dyDescent="0.2">
      <c r="J32">
        <v>2</v>
      </c>
      <c r="K32" s="353">
        <v>63250</v>
      </c>
      <c r="L32" s="354">
        <f t="shared" si="3"/>
        <v>126500</v>
      </c>
      <c r="N32" s="353">
        <v>132825</v>
      </c>
    </row>
    <row r="33" spans="10:16" x14ac:dyDescent="0.2">
      <c r="J33">
        <v>2</v>
      </c>
      <c r="K33" s="353">
        <v>71300</v>
      </c>
      <c r="L33" s="354">
        <f t="shared" si="3"/>
        <v>142600</v>
      </c>
      <c r="N33" s="353">
        <v>224595</v>
      </c>
    </row>
    <row r="34" spans="10:16" x14ac:dyDescent="0.2">
      <c r="J34">
        <v>6</v>
      </c>
      <c r="K34" s="353">
        <v>34321</v>
      </c>
      <c r="L34" s="354">
        <f t="shared" si="3"/>
        <v>205926</v>
      </c>
      <c r="N34" s="353">
        <v>473629.8</v>
      </c>
    </row>
    <row r="35" spans="10:16" x14ac:dyDescent="0.2">
      <c r="J35">
        <v>10</v>
      </c>
      <c r="K35" s="353"/>
      <c r="L35" s="354">
        <f t="shared" si="3"/>
        <v>0</v>
      </c>
      <c r="N35" s="353">
        <v>249000</v>
      </c>
    </row>
    <row r="36" spans="10:16" x14ac:dyDescent="0.2">
      <c r="J36">
        <v>2</v>
      </c>
      <c r="K36" s="353">
        <v>86250</v>
      </c>
      <c r="L36" s="354">
        <f t="shared" si="3"/>
        <v>172500</v>
      </c>
      <c r="N36" s="353">
        <v>181125</v>
      </c>
    </row>
    <row r="37" spans="10:16" x14ac:dyDescent="0.2">
      <c r="J37">
        <v>6</v>
      </c>
      <c r="K37" s="353"/>
      <c r="L37" s="354">
        <f t="shared" si="3"/>
        <v>0</v>
      </c>
      <c r="N37" s="353">
        <v>1088944.2</v>
      </c>
    </row>
    <row r="38" spans="10:16" x14ac:dyDescent="0.2">
      <c r="J38">
        <v>6</v>
      </c>
      <c r="K38" s="353">
        <v>25734</v>
      </c>
      <c r="L38" s="354">
        <f t="shared" si="3"/>
        <v>154404</v>
      </c>
      <c r="N38" s="353">
        <v>355129.2</v>
      </c>
    </row>
    <row r="39" spans="10:16" x14ac:dyDescent="0.2">
      <c r="J39">
        <v>6</v>
      </c>
      <c r="K39" s="353">
        <v>24619</v>
      </c>
      <c r="L39" s="354">
        <f t="shared" si="3"/>
        <v>147714</v>
      </c>
      <c r="N39" s="353">
        <v>339742.2</v>
      </c>
    </row>
    <row r="40" spans="10:16" x14ac:dyDescent="0.2">
      <c r="J40">
        <v>1</v>
      </c>
      <c r="K40" s="353"/>
      <c r="L40" s="354">
        <f t="shared" si="3"/>
        <v>0</v>
      </c>
      <c r="N40" s="353">
        <v>47187</v>
      </c>
    </row>
    <row r="41" spans="10:16" x14ac:dyDescent="0.2">
      <c r="J41">
        <v>2</v>
      </c>
      <c r="K41" s="353"/>
      <c r="L41" s="354">
        <f t="shared" si="3"/>
        <v>0</v>
      </c>
      <c r="N41" s="353">
        <v>186674</v>
      </c>
    </row>
    <row r="42" spans="10:16" x14ac:dyDescent="0.2">
      <c r="J42">
        <v>6</v>
      </c>
      <c r="K42" s="353">
        <v>46069</v>
      </c>
      <c r="L42" s="354">
        <f t="shared" si="3"/>
        <v>276414</v>
      </c>
      <c r="N42" s="353">
        <v>635752.19999999995</v>
      </c>
    </row>
    <row r="43" spans="10:16" x14ac:dyDescent="0.2">
      <c r="J43">
        <v>3</v>
      </c>
      <c r="K43" s="353">
        <v>198500</v>
      </c>
      <c r="L43" s="354">
        <f t="shared" si="3"/>
        <v>595500</v>
      </c>
      <c r="N43" s="353">
        <v>1191000</v>
      </c>
    </row>
    <row r="44" spans="10:16" x14ac:dyDescent="0.2">
      <c r="J44">
        <v>2</v>
      </c>
      <c r="K44" s="353">
        <v>34500</v>
      </c>
      <c r="L44" s="354">
        <f t="shared" si="3"/>
        <v>69000</v>
      </c>
      <c r="N44" s="353">
        <v>119025</v>
      </c>
    </row>
    <row r="45" spans="10:16" x14ac:dyDescent="0.2">
      <c r="J45">
        <v>1</v>
      </c>
      <c r="K45" s="353">
        <v>34500</v>
      </c>
      <c r="L45" s="354">
        <f t="shared" si="3"/>
        <v>34500</v>
      </c>
      <c r="N45" s="353">
        <v>79350</v>
      </c>
    </row>
    <row r="48" spans="10:16" x14ac:dyDescent="0.2">
      <c r="J48">
        <v>12</v>
      </c>
      <c r="K48" s="353">
        <v>38078</v>
      </c>
      <c r="L48" s="354">
        <f>K48*J48</f>
        <v>456936</v>
      </c>
      <c r="N48" s="353">
        <v>525476.4</v>
      </c>
      <c r="P48" s="354">
        <f>N48-L48</f>
        <v>68540.400000000023</v>
      </c>
    </row>
    <row r="49" spans="10:16" x14ac:dyDescent="0.2">
      <c r="J49">
        <v>12</v>
      </c>
      <c r="K49" s="353">
        <v>29542</v>
      </c>
      <c r="L49" s="354">
        <f t="shared" ref="L49:L66" si="4">K49*J49</f>
        <v>354504</v>
      </c>
      <c r="N49" s="353">
        <v>407679.6</v>
      </c>
      <c r="P49" s="354">
        <f t="shared" ref="P49:P66" si="5">N49-L49</f>
        <v>53175.599999999977</v>
      </c>
    </row>
    <row r="50" spans="10:16" x14ac:dyDescent="0.2">
      <c r="J50">
        <v>12</v>
      </c>
      <c r="K50" s="353">
        <v>33483</v>
      </c>
      <c r="L50" s="354">
        <f t="shared" si="4"/>
        <v>401796</v>
      </c>
      <c r="N50" s="353">
        <v>462065.4</v>
      </c>
      <c r="P50" s="354">
        <f t="shared" si="5"/>
        <v>60269.400000000023</v>
      </c>
    </row>
    <row r="51" spans="10:16" x14ac:dyDescent="0.2">
      <c r="J51">
        <v>12</v>
      </c>
      <c r="K51" s="353">
        <v>33483</v>
      </c>
      <c r="L51" s="354">
        <f t="shared" si="4"/>
        <v>401796</v>
      </c>
      <c r="N51" s="353">
        <v>462065.4</v>
      </c>
      <c r="P51" s="354">
        <f t="shared" si="5"/>
        <v>60269.400000000023</v>
      </c>
    </row>
    <row r="52" spans="10:16" x14ac:dyDescent="0.2">
      <c r="J52">
        <v>3</v>
      </c>
      <c r="K52" s="353">
        <v>22853</v>
      </c>
      <c r="L52" s="354">
        <f t="shared" si="4"/>
        <v>68559</v>
      </c>
      <c r="N52" s="353">
        <v>78842.850000000006</v>
      </c>
      <c r="P52" s="354">
        <f t="shared" si="5"/>
        <v>10283.850000000006</v>
      </c>
    </row>
    <row r="53" spans="10:16" x14ac:dyDescent="0.2">
      <c r="J53">
        <v>2</v>
      </c>
      <c r="K53" s="353">
        <v>63250</v>
      </c>
      <c r="L53" s="354">
        <f t="shared" si="4"/>
        <v>126500</v>
      </c>
      <c r="N53" s="353">
        <v>132825</v>
      </c>
      <c r="P53" s="354">
        <f t="shared" si="5"/>
        <v>6325</v>
      </c>
    </row>
    <row r="54" spans="10:16" x14ac:dyDescent="0.2">
      <c r="J54">
        <v>3</v>
      </c>
      <c r="K54" s="353">
        <v>71300</v>
      </c>
      <c r="L54" s="354">
        <f t="shared" si="4"/>
        <v>213900</v>
      </c>
      <c r="N54" s="353">
        <v>224595</v>
      </c>
      <c r="P54" s="354">
        <f t="shared" si="5"/>
        <v>10695</v>
      </c>
    </row>
    <row r="55" spans="10:16" x14ac:dyDescent="0.2">
      <c r="J55">
        <v>12</v>
      </c>
      <c r="K55" s="353">
        <v>34321</v>
      </c>
      <c r="L55" s="354">
        <f t="shared" si="4"/>
        <v>411852</v>
      </c>
      <c r="N55" s="353">
        <v>473629.8</v>
      </c>
      <c r="P55" s="354">
        <f t="shared" si="5"/>
        <v>61777.799999999988</v>
      </c>
    </row>
    <row r="56" spans="10:16" x14ac:dyDescent="0.2">
      <c r="J56">
        <v>10</v>
      </c>
      <c r="K56" s="353"/>
      <c r="L56" s="354">
        <f t="shared" si="4"/>
        <v>0</v>
      </c>
      <c r="N56" s="353">
        <v>249000</v>
      </c>
      <c r="P56" s="354">
        <f t="shared" si="5"/>
        <v>249000</v>
      </c>
    </row>
    <row r="57" spans="10:16" x14ac:dyDescent="0.2">
      <c r="J57">
        <v>2</v>
      </c>
      <c r="K57" s="353">
        <v>86250</v>
      </c>
      <c r="L57" s="354">
        <f t="shared" si="4"/>
        <v>172500</v>
      </c>
      <c r="N57" s="353">
        <v>181125</v>
      </c>
      <c r="P57" s="354">
        <f t="shared" si="5"/>
        <v>8625</v>
      </c>
    </row>
    <row r="58" spans="10:16" x14ac:dyDescent="0.2">
      <c r="J58">
        <v>12</v>
      </c>
      <c r="K58" s="353"/>
      <c r="L58" s="354">
        <f t="shared" si="4"/>
        <v>0</v>
      </c>
      <c r="N58" s="353">
        <v>1088944.2</v>
      </c>
      <c r="P58" s="354">
        <f t="shared" si="5"/>
        <v>1088944.2</v>
      </c>
    </row>
    <row r="59" spans="10:16" x14ac:dyDescent="0.2">
      <c r="J59">
        <v>12</v>
      </c>
      <c r="K59" s="353">
        <v>25734</v>
      </c>
      <c r="L59" s="354">
        <f t="shared" si="4"/>
        <v>308808</v>
      </c>
      <c r="N59" s="353">
        <v>355129.2</v>
      </c>
      <c r="P59" s="354">
        <f t="shared" si="5"/>
        <v>46321.200000000012</v>
      </c>
    </row>
    <row r="60" spans="10:16" x14ac:dyDescent="0.2">
      <c r="J60">
        <v>12</v>
      </c>
      <c r="K60" s="353">
        <v>24619</v>
      </c>
      <c r="L60" s="354">
        <f t="shared" si="4"/>
        <v>295428</v>
      </c>
      <c r="N60" s="353">
        <v>339742.2</v>
      </c>
      <c r="P60" s="354">
        <f t="shared" si="5"/>
        <v>44314.200000000012</v>
      </c>
    </row>
    <row r="61" spans="10:16" x14ac:dyDescent="0.2">
      <c r="J61">
        <v>1</v>
      </c>
      <c r="K61" s="353"/>
      <c r="L61" s="354">
        <f t="shared" si="4"/>
        <v>0</v>
      </c>
      <c r="N61" s="353">
        <v>47187</v>
      </c>
      <c r="P61" s="354">
        <f t="shared" si="5"/>
        <v>47187</v>
      </c>
    </row>
    <row r="62" spans="10:16" x14ac:dyDescent="0.2">
      <c r="J62">
        <v>2</v>
      </c>
      <c r="K62" s="353"/>
      <c r="L62" s="354">
        <f t="shared" si="4"/>
        <v>0</v>
      </c>
      <c r="N62" s="353">
        <v>186674</v>
      </c>
      <c r="P62" s="354">
        <f t="shared" si="5"/>
        <v>186674</v>
      </c>
    </row>
    <row r="63" spans="10:16" x14ac:dyDescent="0.2">
      <c r="J63">
        <v>12</v>
      </c>
      <c r="K63" s="353">
        <v>46069</v>
      </c>
      <c r="L63" s="354">
        <f t="shared" si="4"/>
        <v>552828</v>
      </c>
      <c r="N63" s="353">
        <v>635752.19999999995</v>
      </c>
      <c r="P63" s="354">
        <f t="shared" si="5"/>
        <v>82924.199999999953</v>
      </c>
    </row>
    <row r="64" spans="10:16" x14ac:dyDescent="0.2">
      <c r="J64">
        <v>6</v>
      </c>
      <c r="K64" s="353">
        <v>198500</v>
      </c>
      <c r="L64" s="354">
        <f t="shared" si="4"/>
        <v>1191000</v>
      </c>
      <c r="N64" s="353">
        <v>1191000</v>
      </c>
      <c r="P64" s="354">
        <f t="shared" si="5"/>
        <v>0</v>
      </c>
    </row>
    <row r="65" spans="10:16" x14ac:dyDescent="0.2">
      <c r="J65">
        <v>3</v>
      </c>
      <c r="K65" s="353">
        <v>34500</v>
      </c>
      <c r="L65" s="354">
        <f t="shared" si="4"/>
        <v>103500</v>
      </c>
      <c r="N65" s="353">
        <v>119025</v>
      </c>
      <c r="P65" s="354">
        <f t="shared" si="5"/>
        <v>15525</v>
      </c>
    </row>
    <row r="66" spans="10:16" x14ac:dyDescent="0.2">
      <c r="J66">
        <v>2</v>
      </c>
      <c r="K66" s="353">
        <v>34500</v>
      </c>
      <c r="L66" s="354">
        <f t="shared" si="4"/>
        <v>69000</v>
      </c>
      <c r="N66" s="353">
        <v>79350</v>
      </c>
      <c r="P66" s="354">
        <f t="shared" si="5"/>
        <v>10350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OVG</vt:lpstr>
      <vt:lpstr>SP</vt:lpstr>
      <vt:lpstr>BM MARCUS MENDOZA</vt:lpstr>
      <vt:lpstr>BM BALBA</vt:lpstr>
      <vt:lpstr>BM BAUSAS</vt:lpstr>
      <vt:lpstr>BM BLANCO</vt:lpstr>
      <vt:lpstr>BM BERBERABE</vt:lpstr>
      <vt:lpstr>BM CORONA</vt:lpstr>
      <vt:lpstr>BM GOZOS</vt:lpstr>
      <vt:lpstr>ABU-REYES</vt:lpstr>
      <vt:lpstr>BM MARCUS</vt:lpstr>
      <vt:lpstr>BM MENDOZA</vt:lpstr>
      <vt:lpstr>BM BRIONES-QUEYQUEP</vt:lpstr>
      <vt:lpstr>BM ROCAFORT</vt:lpstr>
      <vt:lpstr>BM SANTOS</vt:lpstr>
      <vt:lpstr>BM PUA</vt:lpstr>
      <vt:lpstr>BM VIDAL</vt:lpstr>
      <vt:lpstr>ACCOUNTING</vt:lpstr>
      <vt:lpstr>ADMIN</vt:lpstr>
      <vt:lpstr>AGRI</vt:lpstr>
      <vt:lpstr>ASSESSOR</vt:lpstr>
      <vt:lpstr>BAC</vt:lpstr>
      <vt:lpstr>BUDGET</vt:lpstr>
      <vt:lpstr>COA</vt:lpstr>
      <vt:lpstr>COOP</vt:lpstr>
      <vt:lpstr>ENRO</vt:lpstr>
      <vt:lpstr>GSO</vt:lpstr>
      <vt:lpstr>HRMO</vt:lpstr>
      <vt:lpstr>JAIL</vt:lpstr>
      <vt:lpstr>LEGAL</vt:lpstr>
      <vt:lpstr>LIBRARY</vt:lpstr>
      <vt:lpstr>OPG</vt:lpstr>
      <vt:lpstr>PACD</vt:lpstr>
      <vt:lpstr>PDRRMO</vt:lpstr>
      <vt:lpstr>PEO</vt:lpstr>
      <vt:lpstr>PHO</vt:lpstr>
      <vt:lpstr>APACIBLE</vt:lpstr>
      <vt:lpstr>BAUAN-HEALTHCARE</vt:lpstr>
      <vt:lpstr>BPH</vt:lpstr>
      <vt:lpstr>CALATAGAN</vt:lpstr>
      <vt:lpstr>DON MANUEL</vt:lpstr>
      <vt:lpstr>DR ERNESTO</vt:lpstr>
      <vt:lpstr>LAUREL MEMORIAL</vt:lpstr>
      <vt:lpstr>LOBO</vt:lpstr>
      <vt:lpstr>MARTIN MARASIGAN</vt:lpstr>
      <vt:lpstr>MVM</vt:lpstr>
      <vt:lpstr>SAN JOSE</vt:lpstr>
      <vt:lpstr>SAN JUAN</vt:lpstr>
      <vt:lpstr>TUY</vt:lpstr>
      <vt:lpstr>PIO</vt:lpstr>
      <vt:lpstr>PLANNING</vt:lpstr>
      <vt:lpstr>PPOSD</vt:lpstr>
      <vt:lpstr>PSB</vt:lpstr>
      <vt:lpstr>PROSEC</vt:lpstr>
      <vt:lpstr>PSWDO</vt:lpstr>
      <vt:lpstr>PTO</vt:lpstr>
      <vt:lpstr>TOURISM</vt:lpstr>
      <vt:lpstr>VET</vt:lpstr>
      <vt:lpstr>RD</vt:lpstr>
      <vt:lpstr>COMELEC</vt:lpstr>
      <vt:lpstr>BPLC</vt:lpstr>
      <vt:lpstr>RTC</vt:lpstr>
      <vt:lpstr>offices</vt:lpstr>
      <vt:lpstr>Sheet1</vt:lpstr>
      <vt:lpstr>Sheet7</vt:lpstr>
      <vt:lpstr>Sheet2</vt:lpstr>
      <vt:lpstr>Sheet6</vt:lpstr>
      <vt:lpstr>Sheet4</vt:lpstr>
      <vt:lpstr>Sheet3</vt:lpstr>
      <vt:lpstr>Sheet5</vt:lpstr>
    </vt:vector>
  </TitlesOfParts>
  <Company>Sir Org.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G</dc:creator>
  <cp:lastModifiedBy>Wilma Gutierrez</cp:lastModifiedBy>
  <cp:lastPrinted>2026-05-04T08:18:00Z</cp:lastPrinted>
  <dcterms:created xsi:type="dcterms:W3CDTF">2007-10-10T01:41:52Z</dcterms:created>
  <dcterms:modified xsi:type="dcterms:W3CDTF">2026-05-05T09:41:33Z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9ff53776-a701-402e-a545-67f79d43d2de</vt:lpwstr>
  </property>
</Properties>
</file>