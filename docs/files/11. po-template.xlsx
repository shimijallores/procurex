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MALL VALUE 2025\"/>
    </mc:Choice>
  </mc:AlternateContent>
  <xr:revisionPtr revIDLastSave="0" documentId="13_ncr:1_{A3CDD8E7-7A36-4E53-801C-51541FF14547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056" sheetId="17" r:id="rId1"/>
    <sheet name="065" sheetId="18" r:id="rId2"/>
    <sheet name="072" sheetId="14" r:id="rId3"/>
    <sheet name="079" sheetId="13" r:id="rId4"/>
    <sheet name="081" sheetId="1" r:id="rId5"/>
    <sheet name="082" sheetId="19" r:id="rId6"/>
    <sheet name="099" sheetId="16" r:id="rId7"/>
    <sheet name="103" sheetId="15" r:id="rId8"/>
    <sheet name="104" sheetId="2" r:id="rId9"/>
    <sheet name="116" sheetId="3" r:id="rId10"/>
    <sheet name="117" sheetId="20" r:id="rId11"/>
  </sheets>
  <definedNames>
    <definedName name="Hotel_Accomodation" localSheetId="0">#REF!</definedName>
    <definedName name="Hotel_Accomodation" localSheetId="1">#REF!</definedName>
    <definedName name="Hotel_Accomodation" localSheetId="2">#REF!</definedName>
    <definedName name="Hotel_Accomodation" localSheetId="3">#REF!</definedName>
    <definedName name="Hotel_Accomodation" localSheetId="4">#REF!</definedName>
    <definedName name="Hotel_Accomodation" localSheetId="5">#REF!</definedName>
    <definedName name="Hotel_Accomodation" localSheetId="6">#REF!</definedName>
    <definedName name="Hotel_Accomodation" localSheetId="7">#REF!</definedName>
    <definedName name="Hotel_Accomodation" localSheetId="8">#REF!</definedName>
    <definedName name="Hotel_Accomodation" localSheetId="9">#REF!</definedName>
    <definedName name="Hotel_Accomodation">#REF!</definedName>
    <definedName name="_xlnm.Print_Area" localSheetId="1">'065'!$A$1:$F$74</definedName>
    <definedName name="_xlnm.Print_Area" localSheetId="9">'116'!$A$1:$F$74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20" l="1"/>
  <c r="F19" i="20"/>
  <c r="F15" i="20"/>
  <c r="F50" i="3"/>
  <c r="F38" i="3"/>
  <c r="F36" i="3"/>
  <c r="F34" i="3"/>
  <c r="F31" i="3"/>
  <c r="F29" i="3"/>
  <c r="F27" i="3"/>
  <c r="F24" i="3"/>
  <c r="F22" i="3"/>
  <c r="F20" i="3"/>
  <c r="F15" i="3"/>
  <c r="F50" i="2"/>
  <c r="F19" i="2"/>
  <c r="F50" i="15"/>
  <c r="F19" i="15"/>
  <c r="F50" i="16"/>
  <c r="F25" i="16"/>
  <c r="F24" i="16"/>
  <c r="F23" i="16"/>
  <c r="F22" i="16"/>
  <c r="F21" i="16"/>
  <c r="F20" i="16"/>
  <c r="F19" i="16"/>
  <c r="F50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50" i="1"/>
  <c r="F19" i="1"/>
  <c r="F50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50" i="14"/>
  <c r="F23" i="14"/>
  <c r="F21" i="14"/>
  <c r="F19" i="14"/>
  <c r="F15" i="14"/>
  <c r="F50" i="18"/>
  <c r="F30" i="18"/>
  <c r="F24" i="18"/>
  <c r="F19" i="18"/>
  <c r="F50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</calcChain>
</file>

<file path=xl/sharedStrings.xml><?xml version="1.0" encoding="utf-8"?>
<sst xmlns="http://schemas.openxmlformats.org/spreadsheetml/2006/main" count="759" uniqueCount="253">
  <si>
    <t>PURCHASE ORDER</t>
  </si>
  <si>
    <t>LGU</t>
  </si>
  <si>
    <t>Supplier                :</t>
  </si>
  <si>
    <t>ESTILO DE QUIWA ENTERPRISE</t>
  </si>
  <si>
    <t xml:space="preserve">P.O. No.     :     </t>
  </si>
  <si>
    <t>1125-056SVP</t>
  </si>
  <si>
    <t xml:space="preserve">Date           :   </t>
  </si>
  <si>
    <t>11/12/2025</t>
  </si>
  <si>
    <t>Address               :</t>
  </si>
  <si>
    <t>Purok 10 Rose Ave., Sta Lucia City of San Fernando, Pampanga</t>
  </si>
  <si>
    <t xml:space="preserve">Mode of Procurement: </t>
  </si>
  <si>
    <t xml:space="preserve">           Small Value               </t>
  </si>
  <si>
    <t xml:space="preserve">P.R. No/s.     :     </t>
  </si>
  <si>
    <t>1025-1959</t>
  </si>
  <si>
    <t>Sir/Madam:</t>
  </si>
  <si>
    <t>Please furnish this office the following articles subject to the terms and conditions contained herein:</t>
  </si>
  <si>
    <t xml:space="preserve">Place of Delivery  : </t>
  </si>
  <si>
    <t>GENERAL SERVICES OFFICE</t>
  </si>
  <si>
    <t>Delivery Term:</t>
  </si>
  <si>
    <t>within 30 calendar days upon receipt hereof</t>
  </si>
  <si>
    <t xml:space="preserve">Date of Delivery   : </t>
  </si>
  <si>
    <t>within 30 calendar days upon receipt of this Purchase Order</t>
  </si>
  <si>
    <t>Payment Term :</t>
  </si>
  <si>
    <t>upon 100% completion /delivery</t>
  </si>
  <si>
    <t>ITEM 
NO.</t>
  </si>
  <si>
    <t>UNIT</t>
  </si>
  <si>
    <t>QTY</t>
  </si>
  <si>
    <t>DESCRIPTION</t>
  </si>
  <si>
    <t>UNIT COST</t>
  </si>
  <si>
    <t>AMOUNT</t>
  </si>
  <si>
    <t xml:space="preserve">bundle </t>
  </si>
  <si>
    <t>G.I Wire #10</t>
  </si>
  <si>
    <t>piece</t>
  </si>
  <si>
    <t>Corrugated Bar 9mm</t>
  </si>
  <si>
    <t>Tubular 1"</t>
  </si>
  <si>
    <t>kilogram</t>
  </si>
  <si>
    <t xml:space="preserve">Welding Rod </t>
  </si>
  <si>
    <t>LED Bulb 5W</t>
  </si>
  <si>
    <t xml:space="preserve">Rubber Socket </t>
  </si>
  <si>
    <t>roll</t>
  </si>
  <si>
    <t>Plastic Vinyl Charol</t>
  </si>
  <si>
    <t xml:space="preserve">Hard Plastic Clear Cover </t>
  </si>
  <si>
    <t xml:space="preserve">Electrical Tape </t>
  </si>
  <si>
    <t>gallon</t>
  </si>
  <si>
    <t>Glue</t>
  </si>
  <si>
    <t xml:space="preserve">Contact Cement </t>
  </si>
  <si>
    <t xml:space="preserve">feet </t>
  </si>
  <si>
    <t xml:space="preserve">Tarpaulin </t>
  </si>
  <si>
    <t>meter</t>
  </si>
  <si>
    <t>Flat Cord #22</t>
  </si>
  <si>
    <t xml:space="preserve">Nylon Rope </t>
  </si>
  <si>
    <t xml:space="preserve">Chip Board </t>
  </si>
  <si>
    <t>TOTAL (Php)</t>
  </si>
  <si>
    <r>
      <rPr>
        <sz val="10"/>
        <color indexed="63"/>
        <rFont val="Arial"/>
        <charset val="134"/>
      </rPr>
      <t xml:space="preserve">(Total Amount in Words)  </t>
    </r>
    <r>
      <rPr>
        <b/>
        <u/>
        <sz val="10"/>
        <color indexed="63"/>
        <rFont val="Arial"/>
        <charset val="134"/>
      </rPr>
      <t xml:space="preserve">One Million Nine Hundred One Thousand Six Hundred Fifteen Pesos Only </t>
    </r>
  </si>
  <si>
    <t xml:space="preserve">     In case of failure to make the full delivery within the time specified above, a penalty of one-tenth (1/10) of one (1) percent</t>
  </si>
  <si>
    <t xml:space="preserve"> for every day of delay shall be imposed.</t>
  </si>
  <si>
    <t xml:space="preserve">                                     Very truly yours,</t>
  </si>
  <si>
    <t xml:space="preserve">                                 __________________________________</t>
  </si>
  <si>
    <t>VILMA SANTOS - RECTO</t>
  </si>
  <si>
    <t xml:space="preserve">     Conforme:</t>
  </si>
  <si>
    <t>Governor</t>
  </si>
  <si>
    <t xml:space="preserve">                        ______________________________</t>
  </si>
  <si>
    <t xml:space="preserve">                             (Signature over printed name)</t>
  </si>
  <si>
    <t xml:space="preserve">                                                  Date</t>
  </si>
  <si>
    <t xml:space="preserve"> </t>
  </si>
  <si>
    <t xml:space="preserve">   (In case of Negotiated Purchase pursuant to Section 369 (a) of RA 7160, this portion must be accomplished.)</t>
  </si>
  <si>
    <t xml:space="preserve">   Approved per Sanggunian Resolution No: _________________________________________________________________</t>
  </si>
  <si>
    <t xml:space="preserve">   Certified Correct: __________________________________</t>
  </si>
  <si>
    <t>Date: __________________________</t>
  </si>
  <si>
    <t xml:space="preserve">      Secretary to the Sanggunian</t>
  </si>
  <si>
    <t>RJEN SCHOOL AND OFFICE SUPPLIES TRADING</t>
  </si>
  <si>
    <t>1125-065SVP</t>
  </si>
  <si>
    <t>11/13/2025</t>
  </si>
  <si>
    <t>B. Morada Avenue, Pob. Brgy. I, Lipa City, Batangas</t>
  </si>
  <si>
    <t>0925-1438</t>
  </si>
  <si>
    <t>PROVINCIAL HEALTH OFFICE</t>
  </si>
  <si>
    <t>Nutri/Height Boards for Height and Length</t>
  </si>
  <si>
    <t>height : 5 ft (60 inches)</t>
  </si>
  <si>
    <t>weight : 5.27 kg</t>
  </si>
  <si>
    <t>width : 11.3 inches</t>
  </si>
  <si>
    <t>material : plyboard with edging</t>
  </si>
  <si>
    <t>Weighing Scale (Baby Hanging Scale)</t>
  </si>
  <si>
    <t>load capacity : up to 25 kgs.</t>
  </si>
  <si>
    <t>portable</t>
  </si>
  <si>
    <t>Stainless Steel Hook</t>
  </si>
  <si>
    <t>Mechanical Dial Type</t>
  </si>
  <si>
    <t>Includes 3 weighing panty crib</t>
  </si>
  <si>
    <t>unit</t>
  </si>
  <si>
    <t>Beam Balance Scale / Platform Scale</t>
  </si>
  <si>
    <t xml:space="preserve">Capacity:400 lb x 4 oz , 180 kg x 100 g, </t>
  </si>
  <si>
    <t>400 lb x 4 oz / 175 kg x 100 g</t>
  </si>
  <si>
    <t>Scale Height:59 in / 150 cm</t>
  </si>
  <si>
    <t>Height Rod (on select models - 2392 excluded):</t>
  </si>
  <si>
    <t>30 to 78 in / 76 to 200 cm - 1/4 in / 1/2 cm increments</t>
  </si>
  <si>
    <t xml:space="preserve">Platform Size:10.5 in W x 14.5 in D / 27 cm </t>
  </si>
  <si>
    <t>W x 37 cm D</t>
  </si>
  <si>
    <r>
      <rPr>
        <sz val="10"/>
        <color indexed="63"/>
        <rFont val="Arial"/>
        <charset val="134"/>
      </rPr>
      <t xml:space="preserve">(Total Amount in Words) </t>
    </r>
    <r>
      <rPr>
        <b/>
        <u/>
        <sz val="10"/>
        <color rgb="FF333333"/>
        <rFont val="Arial"/>
        <charset val="134"/>
      </rPr>
      <t>Three Hundred Eighty-Three Thousand Four Hundred Sixty Pesos Only</t>
    </r>
  </si>
  <si>
    <t xml:space="preserve">     In case of failure to make the full delivery within the time specified above, a penalty of one-tenth (1/10) of one (1) </t>
  </si>
  <si>
    <t xml:space="preserve"> percent for every day of delay shall be imposed.</t>
  </si>
  <si>
    <t xml:space="preserve">   Approved per Sanggunian Resolution No: __________________________________________________________</t>
  </si>
  <si>
    <t>JHULIAN’S CATERING SERVICES</t>
  </si>
  <si>
    <t>1125-072SVP</t>
  </si>
  <si>
    <t>11/24/2025</t>
  </si>
  <si>
    <t>Tanauan City, Batangas</t>
  </si>
  <si>
    <t>1025-1895</t>
  </si>
  <si>
    <t>PROVINCIAL SOCIAL WELFARE AND DEVELOPMENT OFFICE</t>
  </si>
  <si>
    <t>November 25, 2025</t>
  </si>
  <si>
    <t>pack</t>
  </si>
  <si>
    <t>AM Snacks: Triple Layered Cheese Pimiento</t>
  </si>
  <si>
    <t>Sandwich and Bottled Juice (Participants)</t>
  </si>
  <si>
    <t>Lunch: 2 Viands with Rice, Dessert and</t>
  </si>
  <si>
    <t>Bottled Water (Participants)</t>
  </si>
  <si>
    <t>Lunch Buffet: 3 Viands with Rice, Dessert</t>
  </si>
  <si>
    <t>and Bottled Water (Guests)</t>
  </si>
  <si>
    <r>
      <rPr>
        <sz val="10"/>
        <color indexed="63"/>
        <rFont val="Arial"/>
        <charset val="134"/>
      </rPr>
      <t xml:space="preserve">(Total Amount in Words)  </t>
    </r>
    <r>
      <rPr>
        <b/>
        <u/>
        <sz val="10"/>
        <color indexed="63"/>
        <rFont val="Arial"/>
        <charset val="134"/>
      </rPr>
      <t xml:space="preserve">Two Hundred Ninety-Six Thousand Two Hundred Fifty-Seven Pesos and 50/100 </t>
    </r>
  </si>
  <si>
    <t>GENSSON TRADE CORPORATION</t>
  </si>
  <si>
    <t>1125-079SVP</t>
  </si>
  <si>
    <t>11/25/2025</t>
  </si>
  <si>
    <t>P. Zamora St., Batangas City</t>
  </si>
  <si>
    <t>1025-1958</t>
  </si>
  <si>
    <t>Receptacle3×3</t>
  </si>
  <si>
    <t>Receptacle 4×4</t>
  </si>
  <si>
    <t>Rubber Plug</t>
  </si>
  <si>
    <t>Electrical tape</t>
  </si>
  <si>
    <t>Cable tie 3 x80mm</t>
  </si>
  <si>
    <t>Cable tie 5 x200mm</t>
  </si>
  <si>
    <t>Cable tie 5x300</t>
  </si>
  <si>
    <t>Flatcord #16</t>
  </si>
  <si>
    <t>Flatcord #18</t>
  </si>
  <si>
    <t>Circuit breaker 15 Amp - molded</t>
  </si>
  <si>
    <t>box</t>
  </si>
  <si>
    <t>THHN Copper Wire 3.5mm² Stranded</t>
  </si>
  <si>
    <t>THHN Copper Wire 2.omm² Stranded</t>
  </si>
  <si>
    <t>set</t>
  </si>
  <si>
    <t>Nema 3R Closure with circuit Breaker 100A</t>
  </si>
  <si>
    <t>Nema 3R Enclosure with circuit Breaker 30A</t>
  </si>
  <si>
    <t>Nema 3R Enclosure with circuit Breaker 70A</t>
  </si>
  <si>
    <t>Junction box</t>
  </si>
  <si>
    <t xml:space="preserve"> meter</t>
  </si>
  <si>
    <t>Flexible Hose 1"</t>
  </si>
  <si>
    <t>Outlet 2 gang</t>
  </si>
  <si>
    <t>Outlet 3 gang</t>
  </si>
  <si>
    <t>Switch</t>
  </si>
  <si>
    <r>
      <rPr>
        <sz val="10"/>
        <color indexed="63"/>
        <rFont val="Arial"/>
        <charset val="134"/>
      </rPr>
      <t xml:space="preserve">(Total Amount in Words)  </t>
    </r>
    <r>
      <rPr>
        <b/>
        <u/>
        <sz val="10"/>
        <color indexed="63"/>
        <rFont val="Arial"/>
        <charset val="134"/>
      </rPr>
      <t xml:space="preserve">Two Hundred Fifty-Nine Thousand Seven Hundred Forty-Eight Pesos and 25/100 </t>
    </r>
  </si>
  <si>
    <t>M3C TRADING</t>
  </si>
  <si>
    <t>1125-081SVP</t>
  </si>
  <si>
    <t>Kumintang Ibaba, Batangas City</t>
  </si>
  <si>
    <t>1025-1770</t>
  </si>
  <si>
    <t>PROVINCIAL ACCOUNTANT'S OFFICE</t>
  </si>
  <si>
    <t>lot</t>
  </si>
  <si>
    <t>Customized Cubicle</t>
  </si>
  <si>
    <t>Supply and Delivery of Office Partition</t>
  </si>
  <si>
    <t>(including installation)</t>
  </si>
  <si>
    <t>2 units Half Glass / Half Laminated</t>
  </si>
  <si>
    <t xml:space="preserve">   - Partition Size: 1400L x 1200Ht</t>
  </si>
  <si>
    <t>4 units Half Glass / Half Laminated</t>
  </si>
  <si>
    <t xml:space="preserve">   - Partition Size: 1300L x 1200Ht</t>
  </si>
  <si>
    <t xml:space="preserve">   - Partition Size: 600L x 1200Ht</t>
  </si>
  <si>
    <t xml:space="preserve">   - Partition Size: 450L x 1200Ht</t>
  </si>
  <si>
    <t>4 units L-Shape Worktop with cable cap</t>
  </si>
  <si>
    <t xml:space="preserve">   - Partition Size: 1300L x 600D x 1500L x 450D</t>
  </si>
  <si>
    <t>4 units Transaction top</t>
  </si>
  <si>
    <t xml:space="preserve">   - Partition Size: 1367.5L x 2500 x 25MM thk</t>
  </si>
  <si>
    <t>4 units Mobile Pedestal</t>
  </si>
  <si>
    <t xml:space="preserve">   - 3 drawers</t>
  </si>
  <si>
    <t>4 units Staff Chair in mesh fabric seat with caster</t>
  </si>
  <si>
    <t>High Partition (Aluminum profile high partition)</t>
  </si>
  <si>
    <t xml:space="preserve">   - 4 pcs. Half Glass / Half Laminated Partition</t>
  </si>
  <si>
    <t xml:space="preserve">   - size: 1068L x 2100Ht</t>
  </si>
  <si>
    <r>
      <rPr>
        <sz val="10"/>
        <color indexed="63"/>
        <rFont val="Arial"/>
        <charset val="134"/>
      </rPr>
      <t xml:space="preserve">(Total Amount in Words)  </t>
    </r>
    <r>
      <rPr>
        <b/>
        <u/>
        <sz val="10"/>
        <color indexed="63"/>
        <rFont val="Arial"/>
        <charset val="134"/>
      </rPr>
      <t xml:space="preserve">Three Hundred Sixty-Two Thousand Three Hundred Ninety Pesos Only </t>
    </r>
  </si>
  <si>
    <t>1125-082SVP</t>
  </si>
  <si>
    <t>0925-1561</t>
  </si>
  <si>
    <t>PROVINCIAL PUBLIC ORDER AND SAFETY DEPARTMENT</t>
  </si>
  <si>
    <t>tin</t>
  </si>
  <si>
    <t>Semi-gloss Latex - stone gray</t>
  </si>
  <si>
    <t>Semi-gloss Latex - white</t>
  </si>
  <si>
    <t>Semi-gloss enamel white (odorless)</t>
  </si>
  <si>
    <t>Flat Latex-white</t>
  </si>
  <si>
    <t>Flat Wall Enamel</t>
  </si>
  <si>
    <t>Quick Dry Enamel</t>
  </si>
  <si>
    <t>liter</t>
  </si>
  <si>
    <t>Acry color - black</t>
  </si>
  <si>
    <t>Acry - color yellow</t>
  </si>
  <si>
    <t>Latex paint -red passion</t>
  </si>
  <si>
    <t>Enamel - Chocolate Brown</t>
  </si>
  <si>
    <t>Epoxy Enamel - White</t>
  </si>
  <si>
    <t>bag</t>
  </si>
  <si>
    <t>Skim Coat</t>
  </si>
  <si>
    <t>Paint Brush #1</t>
  </si>
  <si>
    <t>Paint Brush #2</t>
  </si>
  <si>
    <t>Roller Brush # 7</t>
  </si>
  <si>
    <t>Baby roller</t>
  </si>
  <si>
    <t>Baby roller #6</t>
  </si>
  <si>
    <t>Roller tray size 4</t>
  </si>
  <si>
    <t>Sanding Paper # 120</t>
  </si>
  <si>
    <t>kilo</t>
  </si>
  <si>
    <t>Rags</t>
  </si>
  <si>
    <t>Lacquer Thinner</t>
  </si>
  <si>
    <t>Acrylic Thinner</t>
  </si>
  <si>
    <t>Bamboo</t>
  </si>
  <si>
    <t>Nylon</t>
  </si>
  <si>
    <r>
      <rPr>
        <sz val="10"/>
        <color indexed="63"/>
        <rFont val="Arial"/>
        <charset val="134"/>
      </rPr>
      <t xml:space="preserve">(Total Amount in Words)  </t>
    </r>
    <r>
      <rPr>
        <b/>
        <u/>
        <sz val="10"/>
        <color indexed="63"/>
        <rFont val="Arial"/>
        <charset val="134"/>
      </rPr>
      <t xml:space="preserve">Three Hundred Three Thousand Three Hundred Thirty-Eight Pesos Only </t>
    </r>
  </si>
  <si>
    <t>1125-099SVP</t>
  </si>
  <si>
    <t>11/26/2025</t>
  </si>
  <si>
    <t>1025-1957</t>
  </si>
  <si>
    <t>Cable tie 3 x 80mm</t>
  </si>
  <si>
    <t>Cable tie 5 x 200mm</t>
  </si>
  <si>
    <t>Cable tie 5 x 300mm</t>
  </si>
  <si>
    <t>Nema 3R Closure with circuit Breaker 30A</t>
  </si>
  <si>
    <t>Nema 3R Closure with circuit Breaker 70A</t>
  </si>
  <si>
    <r>
      <rPr>
        <sz val="10"/>
        <color indexed="63"/>
        <rFont val="Arial"/>
        <charset val="134"/>
      </rPr>
      <t xml:space="preserve">(Total Amount in Words)  </t>
    </r>
    <r>
      <rPr>
        <b/>
        <u/>
        <sz val="10"/>
        <color indexed="63"/>
        <rFont val="Arial"/>
        <charset val="134"/>
      </rPr>
      <t>Two Hundred Ninety-Six Thousand Nine Hundred Ninety-Seven Pesos and 65/100</t>
    </r>
  </si>
  <si>
    <t>1125-103SVP</t>
  </si>
  <si>
    <t>1025-2678 &amp; 1025-2182</t>
  </si>
  <si>
    <t>PROVINCIAL ENGINEER'S OFFICE</t>
  </si>
  <si>
    <t xml:space="preserve">Tires (1400x24, 16 PR, Tubeless) </t>
  </si>
  <si>
    <r>
      <rPr>
        <sz val="10"/>
        <color indexed="63"/>
        <rFont val="Arial"/>
        <charset val="134"/>
      </rPr>
      <t xml:space="preserve">(Total Amount in Words)  </t>
    </r>
    <r>
      <rPr>
        <b/>
        <u/>
        <sz val="10"/>
        <color indexed="63"/>
        <rFont val="Arial"/>
        <charset val="134"/>
      </rPr>
      <t xml:space="preserve">Five Hundred Ninety-Three Thousand Eight Hundred Forty Pesos Only </t>
    </r>
  </si>
  <si>
    <t>BLISS CONSTRUCTION SUPPLY</t>
  </si>
  <si>
    <t>1125-104SVP</t>
  </si>
  <si>
    <t>11/27/2025</t>
  </si>
  <si>
    <t>Poblacion, San Pascual, Batangas</t>
  </si>
  <si>
    <t>1025-2066</t>
  </si>
  <si>
    <t>cubic meter</t>
  </si>
  <si>
    <t>Gravel G-1</t>
  </si>
  <si>
    <r>
      <rPr>
        <sz val="10"/>
        <color indexed="63"/>
        <rFont val="Arial"/>
        <charset val="134"/>
      </rPr>
      <t xml:space="preserve">(Total Amount in Words)  </t>
    </r>
    <r>
      <rPr>
        <b/>
        <u/>
        <sz val="10"/>
        <color indexed="63"/>
        <rFont val="Arial"/>
        <charset val="134"/>
      </rPr>
      <t xml:space="preserve">Three Hundred Fifteen Thousand Six Hundred Ninety Pesos Only </t>
    </r>
  </si>
  <si>
    <t>HOTEL CONCEPTS, INC.</t>
  </si>
  <si>
    <t>1125-116SVP</t>
  </si>
  <si>
    <t>Gulod Labac, Batangas City</t>
  </si>
  <si>
    <t>1125-2954</t>
  </si>
  <si>
    <t>PROVINCIAL ASSESSOR'S OFFICE</t>
  </si>
  <si>
    <t>December 1-3, 2025</t>
  </si>
  <si>
    <t>Day 1</t>
  </si>
  <si>
    <t>pax</t>
  </si>
  <si>
    <t>Heavy AM Snacks: Pancit, Chicken Sandwich, Coffee</t>
  </si>
  <si>
    <t>and Bottled Drinks</t>
  </si>
  <si>
    <t>Lunch Buffet: 3 Viands with Rice, Dessert and Bottled</t>
  </si>
  <si>
    <t>Drinks and Water</t>
  </si>
  <si>
    <t>Heavy PM Snacks: Baked Macaroni with Garlic Bread</t>
  </si>
  <si>
    <t>Day 2</t>
  </si>
  <si>
    <t xml:space="preserve">Heavy AM Snacks: Clubhouse Sandwich, Coffee and </t>
  </si>
  <si>
    <t>Bottled Drinks</t>
  </si>
  <si>
    <t>Heavy PM Snacks: Spaghetti with Garlic Bread and</t>
  </si>
  <si>
    <t>Day 3</t>
  </si>
  <si>
    <t>Heavy AM Snacks: Pancit Sotanghon, Ham &amp; Cheese</t>
  </si>
  <si>
    <t>Sandwich, Coffee and Bottled Drinks</t>
  </si>
  <si>
    <t>Heavy PM Snacks: Pancit Palabok with Garlic Bread</t>
  </si>
  <si>
    <r>
      <rPr>
        <sz val="10"/>
        <color indexed="63"/>
        <rFont val="Arial"/>
        <charset val="134"/>
      </rPr>
      <t xml:space="preserve">(Total Amount in Words) </t>
    </r>
    <r>
      <rPr>
        <b/>
        <u/>
        <sz val="10"/>
        <color rgb="FF333333"/>
        <rFont val="Arial"/>
        <charset val="134"/>
      </rPr>
      <t xml:space="preserve">Four Hundred Forty-Eight Thousand Nine Hundred Ninety-Nine Pesos and 50/100 </t>
    </r>
  </si>
  <si>
    <t>1125-117SVP</t>
  </si>
  <si>
    <t>yedda</t>
  </si>
  <si>
    <t>1025-2387</t>
  </si>
  <si>
    <t>PACPEYSDO</t>
  </si>
  <si>
    <t>December 09, 2025</t>
  </si>
  <si>
    <t>Bottled Water</t>
  </si>
  <si>
    <r>
      <t xml:space="preserve">(Total Amount in Words)  </t>
    </r>
    <r>
      <rPr>
        <b/>
        <u/>
        <sz val="10"/>
        <color rgb="FF333333"/>
        <rFont val="Arial"/>
        <charset val="134"/>
      </rPr>
      <t>Three Hundred Seventy Seven Thousand Thirty Pesos and Fifty Centavos Only.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</si>
</sst>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3409]mmmm\ dd\,\ yyyy;@"/>
  </numFmts>
  <fonts count="30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4"/>
      <color indexed="63"/>
      <name val="Arial Black"/>
      <charset val="134"/>
    </font>
    <font>
      <sz val="10"/>
      <color indexed="63"/>
      <name val="Arial"/>
      <charset val="134"/>
    </font>
    <font>
      <sz val="11"/>
      <color indexed="63"/>
      <name val="Arial"/>
      <charset val="134"/>
    </font>
    <font>
      <b/>
      <u/>
      <sz val="11"/>
      <name val="Arial"/>
      <charset val="134"/>
    </font>
    <font>
      <sz val="11"/>
      <name val="Arial"/>
      <charset val="134"/>
    </font>
    <font>
      <u/>
      <sz val="11"/>
      <name val="Arial"/>
      <charset val="134"/>
    </font>
    <font>
      <sz val="11"/>
      <color theme="1"/>
      <name val="Arial"/>
      <charset val="134"/>
    </font>
    <font>
      <sz val="8"/>
      <color indexed="63"/>
      <name val="Arial"/>
      <charset val="134"/>
    </font>
    <font>
      <u/>
      <sz val="11"/>
      <color indexed="63"/>
      <name val="Arial"/>
      <charset val="134"/>
    </font>
    <font>
      <b/>
      <sz val="11"/>
      <color indexed="63"/>
      <name val="Arial"/>
      <charset val="134"/>
    </font>
    <font>
      <b/>
      <u/>
      <sz val="9"/>
      <color indexed="63"/>
      <name val="Arial"/>
      <charset val="134"/>
    </font>
    <font>
      <u/>
      <sz val="9.5"/>
      <color indexed="63"/>
      <name val="Arial"/>
      <charset val="134"/>
    </font>
    <font>
      <u/>
      <sz val="10"/>
      <color indexed="63"/>
      <name val="Arial"/>
      <charset val="134"/>
    </font>
    <font>
      <u/>
      <sz val="8.5"/>
      <color indexed="63"/>
      <name val="Arial"/>
      <charset val="134"/>
    </font>
    <font>
      <sz val="10"/>
      <color theme="1"/>
      <name val="Arial"/>
      <charset val="134"/>
    </font>
    <font>
      <sz val="8.5"/>
      <color indexed="63"/>
      <name val="Arial"/>
      <charset val="134"/>
    </font>
    <font>
      <b/>
      <sz val="10"/>
      <color indexed="63"/>
      <name val="Arial"/>
      <charset val="134"/>
    </font>
    <font>
      <sz val="10"/>
      <color rgb="FF333333"/>
      <name val="Arial"/>
      <charset val="134"/>
    </font>
    <font>
      <b/>
      <u/>
      <sz val="10"/>
      <color indexed="63"/>
      <name val="Arial"/>
      <charset val="134"/>
    </font>
    <font>
      <sz val="12"/>
      <color theme="1"/>
      <name val="Calibri"/>
      <charset val="134"/>
      <scheme val="minor"/>
    </font>
    <font>
      <b/>
      <sz val="11"/>
      <name val="Arial"/>
      <charset val="134"/>
    </font>
    <font>
      <sz val="12"/>
      <name val="Arial"/>
      <charset val="134"/>
    </font>
    <font>
      <sz val="8"/>
      <name val="Arial"/>
      <charset val="134"/>
    </font>
    <font>
      <sz val="13"/>
      <color theme="1"/>
      <name val="Arial Narrow"/>
      <charset val="134"/>
    </font>
    <font>
      <u/>
      <sz val="9"/>
      <name val="Arial"/>
      <charset val="134"/>
    </font>
    <font>
      <sz val="11"/>
      <color theme="1"/>
      <name val="Calibri"/>
      <charset val="134"/>
      <scheme val="minor"/>
    </font>
    <font>
      <sz val="10"/>
      <color indexed="8"/>
      <name val="Arial"/>
      <charset val="134"/>
    </font>
    <font>
      <b/>
      <u/>
      <sz val="10"/>
      <color rgb="FF333333"/>
      <name val="Arial"/>
      <charset val="13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/>
    <xf numFmtId="0" fontId="1" fillId="0" borderId="0"/>
    <xf numFmtId="0" fontId="27" fillId="0" borderId="0"/>
    <xf numFmtId="0" fontId="28" fillId="0" borderId="0"/>
  </cellStyleXfs>
  <cellXfs count="124">
    <xf numFmtId="0" fontId="0" fillId="0" borderId="0" xfId="0"/>
    <xf numFmtId="0" fontId="27" fillId="0" borderId="0" xfId="8"/>
    <xf numFmtId="0" fontId="1" fillId="0" borderId="0" xfId="7"/>
    <xf numFmtId="0" fontId="3" fillId="0" borderId="0" xfId="5" applyFont="1" applyAlignment="1">
      <alignment horizontal="center"/>
    </xf>
    <xf numFmtId="165" fontId="4" fillId="0" borderId="1" xfId="6" applyFont="1" applyBorder="1"/>
    <xf numFmtId="165" fontId="4" fillId="0" borderId="2" xfId="6" applyFont="1" applyBorder="1"/>
    <xf numFmtId="165" fontId="5" fillId="0" borderId="2" xfId="6" applyFont="1" applyBorder="1"/>
    <xf numFmtId="0" fontId="27" fillId="0" borderId="2" xfId="8" applyBorder="1"/>
    <xf numFmtId="0" fontId="4" fillId="0" borderId="2" xfId="5" applyFont="1" applyBorder="1"/>
    <xf numFmtId="0" fontId="6" fillId="0" borderId="3" xfId="5" applyFont="1" applyBorder="1" applyAlignment="1">
      <alignment horizontal="center"/>
    </xf>
    <xf numFmtId="0" fontId="27" fillId="0" borderId="4" xfId="8" applyBorder="1"/>
    <xf numFmtId="0" fontId="4" fillId="0" borderId="0" xfId="5" applyFont="1"/>
    <xf numFmtId="14" fontId="4" fillId="0" borderId="5" xfId="5" applyNumberFormat="1" applyFont="1" applyBorder="1" applyAlignment="1">
      <alignment horizontal="center" vertical="center"/>
    </xf>
    <xf numFmtId="17" fontId="27" fillId="0" borderId="0" xfId="8" applyNumberFormat="1"/>
    <xf numFmtId="165" fontId="4" fillId="0" borderId="4" xfId="6" applyFont="1" applyBorder="1" applyAlignment="1">
      <alignment vertical="top"/>
    </xf>
    <xf numFmtId="165" fontId="4" fillId="0" borderId="0" xfId="6" applyFont="1" applyAlignment="1">
      <alignment vertical="top"/>
    </xf>
    <xf numFmtId="165" fontId="7" fillId="0" borderId="0" xfId="6" applyFont="1" applyAlignment="1">
      <alignment vertical="top"/>
    </xf>
    <xf numFmtId="0" fontId="8" fillId="0" borderId="0" xfId="8" applyFont="1"/>
    <xf numFmtId="0" fontId="9" fillId="0" borderId="0" xfId="5" applyFont="1" applyAlignment="1">
      <alignment vertical="center"/>
    </xf>
    <xf numFmtId="0" fontId="10" fillId="0" borderId="6" xfId="5" applyFont="1" applyBorder="1" applyAlignment="1">
      <alignment horizontal="left" vertical="center" wrapText="1"/>
    </xf>
    <xf numFmtId="0" fontId="27" fillId="0" borderId="0" xfId="8" applyAlignment="1">
      <alignment wrapText="1"/>
    </xf>
    <xf numFmtId="165" fontId="4" fillId="0" borderId="4" xfId="6" applyFont="1" applyBorder="1"/>
    <xf numFmtId="165" fontId="4" fillId="0" borderId="0" xfId="6" applyFont="1"/>
    <xf numFmtId="0" fontId="4" fillId="0" borderId="7" xfId="5" applyFont="1" applyBorder="1" applyAlignment="1">
      <alignment horizontal="center"/>
    </xf>
    <xf numFmtId="0" fontId="3" fillId="0" borderId="8" xfId="5" applyFont="1" applyBorder="1"/>
    <xf numFmtId="0" fontId="3" fillId="0" borderId="9" xfId="5" applyFont="1" applyBorder="1"/>
    <xf numFmtId="0" fontId="3" fillId="0" borderId="10" xfId="5" applyFont="1" applyBorder="1"/>
    <xf numFmtId="0" fontId="1" fillId="0" borderId="0" xfId="5" applyAlignment="1">
      <alignment wrapText="1"/>
    </xf>
    <xf numFmtId="0" fontId="1" fillId="0" borderId="0" xfId="5"/>
    <xf numFmtId="0" fontId="11" fillId="0" borderId="1" xfId="5" applyFont="1" applyBorder="1"/>
    <xf numFmtId="0" fontId="3" fillId="0" borderId="2" xfId="5" applyFont="1" applyBorder="1"/>
    <xf numFmtId="0" fontId="3" fillId="0" borderId="11" xfId="5" applyFont="1" applyBorder="1"/>
    <xf numFmtId="0" fontId="4" fillId="0" borderId="4" xfId="5" applyFont="1" applyBorder="1"/>
    <xf numFmtId="0" fontId="3" fillId="0" borderId="0" xfId="5" applyFont="1"/>
    <xf numFmtId="0" fontId="3" fillId="0" borderId="12" xfId="5" applyFont="1" applyBorder="1"/>
    <xf numFmtId="0" fontId="3" fillId="0" borderId="13" xfId="5" applyFont="1" applyBorder="1"/>
    <xf numFmtId="0" fontId="3" fillId="0" borderId="14" xfId="5" applyFont="1" applyBorder="1"/>
    <xf numFmtId="0" fontId="3" fillId="0" borderId="15" xfId="5" applyFont="1" applyBorder="1"/>
    <xf numFmtId="0" fontId="3" fillId="0" borderId="4" xfId="5" applyFont="1" applyBorder="1" applyAlignment="1">
      <alignment horizontal="left" vertical="center"/>
    </xf>
    <xf numFmtId="0" fontId="3" fillId="0" borderId="0" xfId="5" applyFont="1" applyAlignment="1">
      <alignment horizontal="left" vertical="center"/>
    </xf>
    <xf numFmtId="0" fontId="3" fillId="0" borderId="0" xfId="5" applyFont="1" applyAlignment="1">
      <alignment horizontal="left" vertical="center" wrapText="1"/>
    </xf>
    <xf numFmtId="0" fontId="13" fillId="0" borderId="12" xfId="5" applyFont="1" applyBorder="1" applyAlignment="1">
      <alignment horizontal="center" vertical="center" wrapText="1"/>
    </xf>
    <xf numFmtId="0" fontId="15" fillId="0" borderId="12" xfId="5" applyFont="1" applyBorder="1" applyAlignment="1">
      <alignment vertical="center"/>
    </xf>
    <xf numFmtId="0" fontId="16" fillId="0" borderId="13" xfId="8" applyFont="1" applyBorder="1"/>
    <xf numFmtId="0" fontId="16" fillId="0" borderId="14" xfId="8" applyFont="1" applyBorder="1"/>
    <xf numFmtId="0" fontId="17" fillId="0" borderId="14" xfId="5" applyFont="1" applyBorder="1" applyAlignment="1">
      <alignment vertical="center" wrapText="1"/>
    </xf>
    <xf numFmtId="0" fontId="17" fillId="0" borderId="15" xfId="5" applyFont="1" applyBorder="1" applyAlignment="1">
      <alignment vertical="center" wrapText="1"/>
    </xf>
    <xf numFmtId="0" fontId="3" fillId="0" borderId="17" xfId="5" applyFont="1" applyBorder="1" applyAlignment="1">
      <alignment horizontal="center" vertical="top" wrapText="1"/>
    </xf>
    <xf numFmtId="0" fontId="3" fillId="0" borderId="18" xfId="5" applyFont="1" applyBorder="1" applyAlignment="1">
      <alignment horizontal="center" vertical="center"/>
    </xf>
    <xf numFmtId="0" fontId="3" fillId="0" borderId="19" xfId="5" applyFont="1" applyBorder="1" applyAlignment="1">
      <alignment horizontal="center" vertical="center"/>
    </xf>
    <xf numFmtId="0" fontId="4" fillId="0" borderId="4" xfId="5" applyFont="1" applyBorder="1" applyAlignment="1">
      <alignment horizontal="center"/>
    </xf>
    <xf numFmtId="0" fontId="6" fillId="0" borderId="20" xfId="8" applyFont="1" applyBorder="1" applyAlignment="1">
      <alignment horizontal="center" vertical="center"/>
    </xf>
    <xf numFmtId="3" fontId="6" fillId="0" borderId="20" xfId="8" applyNumberFormat="1" applyFont="1" applyBorder="1" applyAlignment="1">
      <alignment horizontal="center"/>
    </xf>
    <xf numFmtId="0" fontId="6" fillId="0" borderId="20" xfId="8" applyFont="1" applyBorder="1" applyAlignment="1">
      <alignment horizontal="left" shrinkToFit="1"/>
    </xf>
    <xf numFmtId="4" fontId="6" fillId="0" borderId="21" xfId="2" applyNumberFormat="1" applyFont="1" applyBorder="1" applyAlignment="1">
      <alignment horizontal="center" vertical="center"/>
    </xf>
    <xf numFmtId="4" fontId="6" fillId="0" borderId="12" xfId="2" applyNumberFormat="1" applyFont="1" applyBorder="1" applyAlignment="1">
      <alignment horizontal="center" vertical="center"/>
    </xf>
    <xf numFmtId="43" fontId="1" fillId="0" borderId="0" xfId="3" applyFont="1"/>
    <xf numFmtId="0" fontId="6" fillId="0" borderId="20" xfId="8" applyFont="1" applyBorder="1" applyAlignment="1">
      <alignment horizontal="center"/>
    </xf>
    <xf numFmtId="0" fontId="3" fillId="0" borderId="4" xfId="5" applyFont="1" applyBorder="1" applyAlignment="1">
      <alignment horizontal="center"/>
    </xf>
    <xf numFmtId="0" fontId="1" fillId="0" borderId="20" xfId="4" applyBorder="1" applyAlignment="1">
      <alignment horizontal="center" vertical="top"/>
    </xf>
    <xf numFmtId="0" fontId="1" fillId="0" borderId="20" xfId="9" applyFont="1" applyBorder="1" applyAlignment="1">
      <alignment vertical="top" shrinkToFit="1"/>
    </xf>
    <xf numFmtId="4" fontId="1" fillId="0" borderId="20" xfId="2" applyNumberFormat="1" applyFont="1" applyBorder="1" applyAlignment="1">
      <alignment horizontal="right" vertical="center"/>
    </xf>
    <xf numFmtId="164" fontId="3" fillId="0" borderId="22" xfId="2" applyFont="1" applyBorder="1" applyAlignment="1">
      <alignment horizontal="right" vertical="center"/>
    </xf>
    <xf numFmtId="0" fontId="3" fillId="0" borderId="23" xfId="5" applyFont="1" applyBorder="1"/>
    <xf numFmtId="0" fontId="3" fillId="0" borderId="24" xfId="5" applyFont="1" applyBorder="1"/>
    <xf numFmtId="0" fontId="18" fillId="0" borderId="24" xfId="5" applyFont="1" applyBorder="1" applyAlignment="1">
      <alignment horizontal="center"/>
    </xf>
    <xf numFmtId="0" fontId="18" fillId="0" borderId="24" xfId="5" applyFont="1" applyBorder="1" applyAlignment="1">
      <alignment horizontal="right" vertical="center"/>
    </xf>
    <xf numFmtId="164" fontId="18" fillId="0" borderId="5" xfId="5" applyNumberFormat="1" applyFont="1" applyBorder="1" applyAlignment="1">
      <alignment vertical="center"/>
    </xf>
    <xf numFmtId="0" fontId="19" fillId="0" borderId="4" xfId="5" applyFont="1" applyBorder="1"/>
    <xf numFmtId="0" fontId="20" fillId="0" borderId="14" xfId="5" applyFont="1" applyBorder="1"/>
    <xf numFmtId="0" fontId="3" fillId="0" borderId="4" xfId="5" applyFont="1" applyBorder="1"/>
    <xf numFmtId="0" fontId="27" fillId="0" borderId="12" xfId="8" applyBorder="1"/>
    <xf numFmtId="0" fontId="18" fillId="0" borderId="0" xfId="5" applyFont="1" applyAlignment="1">
      <alignment horizontal="center" vertical="center"/>
    </xf>
    <xf numFmtId="0" fontId="18" fillId="0" borderId="4" xfId="5" applyFont="1" applyBorder="1"/>
    <xf numFmtId="0" fontId="18" fillId="0" borderId="0" xfId="5" applyFont="1"/>
    <xf numFmtId="14" fontId="1" fillId="0" borderId="0" xfId="8" applyNumberFormat="1" applyFont="1"/>
    <xf numFmtId="14" fontId="27" fillId="0" borderId="0" xfId="8" applyNumberFormat="1"/>
    <xf numFmtId="164" fontId="3" fillId="0" borderId="0" xfId="2" applyFont="1" applyBorder="1"/>
    <xf numFmtId="0" fontId="3" fillId="0" borderId="1" xfId="5" applyFont="1" applyBorder="1"/>
    <xf numFmtId="0" fontId="3" fillId="0" borderId="25" xfId="5" applyFont="1" applyBorder="1"/>
    <xf numFmtId="0" fontId="16" fillId="0" borderId="2" xfId="8" applyFont="1" applyBorder="1"/>
    <xf numFmtId="0" fontId="18" fillId="0" borderId="0" xfId="5" applyFont="1" applyAlignment="1">
      <alignment horizontal="center"/>
    </xf>
    <xf numFmtId="0" fontId="3" fillId="0" borderId="0" xfId="5" applyFont="1" applyAlignment="1">
      <alignment horizontal="left"/>
    </xf>
    <xf numFmtId="0" fontId="3" fillId="0" borderId="9" xfId="5" applyFont="1" applyBorder="1" applyAlignment="1">
      <alignment horizontal="center"/>
    </xf>
    <xf numFmtId="0" fontId="3" fillId="0" borderId="26" xfId="5" applyFont="1" applyBorder="1"/>
    <xf numFmtId="0" fontId="21" fillId="0" borderId="0" xfId="8" applyFont="1"/>
    <xf numFmtId="0" fontId="4" fillId="0" borderId="3" xfId="5" applyFont="1" applyBorder="1" applyAlignment="1">
      <alignment horizontal="center"/>
    </xf>
    <xf numFmtId="0" fontId="4" fillId="0" borderId="13" xfId="5" applyFont="1" applyBorder="1"/>
    <xf numFmtId="0" fontId="4" fillId="0" borderId="14" xfId="5" applyFont="1" applyBorder="1"/>
    <xf numFmtId="0" fontId="14" fillId="0" borderId="12" xfId="5" applyFont="1" applyBorder="1" applyAlignment="1">
      <alignment vertical="center" wrapText="1"/>
    </xf>
    <xf numFmtId="0" fontId="22" fillId="0" borderId="20" xfId="8" applyFont="1" applyBorder="1" applyAlignment="1">
      <alignment horizontal="center" shrinkToFit="1"/>
    </xf>
    <xf numFmtId="43" fontId="23" fillId="0" borderId="0" xfId="3" applyFont="1"/>
    <xf numFmtId="0" fontId="23" fillId="0" borderId="0" xfId="5" applyFont="1"/>
    <xf numFmtId="0" fontId="6" fillId="0" borderId="20" xfId="8" applyFont="1" applyBorder="1" applyAlignment="1">
      <alignment shrinkToFit="1"/>
    </xf>
    <xf numFmtId="0" fontId="1" fillId="0" borderId="20" xfId="8" applyFont="1" applyBorder="1" applyAlignment="1">
      <alignment horizontal="center"/>
    </xf>
    <xf numFmtId="43" fontId="0" fillId="0" borderId="0" xfId="3"/>
    <xf numFmtId="0" fontId="4" fillId="0" borderId="12" xfId="5" applyFont="1" applyBorder="1"/>
    <xf numFmtId="0" fontId="4" fillId="0" borderId="0" xfId="5" applyFont="1" applyAlignment="1">
      <alignment horizontal="center"/>
    </xf>
    <xf numFmtId="0" fontId="11" fillId="0" borderId="0" xfId="5" applyFont="1" applyAlignment="1">
      <alignment horizontal="center" vertical="center"/>
    </xf>
    <xf numFmtId="0" fontId="11" fillId="0" borderId="4" xfId="5" applyFont="1" applyBorder="1"/>
    <xf numFmtId="0" fontId="11" fillId="0" borderId="0" xfId="5" applyFont="1"/>
    <xf numFmtId="0" fontId="4" fillId="0" borderId="1" xfId="5" applyFont="1" applyBorder="1"/>
    <xf numFmtId="0" fontId="4" fillId="0" borderId="25" xfId="5" applyFont="1" applyBorder="1"/>
    <xf numFmtId="0" fontId="8" fillId="0" borderId="2" xfId="8" applyFont="1" applyBorder="1"/>
    <xf numFmtId="0" fontId="4" fillId="0" borderId="11" xfId="5" applyFont="1" applyBorder="1"/>
    <xf numFmtId="0" fontId="11" fillId="0" borderId="0" xfId="5" applyFont="1" applyAlignment="1">
      <alignment horizontal="center"/>
    </xf>
    <xf numFmtId="0" fontId="4" fillId="0" borderId="0" xfId="5" applyFont="1" applyAlignment="1">
      <alignment horizontal="left"/>
    </xf>
    <xf numFmtId="0" fontId="24" fillId="0" borderId="20" xfId="8" applyFont="1" applyBorder="1" applyAlignment="1">
      <alignment horizontal="center" vertical="center"/>
    </xf>
    <xf numFmtId="0" fontId="3" fillId="0" borderId="7" xfId="5" applyFont="1" applyBorder="1" applyAlignment="1">
      <alignment horizontal="center"/>
    </xf>
    <xf numFmtId="0" fontId="25" fillId="0" borderId="0" xfId="0" applyFont="1"/>
    <xf numFmtId="165" fontId="26" fillId="0" borderId="0" xfId="6" applyFont="1" applyAlignment="1">
      <alignment vertical="top"/>
    </xf>
    <xf numFmtId="14" fontId="4" fillId="0" borderId="5" xfId="5" quotePrefix="1" applyNumberFormat="1" applyFont="1" applyBorder="1" applyAlignment="1">
      <alignment horizontal="center" vertical="center"/>
    </xf>
    <xf numFmtId="0" fontId="13" fillId="0" borderId="12" xfId="5" quotePrefix="1" applyFont="1" applyBorder="1" applyAlignment="1">
      <alignment horizontal="center" vertical="center" wrapText="1"/>
    </xf>
    <xf numFmtId="0" fontId="2" fillId="0" borderId="0" xfId="5" applyFont="1" applyAlignment="1">
      <alignment horizontal="center"/>
    </xf>
    <xf numFmtId="0" fontId="3" fillId="0" borderId="0" xfId="5" applyFont="1" applyAlignment="1">
      <alignment horizontal="center"/>
    </xf>
    <xf numFmtId="0" fontId="20" fillId="0" borderId="16" xfId="5" applyFont="1" applyBorder="1" applyAlignment="1">
      <alignment horizontal="left" vertical="center" wrapText="1"/>
    </xf>
    <xf numFmtId="0" fontId="14" fillId="0" borderId="0" xfId="5" applyFont="1" applyAlignment="1">
      <alignment horizontal="left" vertical="center" wrapText="1"/>
    </xf>
    <xf numFmtId="0" fontId="3" fillId="0" borderId="12" xfId="5" applyFont="1" applyBorder="1" applyAlignment="1">
      <alignment horizontal="center"/>
    </xf>
    <xf numFmtId="0" fontId="12" fillId="0" borderId="16" xfId="5" applyFont="1" applyBorder="1" applyAlignment="1">
      <alignment horizontal="left" vertical="center" wrapText="1"/>
    </xf>
    <xf numFmtId="0" fontId="4" fillId="0" borderId="0" xfId="5" applyFont="1" applyAlignment="1">
      <alignment horizontal="center"/>
    </xf>
    <xf numFmtId="0" fontId="4" fillId="0" borderId="12" xfId="5" applyFont="1" applyBorder="1" applyAlignment="1">
      <alignment horizontal="center"/>
    </xf>
    <xf numFmtId="0" fontId="14" fillId="0" borderId="0" xfId="5" quotePrefix="1" applyFont="1" applyAlignment="1">
      <alignment horizontal="left" vertical="center" wrapText="1"/>
    </xf>
    <xf numFmtId="0" fontId="10" fillId="0" borderId="0" xfId="5" quotePrefix="1" applyFont="1" applyAlignment="1">
      <alignment horizontal="left" vertical="center" wrapText="1"/>
    </xf>
    <xf numFmtId="0" fontId="10" fillId="0" borderId="0" xfId="5" applyFont="1" applyAlignment="1">
      <alignment horizontal="left" vertical="center" wrapText="1"/>
    </xf>
  </cellXfs>
  <cellStyles count="10">
    <cellStyle name="Comma 108 2" xfId="1" xr:uid="{00000000-0005-0000-0000-000031000000}"/>
    <cellStyle name="Comma 3 10" xfId="2" xr:uid="{00000000-0005-0000-0000-000032000000}"/>
    <cellStyle name="Comma 47 18" xfId="3" xr:uid="{00000000-0005-0000-0000-000033000000}"/>
    <cellStyle name="Normal" xfId="0" builtinId="0"/>
    <cellStyle name="Normal 10" xfId="4" xr:uid="{00000000-0005-0000-0000-000034000000}"/>
    <cellStyle name="Normal 2" xfId="5" xr:uid="{00000000-0005-0000-0000-000035000000}"/>
    <cellStyle name="Normal 2 2 10 2" xfId="6" xr:uid="{00000000-0005-0000-0000-000036000000}"/>
    <cellStyle name="Normal 236" xfId="7" xr:uid="{00000000-0005-0000-0000-000037000000}"/>
    <cellStyle name="Normal 8 19 2 2 23" xfId="8" xr:uid="{00000000-0005-0000-0000-000038000000}"/>
    <cellStyle name="Normal_Sheet2" xfId="9" xr:uid="{00000000-0005-0000-0000-00003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1457325</xdr:colOff>
      <xdr:row>0</xdr:row>
      <xdr:rowOff>85725</xdr:rowOff>
    </xdr:from>
    <xdr:to>
      <xdr:col>3</xdr:col>
      <xdr:colOff>2000250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85725"/>
          <a:ext cx="542925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1476375</xdr:colOff>
      <xdr:row>0</xdr:row>
      <xdr:rowOff>76200</xdr:rowOff>
    </xdr:from>
    <xdr:ext cx="542925" cy="5429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2325" y="76200"/>
          <a:ext cx="542925" cy="5429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1457325</xdr:colOff>
      <xdr:row>0</xdr:row>
      <xdr:rowOff>85725</xdr:rowOff>
    </xdr:from>
    <xdr:to>
      <xdr:col>3</xdr:col>
      <xdr:colOff>2000250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85725"/>
          <a:ext cx="542925" cy="54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1457325</xdr:colOff>
      <xdr:row>0</xdr:row>
      <xdr:rowOff>85725</xdr:rowOff>
    </xdr:from>
    <xdr:to>
      <xdr:col>3</xdr:col>
      <xdr:colOff>2000250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85725"/>
          <a:ext cx="542925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1457325</xdr:colOff>
      <xdr:row>0</xdr:row>
      <xdr:rowOff>85725</xdr:rowOff>
    </xdr:from>
    <xdr:to>
      <xdr:col>3</xdr:col>
      <xdr:colOff>2000250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85725"/>
          <a:ext cx="542925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1457325</xdr:colOff>
      <xdr:row>0</xdr:row>
      <xdr:rowOff>85725</xdr:rowOff>
    </xdr:from>
    <xdr:to>
      <xdr:col>3</xdr:col>
      <xdr:colOff>2000250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85725"/>
          <a:ext cx="542925" cy="5429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1457325</xdr:colOff>
      <xdr:row>0</xdr:row>
      <xdr:rowOff>85725</xdr:rowOff>
    </xdr:from>
    <xdr:to>
      <xdr:col>3</xdr:col>
      <xdr:colOff>2000250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85725"/>
          <a:ext cx="542925" cy="5429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1457325</xdr:colOff>
      <xdr:row>0</xdr:row>
      <xdr:rowOff>85725</xdr:rowOff>
    </xdr:from>
    <xdr:to>
      <xdr:col>3</xdr:col>
      <xdr:colOff>2000250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85725"/>
          <a:ext cx="542925" cy="5429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1457325</xdr:colOff>
      <xdr:row>0</xdr:row>
      <xdr:rowOff>85725</xdr:rowOff>
    </xdr:from>
    <xdr:to>
      <xdr:col>3</xdr:col>
      <xdr:colOff>2000250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85725"/>
          <a:ext cx="542925" cy="5429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1476375</xdr:colOff>
      <xdr:row>0</xdr:row>
      <xdr:rowOff>76200</xdr:rowOff>
    </xdr:from>
    <xdr:ext cx="542925" cy="5429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2325" y="76200"/>
          <a:ext cx="542925" cy="54292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1457325</xdr:colOff>
      <xdr:row>0</xdr:row>
      <xdr:rowOff>85725</xdr:rowOff>
    </xdr:from>
    <xdr:to>
      <xdr:col>3</xdr:col>
      <xdr:colOff>2000250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85725"/>
          <a:ext cx="54292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J74"/>
  <sheetViews>
    <sheetView workbookViewId="0">
      <selection activeCell="D25" sqref="D25"/>
    </sheetView>
  </sheetViews>
  <sheetFormatPr defaultColWidth="9.140625" defaultRowHeight="12.75"/>
  <cols>
    <col min="1" max="1" width="8.5703125" style="2" customWidth="1"/>
    <col min="2" max="2" width="9.140625" style="2"/>
    <col min="3" max="3" width="10.5703125" style="2" customWidth="1"/>
    <col min="4" max="4" width="42.5703125" style="2" customWidth="1"/>
    <col min="5" max="5" width="15.42578125" style="2" customWidth="1"/>
    <col min="6" max="6" width="22.28515625" style="2" customWidth="1"/>
    <col min="7" max="7" width="9.140625" style="2"/>
    <col min="8" max="8" width="10.5703125" style="2" customWidth="1"/>
    <col min="9" max="9" width="9.140625" style="2"/>
    <col min="10" max="10" width="10.7109375" style="2" customWidth="1"/>
    <col min="11" max="16384" width="9.140625" style="2"/>
  </cols>
  <sheetData>
    <row r="1" spans="1:10" s="1" customFormat="1" ht="12.75" customHeight="1"/>
    <row r="2" spans="1:10" s="1" customFormat="1" ht="12.75" customHeight="1"/>
    <row r="3" spans="1:10" s="1" customFormat="1" ht="12.75" customHeight="1"/>
    <row r="4" spans="1:10" s="1" customFormat="1" ht="12.75" customHeight="1"/>
    <row r="5" spans="1:10" s="1" customFormat="1" ht="21" customHeight="1">
      <c r="A5" s="113" t="s">
        <v>0</v>
      </c>
      <c r="B5" s="113"/>
      <c r="C5" s="113"/>
      <c r="D5" s="113"/>
      <c r="E5" s="113"/>
      <c r="F5" s="113"/>
    </row>
    <row r="6" spans="1:10" s="1" customFormat="1" ht="12.75" customHeight="1">
      <c r="A6" s="114" t="s">
        <v>1</v>
      </c>
      <c r="B6" s="114"/>
      <c r="C6" s="114"/>
      <c r="D6" s="114"/>
      <c r="E6" s="114"/>
      <c r="F6" s="114"/>
    </row>
    <row r="7" spans="1:10" s="1" customFormat="1" ht="15.75" customHeight="1">
      <c r="A7" s="4" t="s">
        <v>2</v>
      </c>
      <c r="B7" s="5"/>
      <c r="C7" s="6" t="s">
        <v>3</v>
      </c>
      <c r="D7" s="7"/>
      <c r="E7" s="8" t="s">
        <v>4</v>
      </c>
      <c r="F7" s="9" t="s">
        <v>5</v>
      </c>
      <c r="J7" s="75"/>
    </row>
    <row r="8" spans="1:10" s="1" customFormat="1" ht="15.75" customHeight="1">
      <c r="A8" s="10"/>
      <c r="E8" s="11" t="s">
        <v>6</v>
      </c>
      <c r="F8" s="111" t="s">
        <v>7</v>
      </c>
      <c r="J8" s="76"/>
    </row>
    <row r="9" spans="1:10" s="1" customFormat="1" ht="15.75" customHeight="1">
      <c r="A9" s="14" t="s">
        <v>8</v>
      </c>
      <c r="B9" s="15"/>
      <c r="C9" s="110" t="s">
        <v>9</v>
      </c>
      <c r="D9" s="17"/>
      <c r="E9" s="18" t="s">
        <v>10</v>
      </c>
      <c r="F9" s="19" t="s">
        <v>11</v>
      </c>
      <c r="G9" s="20"/>
    </row>
    <row r="10" spans="1:10" s="1" customFormat="1" ht="15.75" customHeight="1">
      <c r="A10" s="21"/>
      <c r="B10" s="22"/>
      <c r="C10" s="22"/>
      <c r="D10" s="17"/>
      <c r="E10" s="11" t="s">
        <v>12</v>
      </c>
      <c r="F10" s="23" t="s">
        <v>13</v>
      </c>
    </row>
    <row r="11" spans="1:10" s="1" customFormat="1" ht="4.5" customHeight="1">
      <c r="A11" s="24"/>
      <c r="B11" s="25"/>
      <c r="C11" s="25"/>
      <c r="D11" s="25"/>
      <c r="E11" s="25"/>
      <c r="F11" s="26"/>
      <c r="G11" s="27"/>
      <c r="H11" s="28"/>
      <c r="I11" s="28"/>
    </row>
    <row r="12" spans="1:10" s="1" customFormat="1" ht="12.75" customHeight="1">
      <c r="A12" s="29" t="s">
        <v>14</v>
      </c>
      <c r="B12" s="8"/>
      <c r="C12" s="30"/>
      <c r="D12" s="30"/>
      <c r="E12" s="30"/>
      <c r="F12" s="31"/>
      <c r="G12" s="28"/>
      <c r="H12" s="28"/>
      <c r="I12" s="28"/>
    </row>
    <row r="13" spans="1:10" s="1" customFormat="1" ht="15.75" customHeight="1">
      <c r="A13" s="32"/>
      <c r="B13" s="11" t="s">
        <v>15</v>
      </c>
      <c r="C13" s="33"/>
      <c r="D13" s="33"/>
      <c r="E13" s="33"/>
      <c r="F13" s="34"/>
      <c r="G13" s="28"/>
      <c r="H13" s="28"/>
      <c r="I13" s="28"/>
    </row>
    <row r="14" spans="1:10" s="1" customFormat="1" ht="4.5" customHeight="1">
      <c r="A14" s="35"/>
      <c r="B14" s="36"/>
      <c r="C14" s="36"/>
      <c r="D14" s="36"/>
      <c r="E14" s="36"/>
      <c r="F14" s="37"/>
      <c r="G14" s="28"/>
      <c r="H14" s="28"/>
      <c r="I14" s="28"/>
    </row>
    <row r="15" spans="1:10" s="1" customFormat="1" ht="31.5" customHeight="1">
      <c r="A15" s="38" t="s">
        <v>16</v>
      </c>
      <c r="B15" s="39"/>
      <c r="C15" s="115" t="s">
        <v>17</v>
      </c>
      <c r="D15" s="115"/>
      <c r="E15" s="40" t="s">
        <v>18</v>
      </c>
      <c r="F15" s="41" t="s">
        <v>19</v>
      </c>
      <c r="G15" s="28"/>
      <c r="H15" s="28"/>
      <c r="I15" s="28"/>
    </row>
    <row r="16" spans="1:10" s="1" customFormat="1" ht="23.1" customHeight="1">
      <c r="A16" s="38" t="s">
        <v>20</v>
      </c>
      <c r="B16" s="39"/>
      <c r="C16" s="116" t="s">
        <v>21</v>
      </c>
      <c r="D16" s="116"/>
      <c r="E16" s="40" t="s">
        <v>22</v>
      </c>
      <c r="F16" s="42" t="s">
        <v>23</v>
      </c>
      <c r="G16" s="28"/>
      <c r="H16" s="28"/>
      <c r="I16" s="28"/>
    </row>
    <row r="17" spans="1:9" s="1" customFormat="1" ht="6.75" customHeight="1">
      <c r="A17" s="43"/>
      <c r="B17" s="44"/>
      <c r="C17" s="44"/>
      <c r="D17" s="44"/>
      <c r="E17" s="45"/>
      <c r="F17" s="46"/>
      <c r="G17" s="28"/>
      <c r="H17" s="28"/>
      <c r="I17" s="28"/>
    </row>
    <row r="18" spans="1:9" s="1" customFormat="1" ht="26.25" customHeight="1">
      <c r="A18" s="47" t="s">
        <v>24</v>
      </c>
      <c r="B18" s="48" t="s">
        <v>25</v>
      </c>
      <c r="C18" s="48" t="s">
        <v>26</v>
      </c>
      <c r="D18" s="48" t="s">
        <v>27</v>
      </c>
      <c r="E18" s="48" t="s">
        <v>28</v>
      </c>
      <c r="F18" s="49" t="s">
        <v>29</v>
      </c>
      <c r="G18" s="28"/>
      <c r="H18" s="28"/>
      <c r="I18" s="77"/>
    </row>
    <row r="19" spans="1:9" s="1" customFormat="1" ht="18" customHeight="1">
      <c r="A19" s="50">
        <v>1</v>
      </c>
      <c r="B19" s="51" t="s">
        <v>30</v>
      </c>
      <c r="C19" s="57">
        <v>75</v>
      </c>
      <c r="D19" s="53" t="s">
        <v>31</v>
      </c>
      <c r="E19" s="54">
        <v>2729</v>
      </c>
      <c r="F19" s="55">
        <f>C19*E19</f>
        <v>204675</v>
      </c>
      <c r="G19" s="28"/>
      <c r="H19" s="56"/>
      <c r="I19" s="28"/>
    </row>
    <row r="20" spans="1:9" s="1" customFormat="1" ht="15.75" customHeight="1">
      <c r="A20" s="50">
        <v>2</v>
      </c>
      <c r="B20" s="57" t="s">
        <v>32</v>
      </c>
      <c r="C20" s="57">
        <v>60</v>
      </c>
      <c r="D20" s="53" t="s">
        <v>33</v>
      </c>
      <c r="E20" s="54">
        <v>249</v>
      </c>
      <c r="F20" s="55">
        <f t="shared" ref="F20:F33" si="0">C20*E20</f>
        <v>14940</v>
      </c>
      <c r="G20" s="28"/>
      <c r="H20" s="56"/>
      <c r="I20" s="28"/>
    </row>
    <row r="21" spans="1:9" s="1" customFormat="1" ht="15.75" customHeight="1">
      <c r="A21" s="50">
        <v>3</v>
      </c>
      <c r="B21" s="57" t="s">
        <v>32</v>
      </c>
      <c r="C21" s="57">
        <v>45</v>
      </c>
      <c r="D21" s="53" t="s">
        <v>34</v>
      </c>
      <c r="E21" s="54">
        <v>250</v>
      </c>
      <c r="F21" s="55">
        <f t="shared" si="0"/>
        <v>11250</v>
      </c>
      <c r="G21" s="28"/>
      <c r="H21" s="56"/>
      <c r="I21" s="28"/>
    </row>
    <row r="22" spans="1:9" s="1" customFormat="1" ht="15.75" customHeight="1">
      <c r="A22" s="50">
        <v>4</v>
      </c>
      <c r="B22" s="57" t="s">
        <v>35</v>
      </c>
      <c r="C22" s="57">
        <v>60</v>
      </c>
      <c r="D22" s="53" t="s">
        <v>36</v>
      </c>
      <c r="E22" s="54">
        <v>200</v>
      </c>
      <c r="F22" s="55">
        <f t="shared" si="0"/>
        <v>12000</v>
      </c>
      <c r="G22" s="28"/>
      <c r="H22" s="56"/>
      <c r="I22" s="28"/>
    </row>
    <row r="23" spans="1:9" s="1" customFormat="1" ht="15.75" customHeight="1">
      <c r="A23" s="50">
        <v>5</v>
      </c>
      <c r="B23" s="57" t="s">
        <v>32</v>
      </c>
      <c r="C23" s="57">
        <v>6500</v>
      </c>
      <c r="D23" s="53" t="s">
        <v>37</v>
      </c>
      <c r="E23" s="54">
        <v>85</v>
      </c>
      <c r="F23" s="55">
        <f t="shared" si="0"/>
        <v>552500</v>
      </c>
      <c r="G23" s="28"/>
      <c r="H23" s="56"/>
      <c r="I23" s="28"/>
    </row>
    <row r="24" spans="1:9" s="1" customFormat="1" ht="15.75" customHeight="1">
      <c r="A24" s="50">
        <v>6</v>
      </c>
      <c r="B24" s="57" t="s">
        <v>32</v>
      </c>
      <c r="C24" s="57">
        <v>6500</v>
      </c>
      <c r="D24" s="53" t="s">
        <v>38</v>
      </c>
      <c r="E24" s="54">
        <v>55</v>
      </c>
      <c r="F24" s="55">
        <f t="shared" si="0"/>
        <v>357500</v>
      </c>
      <c r="G24" s="28"/>
      <c r="H24" s="56"/>
      <c r="I24" s="28"/>
    </row>
    <row r="25" spans="1:9" s="1" customFormat="1" ht="15.75" customHeight="1">
      <c r="A25" s="50">
        <v>7</v>
      </c>
      <c r="B25" s="57" t="s">
        <v>39</v>
      </c>
      <c r="C25" s="57">
        <v>350</v>
      </c>
      <c r="D25" s="53" t="s">
        <v>40</v>
      </c>
      <c r="E25" s="54">
        <v>900</v>
      </c>
      <c r="F25" s="55">
        <f t="shared" si="0"/>
        <v>315000</v>
      </c>
      <c r="G25" s="28"/>
      <c r="H25" s="56"/>
      <c r="I25" s="28"/>
    </row>
    <row r="26" spans="1:9" s="1" customFormat="1" ht="15.75" customHeight="1">
      <c r="A26" s="50">
        <v>8</v>
      </c>
      <c r="B26" s="57" t="s">
        <v>39</v>
      </c>
      <c r="C26" s="57">
        <v>150</v>
      </c>
      <c r="D26" s="53" t="s">
        <v>41</v>
      </c>
      <c r="E26" s="54">
        <v>900</v>
      </c>
      <c r="F26" s="55">
        <f t="shared" si="0"/>
        <v>135000</v>
      </c>
      <c r="G26" s="28"/>
      <c r="H26" s="56"/>
      <c r="I26" s="28"/>
    </row>
    <row r="27" spans="1:9" s="1" customFormat="1" ht="15.75" customHeight="1">
      <c r="A27" s="50">
        <v>9</v>
      </c>
      <c r="B27" s="57" t="s">
        <v>32</v>
      </c>
      <c r="C27" s="57">
        <v>60</v>
      </c>
      <c r="D27" s="53" t="s">
        <v>42</v>
      </c>
      <c r="E27" s="54">
        <v>35</v>
      </c>
      <c r="F27" s="55">
        <f t="shared" si="0"/>
        <v>2100</v>
      </c>
      <c r="G27" s="28"/>
      <c r="H27" s="56"/>
      <c r="I27" s="28"/>
    </row>
    <row r="28" spans="1:9" s="1" customFormat="1" ht="15.75" customHeight="1">
      <c r="A28" s="50">
        <v>10</v>
      </c>
      <c r="B28" s="57" t="s">
        <v>43</v>
      </c>
      <c r="C28" s="57">
        <v>75</v>
      </c>
      <c r="D28" s="53" t="s">
        <v>44</v>
      </c>
      <c r="E28" s="54">
        <v>250</v>
      </c>
      <c r="F28" s="55">
        <f t="shared" si="0"/>
        <v>18750</v>
      </c>
      <c r="G28" s="28"/>
      <c r="H28" s="56"/>
      <c r="I28" s="28"/>
    </row>
    <row r="29" spans="1:9" s="1" customFormat="1" ht="15.75" customHeight="1">
      <c r="A29" s="50">
        <v>11</v>
      </c>
      <c r="B29" s="57" t="s">
        <v>43</v>
      </c>
      <c r="C29" s="57">
        <v>45</v>
      </c>
      <c r="D29" s="53" t="s">
        <v>45</v>
      </c>
      <c r="E29" s="54">
        <v>700</v>
      </c>
      <c r="F29" s="55">
        <f t="shared" si="0"/>
        <v>31500</v>
      </c>
      <c r="G29" s="28"/>
      <c r="H29" s="56"/>
      <c r="I29" s="28"/>
    </row>
    <row r="30" spans="1:9" s="1" customFormat="1" ht="15.75" customHeight="1">
      <c r="A30" s="50">
        <v>12</v>
      </c>
      <c r="B30" s="57" t="s">
        <v>46</v>
      </c>
      <c r="C30" s="57">
        <v>1100</v>
      </c>
      <c r="D30" s="53" t="s">
        <v>47</v>
      </c>
      <c r="E30" s="54">
        <v>99</v>
      </c>
      <c r="F30" s="55">
        <f t="shared" si="0"/>
        <v>108900</v>
      </c>
      <c r="G30" s="28"/>
      <c r="H30" s="56"/>
      <c r="I30" s="28"/>
    </row>
    <row r="31" spans="1:9" s="1" customFormat="1" ht="15.75" customHeight="1">
      <c r="A31" s="50">
        <v>13</v>
      </c>
      <c r="B31" s="57" t="s">
        <v>48</v>
      </c>
      <c r="C31" s="57">
        <v>2000</v>
      </c>
      <c r="D31" s="53" t="s">
        <v>49</v>
      </c>
      <c r="E31" s="54">
        <v>50</v>
      </c>
      <c r="F31" s="55">
        <f t="shared" si="0"/>
        <v>100000</v>
      </c>
      <c r="G31" s="28"/>
      <c r="H31" s="56"/>
      <c r="I31" s="28"/>
    </row>
    <row r="32" spans="1:9" s="1" customFormat="1" ht="15.75" customHeight="1">
      <c r="A32" s="50">
        <v>14</v>
      </c>
      <c r="B32" s="57" t="s">
        <v>48</v>
      </c>
      <c r="C32" s="57">
        <v>750</v>
      </c>
      <c r="D32" s="53" t="s">
        <v>50</v>
      </c>
      <c r="E32" s="54">
        <v>30</v>
      </c>
      <c r="F32" s="55">
        <f t="shared" si="0"/>
        <v>22500</v>
      </c>
      <c r="G32" s="28"/>
      <c r="H32" s="56"/>
      <c r="I32" s="28"/>
    </row>
    <row r="33" spans="1:9" s="1" customFormat="1" ht="15.75" customHeight="1">
      <c r="A33" s="50">
        <v>15</v>
      </c>
      <c r="B33" s="57" t="s">
        <v>32</v>
      </c>
      <c r="C33" s="57">
        <v>300</v>
      </c>
      <c r="D33" s="53" t="s">
        <v>51</v>
      </c>
      <c r="E33" s="54">
        <v>50</v>
      </c>
      <c r="F33" s="55">
        <f t="shared" si="0"/>
        <v>15000</v>
      </c>
      <c r="G33" s="28"/>
      <c r="H33" s="56"/>
      <c r="I33" s="28"/>
    </row>
    <row r="34" spans="1:9" s="1" customFormat="1" ht="15.75" customHeight="1">
      <c r="A34" s="50"/>
      <c r="B34" s="57"/>
      <c r="C34" s="57"/>
      <c r="D34" s="53"/>
      <c r="E34" s="54"/>
      <c r="F34" s="55"/>
      <c r="G34" s="28"/>
      <c r="H34" s="56"/>
      <c r="I34" s="28"/>
    </row>
    <row r="35" spans="1:9" s="1" customFormat="1" ht="15.75" customHeight="1">
      <c r="A35" s="50"/>
      <c r="B35" s="57"/>
      <c r="C35" s="57"/>
      <c r="D35" s="53"/>
      <c r="E35" s="54"/>
      <c r="F35" s="55"/>
      <c r="G35" s="28"/>
      <c r="H35" s="56"/>
      <c r="I35" s="28"/>
    </row>
    <row r="36" spans="1:9" s="1" customFormat="1" ht="15.75" customHeight="1">
      <c r="A36" s="50"/>
      <c r="B36" s="57"/>
      <c r="C36" s="57"/>
      <c r="D36" s="53"/>
      <c r="E36" s="54"/>
      <c r="F36" s="55"/>
      <c r="G36" s="28"/>
      <c r="H36" s="56"/>
      <c r="I36" s="28"/>
    </row>
    <row r="37" spans="1:9" s="1" customFormat="1" ht="15.75" customHeight="1">
      <c r="A37" s="50"/>
      <c r="B37" s="57"/>
      <c r="C37" s="57"/>
      <c r="D37" s="53"/>
      <c r="E37" s="54"/>
      <c r="F37" s="55"/>
      <c r="G37" s="28"/>
      <c r="H37" s="56"/>
      <c r="I37" s="28"/>
    </row>
    <row r="38" spans="1:9" s="1" customFormat="1" ht="15.75" customHeight="1">
      <c r="A38" s="50"/>
      <c r="B38" s="57"/>
      <c r="C38" s="57"/>
      <c r="D38" s="53"/>
      <c r="E38" s="54"/>
      <c r="F38" s="55"/>
      <c r="G38" s="28"/>
      <c r="H38" s="56"/>
      <c r="I38" s="28"/>
    </row>
    <row r="39" spans="1:9" s="1" customFormat="1" ht="15.75" customHeight="1">
      <c r="A39" s="50"/>
      <c r="B39" s="57"/>
      <c r="C39" s="57"/>
      <c r="D39" s="53"/>
      <c r="E39" s="54"/>
      <c r="F39" s="55"/>
      <c r="G39" s="28"/>
      <c r="H39" s="56"/>
      <c r="I39" s="28"/>
    </row>
    <row r="40" spans="1:9" s="1" customFormat="1" ht="15.75" customHeight="1">
      <c r="A40" s="50"/>
      <c r="B40" s="57"/>
      <c r="C40" s="57"/>
      <c r="D40" s="53"/>
      <c r="E40" s="54"/>
      <c r="F40" s="55"/>
      <c r="G40" s="28"/>
      <c r="H40" s="56"/>
      <c r="I40" s="28"/>
    </row>
    <row r="41" spans="1:9" s="1" customFormat="1" ht="15.75" customHeight="1">
      <c r="A41" s="50"/>
      <c r="B41" s="57"/>
      <c r="C41" s="57"/>
      <c r="D41" s="53"/>
      <c r="E41" s="54"/>
      <c r="F41" s="55"/>
      <c r="G41" s="28"/>
      <c r="H41" s="56"/>
      <c r="I41" s="28"/>
    </row>
    <row r="42" spans="1:9" s="1" customFormat="1" ht="15.75" customHeight="1">
      <c r="A42" s="50"/>
      <c r="B42" s="57"/>
      <c r="C42" s="57"/>
      <c r="D42" s="53"/>
      <c r="E42" s="54"/>
      <c r="F42" s="55"/>
      <c r="G42" s="28"/>
      <c r="H42" s="56"/>
      <c r="I42" s="28"/>
    </row>
    <row r="43" spans="1:9" s="1" customFormat="1" ht="15.75" customHeight="1">
      <c r="A43" s="50"/>
      <c r="B43" s="57"/>
      <c r="C43" s="57"/>
      <c r="D43" s="53"/>
      <c r="E43" s="54"/>
      <c r="F43" s="55"/>
      <c r="G43" s="28"/>
      <c r="H43" s="56"/>
      <c r="I43" s="28"/>
    </row>
    <row r="44" spans="1:9" s="1" customFormat="1" ht="15.75" customHeight="1">
      <c r="A44" s="50"/>
      <c r="B44" s="57"/>
      <c r="C44" s="57"/>
      <c r="D44" s="53"/>
      <c r="E44" s="54"/>
      <c r="F44" s="55"/>
      <c r="G44" s="28"/>
      <c r="H44" s="56"/>
      <c r="I44" s="28"/>
    </row>
    <row r="45" spans="1:9" s="1" customFormat="1" ht="15.75" customHeight="1">
      <c r="A45" s="50"/>
      <c r="B45" s="57"/>
      <c r="C45" s="57"/>
      <c r="D45" s="53"/>
      <c r="E45" s="54"/>
      <c r="F45" s="55"/>
      <c r="G45" s="28"/>
      <c r="H45" s="56"/>
      <c r="I45" s="28"/>
    </row>
    <row r="46" spans="1:9" s="1" customFormat="1" ht="15.75" customHeight="1">
      <c r="A46" s="50"/>
      <c r="B46" s="57"/>
      <c r="C46" s="57"/>
      <c r="D46" s="53"/>
      <c r="E46" s="54"/>
      <c r="F46" s="55"/>
      <c r="G46" s="28"/>
      <c r="H46" s="56"/>
      <c r="I46" s="28"/>
    </row>
    <row r="47" spans="1:9" s="1" customFormat="1" ht="15.75" customHeight="1">
      <c r="A47" s="50"/>
      <c r="B47" s="57"/>
      <c r="C47" s="57"/>
      <c r="D47" s="53"/>
      <c r="E47" s="54"/>
      <c r="F47" s="55"/>
      <c r="G47" s="28"/>
      <c r="H47" s="56"/>
      <c r="I47" s="28"/>
    </row>
    <row r="48" spans="1:9" s="1" customFormat="1" ht="15.75" customHeight="1">
      <c r="A48" s="50"/>
      <c r="B48" s="57"/>
      <c r="C48" s="57"/>
      <c r="D48" s="53"/>
      <c r="E48" s="54"/>
      <c r="F48" s="55"/>
      <c r="G48" s="28"/>
      <c r="H48" s="56"/>
      <c r="I48" s="28"/>
    </row>
    <row r="49" spans="1:6" s="1" customFormat="1" ht="15.75" customHeight="1">
      <c r="A49" s="58"/>
      <c r="B49" s="59"/>
      <c r="C49" s="59"/>
      <c r="D49" s="60"/>
      <c r="E49" s="61"/>
      <c r="F49" s="62"/>
    </row>
    <row r="50" spans="1:6" s="1" customFormat="1" ht="12.75" customHeight="1">
      <c r="A50" s="63"/>
      <c r="B50" s="64"/>
      <c r="C50" s="64"/>
      <c r="D50" s="65"/>
      <c r="E50" s="66" t="s">
        <v>52</v>
      </c>
      <c r="F50" s="67">
        <f>SUM(F19:F49)</f>
        <v>1901615</v>
      </c>
    </row>
    <row r="51" spans="1:6" s="1" customFormat="1" ht="25.5" customHeight="1">
      <c r="A51" s="70" t="s">
        <v>53</v>
      </c>
      <c r="B51" s="33"/>
      <c r="C51" s="33"/>
      <c r="D51" s="33"/>
      <c r="E51" s="33"/>
      <c r="F51" s="34"/>
    </row>
    <row r="52" spans="1:6" s="1" customFormat="1" ht="9.75" customHeight="1">
      <c r="A52" s="35"/>
      <c r="B52" s="36"/>
      <c r="C52" s="36"/>
      <c r="D52" s="69"/>
      <c r="E52" s="36"/>
      <c r="F52" s="37"/>
    </row>
    <row r="53" spans="1:6" s="1" customFormat="1" ht="12.75" customHeight="1">
      <c r="A53" s="70"/>
      <c r="B53" s="33"/>
      <c r="C53" s="33"/>
      <c r="D53" s="33"/>
      <c r="E53" s="33"/>
      <c r="F53" s="34"/>
    </row>
    <row r="54" spans="1:6" s="1" customFormat="1" ht="12.75" customHeight="1">
      <c r="A54" s="70" t="s">
        <v>54</v>
      </c>
      <c r="B54" s="33"/>
      <c r="C54" s="33"/>
      <c r="D54" s="33"/>
      <c r="E54" s="33"/>
      <c r="F54" s="34"/>
    </row>
    <row r="55" spans="1:6" s="1" customFormat="1" ht="12.75" customHeight="1">
      <c r="A55" s="70" t="s">
        <v>55</v>
      </c>
      <c r="B55" s="33"/>
      <c r="C55" s="33"/>
      <c r="D55" s="33"/>
      <c r="E55" s="33"/>
      <c r="F55" s="34"/>
    </row>
    <row r="56" spans="1:6" s="1" customFormat="1" ht="12.75" customHeight="1">
      <c r="A56" s="70"/>
      <c r="B56" s="33"/>
      <c r="C56" s="33"/>
      <c r="D56" s="33"/>
      <c r="E56" s="33"/>
      <c r="F56" s="34"/>
    </row>
    <row r="57" spans="1:6" s="1" customFormat="1" ht="12.75" customHeight="1">
      <c r="A57" s="70"/>
      <c r="B57" s="33"/>
      <c r="C57" s="33"/>
      <c r="D57" s="114" t="s">
        <v>56</v>
      </c>
      <c r="E57" s="114"/>
      <c r="F57" s="34"/>
    </row>
    <row r="58" spans="1:6" s="1" customFormat="1" ht="12.75" customHeight="1">
      <c r="A58" s="70"/>
      <c r="B58" s="33"/>
      <c r="C58" s="33"/>
      <c r="F58" s="71"/>
    </row>
    <row r="59" spans="1:6" s="1" customFormat="1" ht="12.75" customHeight="1">
      <c r="A59" s="70"/>
      <c r="B59" s="33"/>
      <c r="C59" s="33"/>
      <c r="D59" s="114" t="s">
        <v>57</v>
      </c>
      <c r="E59" s="114"/>
      <c r="F59" s="117"/>
    </row>
    <row r="60" spans="1:6" s="1" customFormat="1" ht="12.75" customHeight="1">
      <c r="A60" s="70"/>
      <c r="B60" s="33"/>
      <c r="C60" s="33"/>
      <c r="D60" s="33"/>
      <c r="E60" s="72" t="s">
        <v>58</v>
      </c>
      <c r="F60" s="34"/>
    </row>
    <row r="61" spans="1:6" s="1" customFormat="1" ht="12.75" customHeight="1">
      <c r="A61" s="73" t="s">
        <v>59</v>
      </c>
      <c r="B61" s="74"/>
      <c r="C61" s="74"/>
      <c r="D61" s="33"/>
      <c r="E61" s="3" t="s">
        <v>60</v>
      </c>
      <c r="F61" s="34"/>
    </row>
    <row r="62" spans="1:6" s="1" customFormat="1" ht="12.75" customHeight="1">
      <c r="A62" s="70" t="s">
        <v>61</v>
      </c>
      <c r="B62" s="33"/>
      <c r="C62" s="33"/>
      <c r="D62" s="33"/>
      <c r="E62" s="33"/>
      <c r="F62" s="34"/>
    </row>
    <row r="63" spans="1:6" s="1" customFormat="1" ht="12.75" customHeight="1">
      <c r="A63" s="70" t="s">
        <v>62</v>
      </c>
      <c r="B63" s="33"/>
      <c r="C63" s="33"/>
      <c r="D63" s="33"/>
      <c r="E63" s="33"/>
      <c r="F63" s="34"/>
    </row>
    <row r="64" spans="1:6" s="1" customFormat="1" ht="12.75" customHeight="1">
      <c r="A64" s="70"/>
      <c r="B64" s="33"/>
      <c r="C64" s="33"/>
      <c r="D64" s="33"/>
      <c r="E64" s="33"/>
      <c r="F64" s="34"/>
    </row>
    <row r="65" spans="1:6" s="1" customFormat="1" ht="12.75" customHeight="1">
      <c r="A65" s="70" t="s">
        <v>61</v>
      </c>
      <c r="B65" s="33"/>
      <c r="C65" s="33"/>
      <c r="D65" s="33"/>
      <c r="E65" s="33"/>
      <c r="F65" s="34"/>
    </row>
    <row r="66" spans="1:6" s="1" customFormat="1" ht="12.75" customHeight="1">
      <c r="A66" s="70" t="s">
        <v>63</v>
      </c>
      <c r="B66" s="33"/>
      <c r="C66" s="33"/>
      <c r="D66" s="33"/>
      <c r="E66" s="33"/>
      <c r="F66" s="34"/>
    </row>
    <row r="67" spans="1:6" s="1" customFormat="1" ht="12.75" customHeight="1">
      <c r="A67" s="70"/>
      <c r="B67" s="33"/>
      <c r="C67" s="33"/>
      <c r="D67" s="33"/>
      <c r="E67" s="33" t="s">
        <v>64</v>
      </c>
      <c r="F67" s="34"/>
    </row>
    <row r="68" spans="1:6" s="1" customFormat="1" ht="16.5" customHeight="1">
      <c r="A68" s="78" t="s">
        <v>65</v>
      </c>
      <c r="B68" s="30"/>
      <c r="C68" s="30"/>
      <c r="D68" s="79"/>
      <c r="E68" s="80"/>
      <c r="F68" s="31"/>
    </row>
    <row r="69" spans="1:6" s="1" customFormat="1" ht="12.75" customHeight="1">
      <c r="A69" s="70"/>
      <c r="B69" s="33"/>
      <c r="C69" s="33"/>
      <c r="D69" s="33"/>
      <c r="E69" s="33"/>
      <c r="F69" s="34"/>
    </row>
    <row r="70" spans="1:6" s="1" customFormat="1" ht="12.75" customHeight="1">
      <c r="A70" s="70" t="s">
        <v>66</v>
      </c>
      <c r="B70" s="33"/>
      <c r="C70" s="33"/>
      <c r="D70" s="81"/>
      <c r="E70" s="33"/>
      <c r="F70" s="34"/>
    </row>
    <row r="71" spans="1:6" s="1" customFormat="1" ht="12.75" customHeight="1">
      <c r="A71" s="70"/>
      <c r="B71" s="33"/>
      <c r="C71" s="33"/>
      <c r="D71" s="81"/>
      <c r="E71" s="33"/>
      <c r="F71" s="34"/>
    </row>
    <row r="72" spans="1:6" s="1" customFormat="1" ht="12.75" customHeight="1">
      <c r="A72" s="70" t="s">
        <v>67</v>
      </c>
      <c r="B72" s="33"/>
      <c r="C72" s="33"/>
      <c r="D72" s="81"/>
      <c r="E72" s="33" t="s">
        <v>68</v>
      </c>
      <c r="F72" s="34"/>
    </row>
    <row r="73" spans="1:6" s="1" customFormat="1" ht="18" customHeight="1">
      <c r="A73" s="70"/>
      <c r="B73" s="33"/>
      <c r="C73" s="33" t="s">
        <v>69</v>
      </c>
      <c r="D73" s="82"/>
      <c r="E73" s="33"/>
      <c r="F73" s="34"/>
    </row>
    <row r="74" spans="1:6" s="1" customFormat="1" ht="12.75" customHeight="1">
      <c r="A74" s="24"/>
      <c r="B74" s="25"/>
      <c r="C74" s="25"/>
      <c r="D74" s="83"/>
      <c r="E74" s="25"/>
      <c r="F74" s="84"/>
    </row>
  </sheetData>
  <mergeCells count="6">
    <mergeCell ref="D59:F59"/>
    <mergeCell ref="A5:F5"/>
    <mergeCell ref="A6:F6"/>
    <mergeCell ref="C15:D15"/>
    <mergeCell ref="C16:D16"/>
    <mergeCell ref="D57:E57"/>
  </mergeCells>
  <printOptions horizontalCentered="1"/>
  <pageMargins left="0.35433070866141703" right="0.118110236220472" top="0.196850393700787" bottom="0.196850393700787" header="0" footer="0.118110236220472"/>
  <pageSetup paperSize="5" scale="85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I74"/>
  <sheetViews>
    <sheetView view="pageBreakPreview" zoomScaleNormal="100" workbookViewId="0">
      <selection activeCell="F23" sqref="F23"/>
    </sheetView>
  </sheetViews>
  <sheetFormatPr defaultColWidth="9.140625" defaultRowHeight="12.75"/>
  <cols>
    <col min="1" max="1" width="8.5703125" style="2" customWidth="1"/>
    <col min="2" max="2" width="9.140625" style="2"/>
    <col min="3" max="3" width="10.5703125" style="2" customWidth="1"/>
    <col min="4" max="4" width="42.5703125" style="2" customWidth="1"/>
    <col min="5" max="5" width="15.42578125" style="2" customWidth="1"/>
    <col min="6" max="6" width="22.28515625" style="2" customWidth="1"/>
    <col min="7" max="7" width="10.5703125" style="2" customWidth="1"/>
    <col min="8" max="8" width="9.140625" style="2"/>
    <col min="9" max="9" width="10.7109375" style="2" customWidth="1"/>
    <col min="10" max="16384" width="9.140625" style="2"/>
  </cols>
  <sheetData>
    <row r="1" spans="1:9" s="1" customFormat="1" ht="12.75" customHeight="1"/>
    <row r="2" spans="1:9" s="1" customFormat="1" ht="12.75" customHeight="1"/>
    <row r="3" spans="1:9" s="1" customFormat="1" ht="12.75" customHeight="1"/>
    <row r="4" spans="1:9" s="1" customFormat="1" ht="12.75" customHeight="1"/>
    <row r="5" spans="1:9" s="1" customFormat="1" ht="21" customHeight="1">
      <c r="A5" s="113" t="s">
        <v>0</v>
      </c>
      <c r="B5" s="113"/>
      <c r="C5" s="113"/>
      <c r="D5" s="113"/>
      <c r="E5" s="113"/>
      <c r="F5" s="113"/>
    </row>
    <row r="6" spans="1:9" s="1" customFormat="1" ht="12.75" customHeight="1">
      <c r="A6" s="114" t="s">
        <v>1</v>
      </c>
      <c r="B6" s="114"/>
      <c r="C6" s="114"/>
      <c r="D6" s="114"/>
      <c r="E6" s="114"/>
      <c r="F6" s="114"/>
    </row>
    <row r="7" spans="1:9" s="1" customFormat="1" ht="15.75" customHeight="1">
      <c r="A7" s="4" t="s">
        <v>2</v>
      </c>
      <c r="B7" s="5"/>
      <c r="C7" s="6" t="s">
        <v>70</v>
      </c>
      <c r="D7" s="7"/>
      <c r="E7" s="8" t="s">
        <v>4</v>
      </c>
      <c r="F7" s="86" t="s">
        <v>71</v>
      </c>
      <c r="I7" s="75"/>
    </row>
    <row r="8" spans="1:9" s="1" customFormat="1" ht="15.75" customHeight="1">
      <c r="A8" s="10"/>
      <c r="E8" s="11" t="s">
        <v>6</v>
      </c>
      <c r="F8" s="111" t="s">
        <v>72</v>
      </c>
      <c r="I8" s="76"/>
    </row>
    <row r="9" spans="1:9" s="1" customFormat="1" ht="15.75" customHeight="1">
      <c r="A9" s="14" t="s">
        <v>8</v>
      </c>
      <c r="B9" s="15"/>
      <c r="C9" s="16" t="s">
        <v>73</v>
      </c>
      <c r="D9" s="17"/>
      <c r="E9" s="18" t="s">
        <v>10</v>
      </c>
      <c r="F9" s="19" t="s">
        <v>11</v>
      </c>
    </row>
    <row r="10" spans="1:9" s="1" customFormat="1" ht="15.75" customHeight="1">
      <c r="A10" s="21"/>
      <c r="B10" s="22"/>
      <c r="C10" s="22"/>
      <c r="D10" s="17"/>
      <c r="E10" s="11" t="s">
        <v>12</v>
      </c>
      <c r="F10" s="23" t="s">
        <v>74</v>
      </c>
    </row>
    <row r="11" spans="1:9" s="1" customFormat="1" ht="4.5" customHeight="1">
      <c r="A11" s="24"/>
      <c r="B11" s="25"/>
      <c r="C11" s="25"/>
      <c r="D11" s="25"/>
      <c r="E11" s="25"/>
      <c r="F11" s="26"/>
      <c r="G11" s="28"/>
      <c r="H11" s="28"/>
    </row>
    <row r="12" spans="1:9" s="1" customFormat="1" ht="12.75" customHeight="1">
      <c r="A12" s="29" t="s">
        <v>14</v>
      </c>
      <c r="B12" s="8"/>
      <c r="C12" s="8"/>
      <c r="D12" s="30"/>
      <c r="E12" s="30"/>
      <c r="F12" s="31"/>
      <c r="G12" s="28"/>
      <c r="H12" s="28"/>
    </row>
    <row r="13" spans="1:9" s="1" customFormat="1" ht="15.75" customHeight="1">
      <c r="A13" s="32"/>
      <c r="B13" s="11" t="s">
        <v>15</v>
      </c>
      <c r="C13" s="11"/>
      <c r="D13" s="33"/>
      <c r="E13" s="33"/>
      <c r="F13" s="34"/>
      <c r="G13" s="28"/>
      <c r="H13" s="28"/>
    </row>
    <row r="14" spans="1:9" s="1" customFormat="1" ht="4.5" customHeight="1">
      <c r="A14" s="87"/>
      <c r="B14" s="88"/>
      <c r="C14" s="88"/>
      <c r="D14" s="36"/>
      <c r="E14" s="36"/>
      <c r="F14" s="37"/>
      <c r="G14" s="28"/>
      <c r="H14" s="28"/>
    </row>
    <row r="15" spans="1:9" s="1" customFormat="1" ht="31.5" customHeight="1">
      <c r="A15" s="38" t="s">
        <v>16</v>
      </c>
      <c r="B15" s="39"/>
      <c r="C15" s="118" t="s">
        <v>75</v>
      </c>
      <c r="D15" s="118"/>
      <c r="E15" s="40" t="s">
        <v>18</v>
      </c>
      <c r="F15" s="41" t="s">
        <v>19</v>
      </c>
      <c r="G15" s="28"/>
      <c r="H15" s="28"/>
    </row>
    <row r="16" spans="1:9" s="1" customFormat="1" ht="23.1" customHeight="1">
      <c r="A16" s="38" t="s">
        <v>20</v>
      </c>
      <c r="B16" s="39"/>
      <c r="C16" s="116" t="s">
        <v>21</v>
      </c>
      <c r="D16" s="116"/>
      <c r="E16" s="40" t="s">
        <v>22</v>
      </c>
      <c r="F16" s="42" t="s">
        <v>23</v>
      </c>
      <c r="G16" s="28"/>
      <c r="H16" s="28"/>
    </row>
    <row r="17" spans="1:8" s="1" customFormat="1" ht="6.75" customHeight="1">
      <c r="A17" s="43"/>
      <c r="B17" s="44"/>
      <c r="C17" s="44"/>
      <c r="D17" s="44"/>
      <c r="E17" s="45"/>
      <c r="F17" s="46"/>
      <c r="G17" s="28"/>
      <c r="H17" s="28"/>
    </row>
    <row r="18" spans="1:8" s="1" customFormat="1" ht="26.25" customHeight="1">
      <c r="A18" s="47" t="s">
        <v>24</v>
      </c>
      <c r="B18" s="48" t="s">
        <v>25</v>
      </c>
      <c r="C18" s="48" t="s">
        <v>26</v>
      </c>
      <c r="D18" s="48" t="s">
        <v>27</v>
      </c>
      <c r="E18" s="48" t="s">
        <v>28</v>
      </c>
      <c r="F18" s="49" t="s">
        <v>29</v>
      </c>
      <c r="G18" s="28"/>
      <c r="H18" s="77"/>
    </row>
    <row r="19" spans="1:8" s="85" customFormat="1" ht="18" customHeight="1">
      <c r="A19" s="50">
        <v>1</v>
      </c>
      <c r="B19" s="57" t="s">
        <v>32</v>
      </c>
      <c r="C19" s="57">
        <v>34</v>
      </c>
      <c r="D19" s="53" t="s">
        <v>76</v>
      </c>
      <c r="E19" s="54">
        <v>6460</v>
      </c>
      <c r="F19" s="55">
        <f>PRODUCT(E19*C19)</f>
        <v>219640</v>
      </c>
      <c r="G19" s="91"/>
      <c r="H19" s="92"/>
    </row>
    <row r="20" spans="1:8" s="85" customFormat="1" ht="15.75" customHeight="1">
      <c r="A20" s="50"/>
      <c r="B20" s="57"/>
      <c r="C20" s="57"/>
      <c r="D20" s="53" t="s">
        <v>77</v>
      </c>
      <c r="E20" s="54"/>
      <c r="F20" s="55"/>
      <c r="G20" s="91"/>
      <c r="H20" s="92"/>
    </row>
    <row r="21" spans="1:8" s="85" customFormat="1" ht="15.75" customHeight="1">
      <c r="A21" s="50"/>
      <c r="B21" s="57"/>
      <c r="C21" s="57"/>
      <c r="D21" s="53" t="s">
        <v>78</v>
      </c>
      <c r="E21" s="54"/>
      <c r="F21" s="55"/>
      <c r="G21" s="91"/>
      <c r="H21" s="92"/>
    </row>
    <row r="22" spans="1:8" s="85" customFormat="1" ht="15.75" customHeight="1">
      <c r="A22" s="50"/>
      <c r="B22" s="57"/>
      <c r="C22" s="57"/>
      <c r="D22" s="53" t="s">
        <v>79</v>
      </c>
      <c r="E22" s="54"/>
      <c r="F22" s="55"/>
      <c r="G22" s="91"/>
      <c r="H22" s="92"/>
    </row>
    <row r="23" spans="1:8" s="85" customFormat="1" ht="15.75" customHeight="1">
      <c r="A23" s="50"/>
      <c r="B23" s="57"/>
      <c r="C23" s="57"/>
      <c r="D23" s="53" t="s">
        <v>80</v>
      </c>
      <c r="E23" s="54"/>
      <c r="F23" s="55"/>
      <c r="G23" s="91"/>
      <c r="H23" s="92"/>
    </row>
    <row r="24" spans="1:8" s="85" customFormat="1" ht="15.75" customHeight="1">
      <c r="A24" s="50">
        <v>2</v>
      </c>
      <c r="B24" s="57" t="s">
        <v>32</v>
      </c>
      <c r="C24" s="57">
        <v>34</v>
      </c>
      <c r="D24" s="53" t="s">
        <v>81</v>
      </c>
      <c r="E24" s="54">
        <v>1905</v>
      </c>
      <c r="F24" s="55">
        <f>PRODUCT(E24*C24)</f>
        <v>64770</v>
      </c>
      <c r="G24" s="91"/>
      <c r="H24" s="92"/>
    </row>
    <row r="25" spans="1:8" s="85" customFormat="1" ht="15.75" customHeight="1">
      <c r="A25" s="50"/>
      <c r="B25" s="57"/>
      <c r="C25" s="57"/>
      <c r="D25" s="53" t="s">
        <v>82</v>
      </c>
      <c r="E25" s="54"/>
      <c r="F25" s="55"/>
      <c r="G25" s="91"/>
      <c r="H25" s="92"/>
    </row>
    <row r="26" spans="1:8" s="85" customFormat="1" ht="15.75" customHeight="1">
      <c r="A26" s="50"/>
      <c r="B26" s="57"/>
      <c r="C26" s="57"/>
      <c r="D26" s="53" t="s">
        <v>83</v>
      </c>
      <c r="E26" s="54"/>
      <c r="F26" s="55"/>
      <c r="G26" s="91"/>
      <c r="H26" s="92"/>
    </row>
    <row r="27" spans="1:8" s="85" customFormat="1" ht="15.75" customHeight="1">
      <c r="A27" s="50"/>
      <c r="B27" s="57"/>
      <c r="C27" s="57"/>
      <c r="D27" s="53" t="s">
        <v>84</v>
      </c>
      <c r="E27" s="54"/>
      <c r="F27" s="55"/>
      <c r="G27" s="91"/>
      <c r="H27" s="92"/>
    </row>
    <row r="28" spans="1:8" s="85" customFormat="1" ht="15.75" customHeight="1">
      <c r="A28" s="50"/>
      <c r="B28" s="57"/>
      <c r="C28" s="57"/>
      <c r="D28" s="53" t="s">
        <v>85</v>
      </c>
      <c r="E28" s="54"/>
      <c r="F28" s="55"/>
      <c r="G28" s="91"/>
      <c r="H28" s="92"/>
    </row>
    <row r="29" spans="1:8" s="85" customFormat="1" ht="15.75" customHeight="1">
      <c r="A29" s="50"/>
      <c r="B29" s="57"/>
      <c r="C29" s="57"/>
      <c r="D29" s="53" t="s">
        <v>86</v>
      </c>
      <c r="E29" s="54"/>
      <c r="F29" s="55"/>
      <c r="G29" s="91"/>
      <c r="H29" s="92"/>
    </row>
    <row r="30" spans="1:8" s="85" customFormat="1" ht="15.75" customHeight="1">
      <c r="A30" s="50">
        <v>3</v>
      </c>
      <c r="B30" s="57" t="s">
        <v>87</v>
      </c>
      <c r="C30" s="57">
        <v>10</v>
      </c>
      <c r="D30" s="53" t="s">
        <v>88</v>
      </c>
      <c r="E30" s="54">
        <v>9905</v>
      </c>
      <c r="F30" s="55">
        <f>PRODUCT(E30*C30)</f>
        <v>99050</v>
      </c>
      <c r="G30" s="91"/>
      <c r="H30" s="92"/>
    </row>
    <row r="31" spans="1:8" s="85" customFormat="1" ht="15.75" customHeight="1">
      <c r="A31" s="50"/>
      <c r="B31" s="57"/>
      <c r="C31" s="57"/>
      <c r="D31" s="53" t="s">
        <v>89</v>
      </c>
      <c r="E31" s="54"/>
      <c r="F31" s="55"/>
      <c r="G31" s="91"/>
      <c r="H31" s="92"/>
    </row>
    <row r="32" spans="1:8" s="85" customFormat="1" ht="15.75" customHeight="1">
      <c r="A32" s="50"/>
      <c r="B32" s="57"/>
      <c r="C32" s="57"/>
      <c r="D32" s="53" t="s">
        <v>90</v>
      </c>
      <c r="E32" s="54"/>
      <c r="F32" s="55"/>
      <c r="G32" s="91"/>
      <c r="H32" s="92"/>
    </row>
    <row r="33" spans="1:8" s="85" customFormat="1" ht="15.75" customHeight="1">
      <c r="A33" s="50"/>
      <c r="B33" s="57"/>
      <c r="C33" s="57"/>
      <c r="D33" s="53" t="s">
        <v>91</v>
      </c>
      <c r="E33" s="54"/>
      <c r="F33" s="55"/>
      <c r="G33" s="91"/>
      <c r="H33" s="92"/>
    </row>
    <row r="34" spans="1:8" s="85" customFormat="1" ht="15.75" customHeight="1">
      <c r="A34" s="50"/>
      <c r="B34" s="57"/>
      <c r="C34" s="57"/>
      <c r="D34" s="53" t="s">
        <v>92</v>
      </c>
      <c r="E34" s="54"/>
      <c r="F34" s="55"/>
      <c r="G34" s="91"/>
      <c r="H34" s="92"/>
    </row>
    <row r="35" spans="1:8" s="85" customFormat="1" ht="15.75" customHeight="1">
      <c r="A35" s="50"/>
      <c r="B35" s="57"/>
      <c r="C35" s="57"/>
      <c r="D35" s="53" t="s">
        <v>93</v>
      </c>
      <c r="E35" s="54"/>
      <c r="F35" s="55"/>
      <c r="G35" s="91"/>
      <c r="H35" s="92"/>
    </row>
    <row r="36" spans="1:8" s="85" customFormat="1" ht="15.75" customHeight="1">
      <c r="A36" s="50"/>
      <c r="B36" s="57"/>
      <c r="C36" s="57"/>
      <c r="D36" s="53" t="s">
        <v>94</v>
      </c>
      <c r="E36" s="54"/>
      <c r="F36" s="55"/>
      <c r="G36" s="91"/>
      <c r="H36" s="92"/>
    </row>
    <row r="37" spans="1:8" s="85" customFormat="1" ht="15.75" customHeight="1">
      <c r="A37" s="50"/>
      <c r="B37" s="57"/>
      <c r="C37" s="57"/>
      <c r="D37" s="53" t="s">
        <v>95</v>
      </c>
      <c r="E37" s="54"/>
      <c r="F37" s="55"/>
      <c r="G37" s="91"/>
      <c r="H37" s="92"/>
    </row>
    <row r="38" spans="1:8" s="85" customFormat="1" ht="15.75" customHeight="1">
      <c r="A38" s="50"/>
      <c r="B38" s="57"/>
      <c r="C38" s="57"/>
      <c r="D38" s="93"/>
      <c r="E38" s="54"/>
      <c r="F38" s="55"/>
      <c r="G38" s="91"/>
      <c r="H38" s="92"/>
    </row>
    <row r="39" spans="1:8" s="85" customFormat="1" ht="15.75" customHeight="1">
      <c r="A39" s="50"/>
      <c r="B39" s="57"/>
      <c r="C39" s="57"/>
      <c r="D39" s="93"/>
      <c r="E39" s="54"/>
      <c r="F39" s="55"/>
      <c r="G39" s="91"/>
      <c r="H39" s="92"/>
    </row>
    <row r="40" spans="1:8" s="85" customFormat="1" ht="15.75" customHeight="1">
      <c r="A40" s="50"/>
      <c r="B40" s="57"/>
      <c r="C40" s="57"/>
      <c r="D40" s="93"/>
      <c r="E40" s="54"/>
      <c r="F40" s="55"/>
      <c r="G40" s="91"/>
      <c r="H40" s="92"/>
    </row>
    <row r="41" spans="1:8" s="85" customFormat="1" ht="15.75" customHeight="1">
      <c r="A41" s="50"/>
      <c r="B41" s="57"/>
      <c r="C41" s="57"/>
      <c r="D41" s="93"/>
      <c r="E41" s="54"/>
      <c r="F41" s="55"/>
      <c r="G41" s="91"/>
      <c r="H41" s="92"/>
    </row>
    <row r="42" spans="1:8" s="85" customFormat="1" ht="15.75" customHeight="1">
      <c r="A42" s="50"/>
      <c r="B42" s="57"/>
      <c r="C42" s="57"/>
      <c r="D42" s="93"/>
      <c r="E42" s="54"/>
      <c r="F42" s="55"/>
      <c r="G42" s="91"/>
      <c r="H42" s="92"/>
    </row>
    <row r="43" spans="1:8" s="85" customFormat="1" ht="15.75" customHeight="1">
      <c r="A43" s="50"/>
      <c r="B43" s="57"/>
      <c r="C43" s="57"/>
      <c r="D43" s="93"/>
      <c r="E43" s="54"/>
      <c r="F43" s="55"/>
      <c r="G43" s="91"/>
      <c r="H43" s="92"/>
    </row>
    <row r="44" spans="1:8" s="85" customFormat="1" ht="15.75" customHeight="1">
      <c r="A44" s="50"/>
      <c r="B44" s="57"/>
      <c r="C44" s="57"/>
      <c r="D44" s="93"/>
      <c r="E44" s="54"/>
      <c r="F44" s="55"/>
      <c r="G44" s="91"/>
      <c r="H44" s="92"/>
    </row>
    <row r="45" spans="1:8" s="85" customFormat="1" ht="15.75" customHeight="1">
      <c r="A45" s="50"/>
      <c r="B45" s="57"/>
      <c r="C45" s="57"/>
      <c r="D45" s="93"/>
      <c r="E45" s="54"/>
      <c r="F45" s="55"/>
      <c r="G45" s="91"/>
      <c r="H45" s="92"/>
    </row>
    <row r="46" spans="1:8" s="85" customFormat="1" ht="15.75" customHeight="1">
      <c r="A46" s="50"/>
      <c r="B46" s="57"/>
      <c r="C46" s="57"/>
      <c r="D46" s="93"/>
      <c r="E46" s="54"/>
      <c r="F46" s="55"/>
      <c r="G46" s="91"/>
      <c r="H46" s="92"/>
    </row>
    <row r="47" spans="1:8" s="85" customFormat="1" ht="15.75" customHeight="1">
      <c r="A47" s="50"/>
      <c r="B47" s="57"/>
      <c r="C47" s="57"/>
      <c r="D47" s="93"/>
      <c r="E47" s="54"/>
      <c r="F47" s="55"/>
      <c r="G47" s="91"/>
      <c r="H47" s="92"/>
    </row>
    <row r="48" spans="1:8" s="1" customFormat="1" ht="15.75" customHeight="1">
      <c r="A48" s="58"/>
      <c r="B48" s="94"/>
      <c r="C48" s="94"/>
      <c r="D48" s="60"/>
      <c r="E48" s="61"/>
      <c r="F48" s="62"/>
      <c r="G48" s="95"/>
    </row>
    <row r="49" spans="1:6" s="1" customFormat="1" ht="15.75" customHeight="1">
      <c r="A49" s="58"/>
      <c r="B49" s="59"/>
      <c r="C49" s="59"/>
      <c r="D49" s="60"/>
      <c r="E49" s="61"/>
      <c r="F49" s="62"/>
    </row>
    <row r="50" spans="1:6" s="1" customFormat="1" ht="12.75" customHeight="1">
      <c r="A50" s="63"/>
      <c r="B50" s="64"/>
      <c r="C50" s="64"/>
      <c r="D50" s="65"/>
      <c r="E50" s="66" t="s">
        <v>52</v>
      </c>
      <c r="F50" s="67">
        <f>SUM(F19:F49)</f>
        <v>383460</v>
      </c>
    </row>
    <row r="51" spans="1:6" s="1" customFormat="1" ht="25.5" customHeight="1">
      <c r="A51" s="70" t="s">
        <v>96</v>
      </c>
      <c r="B51" s="33"/>
      <c r="C51" s="33"/>
      <c r="D51" s="33"/>
      <c r="E51" s="33"/>
      <c r="F51" s="34"/>
    </row>
    <row r="52" spans="1:6" s="1" customFormat="1" ht="9.75" customHeight="1">
      <c r="A52" s="35"/>
      <c r="B52" s="36"/>
      <c r="C52" s="36"/>
      <c r="D52" s="69"/>
      <c r="E52" s="36"/>
      <c r="F52" s="37"/>
    </row>
    <row r="53" spans="1:6" s="1" customFormat="1" ht="12.75" customHeight="1">
      <c r="A53" s="70"/>
      <c r="B53" s="33"/>
      <c r="C53" s="33"/>
      <c r="D53" s="33"/>
      <c r="E53" s="33"/>
      <c r="F53" s="34"/>
    </row>
    <row r="54" spans="1:6" s="1" customFormat="1" ht="12.75" customHeight="1">
      <c r="A54" s="32" t="s">
        <v>97</v>
      </c>
      <c r="B54" s="11"/>
      <c r="C54" s="11"/>
      <c r="D54" s="11"/>
      <c r="E54" s="11"/>
      <c r="F54" s="96"/>
    </row>
    <row r="55" spans="1:6" s="1" customFormat="1" ht="12.75" customHeight="1">
      <c r="A55" s="32" t="s">
        <v>98</v>
      </c>
      <c r="B55" s="11"/>
      <c r="C55" s="11"/>
      <c r="D55" s="11"/>
      <c r="E55" s="11"/>
      <c r="F55" s="96"/>
    </row>
    <row r="56" spans="1:6" s="1" customFormat="1" ht="12.75" customHeight="1">
      <c r="A56" s="32"/>
      <c r="B56" s="11"/>
      <c r="C56" s="11"/>
      <c r="D56" s="11"/>
      <c r="E56" s="11"/>
      <c r="F56" s="96"/>
    </row>
    <row r="57" spans="1:6" s="1" customFormat="1" ht="12.75" customHeight="1">
      <c r="A57" s="32"/>
      <c r="B57" s="11"/>
      <c r="C57" s="11"/>
      <c r="D57" s="119" t="s">
        <v>56</v>
      </c>
      <c r="E57" s="119"/>
      <c r="F57" s="96"/>
    </row>
    <row r="58" spans="1:6" s="1" customFormat="1" ht="12.75" customHeight="1">
      <c r="A58" s="32"/>
      <c r="B58" s="11"/>
      <c r="C58" s="11"/>
      <c r="F58" s="71"/>
    </row>
    <row r="59" spans="1:6" s="1" customFormat="1" ht="12.75" customHeight="1">
      <c r="A59" s="32"/>
      <c r="B59" s="11"/>
      <c r="C59" s="11"/>
      <c r="D59" s="119" t="s">
        <v>57</v>
      </c>
      <c r="E59" s="119"/>
      <c r="F59" s="120"/>
    </row>
    <row r="60" spans="1:6" s="1" customFormat="1" ht="12.75" customHeight="1">
      <c r="A60" s="32"/>
      <c r="B60" s="11"/>
      <c r="C60" s="11"/>
      <c r="D60" s="11"/>
      <c r="E60" s="98" t="s">
        <v>58</v>
      </c>
      <c r="F60" s="96"/>
    </row>
    <row r="61" spans="1:6" s="1" customFormat="1" ht="12.75" customHeight="1">
      <c r="A61" s="99" t="s">
        <v>59</v>
      </c>
      <c r="B61" s="100"/>
      <c r="C61" s="100"/>
      <c r="D61" s="11"/>
      <c r="E61" s="97" t="s">
        <v>60</v>
      </c>
      <c r="F61" s="96"/>
    </row>
    <row r="62" spans="1:6" s="1" customFormat="1" ht="12.75" customHeight="1">
      <c r="A62" s="32" t="s">
        <v>61</v>
      </c>
      <c r="B62" s="11"/>
      <c r="C62" s="11"/>
      <c r="D62" s="11"/>
      <c r="E62" s="11"/>
      <c r="F62" s="96"/>
    </row>
    <row r="63" spans="1:6" s="1" customFormat="1" ht="12.75" customHeight="1">
      <c r="A63" s="32" t="s">
        <v>62</v>
      </c>
      <c r="B63" s="11"/>
      <c r="C63" s="11"/>
      <c r="D63" s="11"/>
      <c r="E63" s="11"/>
      <c r="F63" s="96"/>
    </row>
    <row r="64" spans="1:6" s="1" customFormat="1" ht="12.75" customHeight="1">
      <c r="A64" s="32"/>
      <c r="B64" s="11"/>
      <c r="C64" s="11"/>
      <c r="D64" s="11"/>
      <c r="E64" s="11"/>
      <c r="F64" s="96"/>
    </row>
    <row r="65" spans="1:6" s="1" customFormat="1" ht="12.75" customHeight="1">
      <c r="A65" s="32" t="s">
        <v>61</v>
      </c>
      <c r="B65" s="11"/>
      <c r="C65" s="11"/>
      <c r="D65" s="11"/>
      <c r="E65" s="11"/>
      <c r="F65" s="96"/>
    </row>
    <row r="66" spans="1:6" s="1" customFormat="1" ht="12.75" customHeight="1">
      <c r="A66" s="32" t="s">
        <v>63</v>
      </c>
      <c r="B66" s="11"/>
      <c r="C66" s="11"/>
      <c r="D66" s="11"/>
      <c r="E66" s="11"/>
      <c r="F66" s="96"/>
    </row>
    <row r="67" spans="1:6" s="1" customFormat="1" ht="12.75" customHeight="1">
      <c r="A67" s="32"/>
      <c r="B67" s="11"/>
      <c r="C67" s="11"/>
      <c r="D67" s="11"/>
      <c r="E67" s="11" t="s">
        <v>64</v>
      </c>
      <c r="F67" s="96"/>
    </row>
    <row r="68" spans="1:6" s="1" customFormat="1" ht="16.5" customHeight="1">
      <c r="A68" s="101" t="s">
        <v>65</v>
      </c>
      <c r="B68" s="8"/>
      <c r="C68" s="8"/>
      <c r="D68" s="102"/>
      <c r="E68" s="103"/>
      <c r="F68" s="104"/>
    </row>
    <row r="69" spans="1:6" s="1" customFormat="1" ht="12.75" customHeight="1">
      <c r="A69" s="32"/>
      <c r="B69" s="11"/>
      <c r="C69" s="11"/>
      <c r="D69" s="11"/>
      <c r="E69" s="11"/>
      <c r="F69" s="96"/>
    </row>
    <row r="70" spans="1:6" s="1" customFormat="1" ht="12.75" customHeight="1">
      <c r="A70" s="32" t="s">
        <v>99</v>
      </c>
      <c r="B70" s="11"/>
      <c r="C70" s="11"/>
      <c r="D70" s="105"/>
      <c r="E70" s="11"/>
      <c r="F70" s="96"/>
    </row>
    <row r="71" spans="1:6" s="1" customFormat="1" ht="12.75" customHeight="1">
      <c r="A71" s="32"/>
      <c r="B71" s="11"/>
      <c r="C71" s="11"/>
      <c r="D71" s="105"/>
      <c r="E71" s="11"/>
      <c r="F71" s="96"/>
    </row>
    <row r="72" spans="1:6" s="1" customFormat="1" ht="12.75" customHeight="1">
      <c r="A72" s="32" t="s">
        <v>67</v>
      </c>
      <c r="B72" s="11"/>
      <c r="C72" s="11"/>
      <c r="D72" s="105"/>
      <c r="E72" s="11" t="s">
        <v>68</v>
      </c>
      <c r="F72" s="96"/>
    </row>
    <row r="73" spans="1:6" s="1" customFormat="1" ht="18" customHeight="1">
      <c r="A73" s="32"/>
      <c r="B73" s="11"/>
      <c r="C73" s="11" t="s">
        <v>69</v>
      </c>
      <c r="D73" s="106"/>
      <c r="E73" s="11"/>
      <c r="F73" s="96"/>
    </row>
    <row r="74" spans="1:6" s="1" customFormat="1" ht="12.75" customHeight="1">
      <c r="A74" s="24"/>
      <c r="B74" s="25"/>
      <c r="C74" s="25"/>
      <c r="D74" s="83"/>
      <c r="E74" s="25"/>
      <c r="F74" s="84"/>
    </row>
  </sheetData>
  <mergeCells count="6">
    <mergeCell ref="D59:F59"/>
    <mergeCell ref="A5:F5"/>
    <mergeCell ref="A6:F6"/>
    <mergeCell ref="C15:D15"/>
    <mergeCell ref="C16:D16"/>
    <mergeCell ref="D57:E57"/>
  </mergeCells>
  <printOptions horizontalCentered="1"/>
  <pageMargins left="0.35433070866141703" right="0.118110236220472" top="0.196850393700787" bottom="0.196850393700787" header="0" footer="0.118110236220472"/>
  <pageSetup paperSize="5" scale="8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J74"/>
  <sheetViews>
    <sheetView workbookViewId="0">
      <selection sqref="A1:XFD1048576"/>
    </sheetView>
  </sheetViews>
  <sheetFormatPr defaultColWidth="9.140625" defaultRowHeight="12.75"/>
  <cols>
    <col min="1" max="1" width="8.5703125" style="2" customWidth="1"/>
    <col min="2" max="2" width="9.140625" style="2"/>
    <col min="3" max="3" width="10.5703125" style="2" customWidth="1"/>
    <col min="4" max="4" width="42.5703125" style="2" customWidth="1"/>
    <col min="5" max="5" width="15.42578125" style="2" customWidth="1"/>
    <col min="6" max="6" width="22.28515625" style="2" customWidth="1"/>
    <col min="7" max="7" width="9.140625" style="2"/>
    <col min="8" max="8" width="10.5703125" style="2" customWidth="1"/>
    <col min="9" max="9" width="9.140625" style="2"/>
    <col min="10" max="10" width="10.7109375" style="2" customWidth="1"/>
    <col min="11" max="16384" width="9.140625" style="2"/>
  </cols>
  <sheetData>
    <row r="1" spans="1:10" s="1" customFormat="1" ht="12.75" customHeight="1"/>
    <row r="2" spans="1:10" s="1" customFormat="1" ht="12.75" customHeight="1"/>
    <row r="3" spans="1:10" s="1" customFormat="1" ht="12.75" customHeight="1"/>
    <row r="4" spans="1:10" s="1" customFormat="1" ht="12.75" customHeight="1"/>
    <row r="5" spans="1:10" s="1" customFormat="1" ht="21" customHeight="1">
      <c r="A5" s="113" t="s">
        <v>0</v>
      </c>
      <c r="B5" s="113"/>
      <c r="C5" s="113"/>
      <c r="D5" s="113"/>
      <c r="E5" s="113"/>
      <c r="F5" s="113"/>
    </row>
    <row r="6" spans="1:10" s="1" customFormat="1" ht="12.75" customHeight="1">
      <c r="A6" s="114" t="s">
        <v>1</v>
      </c>
      <c r="B6" s="114"/>
      <c r="C6" s="114"/>
      <c r="D6" s="114"/>
      <c r="E6" s="114"/>
      <c r="F6" s="114"/>
    </row>
    <row r="7" spans="1:10" s="1" customFormat="1" ht="15.75" customHeight="1">
      <c r="A7" s="4" t="s">
        <v>2</v>
      </c>
      <c r="B7" s="5"/>
      <c r="C7" s="6" t="s">
        <v>100</v>
      </c>
      <c r="D7" s="7"/>
      <c r="E7" s="8" t="s">
        <v>4</v>
      </c>
      <c r="F7" s="9" t="s">
        <v>101</v>
      </c>
      <c r="J7" s="75"/>
    </row>
    <row r="8" spans="1:10" s="1" customFormat="1" ht="15.75" customHeight="1">
      <c r="A8" s="10"/>
      <c r="E8" s="11" t="s">
        <v>6</v>
      </c>
      <c r="F8" s="111" t="s">
        <v>102</v>
      </c>
      <c r="J8" s="76"/>
    </row>
    <row r="9" spans="1:10" s="1" customFormat="1" ht="15.75" customHeight="1">
      <c r="A9" s="14" t="s">
        <v>8</v>
      </c>
      <c r="B9" s="15"/>
      <c r="C9" s="16" t="s">
        <v>103</v>
      </c>
      <c r="D9" s="17"/>
      <c r="E9" s="18" t="s">
        <v>10</v>
      </c>
      <c r="F9" s="19" t="s">
        <v>11</v>
      </c>
      <c r="G9" s="20"/>
    </row>
    <row r="10" spans="1:10" s="1" customFormat="1" ht="15.75" customHeight="1">
      <c r="A10" s="21"/>
      <c r="B10" s="22"/>
      <c r="C10" s="22"/>
      <c r="D10" s="17"/>
      <c r="E10" s="11" t="s">
        <v>12</v>
      </c>
      <c r="F10" s="23" t="s">
        <v>104</v>
      </c>
    </row>
    <row r="11" spans="1:10" s="1" customFormat="1" ht="4.5" customHeight="1">
      <c r="A11" s="24"/>
      <c r="B11" s="25"/>
      <c r="C11" s="25"/>
      <c r="D11" s="25"/>
      <c r="E11" s="25"/>
      <c r="F11" s="26"/>
      <c r="G11" s="27"/>
      <c r="H11" s="28"/>
      <c r="I11" s="28"/>
    </row>
    <row r="12" spans="1:10" s="1" customFormat="1" ht="12.75" customHeight="1">
      <c r="A12" s="29" t="s">
        <v>14</v>
      </c>
      <c r="B12" s="8"/>
      <c r="C12" s="30"/>
      <c r="D12" s="30"/>
      <c r="E12" s="30"/>
      <c r="F12" s="31"/>
      <c r="G12" s="28"/>
      <c r="H12" s="28"/>
      <c r="I12" s="28"/>
    </row>
    <row r="13" spans="1:10" s="1" customFormat="1" ht="15.75" customHeight="1">
      <c r="A13" s="32"/>
      <c r="B13" s="11" t="s">
        <v>15</v>
      </c>
      <c r="C13" s="33"/>
      <c r="D13" s="33"/>
      <c r="E13" s="33"/>
      <c r="F13" s="34"/>
      <c r="G13" s="28"/>
      <c r="H13" s="28"/>
      <c r="I13" s="28"/>
    </row>
    <row r="14" spans="1:10" s="1" customFormat="1" ht="4.5" customHeight="1">
      <c r="A14" s="35"/>
      <c r="B14" s="36"/>
      <c r="C14" s="36"/>
      <c r="D14" s="36"/>
      <c r="E14" s="36"/>
      <c r="F14" s="37"/>
      <c r="G14" s="28"/>
      <c r="H14" s="28"/>
      <c r="I14" s="28"/>
    </row>
    <row r="15" spans="1:10" s="1" customFormat="1" ht="31.5" customHeight="1">
      <c r="A15" s="38" t="s">
        <v>16</v>
      </c>
      <c r="B15" s="39"/>
      <c r="C15" s="118" t="s">
        <v>105</v>
      </c>
      <c r="D15" s="118"/>
      <c r="E15" s="40" t="s">
        <v>18</v>
      </c>
      <c r="F15" s="41" t="str">
        <f>C16</f>
        <v>November 25, 2025</v>
      </c>
      <c r="G15" s="28"/>
      <c r="H15" s="28"/>
      <c r="I15" s="28"/>
    </row>
    <row r="16" spans="1:10" s="1" customFormat="1" ht="23.1" customHeight="1">
      <c r="A16" s="38" t="s">
        <v>20</v>
      </c>
      <c r="B16" s="39"/>
      <c r="C16" s="121" t="s">
        <v>106</v>
      </c>
      <c r="D16" s="116"/>
      <c r="E16" s="40" t="s">
        <v>22</v>
      </c>
      <c r="F16" s="42" t="s">
        <v>23</v>
      </c>
      <c r="G16" s="28"/>
      <c r="H16" s="28"/>
      <c r="I16" s="28"/>
    </row>
    <row r="17" spans="1:9" s="1" customFormat="1" ht="6.75" customHeight="1">
      <c r="A17" s="43"/>
      <c r="B17" s="44"/>
      <c r="C17" s="44"/>
      <c r="D17" s="44"/>
      <c r="E17" s="45"/>
      <c r="F17" s="46"/>
      <c r="G17" s="28"/>
      <c r="H17" s="28"/>
      <c r="I17" s="28"/>
    </row>
    <row r="18" spans="1:9" s="1" customFormat="1" ht="26.25" customHeight="1">
      <c r="A18" s="47" t="s">
        <v>24</v>
      </c>
      <c r="B18" s="48" t="s">
        <v>25</v>
      </c>
      <c r="C18" s="48" t="s">
        <v>26</v>
      </c>
      <c r="D18" s="48" t="s">
        <v>27</v>
      </c>
      <c r="E18" s="48" t="s">
        <v>28</v>
      </c>
      <c r="F18" s="49" t="s">
        <v>29</v>
      </c>
      <c r="G18" s="28"/>
      <c r="H18" s="28"/>
      <c r="I18" s="77"/>
    </row>
    <row r="19" spans="1:9" s="1" customFormat="1" ht="18" customHeight="1">
      <c r="A19" s="50">
        <v>1</v>
      </c>
      <c r="B19" s="51" t="s">
        <v>107</v>
      </c>
      <c r="C19" s="57">
        <v>400</v>
      </c>
      <c r="D19" s="53" t="s">
        <v>108</v>
      </c>
      <c r="E19" s="54">
        <v>199.75</v>
      </c>
      <c r="F19" s="55">
        <f>C19*E19</f>
        <v>79900</v>
      </c>
      <c r="G19" s="28"/>
      <c r="H19" s="56"/>
      <c r="I19" s="28"/>
    </row>
    <row r="20" spans="1:9" s="1" customFormat="1" ht="15.75" customHeight="1">
      <c r="A20" s="50"/>
      <c r="B20" s="57"/>
      <c r="C20" s="57"/>
      <c r="D20" s="53" t="s">
        <v>109</v>
      </c>
      <c r="E20" s="54"/>
      <c r="F20" s="55"/>
      <c r="G20" s="28"/>
      <c r="H20" s="56"/>
      <c r="I20" s="28"/>
    </row>
    <row r="21" spans="1:9" s="1" customFormat="1" ht="15.75" customHeight="1">
      <c r="A21" s="50">
        <v>2</v>
      </c>
      <c r="B21" s="57" t="s">
        <v>107</v>
      </c>
      <c r="C21" s="57">
        <v>400</v>
      </c>
      <c r="D21" s="53" t="s">
        <v>110</v>
      </c>
      <c r="E21" s="54">
        <v>349.75</v>
      </c>
      <c r="F21" s="55">
        <f t="shared" ref="F21:F23" si="0">C21*E21</f>
        <v>139900</v>
      </c>
      <c r="G21" s="28"/>
      <c r="H21" s="56"/>
      <c r="I21" s="28"/>
    </row>
    <row r="22" spans="1:9" s="1" customFormat="1" ht="15.75" customHeight="1">
      <c r="A22" s="50"/>
      <c r="B22" s="57"/>
      <c r="C22" s="57"/>
      <c r="D22" s="53" t="s">
        <v>111</v>
      </c>
      <c r="E22" s="54"/>
      <c r="F22" s="55"/>
      <c r="G22" s="28"/>
      <c r="H22" s="56"/>
      <c r="I22" s="28"/>
    </row>
    <row r="23" spans="1:9" s="1" customFormat="1" ht="15.75" customHeight="1">
      <c r="A23" s="50">
        <v>3</v>
      </c>
      <c r="B23" s="57" t="s">
        <v>107</v>
      </c>
      <c r="C23" s="57">
        <v>170</v>
      </c>
      <c r="D23" s="53" t="s">
        <v>112</v>
      </c>
      <c r="E23" s="54">
        <v>449.75</v>
      </c>
      <c r="F23" s="55">
        <f t="shared" si="0"/>
        <v>76457.5</v>
      </c>
      <c r="G23" s="28"/>
      <c r="H23" s="56"/>
      <c r="I23" s="28"/>
    </row>
    <row r="24" spans="1:9" s="1" customFormat="1" ht="15.75" customHeight="1">
      <c r="A24" s="50"/>
      <c r="B24" s="57"/>
      <c r="C24" s="57"/>
      <c r="D24" s="53" t="s">
        <v>113</v>
      </c>
      <c r="E24" s="54"/>
      <c r="F24" s="55"/>
      <c r="G24" s="28"/>
      <c r="H24" s="56"/>
      <c r="I24" s="28"/>
    </row>
    <row r="25" spans="1:9" s="1" customFormat="1" ht="15.75" customHeight="1">
      <c r="A25" s="50"/>
      <c r="B25" s="57"/>
      <c r="C25" s="57"/>
      <c r="D25" s="53"/>
      <c r="E25" s="54"/>
      <c r="F25" s="55"/>
      <c r="G25" s="28"/>
      <c r="H25" s="56"/>
      <c r="I25" s="28"/>
    </row>
    <row r="26" spans="1:9" s="1" customFormat="1" ht="15.75" customHeight="1">
      <c r="A26" s="50"/>
      <c r="B26" s="57"/>
      <c r="C26" s="57"/>
      <c r="D26" s="53"/>
      <c r="E26" s="54"/>
      <c r="F26" s="55"/>
      <c r="G26" s="28"/>
      <c r="H26" s="56"/>
      <c r="I26" s="28"/>
    </row>
    <row r="27" spans="1:9" s="1" customFormat="1" ht="15.75" customHeight="1">
      <c r="A27" s="50"/>
      <c r="B27" s="57"/>
      <c r="C27" s="57"/>
      <c r="D27" s="53"/>
      <c r="E27" s="54"/>
      <c r="F27" s="55"/>
      <c r="G27" s="28"/>
      <c r="H27" s="56"/>
      <c r="I27" s="28"/>
    </row>
    <row r="28" spans="1:9" s="1" customFormat="1" ht="15.75" customHeight="1">
      <c r="A28" s="50"/>
      <c r="B28" s="57"/>
      <c r="C28" s="57"/>
      <c r="D28" s="53"/>
      <c r="E28" s="54"/>
      <c r="F28" s="55"/>
      <c r="G28" s="28"/>
      <c r="H28" s="56"/>
      <c r="I28" s="28"/>
    </row>
    <row r="29" spans="1:9" s="1" customFormat="1" ht="15.75" customHeight="1">
      <c r="A29" s="50"/>
      <c r="B29" s="57"/>
      <c r="C29" s="57"/>
      <c r="D29" s="53"/>
      <c r="E29" s="54"/>
      <c r="F29" s="55"/>
      <c r="G29" s="28"/>
      <c r="H29" s="56"/>
      <c r="I29" s="28"/>
    </row>
    <row r="30" spans="1:9" s="1" customFormat="1" ht="15.75" customHeight="1">
      <c r="A30" s="50"/>
      <c r="B30" s="57"/>
      <c r="C30" s="57"/>
      <c r="D30" s="53"/>
      <c r="E30" s="54"/>
      <c r="F30" s="55"/>
      <c r="G30" s="28"/>
      <c r="H30" s="56"/>
      <c r="I30" s="28"/>
    </row>
    <row r="31" spans="1:9" s="1" customFormat="1" ht="15.75" customHeight="1">
      <c r="A31" s="50"/>
      <c r="B31" s="57"/>
      <c r="C31" s="57"/>
      <c r="D31" s="53"/>
      <c r="E31" s="54"/>
      <c r="F31" s="55"/>
      <c r="G31" s="28"/>
      <c r="H31" s="56"/>
      <c r="I31" s="28"/>
    </row>
    <row r="32" spans="1:9" s="1" customFormat="1" ht="15.75" customHeight="1">
      <c r="A32" s="50"/>
      <c r="B32" s="57"/>
      <c r="C32" s="57"/>
      <c r="D32" s="53"/>
      <c r="E32" s="54"/>
      <c r="F32" s="55"/>
      <c r="G32" s="28"/>
      <c r="H32" s="56"/>
      <c r="I32" s="28"/>
    </row>
    <row r="33" spans="1:9" s="1" customFormat="1" ht="15.75" customHeight="1">
      <c r="A33" s="50"/>
      <c r="B33" s="57"/>
      <c r="C33" s="57"/>
      <c r="D33" s="53"/>
      <c r="E33" s="54"/>
      <c r="F33" s="55"/>
      <c r="G33" s="28"/>
      <c r="H33" s="56"/>
      <c r="I33" s="28"/>
    </row>
    <row r="34" spans="1:9" s="1" customFormat="1" ht="15.75" customHeight="1">
      <c r="A34" s="50"/>
      <c r="B34" s="57"/>
      <c r="C34" s="57"/>
      <c r="D34" s="53"/>
      <c r="E34" s="54"/>
      <c r="F34" s="55"/>
      <c r="G34" s="28"/>
      <c r="H34" s="56"/>
      <c r="I34" s="28"/>
    </row>
    <row r="35" spans="1:9" s="1" customFormat="1" ht="15.75" customHeight="1">
      <c r="A35" s="50"/>
      <c r="B35" s="57"/>
      <c r="C35" s="57"/>
      <c r="D35" s="53"/>
      <c r="E35" s="54"/>
      <c r="F35" s="55"/>
      <c r="G35" s="28"/>
      <c r="H35" s="56"/>
      <c r="I35" s="28"/>
    </row>
    <row r="36" spans="1:9" s="1" customFormat="1" ht="15.75" customHeight="1">
      <c r="A36" s="50"/>
      <c r="B36" s="57"/>
      <c r="C36" s="57"/>
      <c r="D36" s="53"/>
      <c r="E36" s="54"/>
      <c r="F36" s="55"/>
      <c r="G36" s="28"/>
      <c r="H36" s="56"/>
      <c r="I36" s="28"/>
    </row>
    <row r="37" spans="1:9" s="1" customFormat="1" ht="15.75" customHeight="1">
      <c r="A37" s="50"/>
      <c r="B37" s="57"/>
      <c r="C37" s="57"/>
      <c r="D37" s="53"/>
      <c r="E37" s="54"/>
      <c r="F37" s="55"/>
      <c r="G37" s="28"/>
      <c r="H37" s="56"/>
      <c r="I37" s="28"/>
    </row>
    <row r="38" spans="1:9" s="1" customFormat="1" ht="15.75" customHeight="1">
      <c r="A38" s="50"/>
      <c r="B38" s="57"/>
      <c r="C38" s="57"/>
      <c r="D38" s="53"/>
      <c r="E38" s="54"/>
      <c r="F38" s="55"/>
      <c r="G38" s="28"/>
      <c r="H38" s="56"/>
      <c r="I38" s="28"/>
    </row>
    <row r="39" spans="1:9" s="1" customFormat="1" ht="15.75" customHeight="1">
      <c r="A39" s="50"/>
      <c r="B39" s="57"/>
      <c r="C39" s="57"/>
      <c r="D39" s="53"/>
      <c r="E39" s="54"/>
      <c r="F39" s="55"/>
      <c r="G39" s="28"/>
      <c r="H39" s="56"/>
      <c r="I39" s="28"/>
    </row>
    <row r="40" spans="1:9" s="1" customFormat="1" ht="15.75" customHeight="1">
      <c r="A40" s="50"/>
      <c r="B40" s="57"/>
      <c r="C40" s="57"/>
      <c r="D40" s="53"/>
      <c r="E40" s="54"/>
      <c r="F40" s="55"/>
      <c r="G40" s="28"/>
      <c r="H40" s="56"/>
      <c r="I40" s="28"/>
    </row>
    <row r="41" spans="1:9" s="1" customFormat="1" ht="15.75" customHeight="1">
      <c r="A41" s="50"/>
      <c r="B41" s="57"/>
      <c r="C41" s="57"/>
      <c r="D41" s="53"/>
      <c r="E41" s="54"/>
      <c r="F41" s="55"/>
      <c r="G41" s="28"/>
      <c r="H41" s="56"/>
      <c r="I41" s="28"/>
    </row>
    <row r="42" spans="1:9" s="1" customFormat="1" ht="15.75" customHeight="1">
      <c r="A42" s="50"/>
      <c r="B42" s="57"/>
      <c r="C42" s="57"/>
      <c r="D42" s="53"/>
      <c r="E42" s="54"/>
      <c r="F42" s="55"/>
      <c r="G42" s="28"/>
      <c r="H42" s="56"/>
      <c r="I42" s="28"/>
    </row>
    <row r="43" spans="1:9" s="1" customFormat="1" ht="15.75" customHeight="1">
      <c r="A43" s="50"/>
      <c r="B43" s="57"/>
      <c r="C43" s="57"/>
      <c r="D43" s="53"/>
      <c r="E43" s="54"/>
      <c r="F43" s="55"/>
      <c r="G43" s="28"/>
      <c r="H43" s="56"/>
      <c r="I43" s="28"/>
    </row>
    <row r="44" spans="1:9" s="1" customFormat="1" ht="15.75" customHeight="1">
      <c r="A44" s="50"/>
      <c r="B44" s="57"/>
      <c r="C44" s="57"/>
      <c r="D44" s="53"/>
      <c r="E44" s="54"/>
      <c r="F44" s="55"/>
      <c r="G44" s="28"/>
      <c r="H44" s="56"/>
      <c r="I44" s="28"/>
    </row>
    <row r="45" spans="1:9" s="1" customFormat="1" ht="15.75" customHeight="1">
      <c r="A45" s="50"/>
      <c r="B45" s="57"/>
      <c r="C45" s="57"/>
      <c r="D45" s="53"/>
      <c r="E45" s="54"/>
      <c r="F45" s="55"/>
      <c r="G45" s="28"/>
      <c r="H45" s="56"/>
      <c r="I45" s="28"/>
    </row>
    <row r="46" spans="1:9" s="1" customFormat="1" ht="15.75" customHeight="1">
      <c r="A46" s="50"/>
      <c r="B46" s="57"/>
      <c r="C46" s="57"/>
      <c r="D46" s="53"/>
      <c r="E46" s="54"/>
      <c r="F46" s="55"/>
      <c r="G46" s="28"/>
      <c r="H46" s="56"/>
      <c r="I46" s="28"/>
    </row>
    <row r="47" spans="1:9" s="1" customFormat="1" ht="15.75" customHeight="1">
      <c r="A47" s="50"/>
      <c r="B47" s="57"/>
      <c r="C47" s="57"/>
      <c r="D47" s="53"/>
      <c r="E47" s="54"/>
      <c r="F47" s="55"/>
      <c r="G47" s="28"/>
      <c r="H47" s="56"/>
      <c r="I47" s="28"/>
    </row>
    <row r="48" spans="1:9" s="1" customFormat="1" ht="15.75" customHeight="1">
      <c r="A48" s="50"/>
      <c r="B48" s="57"/>
      <c r="C48" s="57"/>
      <c r="D48" s="53"/>
      <c r="E48" s="54"/>
      <c r="F48" s="55"/>
      <c r="G48" s="28"/>
      <c r="H48" s="56"/>
      <c r="I48" s="28"/>
    </row>
    <row r="49" spans="1:6" s="1" customFormat="1" ht="15.75" customHeight="1">
      <c r="A49" s="58"/>
      <c r="B49" s="59"/>
      <c r="C49" s="59"/>
      <c r="D49" s="60"/>
      <c r="E49" s="61"/>
      <c r="F49" s="62"/>
    </row>
    <row r="50" spans="1:6" s="1" customFormat="1" ht="12.75" customHeight="1">
      <c r="A50" s="63"/>
      <c r="B50" s="64"/>
      <c r="C50" s="64"/>
      <c r="D50" s="65"/>
      <c r="E50" s="66" t="s">
        <v>52</v>
      </c>
      <c r="F50" s="67">
        <f>SUM(F19:F49)</f>
        <v>296257.5</v>
      </c>
    </row>
    <row r="51" spans="1:6" s="1" customFormat="1" ht="25.5" customHeight="1">
      <c r="A51" s="70" t="s">
        <v>114</v>
      </c>
      <c r="B51" s="33"/>
      <c r="C51" s="33"/>
      <c r="D51" s="33"/>
      <c r="E51" s="33"/>
      <c r="F51" s="34"/>
    </row>
    <row r="52" spans="1:6" s="1" customFormat="1" ht="9.75" customHeight="1">
      <c r="A52" s="35"/>
      <c r="B52" s="36"/>
      <c r="C52" s="36"/>
      <c r="D52" s="69"/>
      <c r="E52" s="36"/>
      <c r="F52" s="37"/>
    </row>
    <row r="53" spans="1:6" s="1" customFormat="1" ht="12.75" customHeight="1">
      <c r="A53" s="70"/>
      <c r="B53" s="33"/>
      <c r="C53" s="33"/>
      <c r="D53" s="33"/>
      <c r="E53" s="33"/>
      <c r="F53" s="34"/>
    </row>
    <row r="54" spans="1:6" s="1" customFormat="1" ht="12.75" customHeight="1">
      <c r="A54" s="70" t="s">
        <v>54</v>
      </c>
      <c r="B54" s="33"/>
      <c r="C54" s="33"/>
      <c r="D54" s="33"/>
      <c r="E54" s="33"/>
      <c r="F54" s="34"/>
    </row>
    <row r="55" spans="1:6" s="1" customFormat="1" ht="12.75" customHeight="1">
      <c r="A55" s="70" t="s">
        <v>55</v>
      </c>
      <c r="B55" s="33"/>
      <c r="C55" s="33"/>
      <c r="D55" s="33"/>
      <c r="E55" s="33"/>
      <c r="F55" s="34"/>
    </row>
    <row r="56" spans="1:6" s="1" customFormat="1" ht="12.75" customHeight="1">
      <c r="A56" s="70"/>
      <c r="B56" s="33"/>
      <c r="C56" s="33"/>
      <c r="D56" s="33"/>
      <c r="E56" s="33"/>
      <c r="F56" s="34"/>
    </row>
    <row r="57" spans="1:6" s="1" customFormat="1" ht="12.75" customHeight="1">
      <c r="A57" s="70"/>
      <c r="B57" s="33"/>
      <c r="C57" s="33"/>
      <c r="D57" s="114" t="s">
        <v>56</v>
      </c>
      <c r="E57" s="114"/>
      <c r="F57" s="34"/>
    </row>
    <row r="58" spans="1:6" s="1" customFormat="1" ht="12.75" customHeight="1">
      <c r="A58" s="70"/>
      <c r="B58" s="33"/>
      <c r="C58" s="33"/>
      <c r="F58" s="71"/>
    </row>
    <row r="59" spans="1:6" s="1" customFormat="1" ht="12.75" customHeight="1">
      <c r="A59" s="70"/>
      <c r="B59" s="33"/>
      <c r="C59" s="33"/>
      <c r="D59" s="114" t="s">
        <v>57</v>
      </c>
      <c r="E59" s="114"/>
      <c r="F59" s="117"/>
    </row>
    <row r="60" spans="1:6" s="1" customFormat="1" ht="12.75" customHeight="1">
      <c r="A60" s="70"/>
      <c r="B60" s="33"/>
      <c r="C60" s="33"/>
      <c r="D60" s="33"/>
      <c r="E60" s="72" t="s">
        <v>58</v>
      </c>
      <c r="F60" s="34"/>
    </row>
    <row r="61" spans="1:6" s="1" customFormat="1" ht="12.75" customHeight="1">
      <c r="A61" s="73" t="s">
        <v>59</v>
      </c>
      <c r="B61" s="74"/>
      <c r="C61" s="74"/>
      <c r="D61" s="33"/>
      <c r="E61" s="3" t="s">
        <v>60</v>
      </c>
      <c r="F61" s="34"/>
    </row>
    <row r="62" spans="1:6" s="1" customFormat="1" ht="12.75" customHeight="1">
      <c r="A62" s="70" t="s">
        <v>61</v>
      </c>
      <c r="B62" s="33"/>
      <c r="C62" s="33"/>
      <c r="D62" s="33"/>
      <c r="E62" s="33"/>
      <c r="F62" s="34"/>
    </row>
    <row r="63" spans="1:6" s="1" customFormat="1" ht="12.75" customHeight="1">
      <c r="A63" s="70" t="s">
        <v>62</v>
      </c>
      <c r="B63" s="33"/>
      <c r="C63" s="33"/>
      <c r="D63" s="33"/>
      <c r="E63" s="33"/>
      <c r="F63" s="34"/>
    </row>
    <row r="64" spans="1:6" s="1" customFormat="1" ht="12.75" customHeight="1">
      <c r="A64" s="70"/>
      <c r="B64" s="33"/>
      <c r="C64" s="33"/>
      <c r="D64" s="33"/>
      <c r="E64" s="33"/>
      <c r="F64" s="34"/>
    </row>
    <row r="65" spans="1:6" s="1" customFormat="1" ht="12.75" customHeight="1">
      <c r="A65" s="70" t="s">
        <v>61</v>
      </c>
      <c r="B65" s="33"/>
      <c r="C65" s="33"/>
      <c r="D65" s="33"/>
      <c r="E65" s="33"/>
      <c r="F65" s="34"/>
    </row>
    <row r="66" spans="1:6" s="1" customFormat="1" ht="12.75" customHeight="1">
      <c r="A66" s="70" t="s">
        <v>63</v>
      </c>
      <c r="B66" s="33"/>
      <c r="C66" s="33"/>
      <c r="D66" s="33"/>
      <c r="E66" s="33"/>
      <c r="F66" s="34"/>
    </row>
    <row r="67" spans="1:6" s="1" customFormat="1" ht="12.75" customHeight="1">
      <c r="A67" s="70"/>
      <c r="B67" s="33"/>
      <c r="C67" s="33"/>
      <c r="D67" s="33"/>
      <c r="E67" s="33" t="s">
        <v>64</v>
      </c>
      <c r="F67" s="34"/>
    </row>
    <row r="68" spans="1:6" s="1" customFormat="1" ht="16.5" customHeight="1">
      <c r="A68" s="78" t="s">
        <v>65</v>
      </c>
      <c r="B68" s="30"/>
      <c r="C68" s="30"/>
      <c r="D68" s="79"/>
      <c r="E68" s="80"/>
      <c r="F68" s="31"/>
    </row>
    <row r="69" spans="1:6" s="1" customFormat="1" ht="12.75" customHeight="1">
      <c r="A69" s="70"/>
      <c r="B69" s="33"/>
      <c r="C69" s="33"/>
      <c r="D69" s="33"/>
      <c r="E69" s="33"/>
      <c r="F69" s="34"/>
    </row>
    <row r="70" spans="1:6" s="1" customFormat="1" ht="12.75" customHeight="1">
      <c r="A70" s="70" t="s">
        <v>66</v>
      </c>
      <c r="B70" s="33"/>
      <c r="C70" s="33"/>
      <c r="D70" s="81"/>
      <c r="E70" s="33"/>
      <c r="F70" s="34"/>
    </row>
    <row r="71" spans="1:6" s="1" customFormat="1" ht="12.75" customHeight="1">
      <c r="A71" s="70"/>
      <c r="B71" s="33"/>
      <c r="C71" s="33"/>
      <c r="D71" s="81"/>
      <c r="E71" s="33"/>
      <c r="F71" s="34"/>
    </row>
    <row r="72" spans="1:6" s="1" customFormat="1" ht="12.75" customHeight="1">
      <c r="A72" s="70" t="s">
        <v>67</v>
      </c>
      <c r="B72" s="33"/>
      <c r="C72" s="33"/>
      <c r="D72" s="81"/>
      <c r="E72" s="33" t="s">
        <v>68</v>
      </c>
      <c r="F72" s="34"/>
    </row>
    <row r="73" spans="1:6" s="1" customFormat="1" ht="18" customHeight="1">
      <c r="A73" s="70"/>
      <c r="B73" s="33"/>
      <c r="C73" s="33" t="s">
        <v>69</v>
      </c>
      <c r="D73" s="82"/>
      <c r="E73" s="33"/>
      <c r="F73" s="34"/>
    </row>
    <row r="74" spans="1:6" s="1" customFormat="1" ht="12.75" customHeight="1">
      <c r="A74" s="24"/>
      <c r="B74" s="25"/>
      <c r="C74" s="25"/>
      <c r="D74" s="83"/>
      <c r="E74" s="25"/>
      <c r="F74" s="84"/>
    </row>
  </sheetData>
  <mergeCells count="6">
    <mergeCell ref="D59:F59"/>
    <mergeCell ref="A5:F5"/>
    <mergeCell ref="A6:F6"/>
    <mergeCell ref="C15:D15"/>
    <mergeCell ref="C16:D16"/>
    <mergeCell ref="D57:E57"/>
  </mergeCells>
  <printOptions horizontalCentered="1"/>
  <pageMargins left="0.35433070866141703" right="0.118110236220472" top="0.196850393700787" bottom="0.196850393700787" header="0" footer="0.118110236220472"/>
  <pageSetup paperSize="5" scale="85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J74"/>
  <sheetViews>
    <sheetView workbookViewId="0">
      <selection activeCell="C36" sqref="C36"/>
    </sheetView>
  </sheetViews>
  <sheetFormatPr defaultColWidth="9.140625" defaultRowHeight="12.75"/>
  <cols>
    <col min="1" max="1" width="8.5703125" style="2" customWidth="1"/>
    <col min="2" max="2" width="9.140625" style="2"/>
    <col min="3" max="3" width="10.5703125" style="2" customWidth="1"/>
    <col min="4" max="4" width="42.5703125" style="2" customWidth="1"/>
    <col min="5" max="5" width="15.42578125" style="2" customWidth="1"/>
    <col min="6" max="6" width="22.28515625" style="2" customWidth="1"/>
    <col min="7" max="7" width="9.140625" style="2"/>
    <col min="8" max="8" width="10.5703125" style="2" customWidth="1"/>
    <col min="9" max="9" width="9.140625" style="2"/>
    <col min="10" max="10" width="10.7109375" style="2" customWidth="1"/>
    <col min="11" max="16384" width="9.140625" style="2"/>
  </cols>
  <sheetData>
    <row r="1" spans="1:10" s="1" customFormat="1" ht="12.75" customHeight="1"/>
    <row r="2" spans="1:10" s="1" customFormat="1" ht="12.75" customHeight="1"/>
    <row r="3" spans="1:10" s="1" customFormat="1" ht="12.75" customHeight="1"/>
    <row r="4" spans="1:10" s="1" customFormat="1" ht="12.75" customHeight="1"/>
    <row r="5" spans="1:10" s="1" customFormat="1" ht="21" customHeight="1">
      <c r="A5" s="113" t="s">
        <v>0</v>
      </c>
      <c r="B5" s="113"/>
      <c r="C5" s="113"/>
      <c r="D5" s="113"/>
      <c r="E5" s="113"/>
      <c r="F5" s="113"/>
    </row>
    <row r="6" spans="1:10" s="1" customFormat="1" ht="12.75" customHeight="1">
      <c r="A6" s="114" t="s">
        <v>1</v>
      </c>
      <c r="B6" s="114"/>
      <c r="C6" s="114"/>
      <c r="D6" s="114"/>
      <c r="E6" s="114"/>
      <c r="F6" s="114"/>
    </row>
    <row r="7" spans="1:10" s="1" customFormat="1" ht="15.75" customHeight="1">
      <c r="A7" s="4" t="s">
        <v>2</v>
      </c>
      <c r="B7" s="5"/>
      <c r="C7" s="6" t="s">
        <v>115</v>
      </c>
      <c r="D7" s="7"/>
      <c r="E7" s="8" t="s">
        <v>4</v>
      </c>
      <c r="F7" s="9" t="s">
        <v>116</v>
      </c>
      <c r="J7" s="75"/>
    </row>
    <row r="8" spans="1:10" s="1" customFormat="1" ht="15.75" customHeight="1">
      <c r="A8" s="10"/>
      <c r="E8" s="11" t="s">
        <v>6</v>
      </c>
      <c r="F8" s="111" t="s">
        <v>117</v>
      </c>
      <c r="J8" s="76"/>
    </row>
    <row r="9" spans="1:10" s="1" customFormat="1" ht="15.75" customHeight="1">
      <c r="A9" s="14" t="s">
        <v>8</v>
      </c>
      <c r="B9" s="15"/>
      <c r="C9" s="16" t="s">
        <v>118</v>
      </c>
      <c r="D9" s="17"/>
      <c r="E9" s="18" t="s">
        <v>10</v>
      </c>
      <c r="F9" s="19" t="s">
        <v>11</v>
      </c>
      <c r="G9" s="20"/>
    </row>
    <row r="10" spans="1:10" s="1" customFormat="1" ht="15.75" customHeight="1">
      <c r="A10" s="21"/>
      <c r="B10" s="22"/>
      <c r="C10" s="22"/>
      <c r="D10" s="17"/>
      <c r="E10" s="11" t="s">
        <v>12</v>
      </c>
      <c r="F10" s="23" t="s">
        <v>119</v>
      </c>
    </row>
    <row r="11" spans="1:10" s="1" customFormat="1" ht="4.5" customHeight="1">
      <c r="A11" s="24"/>
      <c r="B11" s="25"/>
      <c r="C11" s="25"/>
      <c r="D11" s="25"/>
      <c r="E11" s="25"/>
      <c r="F11" s="26"/>
      <c r="G11" s="27"/>
      <c r="H11" s="28"/>
      <c r="I11" s="28"/>
    </row>
    <row r="12" spans="1:10" s="1" customFormat="1" ht="12.75" customHeight="1">
      <c r="A12" s="29" t="s">
        <v>14</v>
      </c>
      <c r="B12" s="8"/>
      <c r="C12" s="30"/>
      <c r="D12" s="30"/>
      <c r="E12" s="30"/>
      <c r="F12" s="31"/>
      <c r="G12" s="28"/>
      <c r="H12" s="28"/>
      <c r="I12" s="28"/>
    </row>
    <row r="13" spans="1:10" s="1" customFormat="1" ht="15.75" customHeight="1">
      <c r="A13" s="32"/>
      <c r="B13" s="11" t="s">
        <v>15</v>
      </c>
      <c r="C13" s="33"/>
      <c r="D13" s="33"/>
      <c r="E13" s="33"/>
      <c r="F13" s="34"/>
      <c r="G13" s="28"/>
      <c r="H13" s="28"/>
      <c r="I13" s="28"/>
    </row>
    <row r="14" spans="1:10" s="1" customFormat="1" ht="4.5" customHeight="1">
      <c r="A14" s="35"/>
      <c r="B14" s="36"/>
      <c r="C14" s="36"/>
      <c r="D14" s="36"/>
      <c r="E14" s="36"/>
      <c r="F14" s="37"/>
      <c r="G14" s="28"/>
      <c r="H14" s="28"/>
      <c r="I14" s="28"/>
    </row>
    <row r="15" spans="1:10" s="1" customFormat="1" ht="31.5" customHeight="1">
      <c r="A15" s="38" t="s">
        <v>16</v>
      </c>
      <c r="B15" s="39"/>
      <c r="C15" s="115" t="s">
        <v>17</v>
      </c>
      <c r="D15" s="115"/>
      <c r="E15" s="40" t="s">
        <v>18</v>
      </c>
      <c r="F15" s="41" t="s">
        <v>19</v>
      </c>
      <c r="G15" s="28"/>
      <c r="H15" s="28"/>
      <c r="I15" s="28"/>
    </row>
    <row r="16" spans="1:10" s="1" customFormat="1" ht="23.1" customHeight="1">
      <c r="A16" s="38" t="s">
        <v>20</v>
      </c>
      <c r="B16" s="39"/>
      <c r="C16" s="116" t="s">
        <v>21</v>
      </c>
      <c r="D16" s="116"/>
      <c r="E16" s="40" t="s">
        <v>22</v>
      </c>
      <c r="F16" s="42" t="s">
        <v>23</v>
      </c>
      <c r="G16" s="28"/>
      <c r="H16" s="28"/>
      <c r="I16" s="28"/>
    </row>
    <row r="17" spans="1:9" s="1" customFormat="1" ht="6.75" customHeight="1">
      <c r="A17" s="43"/>
      <c r="B17" s="44"/>
      <c r="C17" s="44"/>
      <c r="D17" s="44"/>
      <c r="E17" s="45"/>
      <c r="F17" s="46"/>
      <c r="G17" s="28"/>
      <c r="H17" s="28"/>
      <c r="I17" s="28"/>
    </row>
    <row r="18" spans="1:9" s="1" customFormat="1" ht="26.25" customHeight="1">
      <c r="A18" s="47" t="s">
        <v>24</v>
      </c>
      <c r="B18" s="48" t="s">
        <v>25</v>
      </c>
      <c r="C18" s="48" t="s">
        <v>26</v>
      </c>
      <c r="D18" s="48" t="s">
        <v>27</v>
      </c>
      <c r="E18" s="48" t="s">
        <v>28</v>
      </c>
      <c r="F18" s="49" t="s">
        <v>29</v>
      </c>
      <c r="G18" s="28"/>
      <c r="H18" s="28"/>
      <c r="I18" s="77"/>
    </row>
    <row r="19" spans="1:9" s="1" customFormat="1" ht="18" customHeight="1">
      <c r="A19" s="50">
        <v>1</v>
      </c>
      <c r="B19" s="51" t="s">
        <v>32</v>
      </c>
      <c r="C19" s="57">
        <v>10</v>
      </c>
      <c r="D19" s="53" t="s">
        <v>120</v>
      </c>
      <c r="E19" s="54">
        <v>89.5</v>
      </c>
      <c r="F19" s="55">
        <f>C19*E19</f>
        <v>895</v>
      </c>
      <c r="G19" s="28"/>
      <c r="H19" s="56"/>
      <c r="I19" s="28"/>
    </row>
    <row r="20" spans="1:9" s="1" customFormat="1" ht="15.75" customHeight="1">
      <c r="A20" s="50">
        <v>2</v>
      </c>
      <c r="B20" s="57" t="s">
        <v>32</v>
      </c>
      <c r="C20" s="57">
        <v>10</v>
      </c>
      <c r="D20" s="53" t="s">
        <v>121</v>
      </c>
      <c r="E20" s="54">
        <v>109.5</v>
      </c>
      <c r="F20" s="55">
        <f t="shared" ref="F20:F38" si="0">C20*E20</f>
        <v>1095</v>
      </c>
      <c r="G20" s="28"/>
      <c r="H20" s="56"/>
      <c r="I20" s="28"/>
    </row>
    <row r="21" spans="1:9" s="1" customFormat="1" ht="15.75" customHeight="1">
      <c r="A21" s="50">
        <v>3</v>
      </c>
      <c r="B21" s="57" t="s">
        <v>32</v>
      </c>
      <c r="C21" s="57">
        <v>50</v>
      </c>
      <c r="D21" s="53" t="s">
        <v>122</v>
      </c>
      <c r="E21" s="54">
        <v>279.75</v>
      </c>
      <c r="F21" s="55">
        <f t="shared" si="0"/>
        <v>13987.5</v>
      </c>
      <c r="G21" s="28"/>
      <c r="H21" s="56"/>
      <c r="I21" s="28"/>
    </row>
    <row r="22" spans="1:9" s="1" customFormat="1" ht="15.75" customHeight="1">
      <c r="A22" s="50">
        <v>4</v>
      </c>
      <c r="B22" s="57" t="s">
        <v>32</v>
      </c>
      <c r="C22" s="57">
        <v>25</v>
      </c>
      <c r="D22" s="53" t="s">
        <v>123</v>
      </c>
      <c r="E22" s="54">
        <v>97.75</v>
      </c>
      <c r="F22" s="55">
        <f t="shared" si="0"/>
        <v>2443.75</v>
      </c>
      <c r="G22" s="28"/>
      <c r="H22" s="56"/>
      <c r="I22" s="28"/>
    </row>
    <row r="23" spans="1:9" s="1" customFormat="1" ht="15.75" customHeight="1">
      <c r="A23" s="50">
        <v>5</v>
      </c>
      <c r="B23" s="57" t="s">
        <v>107</v>
      </c>
      <c r="C23" s="57">
        <v>50</v>
      </c>
      <c r="D23" s="53" t="s">
        <v>124</v>
      </c>
      <c r="E23" s="54">
        <v>52.75</v>
      </c>
      <c r="F23" s="55">
        <f t="shared" si="0"/>
        <v>2637.5</v>
      </c>
      <c r="G23" s="28"/>
      <c r="H23" s="56"/>
      <c r="I23" s="28"/>
    </row>
    <row r="24" spans="1:9" s="1" customFormat="1" ht="15.75" customHeight="1">
      <c r="A24" s="50">
        <v>6</v>
      </c>
      <c r="B24" s="57" t="s">
        <v>107</v>
      </c>
      <c r="C24" s="57">
        <v>50</v>
      </c>
      <c r="D24" s="53" t="s">
        <v>125</v>
      </c>
      <c r="E24" s="54">
        <v>136.75</v>
      </c>
      <c r="F24" s="55">
        <f t="shared" si="0"/>
        <v>6837.5</v>
      </c>
      <c r="G24" s="28"/>
      <c r="H24" s="56"/>
      <c r="I24" s="28"/>
    </row>
    <row r="25" spans="1:9" s="1" customFormat="1" ht="15.75" customHeight="1">
      <c r="A25" s="50">
        <v>7</v>
      </c>
      <c r="B25" s="57" t="s">
        <v>107</v>
      </c>
      <c r="C25" s="57">
        <v>25</v>
      </c>
      <c r="D25" s="53" t="s">
        <v>126</v>
      </c>
      <c r="E25" s="54">
        <v>361.75</v>
      </c>
      <c r="F25" s="55">
        <f t="shared" si="0"/>
        <v>9043.75</v>
      </c>
      <c r="G25" s="28"/>
      <c r="H25" s="56"/>
      <c r="I25" s="28"/>
    </row>
    <row r="26" spans="1:9" s="1" customFormat="1" ht="15.75" customHeight="1">
      <c r="A26" s="50">
        <v>8</v>
      </c>
      <c r="B26" s="57" t="s">
        <v>39</v>
      </c>
      <c r="C26" s="57">
        <v>5</v>
      </c>
      <c r="D26" s="53" t="s">
        <v>127</v>
      </c>
      <c r="E26" s="54">
        <v>5169</v>
      </c>
      <c r="F26" s="55">
        <f t="shared" si="0"/>
        <v>25845</v>
      </c>
      <c r="G26" s="28"/>
      <c r="H26" s="56"/>
      <c r="I26" s="28"/>
    </row>
    <row r="27" spans="1:9" s="1" customFormat="1" ht="15.75" customHeight="1">
      <c r="A27" s="50">
        <v>9</v>
      </c>
      <c r="B27" s="57" t="s">
        <v>39</v>
      </c>
      <c r="C27" s="57">
        <v>5</v>
      </c>
      <c r="D27" s="53" t="s">
        <v>128</v>
      </c>
      <c r="E27" s="54">
        <v>3439</v>
      </c>
      <c r="F27" s="55">
        <f t="shared" si="0"/>
        <v>17195</v>
      </c>
      <c r="G27" s="28"/>
      <c r="H27" s="56"/>
      <c r="I27" s="28"/>
    </row>
    <row r="28" spans="1:9" s="1" customFormat="1" ht="15.75" customHeight="1">
      <c r="A28" s="50">
        <v>10</v>
      </c>
      <c r="B28" s="57" t="s">
        <v>32</v>
      </c>
      <c r="C28" s="57">
        <v>10</v>
      </c>
      <c r="D28" s="53" t="s">
        <v>129</v>
      </c>
      <c r="E28" s="54">
        <v>539</v>
      </c>
      <c r="F28" s="55">
        <f t="shared" si="0"/>
        <v>5390</v>
      </c>
      <c r="G28" s="28"/>
      <c r="H28" s="56"/>
      <c r="I28" s="28"/>
    </row>
    <row r="29" spans="1:9" s="1" customFormat="1" ht="15.75" customHeight="1">
      <c r="A29" s="50">
        <v>11</v>
      </c>
      <c r="B29" s="57" t="s">
        <v>130</v>
      </c>
      <c r="C29" s="57">
        <v>5</v>
      </c>
      <c r="D29" s="53" t="s">
        <v>131</v>
      </c>
      <c r="E29" s="54">
        <v>8124</v>
      </c>
      <c r="F29" s="55">
        <f t="shared" si="0"/>
        <v>40620</v>
      </c>
      <c r="G29" s="28"/>
      <c r="H29" s="56"/>
      <c r="I29" s="28"/>
    </row>
    <row r="30" spans="1:9" s="1" customFormat="1" ht="15.75" customHeight="1">
      <c r="A30" s="50">
        <v>12</v>
      </c>
      <c r="B30" s="57" t="s">
        <v>130</v>
      </c>
      <c r="C30" s="57">
        <v>5</v>
      </c>
      <c r="D30" s="53" t="s">
        <v>132</v>
      </c>
      <c r="E30" s="54">
        <v>4999</v>
      </c>
      <c r="F30" s="55">
        <f t="shared" si="0"/>
        <v>24995</v>
      </c>
      <c r="G30" s="28"/>
      <c r="H30" s="56"/>
      <c r="I30" s="28"/>
    </row>
    <row r="31" spans="1:9" s="1" customFormat="1" ht="15.75" customHeight="1">
      <c r="A31" s="50">
        <v>13</v>
      </c>
      <c r="B31" s="57" t="s">
        <v>133</v>
      </c>
      <c r="C31" s="57">
        <v>10</v>
      </c>
      <c r="D31" s="53" t="s">
        <v>134</v>
      </c>
      <c r="E31" s="54">
        <v>4869</v>
      </c>
      <c r="F31" s="55">
        <f t="shared" si="0"/>
        <v>48690</v>
      </c>
      <c r="G31" s="28"/>
      <c r="H31" s="56"/>
      <c r="I31" s="28"/>
    </row>
    <row r="32" spans="1:9" s="1" customFormat="1" ht="15.75" customHeight="1">
      <c r="A32" s="50">
        <v>14</v>
      </c>
      <c r="B32" s="57" t="s">
        <v>133</v>
      </c>
      <c r="C32" s="57">
        <v>10</v>
      </c>
      <c r="D32" s="53" t="s">
        <v>135</v>
      </c>
      <c r="E32" s="54">
        <v>2279</v>
      </c>
      <c r="F32" s="55">
        <f t="shared" si="0"/>
        <v>22790</v>
      </c>
      <c r="G32" s="28"/>
      <c r="H32" s="56"/>
      <c r="I32" s="28"/>
    </row>
    <row r="33" spans="1:9" s="1" customFormat="1" ht="15.75" customHeight="1">
      <c r="A33" s="50">
        <v>15</v>
      </c>
      <c r="B33" s="57" t="s">
        <v>133</v>
      </c>
      <c r="C33" s="57">
        <v>3</v>
      </c>
      <c r="D33" s="53" t="s">
        <v>136</v>
      </c>
      <c r="E33" s="54">
        <v>2979</v>
      </c>
      <c r="F33" s="55">
        <f t="shared" si="0"/>
        <v>8937</v>
      </c>
      <c r="G33" s="28"/>
      <c r="H33" s="56"/>
      <c r="I33" s="28"/>
    </row>
    <row r="34" spans="1:9" s="1" customFormat="1" ht="15.75" customHeight="1">
      <c r="A34" s="50">
        <v>16</v>
      </c>
      <c r="B34" s="57" t="s">
        <v>32</v>
      </c>
      <c r="C34" s="57">
        <v>50</v>
      </c>
      <c r="D34" s="53" t="s">
        <v>137</v>
      </c>
      <c r="E34" s="54">
        <v>59.75</v>
      </c>
      <c r="F34" s="55">
        <f t="shared" si="0"/>
        <v>2987.5</v>
      </c>
      <c r="G34" s="28"/>
      <c r="H34" s="56"/>
      <c r="I34" s="28"/>
    </row>
    <row r="35" spans="1:9" s="1" customFormat="1" ht="15.75" customHeight="1">
      <c r="A35" s="50">
        <v>17</v>
      </c>
      <c r="B35" s="57" t="s">
        <v>138</v>
      </c>
      <c r="C35" s="57">
        <v>6</v>
      </c>
      <c r="D35" s="53" t="s">
        <v>139</v>
      </c>
      <c r="E35" s="54">
        <v>54</v>
      </c>
      <c r="F35" s="55">
        <f t="shared" si="0"/>
        <v>324</v>
      </c>
      <c r="G35" s="28"/>
      <c r="H35" s="56"/>
      <c r="I35" s="28"/>
    </row>
    <row r="36" spans="1:9" s="1" customFormat="1" ht="15.75" customHeight="1">
      <c r="A36" s="50">
        <v>18</v>
      </c>
      <c r="B36" s="57" t="s">
        <v>133</v>
      </c>
      <c r="C36" s="57">
        <v>11</v>
      </c>
      <c r="D36" s="53" t="s">
        <v>140</v>
      </c>
      <c r="E36" s="54">
        <v>169</v>
      </c>
      <c r="F36" s="55">
        <f t="shared" si="0"/>
        <v>1859</v>
      </c>
      <c r="G36" s="28"/>
      <c r="H36" s="56"/>
      <c r="I36" s="28"/>
    </row>
    <row r="37" spans="1:9" s="1" customFormat="1" ht="15.75" customHeight="1">
      <c r="A37" s="50">
        <v>19</v>
      </c>
      <c r="B37" s="57" t="s">
        <v>133</v>
      </c>
      <c r="C37" s="57">
        <v>12</v>
      </c>
      <c r="D37" s="53" t="s">
        <v>141</v>
      </c>
      <c r="E37" s="54">
        <v>226</v>
      </c>
      <c r="F37" s="55">
        <f t="shared" si="0"/>
        <v>2712</v>
      </c>
      <c r="G37" s="28"/>
      <c r="H37" s="56"/>
      <c r="I37" s="28"/>
    </row>
    <row r="38" spans="1:9" s="1" customFormat="1" ht="15.75" customHeight="1">
      <c r="A38" s="50">
        <v>20</v>
      </c>
      <c r="B38" s="57" t="s">
        <v>133</v>
      </c>
      <c r="C38" s="57">
        <v>45</v>
      </c>
      <c r="D38" s="53" t="s">
        <v>142</v>
      </c>
      <c r="E38" s="54">
        <v>454.75</v>
      </c>
      <c r="F38" s="55">
        <f t="shared" si="0"/>
        <v>20463.75</v>
      </c>
      <c r="G38" s="28"/>
      <c r="H38" s="56"/>
      <c r="I38" s="28"/>
    </row>
    <row r="39" spans="1:9" s="1" customFormat="1" ht="15.75" customHeight="1">
      <c r="A39" s="50"/>
      <c r="B39" s="57"/>
      <c r="C39" s="57"/>
      <c r="D39" s="53"/>
      <c r="E39" s="54"/>
      <c r="F39" s="55"/>
      <c r="G39" s="28"/>
      <c r="H39" s="56"/>
      <c r="I39" s="28"/>
    </row>
    <row r="40" spans="1:9" s="1" customFormat="1" ht="15.75" customHeight="1">
      <c r="A40" s="50"/>
      <c r="B40" s="57"/>
      <c r="C40" s="57"/>
      <c r="D40" s="53"/>
      <c r="E40" s="54"/>
      <c r="F40" s="55"/>
      <c r="G40" s="28"/>
      <c r="H40" s="56"/>
      <c r="I40" s="28"/>
    </row>
    <row r="41" spans="1:9" s="1" customFormat="1" ht="15.75" customHeight="1">
      <c r="A41" s="50"/>
      <c r="B41" s="57"/>
      <c r="C41" s="57"/>
      <c r="D41" s="53"/>
      <c r="E41" s="54"/>
      <c r="F41" s="55"/>
      <c r="G41" s="28"/>
      <c r="H41" s="56"/>
      <c r="I41" s="28"/>
    </row>
    <row r="42" spans="1:9" s="1" customFormat="1" ht="15.75" customHeight="1">
      <c r="A42" s="50"/>
      <c r="B42" s="57"/>
      <c r="C42" s="57"/>
      <c r="D42" s="53"/>
      <c r="E42" s="54"/>
      <c r="F42" s="55"/>
      <c r="G42" s="28"/>
      <c r="H42" s="56"/>
      <c r="I42" s="28"/>
    </row>
    <row r="43" spans="1:9" s="1" customFormat="1" ht="15.75" customHeight="1">
      <c r="A43" s="50"/>
      <c r="B43" s="57"/>
      <c r="C43" s="57"/>
      <c r="D43" s="53"/>
      <c r="E43" s="54"/>
      <c r="F43" s="55"/>
      <c r="G43" s="28"/>
      <c r="H43" s="56"/>
      <c r="I43" s="28"/>
    </row>
    <row r="44" spans="1:9" s="1" customFormat="1" ht="15.75" customHeight="1">
      <c r="A44" s="50"/>
      <c r="B44" s="57"/>
      <c r="C44" s="57"/>
      <c r="D44" s="53"/>
      <c r="E44" s="54"/>
      <c r="F44" s="55"/>
      <c r="G44" s="28"/>
      <c r="H44" s="56"/>
      <c r="I44" s="28"/>
    </row>
    <row r="45" spans="1:9" s="1" customFormat="1" ht="15.75" customHeight="1">
      <c r="A45" s="50"/>
      <c r="B45" s="57"/>
      <c r="C45" s="57"/>
      <c r="D45" s="53"/>
      <c r="E45" s="54"/>
      <c r="F45" s="55"/>
      <c r="G45" s="28"/>
      <c r="H45" s="56"/>
      <c r="I45" s="28"/>
    </row>
    <row r="46" spans="1:9" s="1" customFormat="1" ht="15.75" customHeight="1">
      <c r="A46" s="50"/>
      <c r="B46" s="57"/>
      <c r="C46" s="57"/>
      <c r="D46" s="53"/>
      <c r="E46" s="54"/>
      <c r="F46" s="55"/>
      <c r="G46" s="28"/>
      <c r="H46" s="56"/>
      <c r="I46" s="28"/>
    </row>
    <row r="47" spans="1:9" s="1" customFormat="1" ht="15.75" customHeight="1">
      <c r="A47" s="50"/>
      <c r="B47" s="57"/>
      <c r="C47" s="57"/>
      <c r="D47" s="53"/>
      <c r="E47" s="54"/>
      <c r="F47" s="55"/>
      <c r="G47" s="28"/>
      <c r="H47" s="56"/>
      <c r="I47" s="28"/>
    </row>
    <row r="48" spans="1:9" s="1" customFormat="1" ht="15.75" customHeight="1">
      <c r="A48" s="50"/>
      <c r="B48" s="57"/>
      <c r="C48" s="57"/>
      <c r="D48" s="53"/>
      <c r="E48" s="54"/>
      <c r="F48" s="55"/>
      <c r="G48" s="28"/>
      <c r="H48" s="56"/>
      <c r="I48" s="28"/>
    </row>
    <row r="49" spans="1:6" s="1" customFormat="1" ht="15.75" customHeight="1">
      <c r="A49" s="58"/>
      <c r="B49" s="59"/>
      <c r="C49" s="59"/>
      <c r="D49" s="60"/>
      <c r="E49" s="61"/>
      <c r="F49" s="62"/>
    </row>
    <row r="50" spans="1:6" s="1" customFormat="1" ht="12.75" customHeight="1">
      <c r="A50" s="63"/>
      <c r="B50" s="64"/>
      <c r="C50" s="64"/>
      <c r="D50" s="65"/>
      <c r="E50" s="66" t="s">
        <v>52</v>
      </c>
      <c r="F50" s="67">
        <f>SUM(F19:F49)</f>
        <v>259748.25</v>
      </c>
    </row>
    <row r="51" spans="1:6" s="1" customFormat="1" ht="25.5" customHeight="1">
      <c r="A51" s="70" t="s">
        <v>143</v>
      </c>
      <c r="B51" s="33"/>
      <c r="C51" s="33"/>
      <c r="D51" s="33"/>
      <c r="E51" s="33"/>
      <c r="F51" s="34"/>
    </row>
    <row r="52" spans="1:6" s="1" customFormat="1" ht="9.75" customHeight="1">
      <c r="A52" s="35"/>
      <c r="B52" s="36"/>
      <c r="C52" s="36"/>
      <c r="D52" s="69"/>
      <c r="E52" s="36"/>
      <c r="F52" s="37"/>
    </row>
    <row r="53" spans="1:6" s="1" customFormat="1" ht="12.75" customHeight="1">
      <c r="A53" s="70"/>
      <c r="B53" s="33"/>
      <c r="C53" s="33"/>
      <c r="D53" s="33"/>
      <c r="E53" s="33"/>
      <c r="F53" s="34"/>
    </row>
    <row r="54" spans="1:6" s="1" customFormat="1" ht="12.75" customHeight="1">
      <c r="A54" s="70" t="s">
        <v>54</v>
      </c>
      <c r="B54" s="33"/>
      <c r="C54" s="33"/>
      <c r="D54" s="33"/>
      <c r="E54" s="33"/>
      <c r="F54" s="34"/>
    </row>
    <row r="55" spans="1:6" s="1" customFormat="1" ht="12.75" customHeight="1">
      <c r="A55" s="70" t="s">
        <v>55</v>
      </c>
      <c r="B55" s="33"/>
      <c r="C55" s="33"/>
      <c r="D55" s="33"/>
      <c r="E55" s="33"/>
      <c r="F55" s="34"/>
    </row>
    <row r="56" spans="1:6" s="1" customFormat="1" ht="12.75" customHeight="1">
      <c r="A56" s="70"/>
      <c r="B56" s="33"/>
      <c r="C56" s="33"/>
      <c r="D56" s="33"/>
      <c r="E56" s="33"/>
      <c r="F56" s="34"/>
    </row>
    <row r="57" spans="1:6" s="1" customFormat="1" ht="12.75" customHeight="1">
      <c r="A57" s="70"/>
      <c r="B57" s="33"/>
      <c r="C57" s="33"/>
      <c r="D57" s="114" t="s">
        <v>56</v>
      </c>
      <c r="E57" s="114"/>
      <c r="F57" s="34"/>
    </row>
    <row r="58" spans="1:6" s="1" customFormat="1" ht="12.75" customHeight="1">
      <c r="A58" s="70"/>
      <c r="B58" s="33"/>
      <c r="C58" s="33"/>
      <c r="F58" s="71"/>
    </row>
    <row r="59" spans="1:6" s="1" customFormat="1" ht="12.75" customHeight="1">
      <c r="A59" s="70"/>
      <c r="B59" s="33"/>
      <c r="C59" s="33"/>
      <c r="D59" s="114" t="s">
        <v>57</v>
      </c>
      <c r="E59" s="114"/>
      <c r="F59" s="117"/>
    </row>
    <row r="60" spans="1:6" s="1" customFormat="1" ht="12.75" customHeight="1">
      <c r="A60" s="70"/>
      <c r="B60" s="33"/>
      <c r="C60" s="33"/>
      <c r="D60" s="33"/>
      <c r="E60" s="72" t="s">
        <v>58</v>
      </c>
      <c r="F60" s="34"/>
    </row>
    <row r="61" spans="1:6" s="1" customFormat="1" ht="12.75" customHeight="1">
      <c r="A61" s="73" t="s">
        <v>59</v>
      </c>
      <c r="B61" s="74"/>
      <c r="C61" s="74"/>
      <c r="D61" s="33"/>
      <c r="E61" s="3" t="s">
        <v>60</v>
      </c>
      <c r="F61" s="34"/>
    </row>
    <row r="62" spans="1:6" s="1" customFormat="1" ht="12.75" customHeight="1">
      <c r="A62" s="70" t="s">
        <v>61</v>
      </c>
      <c r="B62" s="33"/>
      <c r="C62" s="33"/>
      <c r="D62" s="33"/>
      <c r="E62" s="33"/>
      <c r="F62" s="34"/>
    </row>
    <row r="63" spans="1:6" s="1" customFormat="1" ht="12.75" customHeight="1">
      <c r="A63" s="70" t="s">
        <v>62</v>
      </c>
      <c r="B63" s="33"/>
      <c r="C63" s="33"/>
      <c r="D63" s="33"/>
      <c r="E63" s="33"/>
      <c r="F63" s="34"/>
    </row>
    <row r="64" spans="1:6" s="1" customFormat="1" ht="12.75" customHeight="1">
      <c r="A64" s="70"/>
      <c r="B64" s="33"/>
      <c r="C64" s="33"/>
      <c r="D64" s="33"/>
      <c r="E64" s="33"/>
      <c r="F64" s="34"/>
    </row>
    <row r="65" spans="1:6" s="1" customFormat="1" ht="12.75" customHeight="1">
      <c r="A65" s="70" t="s">
        <v>61</v>
      </c>
      <c r="B65" s="33"/>
      <c r="C65" s="33"/>
      <c r="D65" s="33"/>
      <c r="E65" s="33"/>
      <c r="F65" s="34"/>
    </row>
    <row r="66" spans="1:6" s="1" customFormat="1" ht="12.75" customHeight="1">
      <c r="A66" s="70" t="s">
        <v>63</v>
      </c>
      <c r="B66" s="33"/>
      <c r="C66" s="33"/>
      <c r="D66" s="33"/>
      <c r="E66" s="33"/>
      <c r="F66" s="34"/>
    </row>
    <row r="67" spans="1:6" s="1" customFormat="1" ht="12.75" customHeight="1">
      <c r="A67" s="70"/>
      <c r="B67" s="33"/>
      <c r="C67" s="33"/>
      <c r="D67" s="33"/>
      <c r="E67" s="33" t="s">
        <v>64</v>
      </c>
      <c r="F67" s="34"/>
    </row>
    <row r="68" spans="1:6" s="1" customFormat="1" ht="16.5" customHeight="1">
      <c r="A68" s="78" t="s">
        <v>65</v>
      </c>
      <c r="B68" s="30"/>
      <c r="C68" s="30"/>
      <c r="D68" s="79"/>
      <c r="E68" s="80"/>
      <c r="F68" s="31"/>
    </row>
    <row r="69" spans="1:6" s="1" customFormat="1" ht="12.75" customHeight="1">
      <c r="A69" s="70"/>
      <c r="B69" s="33"/>
      <c r="C69" s="33"/>
      <c r="D69" s="33"/>
      <c r="E69" s="33"/>
      <c r="F69" s="34"/>
    </row>
    <row r="70" spans="1:6" s="1" customFormat="1" ht="12.75" customHeight="1">
      <c r="A70" s="70" t="s">
        <v>66</v>
      </c>
      <c r="B70" s="33"/>
      <c r="C70" s="33"/>
      <c r="D70" s="81"/>
      <c r="E70" s="33"/>
      <c r="F70" s="34"/>
    </row>
    <row r="71" spans="1:6" s="1" customFormat="1" ht="12.75" customHeight="1">
      <c r="A71" s="70"/>
      <c r="B71" s="33"/>
      <c r="C71" s="33"/>
      <c r="D71" s="81"/>
      <c r="E71" s="33"/>
      <c r="F71" s="34"/>
    </row>
    <row r="72" spans="1:6" s="1" customFormat="1" ht="12.75" customHeight="1">
      <c r="A72" s="70" t="s">
        <v>67</v>
      </c>
      <c r="B72" s="33"/>
      <c r="C72" s="33"/>
      <c r="D72" s="81"/>
      <c r="E72" s="33" t="s">
        <v>68</v>
      </c>
      <c r="F72" s="34"/>
    </row>
    <row r="73" spans="1:6" s="1" customFormat="1" ht="18" customHeight="1">
      <c r="A73" s="70"/>
      <c r="B73" s="33"/>
      <c r="C73" s="33" t="s">
        <v>69</v>
      </c>
      <c r="D73" s="82"/>
      <c r="E73" s="33"/>
      <c r="F73" s="34"/>
    </row>
    <row r="74" spans="1:6" s="1" customFormat="1" ht="12.75" customHeight="1">
      <c r="A74" s="24"/>
      <c r="B74" s="25"/>
      <c r="C74" s="25"/>
      <c r="D74" s="83"/>
      <c r="E74" s="25"/>
      <c r="F74" s="84"/>
    </row>
  </sheetData>
  <mergeCells count="6">
    <mergeCell ref="D59:F59"/>
    <mergeCell ref="A5:F5"/>
    <mergeCell ref="A6:F6"/>
    <mergeCell ref="C15:D15"/>
    <mergeCell ref="C16:D16"/>
    <mergeCell ref="D57:E57"/>
  </mergeCells>
  <printOptions horizontalCentered="1"/>
  <pageMargins left="0.35433070866141703" right="0.118110236220472" top="0.196850393700787" bottom="0.196850393700787" header="0" footer="0.118110236220472"/>
  <pageSetup paperSize="5" scale="85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J74"/>
  <sheetViews>
    <sheetView workbookViewId="0">
      <selection activeCell="C7" sqref="C7"/>
    </sheetView>
  </sheetViews>
  <sheetFormatPr defaultColWidth="9.140625" defaultRowHeight="12.75"/>
  <cols>
    <col min="1" max="1" width="8.5703125" style="2" customWidth="1"/>
    <col min="2" max="2" width="9.140625" style="2"/>
    <col min="3" max="3" width="10.5703125" style="2" customWidth="1"/>
    <col min="4" max="4" width="42.5703125" style="2" customWidth="1"/>
    <col min="5" max="5" width="15.42578125" style="2" customWidth="1"/>
    <col min="6" max="6" width="22.28515625" style="2" customWidth="1"/>
    <col min="7" max="7" width="9.140625" style="2"/>
    <col min="8" max="8" width="10.5703125" style="2" customWidth="1"/>
    <col min="9" max="9" width="9.140625" style="2"/>
    <col min="10" max="10" width="10.7109375" style="2" customWidth="1"/>
    <col min="11" max="16384" width="9.140625" style="2"/>
  </cols>
  <sheetData>
    <row r="1" spans="1:10" s="1" customFormat="1" ht="12.75" customHeight="1"/>
    <row r="2" spans="1:10" s="1" customFormat="1" ht="12.75" customHeight="1"/>
    <row r="3" spans="1:10" s="1" customFormat="1" ht="12.75" customHeight="1"/>
    <row r="4" spans="1:10" s="1" customFormat="1" ht="12.75" customHeight="1"/>
    <row r="5" spans="1:10" s="1" customFormat="1" ht="21" customHeight="1">
      <c r="A5" s="113" t="s">
        <v>0</v>
      </c>
      <c r="B5" s="113"/>
      <c r="C5" s="113"/>
      <c r="D5" s="113"/>
      <c r="E5" s="113"/>
      <c r="F5" s="113"/>
    </row>
    <row r="6" spans="1:10" s="1" customFormat="1" ht="12.75" customHeight="1">
      <c r="A6" s="114" t="s">
        <v>1</v>
      </c>
      <c r="B6" s="114"/>
      <c r="C6" s="114"/>
      <c r="D6" s="114"/>
      <c r="E6" s="114"/>
      <c r="F6" s="114"/>
    </row>
    <row r="7" spans="1:10" s="1" customFormat="1" ht="15.75" customHeight="1">
      <c r="A7" s="4" t="s">
        <v>2</v>
      </c>
      <c r="B7" s="5"/>
      <c r="C7" s="6" t="s">
        <v>144</v>
      </c>
      <c r="D7" s="7"/>
      <c r="E7" s="8" t="s">
        <v>4</v>
      </c>
      <c r="F7" s="9" t="s">
        <v>145</v>
      </c>
      <c r="J7" s="75"/>
    </row>
    <row r="8" spans="1:10" s="1" customFormat="1" ht="15.75" customHeight="1">
      <c r="A8" s="10"/>
      <c r="E8" s="11" t="s">
        <v>6</v>
      </c>
      <c r="F8" s="111" t="s">
        <v>117</v>
      </c>
      <c r="J8" s="76"/>
    </row>
    <row r="9" spans="1:10" s="1" customFormat="1" ht="15.75" customHeight="1">
      <c r="A9" s="14" t="s">
        <v>8</v>
      </c>
      <c r="B9" s="15"/>
      <c r="C9" s="16" t="s">
        <v>146</v>
      </c>
      <c r="D9" s="17"/>
      <c r="E9" s="18" t="s">
        <v>10</v>
      </c>
      <c r="F9" s="19" t="s">
        <v>11</v>
      </c>
      <c r="G9" s="20"/>
    </row>
    <row r="10" spans="1:10" s="1" customFormat="1" ht="15.75" customHeight="1">
      <c r="A10" s="21"/>
      <c r="B10" s="22"/>
      <c r="C10" s="22"/>
      <c r="D10" s="17"/>
      <c r="E10" s="11" t="s">
        <v>12</v>
      </c>
      <c r="F10" s="23" t="s">
        <v>147</v>
      </c>
    </row>
    <row r="11" spans="1:10" s="1" customFormat="1" ht="4.5" customHeight="1">
      <c r="A11" s="24"/>
      <c r="B11" s="25"/>
      <c r="C11" s="25"/>
      <c r="D11" s="25"/>
      <c r="E11" s="25"/>
      <c r="F11" s="26"/>
      <c r="G11" s="27"/>
      <c r="H11" s="28"/>
      <c r="I11" s="28"/>
    </row>
    <row r="12" spans="1:10" s="1" customFormat="1" ht="12.75" customHeight="1">
      <c r="A12" s="29" t="s">
        <v>14</v>
      </c>
      <c r="B12" s="8"/>
      <c r="C12" s="30"/>
      <c r="D12" s="30"/>
      <c r="E12" s="30"/>
      <c r="F12" s="31"/>
      <c r="G12" s="28"/>
      <c r="H12" s="28"/>
      <c r="I12" s="28"/>
    </row>
    <row r="13" spans="1:10" s="1" customFormat="1" ht="15.75" customHeight="1">
      <c r="A13" s="32"/>
      <c r="B13" s="11" t="s">
        <v>15</v>
      </c>
      <c r="C13" s="33"/>
      <c r="D13" s="33"/>
      <c r="E13" s="33"/>
      <c r="F13" s="34"/>
      <c r="G13" s="28"/>
      <c r="H13" s="28"/>
      <c r="I13" s="28"/>
    </row>
    <row r="14" spans="1:10" s="1" customFormat="1" ht="4.5" customHeight="1">
      <c r="A14" s="35"/>
      <c r="B14" s="36"/>
      <c r="C14" s="36"/>
      <c r="D14" s="36"/>
      <c r="E14" s="36"/>
      <c r="F14" s="37"/>
      <c r="G14" s="28"/>
      <c r="H14" s="28"/>
      <c r="I14" s="28"/>
    </row>
    <row r="15" spans="1:10" s="1" customFormat="1" ht="31.5" customHeight="1">
      <c r="A15" s="38" t="s">
        <v>16</v>
      </c>
      <c r="B15" s="39"/>
      <c r="C15" s="115" t="s">
        <v>148</v>
      </c>
      <c r="D15" s="115"/>
      <c r="E15" s="40" t="s">
        <v>18</v>
      </c>
      <c r="F15" s="41" t="s">
        <v>19</v>
      </c>
      <c r="G15" s="28"/>
      <c r="H15" s="28"/>
      <c r="I15" s="28"/>
    </row>
    <row r="16" spans="1:10" s="1" customFormat="1" ht="23.1" customHeight="1">
      <c r="A16" s="38" t="s">
        <v>20</v>
      </c>
      <c r="B16" s="39"/>
      <c r="C16" s="116" t="s">
        <v>21</v>
      </c>
      <c r="D16" s="116"/>
      <c r="E16" s="40" t="s">
        <v>22</v>
      </c>
      <c r="F16" s="42" t="s">
        <v>23</v>
      </c>
      <c r="G16" s="28"/>
      <c r="H16" s="28"/>
      <c r="I16" s="28"/>
    </row>
    <row r="17" spans="1:9" s="1" customFormat="1" ht="6.75" customHeight="1">
      <c r="A17" s="43"/>
      <c r="B17" s="44"/>
      <c r="C17" s="44"/>
      <c r="D17" s="44"/>
      <c r="E17" s="45"/>
      <c r="F17" s="46"/>
      <c r="G17" s="28"/>
      <c r="H17" s="28"/>
      <c r="I17" s="28"/>
    </row>
    <row r="18" spans="1:9" s="1" customFormat="1" ht="26.25" customHeight="1">
      <c r="A18" s="47" t="s">
        <v>24</v>
      </c>
      <c r="B18" s="48" t="s">
        <v>25</v>
      </c>
      <c r="C18" s="48" t="s">
        <v>26</v>
      </c>
      <c r="D18" s="48" t="s">
        <v>27</v>
      </c>
      <c r="E18" s="48" t="s">
        <v>28</v>
      </c>
      <c r="F18" s="49" t="s">
        <v>29</v>
      </c>
      <c r="G18" s="28"/>
      <c r="H18" s="28"/>
      <c r="I18" s="77"/>
    </row>
    <row r="19" spans="1:9" s="1" customFormat="1" ht="18" customHeight="1">
      <c r="A19" s="50">
        <v>1</v>
      </c>
      <c r="B19" s="57" t="s">
        <v>149</v>
      </c>
      <c r="C19" s="57">
        <v>1</v>
      </c>
      <c r="D19" s="53" t="s">
        <v>150</v>
      </c>
      <c r="E19" s="54">
        <v>362390</v>
      </c>
      <c r="F19" s="55">
        <f>C19*E19</f>
        <v>362390</v>
      </c>
      <c r="G19" s="28"/>
      <c r="H19" s="56"/>
      <c r="I19" s="28"/>
    </row>
    <row r="20" spans="1:9" s="1" customFormat="1" ht="15.75" customHeight="1">
      <c r="A20" s="50"/>
      <c r="B20" s="57"/>
      <c r="C20" s="57"/>
      <c r="D20" s="53" t="s">
        <v>151</v>
      </c>
      <c r="E20" s="54"/>
      <c r="F20" s="55"/>
      <c r="G20" s="28"/>
      <c r="H20" s="56"/>
      <c r="I20" s="28"/>
    </row>
    <row r="21" spans="1:9" s="1" customFormat="1" ht="15.75" customHeight="1">
      <c r="A21" s="50"/>
      <c r="B21" s="57"/>
      <c r="C21" s="57"/>
      <c r="D21" s="53" t="s">
        <v>152</v>
      </c>
      <c r="E21" s="54"/>
      <c r="F21" s="55"/>
      <c r="G21" s="28"/>
      <c r="H21" s="56"/>
      <c r="I21" s="28"/>
    </row>
    <row r="22" spans="1:9" s="1" customFormat="1" ht="15.75" customHeight="1">
      <c r="A22" s="50"/>
      <c r="B22" s="57"/>
      <c r="C22" s="57"/>
      <c r="D22" s="53"/>
      <c r="E22" s="54"/>
      <c r="F22" s="55"/>
      <c r="G22" s="28"/>
      <c r="H22" s="56"/>
      <c r="I22" s="28"/>
    </row>
    <row r="23" spans="1:9" s="1" customFormat="1" ht="15.75" customHeight="1">
      <c r="A23" s="50"/>
      <c r="B23" s="57"/>
      <c r="C23" s="57"/>
      <c r="D23" s="53" t="s">
        <v>153</v>
      </c>
      <c r="E23" s="54"/>
      <c r="F23" s="55"/>
      <c r="G23" s="28"/>
      <c r="H23" s="56"/>
      <c r="I23" s="28"/>
    </row>
    <row r="24" spans="1:9" s="1" customFormat="1" ht="15.75" customHeight="1">
      <c r="A24" s="50"/>
      <c r="B24" s="57"/>
      <c r="C24" s="57"/>
      <c r="D24" s="53" t="s">
        <v>154</v>
      </c>
      <c r="E24" s="54"/>
      <c r="F24" s="55"/>
      <c r="G24" s="28"/>
      <c r="H24" s="56"/>
      <c r="I24" s="28"/>
    </row>
    <row r="25" spans="1:9" s="1" customFormat="1" ht="15.75" customHeight="1">
      <c r="A25" s="50"/>
      <c r="B25" s="57"/>
      <c r="C25" s="57"/>
      <c r="D25" s="53"/>
      <c r="E25" s="54"/>
      <c r="F25" s="55"/>
      <c r="G25" s="28"/>
      <c r="H25" s="56"/>
      <c r="I25" s="28"/>
    </row>
    <row r="26" spans="1:9" s="1" customFormat="1" ht="15.75" customHeight="1">
      <c r="A26" s="50"/>
      <c r="B26" s="57"/>
      <c r="C26" s="57"/>
      <c r="D26" s="53" t="s">
        <v>155</v>
      </c>
      <c r="E26" s="54"/>
      <c r="F26" s="55"/>
      <c r="G26" s="28"/>
      <c r="H26" s="56"/>
      <c r="I26" s="28"/>
    </row>
    <row r="27" spans="1:9" s="1" customFormat="1" ht="15.75" customHeight="1">
      <c r="A27" s="50"/>
      <c r="B27" s="57"/>
      <c r="C27" s="57"/>
      <c r="D27" s="53" t="s">
        <v>156</v>
      </c>
      <c r="E27" s="54"/>
      <c r="F27" s="55"/>
      <c r="G27" s="28"/>
      <c r="H27" s="56"/>
      <c r="I27" s="28"/>
    </row>
    <row r="28" spans="1:9" s="1" customFormat="1" ht="15.75" customHeight="1">
      <c r="A28" s="50"/>
      <c r="B28" s="57"/>
      <c r="C28" s="57"/>
      <c r="D28" s="53"/>
      <c r="E28" s="54"/>
      <c r="F28" s="55"/>
      <c r="G28" s="28"/>
      <c r="H28" s="56"/>
      <c r="I28" s="28"/>
    </row>
    <row r="29" spans="1:9" s="1" customFormat="1" ht="15.75" customHeight="1">
      <c r="A29" s="50"/>
      <c r="B29" s="57"/>
      <c r="C29" s="57"/>
      <c r="D29" s="53" t="s">
        <v>155</v>
      </c>
      <c r="E29" s="54"/>
      <c r="F29" s="55"/>
      <c r="G29" s="28"/>
      <c r="H29" s="56"/>
      <c r="I29" s="28"/>
    </row>
    <row r="30" spans="1:9" s="1" customFormat="1" ht="15.75" customHeight="1">
      <c r="A30" s="50"/>
      <c r="B30" s="57"/>
      <c r="C30" s="57"/>
      <c r="D30" s="53" t="s">
        <v>157</v>
      </c>
      <c r="E30" s="54"/>
      <c r="F30" s="55"/>
      <c r="G30" s="28"/>
      <c r="H30" s="56"/>
      <c r="I30" s="28"/>
    </row>
    <row r="31" spans="1:9" s="1" customFormat="1" ht="15.75" customHeight="1">
      <c r="A31" s="50"/>
      <c r="B31" s="57"/>
      <c r="C31" s="57"/>
      <c r="D31" s="53"/>
      <c r="E31" s="54"/>
      <c r="F31" s="55"/>
      <c r="G31" s="28"/>
      <c r="H31" s="56"/>
      <c r="I31" s="28"/>
    </row>
    <row r="32" spans="1:9" s="1" customFormat="1" ht="15.75" customHeight="1">
      <c r="A32" s="50"/>
      <c r="B32" s="57"/>
      <c r="C32" s="57"/>
      <c r="D32" s="53" t="s">
        <v>153</v>
      </c>
      <c r="E32" s="54"/>
      <c r="F32" s="55"/>
      <c r="G32" s="28"/>
      <c r="H32" s="56"/>
      <c r="I32" s="28"/>
    </row>
    <row r="33" spans="1:9" s="1" customFormat="1" ht="15.75" customHeight="1">
      <c r="A33" s="50"/>
      <c r="B33" s="57"/>
      <c r="C33" s="57"/>
      <c r="D33" s="53" t="s">
        <v>158</v>
      </c>
      <c r="E33" s="54"/>
      <c r="F33" s="55"/>
      <c r="G33" s="28"/>
      <c r="H33" s="56"/>
      <c r="I33" s="28"/>
    </row>
    <row r="34" spans="1:9" s="1" customFormat="1" ht="15.75" customHeight="1">
      <c r="A34" s="50"/>
      <c r="B34" s="57"/>
      <c r="C34" s="57"/>
      <c r="D34" s="53"/>
      <c r="E34" s="54"/>
      <c r="F34" s="55"/>
      <c r="G34" s="28"/>
      <c r="H34" s="56"/>
      <c r="I34" s="28"/>
    </row>
    <row r="35" spans="1:9" s="1" customFormat="1" ht="15.75" customHeight="1">
      <c r="A35" s="50"/>
      <c r="B35" s="57"/>
      <c r="C35" s="57"/>
      <c r="D35" s="53" t="s">
        <v>159</v>
      </c>
      <c r="E35" s="54"/>
      <c r="F35" s="55"/>
      <c r="G35" s="28"/>
      <c r="H35" s="56"/>
      <c r="I35" s="28"/>
    </row>
    <row r="36" spans="1:9" s="1" customFormat="1" ht="15.75" customHeight="1">
      <c r="A36" s="50"/>
      <c r="B36" s="57"/>
      <c r="C36" s="57"/>
      <c r="D36" s="53" t="s">
        <v>160</v>
      </c>
      <c r="E36" s="54"/>
      <c r="F36" s="55"/>
      <c r="G36" s="28"/>
      <c r="H36" s="56"/>
      <c r="I36" s="28"/>
    </row>
    <row r="37" spans="1:9" s="1" customFormat="1" ht="15.75" customHeight="1">
      <c r="A37" s="50"/>
      <c r="B37" s="57"/>
      <c r="C37" s="57"/>
      <c r="D37" s="53"/>
      <c r="E37" s="54"/>
      <c r="F37" s="55"/>
      <c r="G37" s="28"/>
      <c r="H37" s="56"/>
      <c r="I37" s="28"/>
    </row>
    <row r="38" spans="1:9" s="1" customFormat="1" ht="15.75" customHeight="1">
      <c r="A38" s="50"/>
      <c r="B38" s="57"/>
      <c r="C38" s="57"/>
      <c r="D38" s="53" t="s">
        <v>161</v>
      </c>
      <c r="E38" s="54"/>
      <c r="F38" s="55"/>
      <c r="G38" s="28"/>
      <c r="H38" s="56"/>
      <c r="I38" s="28"/>
    </row>
    <row r="39" spans="1:9" s="1" customFormat="1" ht="15.75" customHeight="1">
      <c r="A39" s="50"/>
      <c r="B39" s="57"/>
      <c r="C39" s="57"/>
      <c r="D39" s="53" t="s">
        <v>162</v>
      </c>
      <c r="E39" s="54"/>
      <c r="F39" s="55"/>
      <c r="G39" s="28"/>
      <c r="H39" s="56"/>
      <c r="I39" s="28"/>
    </row>
    <row r="40" spans="1:9" s="1" customFormat="1" ht="15.75" customHeight="1">
      <c r="A40" s="50"/>
      <c r="B40" s="57"/>
      <c r="C40" s="57"/>
      <c r="D40" s="53"/>
      <c r="E40" s="54"/>
      <c r="F40" s="55"/>
      <c r="G40" s="28"/>
      <c r="H40" s="56"/>
      <c r="I40" s="28"/>
    </row>
    <row r="41" spans="1:9" s="1" customFormat="1" ht="15.75" customHeight="1">
      <c r="A41" s="50"/>
      <c r="B41" s="57"/>
      <c r="C41" s="57"/>
      <c r="D41" s="53" t="s">
        <v>163</v>
      </c>
      <c r="E41" s="54"/>
      <c r="F41" s="55"/>
      <c r="G41" s="28"/>
      <c r="H41" s="56"/>
      <c r="I41" s="28"/>
    </row>
    <row r="42" spans="1:9" s="1" customFormat="1" ht="15.75" customHeight="1">
      <c r="A42" s="50"/>
      <c r="B42" s="57"/>
      <c r="C42" s="57"/>
      <c r="D42" s="53" t="s">
        <v>164</v>
      </c>
      <c r="E42" s="54"/>
      <c r="F42" s="55"/>
      <c r="G42" s="28"/>
      <c r="H42" s="56"/>
      <c r="I42" s="28"/>
    </row>
    <row r="43" spans="1:9" s="1" customFormat="1" ht="15.75" customHeight="1">
      <c r="A43" s="50"/>
      <c r="B43" s="57"/>
      <c r="C43" s="57"/>
      <c r="D43" s="53"/>
      <c r="E43" s="54"/>
      <c r="F43" s="55"/>
      <c r="G43" s="28"/>
      <c r="H43" s="56"/>
      <c r="I43" s="28"/>
    </row>
    <row r="44" spans="1:9" s="1" customFormat="1" ht="15.75" customHeight="1">
      <c r="A44" s="50"/>
      <c r="B44" s="57"/>
      <c r="C44" s="57"/>
      <c r="D44" s="53" t="s">
        <v>165</v>
      </c>
      <c r="E44" s="54"/>
      <c r="F44" s="55"/>
      <c r="G44" s="28"/>
      <c r="H44" s="56"/>
      <c r="I44" s="28"/>
    </row>
    <row r="45" spans="1:9" s="1" customFormat="1" ht="15.75" customHeight="1">
      <c r="A45" s="50"/>
      <c r="B45" s="57"/>
      <c r="C45" s="57"/>
      <c r="D45" s="53"/>
      <c r="E45" s="54"/>
      <c r="F45" s="55"/>
      <c r="G45" s="28"/>
      <c r="H45" s="56"/>
      <c r="I45" s="28"/>
    </row>
    <row r="46" spans="1:9" s="1" customFormat="1" ht="15.75" customHeight="1">
      <c r="A46" s="50"/>
      <c r="B46" s="57"/>
      <c r="C46" s="57"/>
      <c r="D46" s="53" t="s">
        <v>166</v>
      </c>
      <c r="E46" s="54"/>
      <c r="F46" s="55"/>
      <c r="G46" s="28"/>
      <c r="H46" s="56"/>
      <c r="I46" s="28"/>
    </row>
    <row r="47" spans="1:9" s="1" customFormat="1" ht="15.75" customHeight="1">
      <c r="A47" s="50"/>
      <c r="B47" s="57"/>
      <c r="C47" s="57"/>
      <c r="D47" s="53" t="s">
        <v>167</v>
      </c>
      <c r="E47" s="54"/>
      <c r="F47" s="55"/>
      <c r="G47" s="28"/>
      <c r="H47" s="56"/>
      <c r="I47" s="28"/>
    </row>
    <row r="48" spans="1:9" s="1" customFormat="1" ht="15.75" customHeight="1">
      <c r="A48" s="50"/>
      <c r="B48" s="57"/>
      <c r="C48" s="57"/>
      <c r="D48" s="53" t="s">
        <v>168</v>
      </c>
      <c r="E48" s="54"/>
      <c r="F48" s="55"/>
      <c r="G48" s="28"/>
      <c r="H48" s="56"/>
      <c r="I48" s="28"/>
    </row>
    <row r="49" spans="1:6" s="1" customFormat="1" ht="15.75" customHeight="1">
      <c r="A49" s="58"/>
      <c r="B49" s="59"/>
      <c r="C49" s="59"/>
      <c r="D49" s="60"/>
      <c r="E49" s="61"/>
      <c r="F49" s="62"/>
    </row>
    <row r="50" spans="1:6" s="1" customFormat="1" ht="12.75" customHeight="1">
      <c r="A50" s="63"/>
      <c r="B50" s="64"/>
      <c r="C50" s="64"/>
      <c r="D50" s="65"/>
      <c r="E50" s="66" t="s">
        <v>52</v>
      </c>
      <c r="F50" s="67">
        <f>SUM(F19:F49)</f>
        <v>362390</v>
      </c>
    </row>
    <row r="51" spans="1:6" s="1" customFormat="1" ht="25.5" customHeight="1">
      <c r="A51" s="70" t="s">
        <v>169</v>
      </c>
      <c r="B51" s="33"/>
      <c r="C51" s="33"/>
      <c r="D51" s="33"/>
      <c r="E51" s="33"/>
      <c r="F51" s="34"/>
    </row>
    <row r="52" spans="1:6" s="1" customFormat="1" ht="9.75" customHeight="1">
      <c r="A52" s="35"/>
      <c r="B52" s="36"/>
      <c r="C52" s="36"/>
      <c r="D52" s="69"/>
      <c r="E52" s="36"/>
      <c r="F52" s="37"/>
    </row>
    <row r="53" spans="1:6" s="1" customFormat="1" ht="12.75" customHeight="1">
      <c r="A53" s="70"/>
      <c r="B53" s="33"/>
      <c r="C53" s="33"/>
      <c r="D53" s="33"/>
      <c r="E53" s="33"/>
      <c r="F53" s="34"/>
    </row>
    <row r="54" spans="1:6" s="1" customFormat="1" ht="12.75" customHeight="1">
      <c r="A54" s="70" t="s">
        <v>54</v>
      </c>
      <c r="B54" s="33"/>
      <c r="C54" s="33"/>
      <c r="D54" s="33"/>
      <c r="E54" s="33"/>
      <c r="F54" s="34"/>
    </row>
    <row r="55" spans="1:6" s="1" customFormat="1" ht="12.75" customHeight="1">
      <c r="A55" s="70" t="s">
        <v>55</v>
      </c>
      <c r="B55" s="33"/>
      <c r="C55" s="33"/>
      <c r="D55" s="33"/>
      <c r="E55" s="33"/>
      <c r="F55" s="34"/>
    </row>
    <row r="56" spans="1:6" s="1" customFormat="1" ht="12.75" customHeight="1">
      <c r="A56" s="70"/>
      <c r="B56" s="33"/>
      <c r="C56" s="33"/>
      <c r="D56" s="33"/>
      <c r="E56" s="33"/>
      <c r="F56" s="34"/>
    </row>
    <row r="57" spans="1:6" s="1" customFormat="1" ht="12.75" customHeight="1">
      <c r="A57" s="70"/>
      <c r="B57" s="33"/>
      <c r="C57" s="33"/>
      <c r="D57" s="114" t="s">
        <v>56</v>
      </c>
      <c r="E57" s="114"/>
      <c r="F57" s="34"/>
    </row>
    <row r="58" spans="1:6" s="1" customFormat="1" ht="12.75" customHeight="1">
      <c r="A58" s="70"/>
      <c r="B58" s="33"/>
      <c r="C58" s="33"/>
      <c r="F58" s="71"/>
    </row>
    <row r="59" spans="1:6" s="1" customFormat="1" ht="12.75" customHeight="1">
      <c r="A59" s="70"/>
      <c r="B59" s="33"/>
      <c r="C59" s="33"/>
      <c r="D59" s="114" t="s">
        <v>57</v>
      </c>
      <c r="E59" s="114"/>
      <c r="F59" s="117"/>
    </row>
    <row r="60" spans="1:6" s="1" customFormat="1" ht="12.75" customHeight="1">
      <c r="A60" s="70"/>
      <c r="B60" s="33"/>
      <c r="C60" s="33"/>
      <c r="D60" s="33"/>
      <c r="E60" s="72" t="s">
        <v>58</v>
      </c>
      <c r="F60" s="34"/>
    </row>
    <row r="61" spans="1:6" s="1" customFormat="1" ht="12.75" customHeight="1">
      <c r="A61" s="73" t="s">
        <v>59</v>
      </c>
      <c r="B61" s="74"/>
      <c r="C61" s="74"/>
      <c r="D61" s="33"/>
      <c r="E61" s="3" t="s">
        <v>60</v>
      </c>
      <c r="F61" s="34"/>
    </row>
    <row r="62" spans="1:6" s="1" customFormat="1" ht="12.75" customHeight="1">
      <c r="A62" s="70" t="s">
        <v>61</v>
      </c>
      <c r="B62" s="33"/>
      <c r="C62" s="33"/>
      <c r="D62" s="33"/>
      <c r="E62" s="33"/>
      <c r="F62" s="34"/>
    </row>
    <row r="63" spans="1:6" s="1" customFormat="1" ht="12.75" customHeight="1">
      <c r="A63" s="70" t="s">
        <v>62</v>
      </c>
      <c r="B63" s="33"/>
      <c r="C63" s="33"/>
      <c r="D63" s="33"/>
      <c r="E63" s="33"/>
      <c r="F63" s="34"/>
    </row>
    <row r="64" spans="1:6" s="1" customFormat="1" ht="12.75" customHeight="1">
      <c r="A64" s="70"/>
      <c r="B64" s="33"/>
      <c r="C64" s="33"/>
      <c r="D64" s="33"/>
      <c r="E64" s="33"/>
      <c r="F64" s="34"/>
    </row>
    <row r="65" spans="1:6" s="1" customFormat="1" ht="12.75" customHeight="1">
      <c r="A65" s="70" t="s">
        <v>61</v>
      </c>
      <c r="B65" s="33"/>
      <c r="C65" s="33"/>
      <c r="D65" s="33"/>
      <c r="E65" s="33"/>
      <c r="F65" s="34"/>
    </row>
    <row r="66" spans="1:6" s="1" customFormat="1" ht="12.75" customHeight="1">
      <c r="A66" s="70" t="s">
        <v>63</v>
      </c>
      <c r="B66" s="33"/>
      <c r="C66" s="33"/>
      <c r="D66" s="33"/>
      <c r="E66" s="33"/>
      <c r="F66" s="34"/>
    </row>
    <row r="67" spans="1:6" s="1" customFormat="1" ht="12.75" customHeight="1">
      <c r="A67" s="70"/>
      <c r="B67" s="33"/>
      <c r="C67" s="33"/>
      <c r="D67" s="33"/>
      <c r="E67" s="33" t="s">
        <v>64</v>
      </c>
      <c r="F67" s="34"/>
    </row>
    <row r="68" spans="1:6" s="1" customFormat="1" ht="16.5" customHeight="1">
      <c r="A68" s="78" t="s">
        <v>65</v>
      </c>
      <c r="B68" s="30"/>
      <c r="C68" s="30"/>
      <c r="D68" s="79"/>
      <c r="E68" s="80"/>
      <c r="F68" s="31"/>
    </row>
    <row r="69" spans="1:6" s="1" customFormat="1" ht="12.75" customHeight="1">
      <c r="A69" s="70"/>
      <c r="B69" s="33"/>
      <c r="C69" s="33"/>
      <c r="D69" s="33"/>
      <c r="E69" s="33"/>
      <c r="F69" s="34"/>
    </row>
    <row r="70" spans="1:6" s="1" customFormat="1" ht="12.75" customHeight="1">
      <c r="A70" s="70" t="s">
        <v>66</v>
      </c>
      <c r="B70" s="33"/>
      <c r="C70" s="33"/>
      <c r="D70" s="81"/>
      <c r="E70" s="33"/>
      <c r="F70" s="34"/>
    </row>
    <row r="71" spans="1:6" s="1" customFormat="1" ht="12.75" customHeight="1">
      <c r="A71" s="70"/>
      <c r="B71" s="33"/>
      <c r="C71" s="33"/>
      <c r="D71" s="81"/>
      <c r="E71" s="33"/>
      <c r="F71" s="34"/>
    </row>
    <row r="72" spans="1:6" s="1" customFormat="1" ht="12.75" customHeight="1">
      <c r="A72" s="70" t="s">
        <v>67</v>
      </c>
      <c r="B72" s="33"/>
      <c r="C72" s="33"/>
      <c r="D72" s="81"/>
      <c r="E72" s="33" t="s">
        <v>68</v>
      </c>
      <c r="F72" s="34"/>
    </row>
    <row r="73" spans="1:6" s="1" customFormat="1" ht="18" customHeight="1">
      <c r="A73" s="70"/>
      <c r="B73" s="33"/>
      <c r="C73" s="33" t="s">
        <v>69</v>
      </c>
      <c r="D73" s="82"/>
      <c r="E73" s="33"/>
      <c r="F73" s="34"/>
    </row>
    <row r="74" spans="1:6" s="1" customFormat="1" ht="12.75" customHeight="1">
      <c r="A74" s="24"/>
      <c r="B74" s="25"/>
      <c r="C74" s="25"/>
      <c r="D74" s="83"/>
      <c r="E74" s="25"/>
      <c r="F74" s="84"/>
    </row>
  </sheetData>
  <mergeCells count="6">
    <mergeCell ref="D59:F59"/>
    <mergeCell ref="A5:F5"/>
    <mergeCell ref="A6:F6"/>
    <mergeCell ref="C15:D15"/>
    <mergeCell ref="C16:D16"/>
    <mergeCell ref="D57:E57"/>
  </mergeCells>
  <printOptions horizontalCentered="1"/>
  <pageMargins left="0.35433070866141703" right="0.118110236220472" top="0.196850393700787" bottom="0.196850393700787" header="0" footer="0.118110236220472"/>
  <pageSetup paperSize="5" scale="85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J74"/>
  <sheetViews>
    <sheetView topLeftCell="A7" workbookViewId="0">
      <selection activeCell="D39" sqref="D39"/>
    </sheetView>
  </sheetViews>
  <sheetFormatPr defaultColWidth="9.140625" defaultRowHeight="12.75"/>
  <cols>
    <col min="1" max="1" width="8.5703125" style="2" customWidth="1"/>
    <col min="2" max="2" width="9.140625" style="2"/>
    <col min="3" max="3" width="10.5703125" style="2" customWidth="1"/>
    <col min="4" max="4" width="42.5703125" style="2" customWidth="1"/>
    <col min="5" max="5" width="15.42578125" style="2" customWidth="1"/>
    <col min="6" max="6" width="22.28515625" style="2" customWidth="1"/>
    <col min="7" max="7" width="9.140625" style="2"/>
    <col min="8" max="8" width="10.5703125" style="2" customWidth="1"/>
    <col min="9" max="9" width="9.140625" style="2"/>
    <col min="10" max="10" width="10.7109375" style="2" customWidth="1"/>
    <col min="11" max="16384" width="9.140625" style="2"/>
  </cols>
  <sheetData>
    <row r="1" spans="1:10" s="1" customFormat="1" ht="12.75" customHeight="1"/>
    <row r="2" spans="1:10" s="1" customFormat="1" ht="12.75" customHeight="1"/>
    <row r="3" spans="1:10" s="1" customFormat="1" ht="12.75" customHeight="1"/>
    <row r="4" spans="1:10" s="1" customFormat="1" ht="12.75" customHeight="1"/>
    <row r="5" spans="1:10" s="1" customFormat="1" ht="21" customHeight="1">
      <c r="A5" s="113" t="s">
        <v>0</v>
      </c>
      <c r="B5" s="113"/>
      <c r="C5" s="113"/>
      <c r="D5" s="113"/>
      <c r="E5" s="113"/>
      <c r="F5" s="113"/>
    </row>
    <row r="6" spans="1:10" s="1" customFormat="1" ht="12.75" customHeight="1">
      <c r="A6" s="114" t="s">
        <v>1</v>
      </c>
      <c r="B6" s="114"/>
      <c r="C6" s="114"/>
      <c r="D6" s="114"/>
      <c r="E6" s="114"/>
      <c r="F6" s="114"/>
    </row>
    <row r="7" spans="1:10" s="1" customFormat="1" ht="15.75" customHeight="1">
      <c r="A7" s="4" t="s">
        <v>2</v>
      </c>
      <c r="B7" s="5"/>
      <c r="C7" s="6" t="s">
        <v>144</v>
      </c>
      <c r="D7" s="7"/>
      <c r="E7" s="8" t="s">
        <v>4</v>
      </c>
      <c r="F7" s="9" t="s">
        <v>170</v>
      </c>
      <c r="J7" s="75"/>
    </row>
    <row r="8" spans="1:10" s="1" customFormat="1" ht="15.75" customHeight="1">
      <c r="A8" s="10"/>
      <c r="E8" s="11" t="s">
        <v>6</v>
      </c>
      <c r="F8" s="111" t="s">
        <v>117</v>
      </c>
      <c r="J8" s="76"/>
    </row>
    <row r="9" spans="1:10" s="1" customFormat="1" ht="15.75" customHeight="1">
      <c r="A9" s="14" t="s">
        <v>8</v>
      </c>
      <c r="B9" s="15"/>
      <c r="C9" s="16" t="s">
        <v>146</v>
      </c>
      <c r="D9" s="17"/>
      <c r="E9" s="18" t="s">
        <v>10</v>
      </c>
      <c r="F9" s="19" t="s">
        <v>11</v>
      </c>
      <c r="G9" s="20"/>
    </row>
    <row r="10" spans="1:10" s="1" customFormat="1" ht="15.75" customHeight="1">
      <c r="A10" s="21"/>
      <c r="B10" s="22"/>
      <c r="C10" s="22"/>
      <c r="D10" s="17"/>
      <c r="E10" s="11" t="s">
        <v>12</v>
      </c>
      <c r="F10" s="23" t="s">
        <v>171</v>
      </c>
    </row>
    <row r="11" spans="1:10" s="1" customFormat="1" ht="4.5" customHeight="1">
      <c r="A11" s="24"/>
      <c r="B11" s="25"/>
      <c r="C11" s="25"/>
      <c r="D11" s="25"/>
      <c r="E11" s="25"/>
      <c r="F11" s="26"/>
      <c r="G11" s="27"/>
      <c r="H11" s="28"/>
      <c r="I11" s="28"/>
    </row>
    <row r="12" spans="1:10" s="1" customFormat="1" ht="12.75" customHeight="1">
      <c r="A12" s="29" t="s">
        <v>14</v>
      </c>
      <c r="B12" s="8"/>
      <c r="C12" s="30"/>
      <c r="D12" s="30"/>
      <c r="E12" s="30"/>
      <c r="F12" s="31"/>
      <c r="G12" s="28"/>
      <c r="H12" s="28"/>
      <c r="I12" s="28"/>
    </row>
    <row r="13" spans="1:10" s="1" customFormat="1" ht="15.75" customHeight="1">
      <c r="A13" s="32"/>
      <c r="B13" s="11" t="s">
        <v>15</v>
      </c>
      <c r="C13" s="33"/>
      <c r="D13" s="33"/>
      <c r="E13" s="33"/>
      <c r="F13" s="34"/>
      <c r="G13" s="28"/>
      <c r="H13" s="28"/>
      <c r="I13" s="28"/>
    </row>
    <row r="14" spans="1:10" s="1" customFormat="1" ht="4.5" customHeight="1">
      <c r="A14" s="35"/>
      <c r="B14" s="36"/>
      <c r="C14" s="36"/>
      <c r="D14" s="36"/>
      <c r="E14" s="36"/>
      <c r="F14" s="37"/>
      <c r="G14" s="28"/>
      <c r="H14" s="28"/>
      <c r="I14" s="28"/>
    </row>
    <row r="15" spans="1:10" s="1" customFormat="1" ht="31.5" customHeight="1">
      <c r="A15" s="38" t="s">
        <v>16</v>
      </c>
      <c r="B15" s="39"/>
      <c r="C15" s="115" t="s">
        <v>172</v>
      </c>
      <c r="D15" s="115"/>
      <c r="E15" s="40" t="s">
        <v>18</v>
      </c>
      <c r="F15" s="41" t="s">
        <v>19</v>
      </c>
      <c r="G15" s="28"/>
      <c r="H15" s="28"/>
      <c r="I15" s="109"/>
    </row>
    <row r="16" spans="1:10" s="1" customFormat="1" ht="23.1" customHeight="1">
      <c r="A16" s="38" t="s">
        <v>20</v>
      </c>
      <c r="B16" s="39"/>
      <c r="C16" s="116" t="s">
        <v>21</v>
      </c>
      <c r="D16" s="116"/>
      <c r="E16" s="40" t="s">
        <v>22</v>
      </c>
      <c r="F16" s="42" t="s">
        <v>23</v>
      </c>
      <c r="G16" s="28"/>
      <c r="H16" s="28"/>
      <c r="I16" s="28"/>
    </row>
    <row r="17" spans="1:9" s="1" customFormat="1" ht="6.75" customHeight="1">
      <c r="A17" s="43"/>
      <c r="B17" s="44"/>
      <c r="C17" s="44"/>
      <c r="D17" s="44"/>
      <c r="E17" s="45"/>
      <c r="F17" s="46"/>
      <c r="G17" s="28"/>
      <c r="H17" s="28"/>
      <c r="I17" s="28"/>
    </row>
    <row r="18" spans="1:9" s="1" customFormat="1" ht="26.25" customHeight="1">
      <c r="A18" s="47" t="s">
        <v>24</v>
      </c>
      <c r="B18" s="48" t="s">
        <v>25</v>
      </c>
      <c r="C18" s="48" t="s">
        <v>26</v>
      </c>
      <c r="D18" s="48" t="s">
        <v>27</v>
      </c>
      <c r="E18" s="48" t="s">
        <v>28</v>
      </c>
      <c r="F18" s="49" t="s">
        <v>29</v>
      </c>
      <c r="G18" s="28"/>
      <c r="H18" s="28"/>
      <c r="I18" s="77"/>
    </row>
    <row r="19" spans="1:9" s="1" customFormat="1" ht="18" customHeight="1">
      <c r="A19" s="50">
        <v>1</v>
      </c>
      <c r="B19" s="57" t="s">
        <v>173</v>
      </c>
      <c r="C19" s="57">
        <v>6</v>
      </c>
      <c r="D19" s="53" t="s">
        <v>174</v>
      </c>
      <c r="E19" s="54">
        <v>3990</v>
      </c>
      <c r="F19" s="55">
        <f>C19*E19</f>
        <v>23940</v>
      </c>
      <c r="G19" s="28"/>
      <c r="H19" s="56"/>
      <c r="I19" s="28"/>
    </row>
    <row r="20" spans="1:9" s="1" customFormat="1" ht="15.75" customHeight="1">
      <c r="A20" s="50">
        <v>2</v>
      </c>
      <c r="B20" s="57" t="s">
        <v>173</v>
      </c>
      <c r="C20" s="57">
        <v>12</v>
      </c>
      <c r="D20" s="53" t="s">
        <v>175</v>
      </c>
      <c r="E20" s="54">
        <v>4060</v>
      </c>
      <c r="F20" s="55">
        <f t="shared" ref="F20:F42" si="0">C20*E20</f>
        <v>48720</v>
      </c>
      <c r="G20" s="28"/>
      <c r="H20" s="56"/>
      <c r="I20" s="28"/>
    </row>
    <row r="21" spans="1:9" s="1" customFormat="1" ht="15.75" customHeight="1">
      <c r="A21" s="50">
        <v>3</v>
      </c>
      <c r="B21" s="57" t="s">
        <v>43</v>
      </c>
      <c r="C21" s="57">
        <v>30</v>
      </c>
      <c r="D21" s="53" t="s">
        <v>176</v>
      </c>
      <c r="E21" s="54">
        <v>1387</v>
      </c>
      <c r="F21" s="55">
        <f t="shared" si="0"/>
        <v>41610</v>
      </c>
      <c r="G21" s="28"/>
      <c r="H21" s="56"/>
      <c r="I21" s="28"/>
    </row>
    <row r="22" spans="1:9" s="1" customFormat="1" ht="15.75" customHeight="1">
      <c r="A22" s="50">
        <v>4</v>
      </c>
      <c r="B22" s="57" t="s">
        <v>173</v>
      </c>
      <c r="C22" s="57">
        <v>15</v>
      </c>
      <c r="D22" s="53" t="s">
        <v>177</v>
      </c>
      <c r="E22" s="54">
        <v>5379.5</v>
      </c>
      <c r="F22" s="55">
        <f t="shared" si="0"/>
        <v>80692.5</v>
      </c>
      <c r="G22" s="28"/>
      <c r="H22" s="56"/>
      <c r="I22" s="28"/>
    </row>
    <row r="23" spans="1:9" s="1" customFormat="1" ht="15.75" customHeight="1">
      <c r="A23" s="50">
        <v>5</v>
      </c>
      <c r="B23" s="57" t="s">
        <v>173</v>
      </c>
      <c r="C23" s="57">
        <v>6</v>
      </c>
      <c r="D23" s="53" t="s">
        <v>178</v>
      </c>
      <c r="E23" s="54">
        <v>3598</v>
      </c>
      <c r="F23" s="55">
        <f t="shared" si="0"/>
        <v>21588</v>
      </c>
      <c r="G23" s="28"/>
      <c r="H23" s="56"/>
      <c r="I23" s="28"/>
    </row>
    <row r="24" spans="1:9" s="1" customFormat="1" ht="15.75" customHeight="1">
      <c r="A24" s="50">
        <v>6</v>
      </c>
      <c r="B24" s="57" t="s">
        <v>173</v>
      </c>
      <c r="C24" s="57">
        <v>5</v>
      </c>
      <c r="D24" s="53" t="s">
        <v>179</v>
      </c>
      <c r="E24" s="54">
        <v>4512</v>
      </c>
      <c r="F24" s="55">
        <f t="shared" si="0"/>
        <v>22560</v>
      </c>
      <c r="G24" s="28"/>
      <c r="H24" s="56"/>
      <c r="I24" s="28"/>
    </row>
    <row r="25" spans="1:9" s="1" customFormat="1" ht="15.75" customHeight="1">
      <c r="A25" s="50">
        <v>7</v>
      </c>
      <c r="B25" s="57" t="s">
        <v>180</v>
      </c>
      <c r="C25" s="57">
        <v>2</v>
      </c>
      <c r="D25" s="53" t="s">
        <v>181</v>
      </c>
      <c r="E25" s="54">
        <v>156</v>
      </c>
      <c r="F25" s="55">
        <f t="shared" si="0"/>
        <v>312</v>
      </c>
      <c r="G25" s="28"/>
      <c r="H25" s="56"/>
      <c r="I25" s="28"/>
    </row>
    <row r="26" spans="1:9" s="1" customFormat="1" ht="15.75" customHeight="1">
      <c r="A26" s="50">
        <v>8</v>
      </c>
      <c r="B26" s="57" t="s">
        <v>180</v>
      </c>
      <c r="C26" s="57">
        <v>2</v>
      </c>
      <c r="D26" s="53" t="s">
        <v>182</v>
      </c>
      <c r="E26" s="54">
        <v>212</v>
      </c>
      <c r="F26" s="55">
        <f t="shared" si="0"/>
        <v>424</v>
      </c>
      <c r="G26" s="28"/>
      <c r="H26" s="56"/>
      <c r="I26" s="28"/>
    </row>
    <row r="27" spans="1:9" s="1" customFormat="1" ht="15.75" customHeight="1">
      <c r="A27" s="50">
        <v>9</v>
      </c>
      <c r="B27" s="57" t="s">
        <v>43</v>
      </c>
      <c r="C27" s="57">
        <v>6</v>
      </c>
      <c r="D27" s="53" t="s">
        <v>183</v>
      </c>
      <c r="E27" s="54">
        <v>1074</v>
      </c>
      <c r="F27" s="55">
        <f t="shared" si="0"/>
        <v>6444</v>
      </c>
      <c r="G27" s="28"/>
      <c r="H27" s="56"/>
      <c r="I27" s="28"/>
    </row>
    <row r="28" spans="1:9" s="1" customFormat="1" ht="15.75" customHeight="1">
      <c r="A28" s="50">
        <v>10</v>
      </c>
      <c r="B28" s="57" t="s">
        <v>43</v>
      </c>
      <c r="C28" s="57">
        <v>2</v>
      </c>
      <c r="D28" s="53" t="s">
        <v>184</v>
      </c>
      <c r="E28" s="54">
        <v>899</v>
      </c>
      <c r="F28" s="55">
        <f t="shared" si="0"/>
        <v>1798</v>
      </c>
      <c r="G28" s="28"/>
      <c r="H28" s="56"/>
      <c r="I28" s="28"/>
    </row>
    <row r="29" spans="1:9" s="1" customFormat="1" ht="15.75" customHeight="1">
      <c r="A29" s="50">
        <v>11</v>
      </c>
      <c r="B29" s="57" t="s">
        <v>43</v>
      </c>
      <c r="C29" s="57">
        <v>10</v>
      </c>
      <c r="D29" s="53" t="s">
        <v>185</v>
      </c>
      <c r="E29" s="54">
        <v>1810</v>
      </c>
      <c r="F29" s="55">
        <f t="shared" si="0"/>
        <v>18100</v>
      </c>
      <c r="G29" s="28"/>
      <c r="H29" s="56"/>
      <c r="I29" s="28"/>
    </row>
    <row r="30" spans="1:9" s="1" customFormat="1" ht="15.75" customHeight="1">
      <c r="A30" s="50">
        <v>12</v>
      </c>
      <c r="B30" s="57" t="s">
        <v>186</v>
      </c>
      <c r="C30" s="57">
        <v>8</v>
      </c>
      <c r="D30" s="53" t="s">
        <v>187</v>
      </c>
      <c r="E30" s="54">
        <v>705.5</v>
      </c>
      <c r="F30" s="55">
        <f t="shared" si="0"/>
        <v>5644</v>
      </c>
      <c r="G30" s="28"/>
      <c r="H30" s="56"/>
      <c r="I30" s="28"/>
    </row>
    <row r="31" spans="1:9" s="1" customFormat="1" ht="15.75" customHeight="1">
      <c r="A31" s="50">
        <v>13</v>
      </c>
      <c r="B31" s="57" t="s">
        <v>32</v>
      </c>
      <c r="C31" s="57">
        <v>10</v>
      </c>
      <c r="D31" s="53" t="s">
        <v>188</v>
      </c>
      <c r="E31" s="54">
        <v>49.5</v>
      </c>
      <c r="F31" s="55">
        <f t="shared" si="0"/>
        <v>495</v>
      </c>
      <c r="G31" s="28"/>
      <c r="H31" s="56"/>
      <c r="I31" s="28"/>
    </row>
    <row r="32" spans="1:9" s="1" customFormat="1" ht="15.75" customHeight="1">
      <c r="A32" s="50">
        <v>14</v>
      </c>
      <c r="B32" s="57" t="s">
        <v>32</v>
      </c>
      <c r="C32" s="57">
        <v>10</v>
      </c>
      <c r="D32" s="53" t="s">
        <v>189</v>
      </c>
      <c r="E32" s="54">
        <v>99.5</v>
      </c>
      <c r="F32" s="55">
        <f t="shared" si="0"/>
        <v>995</v>
      </c>
      <c r="G32" s="28"/>
      <c r="H32" s="56"/>
      <c r="I32" s="28"/>
    </row>
    <row r="33" spans="1:9" s="1" customFormat="1" ht="15.75" customHeight="1">
      <c r="A33" s="50">
        <v>15</v>
      </c>
      <c r="B33" s="57" t="s">
        <v>32</v>
      </c>
      <c r="C33" s="57">
        <v>5</v>
      </c>
      <c r="D33" s="53" t="s">
        <v>190</v>
      </c>
      <c r="E33" s="54">
        <v>105</v>
      </c>
      <c r="F33" s="55">
        <f t="shared" si="0"/>
        <v>525</v>
      </c>
      <c r="G33" s="28"/>
      <c r="H33" s="56"/>
      <c r="I33" s="28"/>
    </row>
    <row r="34" spans="1:9" s="1" customFormat="1" ht="15.75" customHeight="1">
      <c r="A34" s="50">
        <v>16</v>
      </c>
      <c r="B34" s="57" t="s">
        <v>32</v>
      </c>
      <c r="C34" s="57">
        <v>10</v>
      </c>
      <c r="D34" s="53" t="s">
        <v>191</v>
      </c>
      <c r="E34" s="54">
        <v>79.5</v>
      </c>
      <c r="F34" s="55">
        <f t="shared" si="0"/>
        <v>795</v>
      </c>
      <c r="G34" s="28"/>
      <c r="H34" s="56"/>
      <c r="I34" s="28"/>
    </row>
    <row r="35" spans="1:9" s="1" customFormat="1" ht="15.75" customHeight="1">
      <c r="A35" s="50">
        <v>17</v>
      </c>
      <c r="B35" s="57" t="s">
        <v>32</v>
      </c>
      <c r="C35" s="57">
        <v>15</v>
      </c>
      <c r="D35" s="53" t="s">
        <v>192</v>
      </c>
      <c r="E35" s="54">
        <v>112</v>
      </c>
      <c r="F35" s="55">
        <f t="shared" si="0"/>
        <v>1680</v>
      </c>
      <c r="G35" s="28"/>
      <c r="H35" s="56"/>
      <c r="I35" s="28"/>
    </row>
    <row r="36" spans="1:9" s="1" customFormat="1" ht="15.75" customHeight="1">
      <c r="A36" s="50">
        <v>18</v>
      </c>
      <c r="B36" s="57" t="s">
        <v>32</v>
      </c>
      <c r="C36" s="57">
        <v>7</v>
      </c>
      <c r="D36" s="53" t="s">
        <v>193</v>
      </c>
      <c r="E36" s="54">
        <v>164</v>
      </c>
      <c r="F36" s="55">
        <f t="shared" si="0"/>
        <v>1148</v>
      </c>
      <c r="G36" s="28"/>
      <c r="H36" s="56"/>
      <c r="I36" s="28"/>
    </row>
    <row r="37" spans="1:9" s="1" customFormat="1" ht="15.75" customHeight="1">
      <c r="A37" s="50">
        <v>19</v>
      </c>
      <c r="B37" s="57" t="s">
        <v>32</v>
      </c>
      <c r="C37" s="57">
        <v>50</v>
      </c>
      <c r="D37" s="53" t="s">
        <v>194</v>
      </c>
      <c r="E37" s="54">
        <v>20.8</v>
      </c>
      <c r="F37" s="55">
        <f t="shared" si="0"/>
        <v>1040</v>
      </c>
      <c r="G37" s="28"/>
      <c r="H37" s="56"/>
      <c r="I37" s="28"/>
    </row>
    <row r="38" spans="1:9" s="1" customFormat="1" ht="15.75" customHeight="1">
      <c r="A38" s="50">
        <v>20</v>
      </c>
      <c r="B38" s="57" t="s">
        <v>195</v>
      </c>
      <c r="C38" s="57">
        <v>5</v>
      </c>
      <c r="D38" s="53" t="s">
        <v>196</v>
      </c>
      <c r="E38" s="54">
        <v>119</v>
      </c>
      <c r="F38" s="55">
        <f t="shared" si="0"/>
        <v>595</v>
      </c>
      <c r="G38" s="28"/>
      <c r="H38" s="56"/>
      <c r="I38" s="28"/>
    </row>
    <row r="39" spans="1:9" s="1" customFormat="1" ht="15.75" customHeight="1">
      <c r="A39" s="50">
        <v>21</v>
      </c>
      <c r="B39" s="57" t="s">
        <v>43</v>
      </c>
      <c r="C39" s="57">
        <v>6</v>
      </c>
      <c r="D39" s="53" t="s">
        <v>197</v>
      </c>
      <c r="E39" s="54">
        <v>456</v>
      </c>
      <c r="F39" s="55">
        <f t="shared" si="0"/>
        <v>2736</v>
      </c>
      <c r="G39" s="28"/>
      <c r="H39" s="56"/>
      <c r="I39" s="28"/>
    </row>
    <row r="40" spans="1:9" s="1" customFormat="1" ht="15.75" customHeight="1">
      <c r="A40" s="50">
        <v>22</v>
      </c>
      <c r="B40" s="57" t="s">
        <v>43</v>
      </c>
      <c r="C40" s="57">
        <v>6</v>
      </c>
      <c r="D40" s="53" t="s">
        <v>198</v>
      </c>
      <c r="E40" s="54">
        <v>481</v>
      </c>
      <c r="F40" s="55">
        <f t="shared" si="0"/>
        <v>2886</v>
      </c>
      <c r="G40" s="28"/>
      <c r="H40" s="56"/>
      <c r="I40" s="28"/>
    </row>
    <row r="41" spans="1:9" s="1" customFormat="1" ht="15.75" customHeight="1">
      <c r="A41" s="50">
        <v>23</v>
      </c>
      <c r="B41" s="57" t="s">
        <v>32</v>
      </c>
      <c r="C41" s="57">
        <v>35</v>
      </c>
      <c r="D41" s="53" t="s">
        <v>199</v>
      </c>
      <c r="E41" s="54">
        <v>499.5</v>
      </c>
      <c r="F41" s="55">
        <f t="shared" si="0"/>
        <v>17482.5</v>
      </c>
      <c r="G41" s="28"/>
      <c r="H41" s="56"/>
      <c r="I41" s="28"/>
    </row>
    <row r="42" spans="1:9" s="1" customFormat="1" ht="15.75" customHeight="1">
      <c r="A42" s="50">
        <v>24</v>
      </c>
      <c r="B42" s="57" t="s">
        <v>39</v>
      </c>
      <c r="C42" s="57">
        <v>12</v>
      </c>
      <c r="D42" s="53" t="s">
        <v>200</v>
      </c>
      <c r="E42" s="54">
        <v>94</v>
      </c>
      <c r="F42" s="55">
        <f t="shared" si="0"/>
        <v>1128</v>
      </c>
      <c r="G42" s="28"/>
      <c r="H42" s="56"/>
      <c r="I42" s="28"/>
    </row>
    <row r="43" spans="1:9" s="1" customFormat="1" ht="15.75" customHeight="1">
      <c r="A43" s="50"/>
      <c r="B43" s="57"/>
      <c r="C43" s="57"/>
      <c r="D43" s="53"/>
      <c r="E43" s="54"/>
      <c r="F43" s="55"/>
      <c r="G43" s="28"/>
      <c r="H43" s="56"/>
      <c r="I43" s="28"/>
    </row>
    <row r="44" spans="1:9" s="1" customFormat="1" ht="15.75" customHeight="1">
      <c r="A44" s="50"/>
      <c r="B44" s="57"/>
      <c r="C44" s="57"/>
      <c r="D44" s="53"/>
      <c r="E44" s="54"/>
      <c r="F44" s="55"/>
      <c r="G44" s="28"/>
      <c r="H44" s="56"/>
      <c r="I44" s="28"/>
    </row>
    <row r="45" spans="1:9" s="1" customFormat="1" ht="15.75" customHeight="1">
      <c r="A45" s="50"/>
      <c r="B45" s="57"/>
      <c r="C45" s="57"/>
      <c r="D45" s="53"/>
      <c r="E45" s="54"/>
      <c r="F45" s="55"/>
      <c r="G45" s="28"/>
      <c r="H45" s="56"/>
      <c r="I45" s="28"/>
    </row>
    <row r="46" spans="1:9" s="1" customFormat="1" ht="15.75" customHeight="1">
      <c r="A46" s="50"/>
      <c r="B46" s="57"/>
      <c r="C46" s="57"/>
      <c r="D46" s="53"/>
      <c r="E46" s="54"/>
      <c r="F46" s="55"/>
      <c r="G46" s="28"/>
      <c r="H46" s="56"/>
      <c r="I46" s="28"/>
    </row>
    <row r="47" spans="1:9" s="1" customFormat="1" ht="15.75" customHeight="1">
      <c r="A47" s="50"/>
      <c r="B47" s="57"/>
      <c r="C47" s="57"/>
      <c r="D47" s="53"/>
      <c r="E47" s="54"/>
      <c r="F47" s="55"/>
      <c r="G47" s="28"/>
      <c r="H47" s="56"/>
      <c r="I47" s="28"/>
    </row>
    <row r="48" spans="1:9" s="1" customFormat="1" ht="15.75" customHeight="1">
      <c r="A48" s="50"/>
      <c r="B48" s="57"/>
      <c r="C48" s="57"/>
      <c r="D48" s="53"/>
      <c r="E48" s="54"/>
      <c r="F48" s="55"/>
      <c r="G48" s="28"/>
      <c r="H48" s="56"/>
      <c r="I48" s="28"/>
    </row>
    <row r="49" spans="1:6" s="1" customFormat="1" ht="15.75" customHeight="1">
      <c r="A49" s="58"/>
      <c r="B49" s="59"/>
      <c r="C49" s="59"/>
      <c r="D49" s="60"/>
      <c r="E49" s="61"/>
      <c r="F49" s="62"/>
    </row>
    <row r="50" spans="1:6" s="1" customFormat="1" ht="12.75" customHeight="1">
      <c r="A50" s="63"/>
      <c r="B50" s="64"/>
      <c r="C50" s="64"/>
      <c r="D50" s="65"/>
      <c r="E50" s="66" t="s">
        <v>52</v>
      </c>
      <c r="F50" s="67">
        <f>SUM(F19:F49)</f>
        <v>303338</v>
      </c>
    </row>
    <row r="51" spans="1:6" s="1" customFormat="1" ht="25.5" customHeight="1">
      <c r="A51" s="70" t="s">
        <v>201</v>
      </c>
      <c r="B51" s="33"/>
      <c r="C51" s="33"/>
      <c r="D51" s="33"/>
      <c r="E51" s="33"/>
      <c r="F51" s="34"/>
    </row>
    <row r="52" spans="1:6" s="1" customFormat="1" ht="9.75" customHeight="1">
      <c r="A52" s="35"/>
      <c r="B52" s="36"/>
      <c r="C52" s="36"/>
      <c r="D52" s="69"/>
      <c r="E52" s="36"/>
      <c r="F52" s="37"/>
    </row>
    <row r="53" spans="1:6" s="1" customFormat="1" ht="12.75" customHeight="1">
      <c r="A53" s="70"/>
      <c r="B53" s="33"/>
      <c r="C53" s="33"/>
      <c r="D53" s="33"/>
      <c r="E53" s="33"/>
      <c r="F53" s="34"/>
    </row>
    <row r="54" spans="1:6" s="1" customFormat="1" ht="12.75" customHeight="1">
      <c r="A54" s="70" t="s">
        <v>54</v>
      </c>
      <c r="B54" s="33"/>
      <c r="C54" s="33"/>
      <c r="D54" s="33"/>
      <c r="E54" s="33"/>
      <c r="F54" s="34"/>
    </row>
    <row r="55" spans="1:6" s="1" customFormat="1" ht="12.75" customHeight="1">
      <c r="A55" s="70" t="s">
        <v>55</v>
      </c>
      <c r="B55" s="33"/>
      <c r="C55" s="33"/>
      <c r="D55" s="33"/>
      <c r="E55" s="33"/>
      <c r="F55" s="34"/>
    </row>
    <row r="56" spans="1:6" s="1" customFormat="1" ht="12.75" customHeight="1">
      <c r="A56" s="70"/>
      <c r="B56" s="33"/>
      <c r="C56" s="33"/>
      <c r="D56" s="33"/>
      <c r="E56" s="33"/>
      <c r="F56" s="34"/>
    </row>
    <row r="57" spans="1:6" s="1" customFormat="1" ht="12.75" customHeight="1">
      <c r="A57" s="70"/>
      <c r="B57" s="33"/>
      <c r="C57" s="33"/>
      <c r="D57" s="114" t="s">
        <v>56</v>
      </c>
      <c r="E57" s="114"/>
      <c r="F57" s="34"/>
    </row>
    <row r="58" spans="1:6" s="1" customFormat="1" ht="12.75" customHeight="1">
      <c r="A58" s="70"/>
      <c r="B58" s="33"/>
      <c r="C58" s="33"/>
      <c r="F58" s="71"/>
    </row>
    <row r="59" spans="1:6" s="1" customFormat="1" ht="12.75" customHeight="1">
      <c r="A59" s="70"/>
      <c r="B59" s="33"/>
      <c r="C59" s="33"/>
      <c r="D59" s="114" t="s">
        <v>57</v>
      </c>
      <c r="E59" s="114"/>
      <c r="F59" s="117"/>
    </row>
    <row r="60" spans="1:6" s="1" customFormat="1" ht="12.75" customHeight="1">
      <c r="A60" s="70"/>
      <c r="B60" s="33"/>
      <c r="C60" s="33"/>
      <c r="D60" s="33"/>
      <c r="E60" s="72" t="s">
        <v>58</v>
      </c>
      <c r="F60" s="34"/>
    </row>
    <row r="61" spans="1:6" s="1" customFormat="1" ht="12.75" customHeight="1">
      <c r="A61" s="73" t="s">
        <v>59</v>
      </c>
      <c r="B61" s="74"/>
      <c r="C61" s="74"/>
      <c r="D61" s="33"/>
      <c r="E61" s="3" t="s">
        <v>60</v>
      </c>
      <c r="F61" s="34"/>
    </row>
    <row r="62" spans="1:6" s="1" customFormat="1" ht="12.75" customHeight="1">
      <c r="A62" s="70" t="s">
        <v>61</v>
      </c>
      <c r="B62" s="33"/>
      <c r="C62" s="33"/>
      <c r="D62" s="33"/>
      <c r="E62" s="33"/>
      <c r="F62" s="34"/>
    </row>
    <row r="63" spans="1:6" s="1" customFormat="1" ht="12.75" customHeight="1">
      <c r="A63" s="70" t="s">
        <v>62</v>
      </c>
      <c r="B63" s="33"/>
      <c r="C63" s="33"/>
      <c r="D63" s="33"/>
      <c r="E63" s="33"/>
      <c r="F63" s="34"/>
    </row>
    <row r="64" spans="1:6" s="1" customFormat="1" ht="12.75" customHeight="1">
      <c r="A64" s="70"/>
      <c r="B64" s="33"/>
      <c r="C64" s="33"/>
      <c r="D64" s="33"/>
      <c r="E64" s="33"/>
      <c r="F64" s="34"/>
    </row>
    <row r="65" spans="1:6" s="1" customFormat="1" ht="12.75" customHeight="1">
      <c r="A65" s="70" t="s">
        <v>61</v>
      </c>
      <c r="B65" s="33"/>
      <c r="C65" s="33"/>
      <c r="D65" s="33"/>
      <c r="E65" s="33"/>
      <c r="F65" s="34"/>
    </row>
    <row r="66" spans="1:6" s="1" customFormat="1" ht="12.75" customHeight="1">
      <c r="A66" s="70" t="s">
        <v>63</v>
      </c>
      <c r="B66" s="33"/>
      <c r="C66" s="33"/>
      <c r="D66" s="33"/>
      <c r="E66" s="33"/>
      <c r="F66" s="34"/>
    </row>
    <row r="67" spans="1:6" s="1" customFormat="1" ht="12.75" customHeight="1">
      <c r="A67" s="70"/>
      <c r="B67" s="33"/>
      <c r="C67" s="33"/>
      <c r="D67" s="33"/>
      <c r="E67" s="33" t="s">
        <v>64</v>
      </c>
      <c r="F67" s="34"/>
    </row>
    <row r="68" spans="1:6" s="1" customFormat="1" ht="16.5" customHeight="1">
      <c r="A68" s="78" t="s">
        <v>65</v>
      </c>
      <c r="B68" s="30"/>
      <c r="C68" s="30"/>
      <c r="D68" s="79"/>
      <c r="E68" s="80"/>
      <c r="F68" s="31"/>
    </row>
    <row r="69" spans="1:6" s="1" customFormat="1" ht="12.75" customHeight="1">
      <c r="A69" s="70"/>
      <c r="B69" s="33"/>
      <c r="C69" s="33"/>
      <c r="D69" s="33"/>
      <c r="E69" s="33"/>
      <c r="F69" s="34"/>
    </row>
    <row r="70" spans="1:6" s="1" customFormat="1" ht="12.75" customHeight="1">
      <c r="A70" s="70" t="s">
        <v>66</v>
      </c>
      <c r="B70" s="33"/>
      <c r="C70" s="33"/>
      <c r="D70" s="81"/>
      <c r="E70" s="33"/>
      <c r="F70" s="34"/>
    </row>
    <row r="71" spans="1:6" s="1" customFormat="1" ht="12.75" customHeight="1">
      <c r="A71" s="70"/>
      <c r="B71" s="33"/>
      <c r="C71" s="33"/>
      <c r="D71" s="81"/>
      <c r="E71" s="33"/>
      <c r="F71" s="34"/>
    </row>
    <row r="72" spans="1:6" s="1" customFormat="1" ht="12.75" customHeight="1">
      <c r="A72" s="70" t="s">
        <v>67</v>
      </c>
      <c r="B72" s="33"/>
      <c r="C72" s="33"/>
      <c r="D72" s="81"/>
      <c r="E72" s="33" t="s">
        <v>68</v>
      </c>
      <c r="F72" s="34"/>
    </row>
    <row r="73" spans="1:6" s="1" customFormat="1" ht="18" customHeight="1">
      <c r="A73" s="70"/>
      <c r="B73" s="33"/>
      <c r="C73" s="33" t="s">
        <v>69</v>
      </c>
      <c r="D73" s="82"/>
      <c r="E73" s="33"/>
      <c r="F73" s="34"/>
    </row>
    <row r="74" spans="1:6" s="1" customFormat="1" ht="12.75" customHeight="1">
      <c r="A74" s="24"/>
      <c r="B74" s="25"/>
      <c r="C74" s="25"/>
      <c r="D74" s="83"/>
      <c r="E74" s="25"/>
      <c r="F74" s="84"/>
    </row>
  </sheetData>
  <mergeCells count="6">
    <mergeCell ref="D59:F59"/>
    <mergeCell ref="A5:F5"/>
    <mergeCell ref="A6:F6"/>
    <mergeCell ref="C15:D15"/>
    <mergeCell ref="C16:D16"/>
    <mergeCell ref="D57:E57"/>
  </mergeCells>
  <printOptions horizontalCentered="1"/>
  <pageMargins left="0.35433070866141703" right="0.118110236220472" top="0.196850393700787" bottom="0.196850393700787" header="0" footer="0.118110236220472"/>
  <pageSetup paperSize="5" scale="85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J74"/>
  <sheetViews>
    <sheetView workbookViewId="0">
      <selection activeCell="F49" sqref="F49"/>
    </sheetView>
  </sheetViews>
  <sheetFormatPr defaultColWidth="9.140625" defaultRowHeight="12.75"/>
  <cols>
    <col min="1" max="1" width="8.5703125" style="2" customWidth="1"/>
    <col min="2" max="2" width="9.140625" style="2"/>
    <col min="3" max="3" width="10.5703125" style="2" customWidth="1"/>
    <col min="4" max="4" width="42.5703125" style="2" customWidth="1"/>
    <col min="5" max="5" width="15.42578125" style="2" customWidth="1"/>
    <col min="6" max="6" width="22.28515625" style="2" customWidth="1"/>
    <col min="7" max="7" width="9.140625" style="2"/>
    <col min="8" max="8" width="10.5703125" style="2" customWidth="1"/>
    <col min="9" max="9" width="9.140625" style="2"/>
    <col min="10" max="10" width="10.7109375" style="2" customWidth="1"/>
    <col min="11" max="16384" width="9.140625" style="2"/>
  </cols>
  <sheetData>
    <row r="1" spans="1:10" s="1" customFormat="1" ht="12.75" customHeight="1"/>
    <row r="2" spans="1:10" s="1" customFormat="1" ht="12.75" customHeight="1"/>
    <row r="3" spans="1:10" s="1" customFormat="1" ht="12.75" customHeight="1"/>
    <row r="4" spans="1:10" s="1" customFormat="1" ht="12.75" customHeight="1"/>
    <row r="5" spans="1:10" s="1" customFormat="1" ht="21" customHeight="1">
      <c r="A5" s="113" t="s">
        <v>0</v>
      </c>
      <c r="B5" s="113"/>
      <c r="C5" s="113"/>
      <c r="D5" s="113"/>
      <c r="E5" s="113"/>
      <c r="F5" s="113"/>
    </row>
    <row r="6" spans="1:10" s="1" customFormat="1" ht="12.75" customHeight="1">
      <c r="A6" s="114" t="s">
        <v>1</v>
      </c>
      <c r="B6" s="114"/>
      <c r="C6" s="114"/>
      <c r="D6" s="114"/>
      <c r="E6" s="114"/>
      <c r="F6" s="114"/>
    </row>
    <row r="7" spans="1:10" s="1" customFormat="1" ht="15.75" customHeight="1">
      <c r="A7" s="4" t="s">
        <v>2</v>
      </c>
      <c r="B7" s="5"/>
      <c r="C7" s="6" t="s">
        <v>115</v>
      </c>
      <c r="D7" s="7"/>
      <c r="E7" s="8" t="s">
        <v>4</v>
      </c>
      <c r="F7" s="9" t="s">
        <v>202</v>
      </c>
      <c r="J7" s="75"/>
    </row>
    <row r="8" spans="1:10" s="1" customFormat="1" ht="15.75" customHeight="1">
      <c r="A8" s="10"/>
      <c r="E8" s="11" t="s">
        <v>6</v>
      </c>
      <c r="F8" s="111" t="s">
        <v>203</v>
      </c>
      <c r="J8" s="76"/>
    </row>
    <row r="9" spans="1:10" s="1" customFormat="1" ht="15.75" customHeight="1">
      <c r="A9" s="14" t="s">
        <v>8</v>
      </c>
      <c r="B9" s="15"/>
      <c r="C9" s="16" t="s">
        <v>118</v>
      </c>
      <c r="D9" s="17"/>
      <c r="E9" s="18" t="s">
        <v>10</v>
      </c>
      <c r="F9" s="19" t="s">
        <v>11</v>
      </c>
      <c r="G9" s="20"/>
    </row>
    <row r="10" spans="1:10" s="1" customFormat="1" ht="15.75" customHeight="1">
      <c r="A10" s="21"/>
      <c r="B10" s="22"/>
      <c r="C10" s="22"/>
      <c r="D10" s="17"/>
      <c r="E10" s="11" t="s">
        <v>12</v>
      </c>
      <c r="F10" s="23" t="s">
        <v>204</v>
      </c>
    </row>
    <row r="11" spans="1:10" s="1" customFormat="1" ht="4.5" customHeight="1">
      <c r="A11" s="24"/>
      <c r="B11" s="25"/>
      <c r="C11" s="25"/>
      <c r="D11" s="25"/>
      <c r="E11" s="25"/>
      <c r="F11" s="26"/>
      <c r="G11" s="27"/>
      <c r="H11" s="28"/>
      <c r="I11" s="28"/>
    </row>
    <row r="12" spans="1:10" s="1" customFormat="1" ht="12.75" customHeight="1">
      <c r="A12" s="29" t="s">
        <v>14</v>
      </c>
      <c r="B12" s="8"/>
      <c r="C12" s="30"/>
      <c r="D12" s="30"/>
      <c r="E12" s="30"/>
      <c r="F12" s="31"/>
      <c r="G12" s="28"/>
      <c r="H12" s="28"/>
      <c r="I12" s="28"/>
    </row>
    <row r="13" spans="1:10" s="1" customFormat="1" ht="15.75" customHeight="1">
      <c r="A13" s="32"/>
      <c r="B13" s="11" t="s">
        <v>15</v>
      </c>
      <c r="C13" s="33"/>
      <c r="D13" s="33"/>
      <c r="E13" s="33"/>
      <c r="F13" s="34"/>
      <c r="G13" s="28"/>
      <c r="H13" s="28"/>
      <c r="I13" s="28"/>
    </row>
    <row r="14" spans="1:10" s="1" customFormat="1" ht="4.5" customHeight="1">
      <c r="A14" s="35"/>
      <c r="B14" s="36"/>
      <c r="C14" s="36"/>
      <c r="D14" s="36"/>
      <c r="E14" s="36"/>
      <c r="F14" s="37"/>
      <c r="G14" s="28"/>
      <c r="H14" s="28"/>
      <c r="I14" s="28"/>
    </row>
    <row r="15" spans="1:10" s="1" customFormat="1" ht="31.5" customHeight="1">
      <c r="A15" s="38" t="s">
        <v>16</v>
      </c>
      <c r="B15" s="39"/>
      <c r="C15" s="115" t="s">
        <v>17</v>
      </c>
      <c r="D15" s="115"/>
      <c r="E15" s="40" t="s">
        <v>18</v>
      </c>
      <c r="F15" s="41" t="s">
        <v>19</v>
      </c>
      <c r="G15" s="28"/>
      <c r="H15" s="28"/>
      <c r="I15" s="28"/>
    </row>
    <row r="16" spans="1:10" s="1" customFormat="1" ht="23.1" customHeight="1">
      <c r="A16" s="38" t="s">
        <v>20</v>
      </c>
      <c r="B16" s="39"/>
      <c r="C16" s="116" t="s">
        <v>21</v>
      </c>
      <c r="D16" s="116"/>
      <c r="E16" s="40" t="s">
        <v>22</v>
      </c>
      <c r="F16" s="42" t="s">
        <v>23</v>
      </c>
      <c r="G16" s="28"/>
      <c r="H16" s="28"/>
      <c r="I16" s="28"/>
    </row>
    <row r="17" spans="1:9" s="1" customFormat="1" ht="6.75" customHeight="1">
      <c r="A17" s="43"/>
      <c r="B17" s="44"/>
      <c r="C17" s="44"/>
      <c r="D17" s="44"/>
      <c r="E17" s="45"/>
      <c r="F17" s="46"/>
      <c r="G17" s="28"/>
      <c r="H17" s="28"/>
      <c r="I17" s="28"/>
    </row>
    <row r="18" spans="1:9" s="1" customFormat="1" ht="26.25" customHeight="1">
      <c r="A18" s="47" t="s">
        <v>24</v>
      </c>
      <c r="B18" s="48" t="s">
        <v>25</v>
      </c>
      <c r="C18" s="48" t="s">
        <v>26</v>
      </c>
      <c r="D18" s="48" t="s">
        <v>27</v>
      </c>
      <c r="E18" s="48" t="s">
        <v>28</v>
      </c>
      <c r="F18" s="49" t="s">
        <v>29</v>
      </c>
      <c r="G18" s="28"/>
      <c r="H18" s="28"/>
      <c r="I18" s="77"/>
    </row>
    <row r="19" spans="1:9" s="1" customFormat="1" ht="18" customHeight="1">
      <c r="A19" s="50">
        <v>1</v>
      </c>
      <c r="B19" s="51" t="s">
        <v>32</v>
      </c>
      <c r="C19" s="57">
        <v>115</v>
      </c>
      <c r="D19" s="53" t="s">
        <v>123</v>
      </c>
      <c r="E19" s="54">
        <v>97.95</v>
      </c>
      <c r="F19" s="55">
        <f>C19*E19</f>
        <v>11264.25</v>
      </c>
      <c r="G19" s="28"/>
      <c r="H19" s="56"/>
      <c r="I19" s="28"/>
    </row>
    <row r="20" spans="1:9" s="1" customFormat="1" ht="15.75" customHeight="1">
      <c r="A20" s="50">
        <v>2</v>
      </c>
      <c r="B20" s="57" t="s">
        <v>32</v>
      </c>
      <c r="C20" s="57">
        <v>216</v>
      </c>
      <c r="D20" s="53" t="s">
        <v>205</v>
      </c>
      <c r="E20" s="54">
        <v>52.95</v>
      </c>
      <c r="F20" s="55">
        <f t="shared" ref="F20:F25" si="0">C20*E20</f>
        <v>11437.2</v>
      </c>
      <c r="G20" s="28"/>
      <c r="H20" s="56"/>
      <c r="I20" s="28"/>
    </row>
    <row r="21" spans="1:9" s="1" customFormat="1" ht="15.75" customHeight="1">
      <c r="A21" s="50">
        <v>3</v>
      </c>
      <c r="B21" s="57" t="s">
        <v>32</v>
      </c>
      <c r="C21" s="57">
        <v>216</v>
      </c>
      <c r="D21" s="53" t="s">
        <v>206</v>
      </c>
      <c r="E21" s="54">
        <v>136.94999999999999</v>
      </c>
      <c r="F21" s="55">
        <f t="shared" si="0"/>
        <v>29581.200000000001</v>
      </c>
      <c r="G21" s="28"/>
      <c r="H21" s="56"/>
      <c r="I21" s="28"/>
    </row>
    <row r="22" spans="1:9" s="1" customFormat="1" ht="15.75" customHeight="1">
      <c r="A22" s="50">
        <v>4</v>
      </c>
      <c r="B22" s="57" t="s">
        <v>32</v>
      </c>
      <c r="C22" s="57">
        <v>100</v>
      </c>
      <c r="D22" s="53" t="s">
        <v>207</v>
      </c>
      <c r="E22" s="54">
        <v>361.95</v>
      </c>
      <c r="F22" s="55">
        <f t="shared" si="0"/>
        <v>36195</v>
      </c>
      <c r="G22" s="28"/>
      <c r="H22" s="56"/>
      <c r="I22" s="28"/>
    </row>
    <row r="23" spans="1:9" s="1" customFormat="1" ht="15.75" customHeight="1">
      <c r="A23" s="50">
        <v>5</v>
      </c>
      <c r="B23" s="57" t="s">
        <v>107</v>
      </c>
      <c r="C23" s="57">
        <v>25</v>
      </c>
      <c r="D23" s="53" t="s">
        <v>134</v>
      </c>
      <c r="E23" s="54">
        <v>4869.5</v>
      </c>
      <c r="F23" s="55">
        <f t="shared" si="0"/>
        <v>121737.5</v>
      </c>
      <c r="G23" s="28"/>
      <c r="H23" s="56"/>
      <c r="I23" s="28"/>
    </row>
    <row r="24" spans="1:9" s="1" customFormat="1" ht="15.75" customHeight="1">
      <c r="A24" s="50">
        <v>6</v>
      </c>
      <c r="B24" s="57" t="s">
        <v>107</v>
      </c>
      <c r="C24" s="57">
        <v>25</v>
      </c>
      <c r="D24" s="53" t="s">
        <v>208</v>
      </c>
      <c r="E24" s="54">
        <v>2279.5</v>
      </c>
      <c r="F24" s="55">
        <f t="shared" si="0"/>
        <v>56987.5</v>
      </c>
      <c r="G24" s="28"/>
      <c r="H24" s="56"/>
      <c r="I24" s="28"/>
    </row>
    <row r="25" spans="1:9" s="1" customFormat="1" ht="15.75" customHeight="1">
      <c r="A25" s="50">
        <v>7</v>
      </c>
      <c r="B25" s="57" t="s">
        <v>32</v>
      </c>
      <c r="C25" s="57">
        <v>10</v>
      </c>
      <c r="D25" s="53" t="s">
        <v>209</v>
      </c>
      <c r="E25" s="54">
        <v>2979.5</v>
      </c>
      <c r="F25" s="55">
        <f t="shared" si="0"/>
        <v>29795</v>
      </c>
      <c r="G25" s="28"/>
      <c r="H25" s="56"/>
      <c r="I25" s="28"/>
    </row>
    <row r="26" spans="1:9" s="1" customFormat="1" ht="15.75" customHeight="1">
      <c r="A26" s="50"/>
      <c r="B26" s="57"/>
      <c r="C26" s="57"/>
      <c r="D26" s="53"/>
      <c r="E26" s="54"/>
      <c r="F26" s="55"/>
      <c r="G26" s="28"/>
      <c r="H26" s="56"/>
      <c r="I26" s="28"/>
    </row>
    <row r="27" spans="1:9" s="1" customFormat="1" ht="15.75" customHeight="1">
      <c r="A27" s="50"/>
      <c r="B27" s="57"/>
      <c r="C27" s="57"/>
      <c r="D27" s="53"/>
      <c r="E27" s="54"/>
      <c r="F27" s="55"/>
      <c r="G27" s="28"/>
      <c r="H27" s="56"/>
      <c r="I27" s="28"/>
    </row>
    <row r="28" spans="1:9" s="1" customFormat="1" ht="15.75" customHeight="1">
      <c r="A28" s="50"/>
      <c r="B28" s="57"/>
      <c r="C28" s="57"/>
      <c r="D28" s="53"/>
      <c r="E28" s="54"/>
      <c r="F28" s="55"/>
      <c r="G28" s="28"/>
      <c r="H28" s="56"/>
      <c r="I28" s="28"/>
    </row>
    <row r="29" spans="1:9" s="1" customFormat="1" ht="15.75" customHeight="1">
      <c r="A29" s="50"/>
      <c r="B29" s="57"/>
      <c r="C29" s="57"/>
      <c r="D29" s="53"/>
      <c r="E29" s="54"/>
      <c r="F29" s="55"/>
      <c r="G29" s="28"/>
      <c r="H29" s="56"/>
      <c r="I29" s="28"/>
    </row>
    <row r="30" spans="1:9" s="1" customFormat="1" ht="15.75" customHeight="1">
      <c r="A30" s="50"/>
      <c r="B30" s="57"/>
      <c r="C30" s="57"/>
      <c r="D30" s="53"/>
      <c r="E30" s="54"/>
      <c r="F30" s="55"/>
      <c r="G30" s="28"/>
      <c r="H30" s="56"/>
      <c r="I30" s="28"/>
    </row>
    <row r="31" spans="1:9" s="1" customFormat="1" ht="15.75" customHeight="1">
      <c r="A31" s="50"/>
      <c r="B31" s="57"/>
      <c r="C31" s="57"/>
      <c r="D31" s="53"/>
      <c r="E31" s="54"/>
      <c r="F31" s="55"/>
      <c r="G31" s="28"/>
      <c r="H31" s="56"/>
      <c r="I31" s="28"/>
    </row>
    <row r="32" spans="1:9" s="1" customFormat="1" ht="15.75" customHeight="1">
      <c r="A32" s="50"/>
      <c r="B32" s="57"/>
      <c r="C32" s="57"/>
      <c r="D32" s="53"/>
      <c r="E32" s="54"/>
      <c r="F32" s="55"/>
      <c r="G32" s="28"/>
      <c r="H32" s="56"/>
      <c r="I32" s="28"/>
    </row>
    <row r="33" spans="1:9" s="1" customFormat="1" ht="15.75" customHeight="1">
      <c r="A33" s="50"/>
      <c r="B33" s="57"/>
      <c r="C33" s="57"/>
      <c r="D33" s="53"/>
      <c r="E33" s="54"/>
      <c r="F33" s="55"/>
      <c r="G33" s="28"/>
      <c r="H33" s="56"/>
      <c r="I33" s="28"/>
    </row>
    <row r="34" spans="1:9" s="1" customFormat="1" ht="15.75" customHeight="1">
      <c r="A34" s="50"/>
      <c r="B34" s="57"/>
      <c r="C34" s="57"/>
      <c r="D34" s="53"/>
      <c r="E34" s="54"/>
      <c r="F34" s="55"/>
      <c r="G34" s="28"/>
      <c r="H34" s="56"/>
      <c r="I34" s="28"/>
    </row>
    <row r="35" spans="1:9" s="1" customFormat="1" ht="15.75" customHeight="1">
      <c r="A35" s="50"/>
      <c r="B35" s="57"/>
      <c r="C35" s="57"/>
      <c r="D35" s="53"/>
      <c r="E35" s="54"/>
      <c r="F35" s="55"/>
      <c r="G35" s="28"/>
      <c r="H35" s="56"/>
      <c r="I35" s="28"/>
    </row>
    <row r="36" spans="1:9" s="1" customFormat="1" ht="15.75" customHeight="1">
      <c r="A36" s="50"/>
      <c r="B36" s="57"/>
      <c r="C36" s="57"/>
      <c r="D36" s="53"/>
      <c r="E36" s="54"/>
      <c r="F36" s="55"/>
      <c r="G36" s="28"/>
      <c r="H36" s="56"/>
      <c r="I36" s="28"/>
    </row>
    <row r="37" spans="1:9" s="1" customFormat="1" ht="15.75" customHeight="1">
      <c r="A37" s="50"/>
      <c r="B37" s="57"/>
      <c r="C37" s="57"/>
      <c r="D37" s="53"/>
      <c r="E37" s="54"/>
      <c r="F37" s="55"/>
      <c r="G37" s="28"/>
      <c r="H37" s="56"/>
      <c r="I37" s="28"/>
    </row>
    <row r="38" spans="1:9" s="1" customFormat="1" ht="15.75" customHeight="1">
      <c r="A38" s="50"/>
      <c r="B38" s="57"/>
      <c r="C38" s="57"/>
      <c r="D38" s="53"/>
      <c r="E38" s="54"/>
      <c r="F38" s="55"/>
      <c r="G38" s="28"/>
      <c r="H38" s="56"/>
      <c r="I38" s="28"/>
    </row>
    <row r="39" spans="1:9" s="1" customFormat="1" ht="15.75" customHeight="1">
      <c r="A39" s="50"/>
      <c r="B39" s="57"/>
      <c r="C39" s="57"/>
      <c r="D39" s="53"/>
      <c r="E39" s="54"/>
      <c r="F39" s="55"/>
      <c r="G39" s="28"/>
      <c r="H39" s="56"/>
      <c r="I39" s="28"/>
    </row>
    <row r="40" spans="1:9" s="1" customFormat="1" ht="15.75" customHeight="1">
      <c r="A40" s="50"/>
      <c r="B40" s="57"/>
      <c r="C40" s="57"/>
      <c r="D40" s="53"/>
      <c r="E40" s="54"/>
      <c r="F40" s="55"/>
      <c r="G40" s="28"/>
      <c r="H40" s="56"/>
      <c r="I40" s="28"/>
    </row>
    <row r="41" spans="1:9" s="1" customFormat="1" ht="15.75" customHeight="1">
      <c r="A41" s="50"/>
      <c r="B41" s="57"/>
      <c r="C41" s="57"/>
      <c r="D41" s="53"/>
      <c r="E41" s="54"/>
      <c r="F41" s="55"/>
      <c r="G41" s="28"/>
      <c r="H41" s="56"/>
      <c r="I41" s="28"/>
    </row>
    <row r="42" spans="1:9" s="1" customFormat="1" ht="15.75" customHeight="1">
      <c r="A42" s="50"/>
      <c r="B42" s="57"/>
      <c r="C42" s="57"/>
      <c r="D42" s="53"/>
      <c r="E42" s="54"/>
      <c r="F42" s="55"/>
      <c r="G42" s="28"/>
      <c r="H42" s="56"/>
      <c r="I42" s="28"/>
    </row>
    <row r="43" spans="1:9" s="1" customFormat="1" ht="15.75" customHeight="1">
      <c r="A43" s="50"/>
      <c r="B43" s="57"/>
      <c r="C43" s="57"/>
      <c r="D43" s="53"/>
      <c r="E43" s="54"/>
      <c r="F43" s="55"/>
      <c r="G43" s="28"/>
      <c r="H43" s="56"/>
      <c r="I43" s="28"/>
    </row>
    <row r="44" spans="1:9" s="1" customFormat="1" ht="15.75" customHeight="1">
      <c r="A44" s="50"/>
      <c r="B44" s="57"/>
      <c r="C44" s="57"/>
      <c r="D44" s="53"/>
      <c r="E44" s="54"/>
      <c r="F44" s="55"/>
      <c r="G44" s="28"/>
      <c r="H44" s="56"/>
      <c r="I44" s="28"/>
    </row>
    <row r="45" spans="1:9" s="1" customFormat="1" ht="15.75" customHeight="1">
      <c r="A45" s="50"/>
      <c r="B45" s="57"/>
      <c r="C45" s="57"/>
      <c r="D45" s="53"/>
      <c r="E45" s="54"/>
      <c r="F45" s="55"/>
      <c r="G45" s="28"/>
      <c r="H45" s="56"/>
      <c r="I45" s="28"/>
    </row>
    <row r="46" spans="1:9" s="1" customFormat="1" ht="15.75" customHeight="1">
      <c r="A46" s="50"/>
      <c r="B46" s="57"/>
      <c r="C46" s="57"/>
      <c r="D46" s="53"/>
      <c r="E46" s="54"/>
      <c r="F46" s="55"/>
      <c r="G46" s="28"/>
      <c r="H46" s="56"/>
      <c r="I46" s="28"/>
    </row>
    <row r="47" spans="1:9" s="1" customFormat="1" ht="15.75" customHeight="1">
      <c r="A47" s="50"/>
      <c r="B47" s="57"/>
      <c r="C47" s="57"/>
      <c r="D47" s="53"/>
      <c r="E47" s="54"/>
      <c r="F47" s="55"/>
      <c r="G47" s="28"/>
      <c r="H47" s="56"/>
      <c r="I47" s="28"/>
    </row>
    <row r="48" spans="1:9" s="1" customFormat="1" ht="15.75" customHeight="1">
      <c r="A48" s="50"/>
      <c r="B48" s="57"/>
      <c r="C48" s="57"/>
      <c r="D48" s="53"/>
      <c r="E48" s="54"/>
      <c r="F48" s="55"/>
      <c r="G48" s="28"/>
      <c r="H48" s="56"/>
      <c r="I48" s="28"/>
    </row>
    <row r="49" spans="1:6" s="1" customFormat="1" ht="15.75" customHeight="1">
      <c r="A49" s="58"/>
      <c r="B49" s="59"/>
      <c r="C49" s="59"/>
      <c r="D49" s="60"/>
      <c r="E49" s="61"/>
      <c r="F49" s="62"/>
    </row>
    <row r="50" spans="1:6" s="1" customFormat="1" ht="12.75" customHeight="1">
      <c r="A50" s="63"/>
      <c r="B50" s="64"/>
      <c r="C50" s="64"/>
      <c r="D50" s="65"/>
      <c r="E50" s="66" t="s">
        <v>52</v>
      </c>
      <c r="F50" s="67">
        <f>SUM(F19:F49)</f>
        <v>296997.65000000002</v>
      </c>
    </row>
    <row r="51" spans="1:6" s="1" customFormat="1" ht="25.5" customHeight="1">
      <c r="A51" s="70" t="s">
        <v>210</v>
      </c>
      <c r="B51" s="33"/>
      <c r="C51" s="33"/>
      <c r="D51" s="33"/>
      <c r="E51" s="33"/>
      <c r="F51" s="34"/>
    </row>
    <row r="52" spans="1:6" s="1" customFormat="1" ht="9.75" customHeight="1">
      <c r="A52" s="35"/>
      <c r="B52" s="36"/>
      <c r="C52" s="36"/>
      <c r="D52" s="69"/>
      <c r="E52" s="36"/>
      <c r="F52" s="37"/>
    </row>
    <row r="53" spans="1:6" s="1" customFormat="1" ht="12.75" customHeight="1">
      <c r="A53" s="70"/>
      <c r="B53" s="33"/>
      <c r="C53" s="33"/>
      <c r="D53" s="33"/>
      <c r="E53" s="33"/>
      <c r="F53" s="34"/>
    </row>
    <row r="54" spans="1:6" s="1" customFormat="1" ht="12.75" customHeight="1">
      <c r="A54" s="70" t="s">
        <v>54</v>
      </c>
      <c r="B54" s="33"/>
      <c r="C54" s="33"/>
      <c r="D54" s="33"/>
      <c r="E54" s="33"/>
      <c r="F54" s="34"/>
    </row>
    <row r="55" spans="1:6" s="1" customFormat="1" ht="12.75" customHeight="1">
      <c r="A55" s="70" t="s">
        <v>55</v>
      </c>
      <c r="B55" s="33"/>
      <c r="C55" s="33"/>
      <c r="D55" s="33"/>
      <c r="E55" s="33"/>
      <c r="F55" s="34"/>
    </row>
    <row r="56" spans="1:6" s="1" customFormat="1" ht="12.75" customHeight="1">
      <c r="A56" s="70"/>
      <c r="B56" s="33"/>
      <c r="C56" s="33"/>
      <c r="D56" s="33"/>
      <c r="E56" s="33"/>
      <c r="F56" s="34"/>
    </row>
    <row r="57" spans="1:6" s="1" customFormat="1" ht="12.75" customHeight="1">
      <c r="A57" s="70"/>
      <c r="B57" s="33"/>
      <c r="C57" s="33"/>
      <c r="D57" s="114" t="s">
        <v>56</v>
      </c>
      <c r="E57" s="114"/>
      <c r="F57" s="34"/>
    </row>
    <row r="58" spans="1:6" s="1" customFormat="1" ht="12.75" customHeight="1">
      <c r="A58" s="70"/>
      <c r="B58" s="33"/>
      <c r="C58" s="33"/>
      <c r="F58" s="71"/>
    </row>
    <row r="59" spans="1:6" s="1" customFormat="1" ht="12.75" customHeight="1">
      <c r="A59" s="70"/>
      <c r="B59" s="33"/>
      <c r="C59" s="33"/>
      <c r="D59" s="114" t="s">
        <v>57</v>
      </c>
      <c r="E59" s="114"/>
      <c r="F59" s="117"/>
    </row>
    <row r="60" spans="1:6" s="1" customFormat="1" ht="12.75" customHeight="1">
      <c r="A60" s="70"/>
      <c r="B60" s="33"/>
      <c r="C60" s="33"/>
      <c r="D60" s="33"/>
      <c r="E60" s="72" t="s">
        <v>58</v>
      </c>
      <c r="F60" s="34"/>
    </row>
    <row r="61" spans="1:6" s="1" customFormat="1" ht="12.75" customHeight="1">
      <c r="A61" s="73" t="s">
        <v>59</v>
      </c>
      <c r="B61" s="74"/>
      <c r="C61" s="74"/>
      <c r="D61" s="33"/>
      <c r="E61" s="3" t="s">
        <v>60</v>
      </c>
      <c r="F61" s="34"/>
    </row>
    <row r="62" spans="1:6" s="1" customFormat="1" ht="12.75" customHeight="1">
      <c r="A62" s="70" t="s">
        <v>61</v>
      </c>
      <c r="B62" s="33"/>
      <c r="C62" s="33"/>
      <c r="D62" s="33"/>
      <c r="E62" s="33"/>
      <c r="F62" s="34"/>
    </row>
    <row r="63" spans="1:6" s="1" customFormat="1" ht="12.75" customHeight="1">
      <c r="A63" s="70" t="s">
        <v>62</v>
      </c>
      <c r="B63" s="33"/>
      <c r="C63" s="33"/>
      <c r="D63" s="33"/>
      <c r="E63" s="33"/>
      <c r="F63" s="34"/>
    </row>
    <row r="64" spans="1:6" s="1" customFormat="1" ht="12.75" customHeight="1">
      <c r="A64" s="70"/>
      <c r="B64" s="33"/>
      <c r="C64" s="33"/>
      <c r="D64" s="33"/>
      <c r="E64" s="33"/>
      <c r="F64" s="34"/>
    </row>
    <row r="65" spans="1:6" s="1" customFormat="1" ht="12.75" customHeight="1">
      <c r="A65" s="70" t="s">
        <v>61</v>
      </c>
      <c r="B65" s="33"/>
      <c r="C65" s="33"/>
      <c r="D65" s="33"/>
      <c r="E65" s="33"/>
      <c r="F65" s="34"/>
    </row>
    <row r="66" spans="1:6" s="1" customFormat="1" ht="12.75" customHeight="1">
      <c r="A66" s="70" t="s">
        <v>63</v>
      </c>
      <c r="B66" s="33"/>
      <c r="C66" s="33"/>
      <c r="D66" s="33"/>
      <c r="E66" s="33"/>
      <c r="F66" s="34"/>
    </row>
    <row r="67" spans="1:6" s="1" customFormat="1" ht="12.75" customHeight="1">
      <c r="A67" s="70"/>
      <c r="B67" s="33"/>
      <c r="C67" s="33"/>
      <c r="D67" s="33"/>
      <c r="E67" s="33" t="s">
        <v>64</v>
      </c>
      <c r="F67" s="34"/>
    </row>
    <row r="68" spans="1:6" s="1" customFormat="1" ht="16.5" customHeight="1">
      <c r="A68" s="78" t="s">
        <v>65</v>
      </c>
      <c r="B68" s="30"/>
      <c r="C68" s="30"/>
      <c r="D68" s="79"/>
      <c r="E68" s="80"/>
      <c r="F68" s="31"/>
    </row>
    <row r="69" spans="1:6" s="1" customFormat="1" ht="12.75" customHeight="1">
      <c r="A69" s="70"/>
      <c r="B69" s="33"/>
      <c r="C69" s="33"/>
      <c r="D69" s="33"/>
      <c r="E69" s="33"/>
      <c r="F69" s="34"/>
    </row>
    <row r="70" spans="1:6" s="1" customFormat="1" ht="12.75" customHeight="1">
      <c r="A70" s="70" t="s">
        <v>66</v>
      </c>
      <c r="B70" s="33"/>
      <c r="C70" s="33"/>
      <c r="D70" s="81"/>
      <c r="E70" s="33"/>
      <c r="F70" s="34"/>
    </row>
    <row r="71" spans="1:6" s="1" customFormat="1" ht="12.75" customHeight="1">
      <c r="A71" s="70"/>
      <c r="B71" s="33"/>
      <c r="C71" s="33"/>
      <c r="D71" s="81"/>
      <c r="E71" s="33"/>
      <c r="F71" s="34"/>
    </row>
    <row r="72" spans="1:6" s="1" customFormat="1" ht="12.75" customHeight="1">
      <c r="A72" s="70" t="s">
        <v>67</v>
      </c>
      <c r="B72" s="33"/>
      <c r="C72" s="33"/>
      <c r="D72" s="81"/>
      <c r="E72" s="33" t="s">
        <v>68</v>
      </c>
      <c r="F72" s="34"/>
    </row>
    <row r="73" spans="1:6" s="1" customFormat="1" ht="18" customHeight="1">
      <c r="A73" s="70"/>
      <c r="B73" s="33"/>
      <c r="C73" s="33" t="s">
        <v>69</v>
      </c>
      <c r="D73" s="82"/>
      <c r="E73" s="33"/>
      <c r="F73" s="34"/>
    </row>
    <row r="74" spans="1:6" s="1" customFormat="1" ht="12.75" customHeight="1">
      <c r="A74" s="24"/>
      <c r="B74" s="25"/>
      <c r="C74" s="25"/>
      <c r="D74" s="83"/>
      <c r="E74" s="25"/>
      <c r="F74" s="84"/>
    </row>
  </sheetData>
  <mergeCells count="6">
    <mergeCell ref="D59:F59"/>
    <mergeCell ref="A5:F5"/>
    <mergeCell ref="A6:F6"/>
    <mergeCell ref="C15:D15"/>
    <mergeCell ref="C16:D16"/>
    <mergeCell ref="D57:E57"/>
  </mergeCells>
  <printOptions horizontalCentered="1"/>
  <pageMargins left="0.35433070866141703" right="0.118110236220472" top="0.196850393700787" bottom="0.196850393700787" header="0" footer="0.118110236220472"/>
  <pageSetup paperSize="5" scale="85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J74"/>
  <sheetViews>
    <sheetView workbookViewId="0">
      <selection activeCell="F41" sqref="F41"/>
    </sheetView>
  </sheetViews>
  <sheetFormatPr defaultColWidth="9.140625" defaultRowHeight="12.75"/>
  <cols>
    <col min="1" max="1" width="8.5703125" style="2" customWidth="1"/>
    <col min="2" max="2" width="9.140625" style="2"/>
    <col min="3" max="3" width="10.5703125" style="2" customWidth="1"/>
    <col min="4" max="4" width="42.5703125" style="2" customWidth="1"/>
    <col min="5" max="5" width="15.42578125" style="2" customWidth="1"/>
    <col min="6" max="6" width="22.28515625" style="2" customWidth="1"/>
    <col min="7" max="7" width="9.140625" style="2"/>
    <col min="8" max="8" width="10.5703125" style="2" customWidth="1"/>
    <col min="9" max="9" width="9.140625" style="2"/>
    <col min="10" max="10" width="10.7109375" style="2" customWidth="1"/>
    <col min="11" max="16384" width="9.140625" style="2"/>
  </cols>
  <sheetData>
    <row r="1" spans="1:10" s="1" customFormat="1" ht="12.75" customHeight="1"/>
    <row r="2" spans="1:10" s="1" customFormat="1" ht="12.75" customHeight="1"/>
    <row r="3" spans="1:10" s="1" customFormat="1" ht="12.75" customHeight="1"/>
    <row r="4" spans="1:10" s="1" customFormat="1" ht="12.75" customHeight="1"/>
    <row r="5" spans="1:10" s="1" customFormat="1" ht="21" customHeight="1">
      <c r="A5" s="113" t="s">
        <v>0</v>
      </c>
      <c r="B5" s="113"/>
      <c r="C5" s="113"/>
      <c r="D5" s="113"/>
      <c r="E5" s="113"/>
      <c r="F5" s="113"/>
    </row>
    <row r="6" spans="1:10" s="1" customFormat="1" ht="12.75" customHeight="1">
      <c r="A6" s="114" t="s">
        <v>1</v>
      </c>
      <c r="B6" s="114"/>
      <c r="C6" s="114"/>
      <c r="D6" s="114"/>
      <c r="E6" s="114"/>
      <c r="F6" s="114"/>
    </row>
    <row r="7" spans="1:10" s="1" customFormat="1" ht="15.75" customHeight="1">
      <c r="A7" s="4" t="s">
        <v>2</v>
      </c>
      <c r="B7" s="5"/>
      <c r="C7" s="6" t="s">
        <v>115</v>
      </c>
      <c r="D7" s="7"/>
      <c r="E7" s="8" t="s">
        <v>4</v>
      </c>
      <c r="F7" s="9" t="s">
        <v>211</v>
      </c>
      <c r="J7" s="75"/>
    </row>
    <row r="8" spans="1:10" s="1" customFormat="1" ht="15.75" customHeight="1">
      <c r="A8" s="10"/>
      <c r="E8" s="11" t="s">
        <v>6</v>
      </c>
      <c r="F8" s="111" t="s">
        <v>203</v>
      </c>
      <c r="J8" s="76"/>
    </row>
    <row r="9" spans="1:10" s="1" customFormat="1" ht="15.75" customHeight="1">
      <c r="A9" s="14" t="s">
        <v>8</v>
      </c>
      <c r="B9" s="15"/>
      <c r="C9" s="16" t="s">
        <v>118</v>
      </c>
      <c r="D9" s="17"/>
      <c r="E9" s="18" t="s">
        <v>10</v>
      </c>
      <c r="F9" s="19" t="s">
        <v>11</v>
      </c>
      <c r="G9" s="20"/>
    </row>
    <row r="10" spans="1:10" s="1" customFormat="1" ht="15.75" customHeight="1">
      <c r="A10" s="21"/>
      <c r="B10" s="22"/>
      <c r="C10" s="22"/>
      <c r="D10" s="17"/>
      <c r="E10" s="11" t="s">
        <v>12</v>
      </c>
      <c r="F10" s="108" t="s">
        <v>212</v>
      </c>
    </row>
    <row r="11" spans="1:10" s="1" customFormat="1" ht="4.5" customHeight="1">
      <c r="A11" s="24"/>
      <c r="B11" s="25"/>
      <c r="C11" s="25"/>
      <c r="D11" s="25"/>
      <c r="E11" s="25"/>
      <c r="F11" s="26"/>
      <c r="G11" s="27"/>
      <c r="H11" s="28"/>
      <c r="I11" s="28"/>
    </row>
    <row r="12" spans="1:10" s="1" customFormat="1" ht="12.75" customHeight="1">
      <c r="A12" s="29" t="s">
        <v>14</v>
      </c>
      <c r="B12" s="8"/>
      <c r="C12" s="30"/>
      <c r="D12" s="30"/>
      <c r="E12" s="30"/>
      <c r="F12" s="31"/>
      <c r="G12" s="28"/>
      <c r="H12" s="28"/>
      <c r="I12" s="28"/>
    </row>
    <row r="13" spans="1:10" s="1" customFormat="1" ht="15.75" customHeight="1">
      <c r="A13" s="32"/>
      <c r="B13" s="11" t="s">
        <v>15</v>
      </c>
      <c r="C13" s="33"/>
      <c r="D13" s="33"/>
      <c r="E13" s="33"/>
      <c r="F13" s="34"/>
      <c r="G13" s="28"/>
      <c r="H13" s="28"/>
      <c r="I13" s="28"/>
    </row>
    <row r="14" spans="1:10" s="1" customFormat="1" ht="4.5" customHeight="1">
      <c r="A14" s="35"/>
      <c r="B14" s="36"/>
      <c r="C14" s="36"/>
      <c r="D14" s="36"/>
      <c r="E14" s="36"/>
      <c r="F14" s="37"/>
      <c r="G14" s="28"/>
      <c r="H14" s="28"/>
      <c r="I14" s="28"/>
    </row>
    <row r="15" spans="1:10" s="1" customFormat="1" ht="31.5" customHeight="1">
      <c r="A15" s="38" t="s">
        <v>16</v>
      </c>
      <c r="B15" s="39"/>
      <c r="C15" s="115" t="s">
        <v>213</v>
      </c>
      <c r="D15" s="115"/>
      <c r="E15" s="40" t="s">
        <v>18</v>
      </c>
      <c r="F15" s="41" t="s">
        <v>19</v>
      </c>
      <c r="G15" s="28"/>
      <c r="H15" s="28"/>
      <c r="I15" s="28"/>
    </row>
    <row r="16" spans="1:10" s="1" customFormat="1" ht="23.1" customHeight="1">
      <c r="A16" s="38" t="s">
        <v>20</v>
      </c>
      <c r="B16" s="39"/>
      <c r="C16" s="116" t="s">
        <v>21</v>
      </c>
      <c r="D16" s="116"/>
      <c r="E16" s="40" t="s">
        <v>22</v>
      </c>
      <c r="F16" s="42" t="s">
        <v>23</v>
      </c>
      <c r="G16" s="28"/>
      <c r="H16" s="28"/>
      <c r="I16" s="28"/>
    </row>
    <row r="17" spans="1:9" s="1" customFormat="1" ht="6.75" customHeight="1">
      <c r="A17" s="43"/>
      <c r="B17" s="44"/>
      <c r="C17" s="44"/>
      <c r="D17" s="44"/>
      <c r="E17" s="45"/>
      <c r="F17" s="46"/>
      <c r="G17" s="28"/>
      <c r="H17" s="28"/>
      <c r="I17" s="28"/>
    </row>
    <row r="18" spans="1:9" s="1" customFormat="1" ht="26.25" customHeight="1">
      <c r="A18" s="47" t="s">
        <v>24</v>
      </c>
      <c r="B18" s="48" t="s">
        <v>25</v>
      </c>
      <c r="C18" s="48" t="s">
        <v>26</v>
      </c>
      <c r="D18" s="48" t="s">
        <v>27</v>
      </c>
      <c r="E18" s="48" t="s">
        <v>28</v>
      </c>
      <c r="F18" s="49" t="s">
        <v>29</v>
      </c>
      <c r="G18" s="28"/>
      <c r="H18" s="28"/>
      <c r="I18" s="77"/>
    </row>
    <row r="19" spans="1:9" s="1" customFormat="1" ht="18" customHeight="1">
      <c r="A19" s="50">
        <v>1</v>
      </c>
      <c r="B19" s="51" t="s">
        <v>32</v>
      </c>
      <c r="C19" s="57">
        <v>8</v>
      </c>
      <c r="D19" s="53" t="s">
        <v>214</v>
      </c>
      <c r="E19" s="54">
        <v>74230</v>
      </c>
      <c r="F19" s="55">
        <f>C19*E19</f>
        <v>593840</v>
      </c>
      <c r="G19" s="28"/>
      <c r="H19" s="56"/>
      <c r="I19" s="28"/>
    </row>
    <row r="20" spans="1:9" s="1" customFormat="1" ht="15.75" customHeight="1">
      <c r="A20" s="50"/>
      <c r="B20" s="57"/>
      <c r="C20" s="57"/>
      <c r="D20" s="53"/>
      <c r="E20" s="54"/>
      <c r="F20" s="55"/>
      <c r="G20" s="28"/>
      <c r="H20" s="56"/>
      <c r="I20" s="28"/>
    </row>
    <row r="21" spans="1:9" s="1" customFormat="1" ht="15.75" customHeight="1">
      <c r="A21" s="50"/>
      <c r="B21" s="57"/>
      <c r="C21" s="57"/>
      <c r="D21" s="53"/>
      <c r="E21" s="54"/>
      <c r="F21" s="55"/>
      <c r="G21" s="28"/>
      <c r="H21" s="56"/>
      <c r="I21" s="28"/>
    </row>
    <row r="22" spans="1:9" s="1" customFormat="1" ht="15.75" customHeight="1">
      <c r="A22" s="50"/>
      <c r="B22" s="57"/>
      <c r="C22" s="57"/>
      <c r="D22" s="53"/>
      <c r="E22" s="54"/>
      <c r="F22" s="55"/>
      <c r="G22" s="28"/>
      <c r="H22" s="56"/>
      <c r="I22" s="28"/>
    </row>
    <row r="23" spans="1:9" s="1" customFormat="1" ht="15.75" customHeight="1">
      <c r="A23" s="50"/>
      <c r="B23" s="57"/>
      <c r="C23" s="57"/>
      <c r="D23" s="53"/>
      <c r="E23" s="54"/>
      <c r="F23" s="55"/>
      <c r="G23" s="28"/>
      <c r="H23" s="56"/>
      <c r="I23" s="28"/>
    </row>
    <row r="24" spans="1:9" s="1" customFormat="1" ht="15.75" customHeight="1">
      <c r="A24" s="50"/>
      <c r="B24" s="57"/>
      <c r="C24" s="57"/>
      <c r="D24" s="53"/>
      <c r="E24" s="54"/>
      <c r="F24" s="55"/>
      <c r="G24" s="28"/>
      <c r="H24" s="56"/>
      <c r="I24" s="28"/>
    </row>
    <row r="25" spans="1:9" s="1" customFormat="1" ht="15.75" customHeight="1">
      <c r="A25" s="50"/>
      <c r="B25" s="57"/>
      <c r="C25" s="57"/>
      <c r="D25" s="53"/>
      <c r="E25" s="54"/>
      <c r="F25" s="55"/>
      <c r="G25" s="28"/>
      <c r="H25" s="56"/>
      <c r="I25" s="28"/>
    </row>
    <row r="26" spans="1:9" s="1" customFormat="1" ht="15.75" customHeight="1">
      <c r="A26" s="50"/>
      <c r="B26" s="57"/>
      <c r="C26" s="57"/>
      <c r="D26" s="53"/>
      <c r="E26" s="54"/>
      <c r="F26" s="55"/>
      <c r="G26" s="28"/>
      <c r="H26" s="56"/>
      <c r="I26" s="28"/>
    </row>
    <row r="27" spans="1:9" s="1" customFormat="1" ht="15.75" customHeight="1">
      <c r="A27" s="50"/>
      <c r="B27" s="57"/>
      <c r="C27" s="57"/>
      <c r="D27" s="53"/>
      <c r="E27" s="54"/>
      <c r="F27" s="55"/>
      <c r="G27" s="28"/>
      <c r="H27" s="56"/>
      <c r="I27" s="28"/>
    </row>
    <row r="28" spans="1:9" s="1" customFormat="1" ht="15.75" customHeight="1">
      <c r="A28" s="50"/>
      <c r="B28" s="57"/>
      <c r="C28" s="57"/>
      <c r="D28" s="53"/>
      <c r="E28" s="54"/>
      <c r="F28" s="55"/>
      <c r="G28" s="28"/>
      <c r="H28" s="56"/>
      <c r="I28" s="28"/>
    </row>
    <row r="29" spans="1:9" s="1" customFormat="1" ht="15.75" customHeight="1">
      <c r="A29" s="50"/>
      <c r="B29" s="57"/>
      <c r="C29" s="57"/>
      <c r="D29" s="53"/>
      <c r="E29" s="54"/>
      <c r="F29" s="55"/>
      <c r="G29" s="28"/>
      <c r="H29" s="56"/>
      <c r="I29" s="28"/>
    </row>
    <row r="30" spans="1:9" s="1" customFormat="1" ht="15.75" customHeight="1">
      <c r="A30" s="50"/>
      <c r="B30" s="57"/>
      <c r="C30" s="57"/>
      <c r="D30" s="53"/>
      <c r="E30" s="54"/>
      <c r="F30" s="55"/>
      <c r="G30" s="28"/>
      <c r="H30" s="56"/>
      <c r="I30" s="28"/>
    </row>
    <row r="31" spans="1:9" s="1" customFormat="1" ht="15.75" customHeight="1">
      <c r="A31" s="50"/>
      <c r="B31" s="57"/>
      <c r="C31" s="57"/>
      <c r="D31" s="53"/>
      <c r="E31" s="54"/>
      <c r="F31" s="55"/>
      <c r="G31" s="28"/>
      <c r="H31" s="56"/>
      <c r="I31" s="28"/>
    </row>
    <row r="32" spans="1:9" s="1" customFormat="1" ht="15.75" customHeight="1">
      <c r="A32" s="50"/>
      <c r="B32" s="57"/>
      <c r="C32" s="57"/>
      <c r="D32" s="53"/>
      <c r="E32" s="54"/>
      <c r="F32" s="55"/>
      <c r="G32" s="28"/>
      <c r="H32" s="56"/>
      <c r="I32" s="28"/>
    </row>
    <row r="33" spans="1:9" s="1" customFormat="1" ht="15.75" customHeight="1">
      <c r="A33" s="50"/>
      <c r="B33" s="57"/>
      <c r="C33" s="57"/>
      <c r="D33" s="53"/>
      <c r="E33" s="54"/>
      <c r="F33" s="55"/>
      <c r="G33" s="28"/>
      <c r="H33" s="56"/>
      <c r="I33" s="28"/>
    </row>
    <row r="34" spans="1:9" s="1" customFormat="1" ht="15.75" customHeight="1">
      <c r="A34" s="50"/>
      <c r="B34" s="57"/>
      <c r="C34" s="57"/>
      <c r="D34" s="53"/>
      <c r="E34" s="54"/>
      <c r="F34" s="55"/>
      <c r="G34" s="28"/>
      <c r="H34" s="56"/>
      <c r="I34" s="28"/>
    </row>
    <row r="35" spans="1:9" s="1" customFormat="1" ht="15.75" customHeight="1">
      <c r="A35" s="50"/>
      <c r="B35" s="57"/>
      <c r="C35" s="57"/>
      <c r="D35" s="53"/>
      <c r="E35" s="54"/>
      <c r="F35" s="55"/>
      <c r="G35" s="28"/>
      <c r="H35" s="56"/>
      <c r="I35" s="28"/>
    </row>
    <row r="36" spans="1:9" s="1" customFormat="1" ht="15.75" customHeight="1">
      <c r="A36" s="50"/>
      <c r="B36" s="57"/>
      <c r="C36" s="57"/>
      <c r="D36" s="53"/>
      <c r="E36" s="54"/>
      <c r="F36" s="55"/>
      <c r="G36" s="28"/>
      <c r="H36" s="56"/>
      <c r="I36" s="28"/>
    </row>
    <row r="37" spans="1:9" s="1" customFormat="1" ht="15.75" customHeight="1">
      <c r="A37" s="50"/>
      <c r="B37" s="57"/>
      <c r="C37" s="57"/>
      <c r="D37" s="53"/>
      <c r="E37" s="54"/>
      <c r="F37" s="55"/>
      <c r="G37" s="28"/>
      <c r="H37" s="56"/>
      <c r="I37" s="28"/>
    </row>
    <row r="38" spans="1:9" s="1" customFormat="1" ht="15.75" customHeight="1">
      <c r="A38" s="50"/>
      <c r="B38" s="57"/>
      <c r="C38" s="57"/>
      <c r="D38" s="53"/>
      <c r="E38" s="54"/>
      <c r="F38" s="55"/>
      <c r="G38" s="28"/>
      <c r="H38" s="56"/>
      <c r="I38" s="28"/>
    </row>
    <row r="39" spans="1:9" s="1" customFormat="1" ht="15.75" customHeight="1">
      <c r="A39" s="50"/>
      <c r="B39" s="57"/>
      <c r="C39" s="57"/>
      <c r="D39" s="53"/>
      <c r="E39" s="54"/>
      <c r="F39" s="55"/>
      <c r="G39" s="28"/>
      <c r="H39" s="56"/>
      <c r="I39" s="28"/>
    </row>
    <row r="40" spans="1:9" s="1" customFormat="1" ht="15.75" customHeight="1">
      <c r="A40" s="50"/>
      <c r="B40" s="57"/>
      <c r="C40" s="57"/>
      <c r="D40" s="53"/>
      <c r="E40" s="54"/>
      <c r="F40" s="55"/>
      <c r="G40" s="28"/>
      <c r="H40" s="56"/>
      <c r="I40" s="28"/>
    </row>
    <row r="41" spans="1:9" s="1" customFormat="1" ht="15.75" customHeight="1">
      <c r="A41" s="50"/>
      <c r="B41" s="57"/>
      <c r="C41" s="57"/>
      <c r="D41" s="53"/>
      <c r="E41" s="54"/>
      <c r="F41" s="55"/>
      <c r="G41" s="28"/>
      <c r="H41" s="56"/>
      <c r="I41" s="28"/>
    </row>
    <row r="42" spans="1:9" s="1" customFormat="1" ht="15.75" customHeight="1">
      <c r="A42" s="50"/>
      <c r="B42" s="57"/>
      <c r="C42" s="57"/>
      <c r="D42" s="53"/>
      <c r="E42" s="54"/>
      <c r="F42" s="55"/>
      <c r="G42" s="28"/>
      <c r="H42" s="56"/>
      <c r="I42" s="28"/>
    </row>
    <row r="43" spans="1:9" s="1" customFormat="1" ht="15.75" customHeight="1">
      <c r="A43" s="50"/>
      <c r="B43" s="57"/>
      <c r="C43" s="57"/>
      <c r="D43" s="53"/>
      <c r="E43" s="54"/>
      <c r="F43" s="55"/>
      <c r="G43" s="28"/>
      <c r="H43" s="56"/>
      <c r="I43" s="28"/>
    </row>
    <row r="44" spans="1:9" s="1" customFormat="1" ht="15.75" customHeight="1">
      <c r="A44" s="50"/>
      <c r="B44" s="57"/>
      <c r="C44" s="57"/>
      <c r="D44" s="53"/>
      <c r="E44" s="54"/>
      <c r="F44" s="55"/>
      <c r="G44" s="28"/>
      <c r="H44" s="56"/>
      <c r="I44" s="28"/>
    </row>
    <row r="45" spans="1:9" s="1" customFormat="1" ht="15.75" customHeight="1">
      <c r="A45" s="50"/>
      <c r="B45" s="57"/>
      <c r="C45" s="57"/>
      <c r="D45" s="53"/>
      <c r="E45" s="54"/>
      <c r="F45" s="55"/>
      <c r="G45" s="28"/>
      <c r="H45" s="56"/>
      <c r="I45" s="28"/>
    </row>
    <row r="46" spans="1:9" s="1" customFormat="1" ht="15.75" customHeight="1">
      <c r="A46" s="50"/>
      <c r="B46" s="57"/>
      <c r="C46" s="57"/>
      <c r="D46" s="53"/>
      <c r="E46" s="54"/>
      <c r="F46" s="55"/>
      <c r="G46" s="28"/>
      <c r="H46" s="56"/>
      <c r="I46" s="28"/>
    </row>
    <row r="47" spans="1:9" s="1" customFormat="1" ht="15.75" customHeight="1">
      <c r="A47" s="50"/>
      <c r="B47" s="57"/>
      <c r="C47" s="57"/>
      <c r="D47" s="53"/>
      <c r="E47" s="54"/>
      <c r="F47" s="55"/>
      <c r="G47" s="28"/>
      <c r="H47" s="56"/>
      <c r="I47" s="28"/>
    </row>
    <row r="48" spans="1:9" s="1" customFormat="1" ht="15.75" customHeight="1">
      <c r="A48" s="50"/>
      <c r="B48" s="57"/>
      <c r="C48" s="57"/>
      <c r="D48" s="53"/>
      <c r="E48" s="54"/>
      <c r="F48" s="55"/>
      <c r="G48" s="28"/>
      <c r="H48" s="56"/>
      <c r="I48" s="28"/>
    </row>
    <row r="49" spans="1:6" s="1" customFormat="1" ht="15.75" customHeight="1">
      <c r="A49" s="58"/>
      <c r="B49" s="59"/>
      <c r="C49" s="59"/>
      <c r="D49" s="60"/>
      <c r="E49" s="61"/>
      <c r="F49" s="62"/>
    </row>
    <row r="50" spans="1:6" s="1" customFormat="1" ht="12.75" customHeight="1">
      <c r="A50" s="63"/>
      <c r="B50" s="64"/>
      <c r="C50" s="64"/>
      <c r="D50" s="65"/>
      <c r="E50" s="66" t="s">
        <v>52</v>
      </c>
      <c r="F50" s="67">
        <f>SUM(F19:F49)</f>
        <v>593840</v>
      </c>
    </row>
    <row r="51" spans="1:6" s="1" customFormat="1" ht="25.5" customHeight="1">
      <c r="A51" s="70" t="s">
        <v>215</v>
      </c>
      <c r="B51" s="33"/>
      <c r="C51" s="33"/>
      <c r="D51" s="33"/>
      <c r="E51" s="33"/>
      <c r="F51" s="34"/>
    </row>
    <row r="52" spans="1:6" s="1" customFormat="1" ht="9.75" customHeight="1">
      <c r="A52" s="35"/>
      <c r="B52" s="36"/>
      <c r="C52" s="36"/>
      <c r="D52" s="69"/>
      <c r="E52" s="36"/>
      <c r="F52" s="37"/>
    </row>
    <row r="53" spans="1:6" s="1" customFormat="1" ht="12.75" customHeight="1">
      <c r="A53" s="70"/>
      <c r="B53" s="33"/>
      <c r="C53" s="33"/>
      <c r="D53" s="33"/>
      <c r="E53" s="33"/>
      <c r="F53" s="34"/>
    </row>
    <row r="54" spans="1:6" s="1" customFormat="1" ht="12.75" customHeight="1">
      <c r="A54" s="70" t="s">
        <v>54</v>
      </c>
      <c r="B54" s="33"/>
      <c r="C54" s="33"/>
      <c r="D54" s="33"/>
      <c r="E54" s="33"/>
      <c r="F54" s="34"/>
    </row>
    <row r="55" spans="1:6" s="1" customFormat="1" ht="12.75" customHeight="1">
      <c r="A55" s="70" t="s">
        <v>55</v>
      </c>
      <c r="B55" s="33"/>
      <c r="C55" s="33"/>
      <c r="D55" s="33"/>
      <c r="E55" s="33"/>
      <c r="F55" s="34"/>
    </row>
    <row r="56" spans="1:6" s="1" customFormat="1" ht="12.75" customHeight="1">
      <c r="A56" s="70"/>
      <c r="B56" s="33"/>
      <c r="C56" s="33"/>
      <c r="D56" s="33"/>
      <c r="E56" s="33"/>
      <c r="F56" s="34"/>
    </row>
    <row r="57" spans="1:6" s="1" customFormat="1" ht="12.75" customHeight="1">
      <c r="A57" s="70"/>
      <c r="B57" s="33"/>
      <c r="C57" s="33"/>
      <c r="D57" s="114" t="s">
        <v>56</v>
      </c>
      <c r="E57" s="114"/>
      <c r="F57" s="34"/>
    </row>
    <row r="58" spans="1:6" s="1" customFormat="1" ht="12.75" customHeight="1">
      <c r="A58" s="70"/>
      <c r="B58" s="33"/>
      <c r="C58" s="33"/>
      <c r="F58" s="71"/>
    </row>
    <row r="59" spans="1:6" s="1" customFormat="1" ht="12.75" customHeight="1">
      <c r="A59" s="70"/>
      <c r="B59" s="33"/>
      <c r="C59" s="33"/>
      <c r="D59" s="114" t="s">
        <v>57</v>
      </c>
      <c r="E59" s="114"/>
      <c r="F59" s="117"/>
    </row>
    <row r="60" spans="1:6" s="1" customFormat="1" ht="12.75" customHeight="1">
      <c r="A60" s="70"/>
      <c r="B60" s="33"/>
      <c r="C60" s="33"/>
      <c r="D60" s="33"/>
      <c r="E60" s="72" t="s">
        <v>58</v>
      </c>
      <c r="F60" s="34"/>
    </row>
    <row r="61" spans="1:6" s="1" customFormat="1" ht="12.75" customHeight="1">
      <c r="A61" s="73" t="s">
        <v>59</v>
      </c>
      <c r="B61" s="74"/>
      <c r="C61" s="74"/>
      <c r="D61" s="33"/>
      <c r="E61" s="3" t="s">
        <v>60</v>
      </c>
      <c r="F61" s="34"/>
    </row>
    <row r="62" spans="1:6" s="1" customFormat="1" ht="12.75" customHeight="1">
      <c r="A62" s="70" t="s">
        <v>61</v>
      </c>
      <c r="B62" s="33"/>
      <c r="C62" s="33"/>
      <c r="D62" s="33"/>
      <c r="E62" s="33"/>
      <c r="F62" s="34"/>
    </row>
    <row r="63" spans="1:6" s="1" customFormat="1" ht="12.75" customHeight="1">
      <c r="A63" s="70" t="s">
        <v>62</v>
      </c>
      <c r="B63" s="33"/>
      <c r="C63" s="33"/>
      <c r="D63" s="33"/>
      <c r="E63" s="33"/>
      <c r="F63" s="34"/>
    </row>
    <row r="64" spans="1:6" s="1" customFormat="1" ht="12.75" customHeight="1">
      <c r="A64" s="70"/>
      <c r="B64" s="33"/>
      <c r="C64" s="33"/>
      <c r="D64" s="33"/>
      <c r="E64" s="33"/>
      <c r="F64" s="34"/>
    </row>
    <row r="65" spans="1:6" s="1" customFormat="1" ht="12.75" customHeight="1">
      <c r="A65" s="70" t="s">
        <v>61</v>
      </c>
      <c r="B65" s="33"/>
      <c r="C65" s="33"/>
      <c r="D65" s="33"/>
      <c r="E65" s="33"/>
      <c r="F65" s="34"/>
    </row>
    <row r="66" spans="1:6" s="1" customFormat="1" ht="12.75" customHeight="1">
      <c r="A66" s="70" t="s">
        <v>63</v>
      </c>
      <c r="B66" s="33"/>
      <c r="C66" s="33"/>
      <c r="D66" s="33"/>
      <c r="E66" s="33"/>
      <c r="F66" s="34"/>
    </row>
    <row r="67" spans="1:6" s="1" customFormat="1" ht="12.75" customHeight="1">
      <c r="A67" s="70"/>
      <c r="B67" s="33"/>
      <c r="C67" s="33"/>
      <c r="D67" s="33"/>
      <c r="E67" s="33" t="s">
        <v>64</v>
      </c>
      <c r="F67" s="34"/>
    </row>
    <row r="68" spans="1:6" s="1" customFormat="1" ht="16.5" customHeight="1">
      <c r="A68" s="78" t="s">
        <v>65</v>
      </c>
      <c r="B68" s="30"/>
      <c r="C68" s="30"/>
      <c r="D68" s="79"/>
      <c r="E68" s="80"/>
      <c r="F68" s="31"/>
    </row>
    <row r="69" spans="1:6" s="1" customFormat="1" ht="12.75" customHeight="1">
      <c r="A69" s="70"/>
      <c r="B69" s="33"/>
      <c r="C69" s="33"/>
      <c r="D69" s="33"/>
      <c r="E69" s="33"/>
      <c r="F69" s="34"/>
    </row>
    <row r="70" spans="1:6" s="1" customFormat="1" ht="12.75" customHeight="1">
      <c r="A70" s="70" t="s">
        <v>66</v>
      </c>
      <c r="B70" s="33"/>
      <c r="C70" s="33"/>
      <c r="D70" s="81"/>
      <c r="E70" s="33"/>
      <c r="F70" s="34"/>
    </row>
    <row r="71" spans="1:6" s="1" customFormat="1" ht="12.75" customHeight="1">
      <c r="A71" s="70"/>
      <c r="B71" s="33"/>
      <c r="C71" s="33"/>
      <c r="D71" s="81"/>
      <c r="E71" s="33"/>
      <c r="F71" s="34"/>
    </row>
    <row r="72" spans="1:6" s="1" customFormat="1" ht="12.75" customHeight="1">
      <c r="A72" s="70" t="s">
        <v>67</v>
      </c>
      <c r="B72" s="33"/>
      <c r="C72" s="33"/>
      <c r="D72" s="81"/>
      <c r="E72" s="33" t="s">
        <v>68</v>
      </c>
      <c r="F72" s="34"/>
    </row>
    <row r="73" spans="1:6" s="1" customFormat="1" ht="18" customHeight="1">
      <c r="A73" s="70"/>
      <c r="B73" s="33"/>
      <c r="C73" s="33" t="s">
        <v>69</v>
      </c>
      <c r="D73" s="82"/>
      <c r="E73" s="33"/>
      <c r="F73" s="34"/>
    </row>
    <row r="74" spans="1:6" s="1" customFormat="1" ht="12.75" customHeight="1">
      <c r="A74" s="24"/>
      <c r="B74" s="25"/>
      <c r="C74" s="25"/>
      <c r="D74" s="83"/>
      <c r="E74" s="25"/>
      <c r="F74" s="84"/>
    </row>
  </sheetData>
  <mergeCells count="6">
    <mergeCell ref="D59:F59"/>
    <mergeCell ref="A5:F5"/>
    <mergeCell ref="A6:F6"/>
    <mergeCell ref="C15:D15"/>
    <mergeCell ref="C16:D16"/>
    <mergeCell ref="D57:E57"/>
  </mergeCells>
  <printOptions horizontalCentered="1"/>
  <pageMargins left="0.35433070866141703" right="0.118110236220472" top="0.196850393700787" bottom="0.196850393700787" header="0" footer="0.118110236220472"/>
  <pageSetup paperSize="5" scale="85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J74"/>
  <sheetViews>
    <sheetView workbookViewId="0">
      <selection activeCell="H18" sqref="H18"/>
    </sheetView>
  </sheetViews>
  <sheetFormatPr defaultColWidth="9.140625" defaultRowHeight="12.75"/>
  <cols>
    <col min="1" max="1" width="8.5703125" style="2" customWidth="1"/>
    <col min="2" max="2" width="9.140625" style="2"/>
    <col min="3" max="3" width="10.5703125" style="2" customWidth="1"/>
    <col min="4" max="4" width="42.5703125" style="2" customWidth="1"/>
    <col min="5" max="5" width="15.42578125" style="2" customWidth="1"/>
    <col min="6" max="6" width="22.28515625" style="2" customWidth="1"/>
    <col min="7" max="7" width="9.140625" style="2"/>
    <col min="8" max="8" width="10.5703125" style="2" customWidth="1"/>
    <col min="9" max="9" width="9.140625" style="2"/>
    <col min="10" max="10" width="10.7109375" style="2" customWidth="1"/>
    <col min="11" max="16384" width="9.140625" style="2"/>
  </cols>
  <sheetData>
    <row r="1" spans="1:10" s="1" customFormat="1" ht="12.75" customHeight="1"/>
    <row r="2" spans="1:10" s="1" customFormat="1" ht="12.75" customHeight="1"/>
    <row r="3" spans="1:10" s="1" customFormat="1" ht="12.75" customHeight="1"/>
    <row r="4" spans="1:10" s="1" customFormat="1" ht="12.75" customHeight="1"/>
    <row r="5" spans="1:10" s="1" customFormat="1" ht="21" customHeight="1">
      <c r="A5" s="113" t="s">
        <v>0</v>
      </c>
      <c r="B5" s="113"/>
      <c r="C5" s="113"/>
      <c r="D5" s="113"/>
      <c r="E5" s="113"/>
      <c r="F5" s="113"/>
    </row>
    <row r="6" spans="1:10" s="1" customFormat="1" ht="12.75" customHeight="1">
      <c r="A6" s="114" t="s">
        <v>1</v>
      </c>
      <c r="B6" s="114"/>
      <c r="C6" s="114"/>
      <c r="D6" s="114"/>
      <c r="E6" s="114"/>
      <c r="F6" s="114"/>
    </row>
    <row r="7" spans="1:10" s="1" customFormat="1" ht="15.75" customHeight="1">
      <c r="A7" s="4" t="s">
        <v>2</v>
      </c>
      <c r="B7" s="5"/>
      <c r="C7" s="6" t="s">
        <v>216</v>
      </c>
      <c r="D7" s="7"/>
      <c r="E7" s="8" t="s">
        <v>4</v>
      </c>
      <c r="F7" s="9" t="s">
        <v>217</v>
      </c>
      <c r="J7" s="75"/>
    </row>
    <row r="8" spans="1:10" s="1" customFormat="1" ht="15.75" customHeight="1">
      <c r="A8" s="10"/>
      <c r="E8" s="11" t="s">
        <v>6</v>
      </c>
      <c r="F8" s="111" t="s">
        <v>218</v>
      </c>
      <c r="J8" s="76"/>
    </row>
    <row r="9" spans="1:10" s="1" customFormat="1" ht="15.75" customHeight="1">
      <c r="A9" s="14" t="s">
        <v>8</v>
      </c>
      <c r="B9" s="15"/>
      <c r="C9" s="16" t="s">
        <v>219</v>
      </c>
      <c r="D9" s="17"/>
      <c r="E9" s="18" t="s">
        <v>10</v>
      </c>
      <c r="F9" s="19" t="s">
        <v>11</v>
      </c>
      <c r="G9" s="20"/>
    </row>
    <row r="10" spans="1:10" s="1" customFormat="1" ht="15.75" customHeight="1">
      <c r="A10" s="21"/>
      <c r="B10" s="22"/>
      <c r="C10" s="22"/>
      <c r="D10" s="17"/>
      <c r="E10" s="11" t="s">
        <v>12</v>
      </c>
      <c r="F10" s="23" t="s">
        <v>220</v>
      </c>
    </row>
    <row r="11" spans="1:10" s="1" customFormat="1" ht="4.5" customHeight="1">
      <c r="A11" s="24"/>
      <c r="B11" s="25"/>
      <c r="C11" s="25"/>
      <c r="D11" s="25"/>
      <c r="E11" s="25"/>
      <c r="F11" s="26"/>
      <c r="G11" s="27"/>
      <c r="H11" s="28"/>
      <c r="I11" s="28"/>
    </row>
    <row r="12" spans="1:10" s="1" customFormat="1" ht="12.75" customHeight="1">
      <c r="A12" s="29" t="s">
        <v>14</v>
      </c>
      <c r="B12" s="8"/>
      <c r="C12" s="30"/>
      <c r="D12" s="30"/>
      <c r="E12" s="30"/>
      <c r="F12" s="31"/>
      <c r="G12" s="28"/>
      <c r="H12" s="28"/>
      <c r="I12" s="28"/>
    </row>
    <row r="13" spans="1:10" s="1" customFormat="1" ht="15.75" customHeight="1">
      <c r="A13" s="32"/>
      <c r="B13" s="11" t="s">
        <v>15</v>
      </c>
      <c r="C13" s="33"/>
      <c r="D13" s="33"/>
      <c r="E13" s="33"/>
      <c r="F13" s="34"/>
      <c r="G13" s="28"/>
      <c r="H13" s="28"/>
      <c r="I13" s="28"/>
    </row>
    <row r="14" spans="1:10" s="1" customFormat="1" ht="4.5" customHeight="1">
      <c r="A14" s="35"/>
      <c r="B14" s="36"/>
      <c r="C14" s="36"/>
      <c r="D14" s="36"/>
      <c r="E14" s="36"/>
      <c r="F14" s="37"/>
      <c r="G14" s="28"/>
      <c r="H14" s="28"/>
      <c r="I14" s="28"/>
    </row>
    <row r="15" spans="1:10" s="1" customFormat="1" ht="31.5" customHeight="1">
      <c r="A15" s="38" t="s">
        <v>16</v>
      </c>
      <c r="B15" s="39"/>
      <c r="C15" s="115" t="s">
        <v>213</v>
      </c>
      <c r="D15" s="115"/>
      <c r="E15" s="40" t="s">
        <v>18</v>
      </c>
      <c r="F15" s="41" t="s">
        <v>19</v>
      </c>
      <c r="G15" s="28"/>
      <c r="H15" s="28"/>
      <c r="I15" s="28"/>
    </row>
    <row r="16" spans="1:10" s="1" customFormat="1" ht="23.1" customHeight="1">
      <c r="A16" s="38" t="s">
        <v>20</v>
      </c>
      <c r="B16" s="39"/>
      <c r="C16" s="116" t="s">
        <v>21</v>
      </c>
      <c r="D16" s="116"/>
      <c r="E16" s="40" t="s">
        <v>22</v>
      </c>
      <c r="F16" s="42" t="s">
        <v>23</v>
      </c>
      <c r="G16" s="28"/>
      <c r="H16" s="28"/>
      <c r="I16" s="28"/>
    </row>
    <row r="17" spans="1:9" s="1" customFormat="1" ht="6.75" customHeight="1">
      <c r="A17" s="43"/>
      <c r="B17" s="44"/>
      <c r="C17" s="44"/>
      <c r="D17" s="44"/>
      <c r="E17" s="45"/>
      <c r="F17" s="46"/>
      <c r="G17" s="28"/>
      <c r="H17" s="28"/>
      <c r="I17" s="28"/>
    </row>
    <row r="18" spans="1:9" s="1" customFormat="1" ht="26.25" customHeight="1">
      <c r="A18" s="47" t="s">
        <v>24</v>
      </c>
      <c r="B18" s="48" t="s">
        <v>25</v>
      </c>
      <c r="C18" s="48" t="s">
        <v>26</v>
      </c>
      <c r="D18" s="48" t="s">
        <v>27</v>
      </c>
      <c r="E18" s="48" t="s">
        <v>28</v>
      </c>
      <c r="F18" s="49" t="s">
        <v>29</v>
      </c>
      <c r="G18" s="28"/>
      <c r="H18" s="28"/>
      <c r="I18" s="77"/>
    </row>
    <row r="19" spans="1:9" s="1" customFormat="1" ht="18" customHeight="1">
      <c r="A19" s="50">
        <v>1</v>
      </c>
      <c r="B19" s="107" t="s">
        <v>221</v>
      </c>
      <c r="C19" s="57">
        <v>170</v>
      </c>
      <c r="D19" s="53" t="s">
        <v>222</v>
      </c>
      <c r="E19" s="54">
        <v>1857</v>
      </c>
      <c r="F19" s="55">
        <f>C19*E19</f>
        <v>315690</v>
      </c>
      <c r="G19" s="28"/>
      <c r="H19" s="56"/>
      <c r="I19" s="28"/>
    </row>
    <row r="20" spans="1:9" s="1" customFormat="1" ht="15.75" customHeight="1">
      <c r="A20" s="50"/>
      <c r="B20" s="57"/>
      <c r="C20" s="57"/>
      <c r="D20" s="53"/>
      <c r="E20" s="54"/>
      <c r="F20" s="55"/>
      <c r="G20" s="28"/>
      <c r="H20" s="56"/>
      <c r="I20" s="28"/>
    </row>
    <row r="21" spans="1:9" s="1" customFormat="1" ht="15.75" customHeight="1">
      <c r="A21" s="50"/>
      <c r="B21" s="57"/>
      <c r="C21" s="57"/>
      <c r="D21" s="53"/>
      <c r="E21" s="54"/>
      <c r="F21" s="55"/>
      <c r="G21" s="28"/>
      <c r="H21" s="56"/>
      <c r="I21" s="28"/>
    </row>
    <row r="22" spans="1:9" s="1" customFormat="1" ht="15.75" customHeight="1">
      <c r="A22" s="50"/>
      <c r="B22" s="57"/>
      <c r="C22" s="57"/>
      <c r="D22" s="53"/>
      <c r="E22" s="54"/>
      <c r="F22" s="55"/>
      <c r="G22" s="28"/>
      <c r="H22" s="56"/>
      <c r="I22" s="28"/>
    </row>
    <row r="23" spans="1:9" s="1" customFormat="1" ht="15.75" customHeight="1">
      <c r="A23" s="50"/>
      <c r="B23" s="57"/>
      <c r="C23" s="57"/>
      <c r="D23" s="53"/>
      <c r="E23" s="54"/>
      <c r="F23" s="55"/>
      <c r="G23" s="28"/>
      <c r="H23" s="56"/>
      <c r="I23" s="28"/>
    </row>
    <row r="24" spans="1:9" s="1" customFormat="1" ht="15.75" customHeight="1">
      <c r="A24" s="50"/>
      <c r="B24" s="57"/>
      <c r="C24" s="57"/>
      <c r="D24" s="53"/>
      <c r="E24" s="54"/>
      <c r="F24" s="55"/>
      <c r="G24" s="28"/>
      <c r="H24" s="56"/>
      <c r="I24" s="28"/>
    </row>
    <row r="25" spans="1:9" s="1" customFormat="1" ht="15.75" customHeight="1">
      <c r="A25" s="50"/>
      <c r="B25" s="57"/>
      <c r="C25" s="57"/>
      <c r="D25" s="53"/>
      <c r="E25" s="54"/>
      <c r="F25" s="55"/>
      <c r="G25" s="28"/>
      <c r="H25" s="56"/>
      <c r="I25" s="28"/>
    </row>
    <row r="26" spans="1:9" s="1" customFormat="1" ht="15.75" customHeight="1">
      <c r="A26" s="50"/>
      <c r="B26" s="57"/>
      <c r="C26" s="57"/>
      <c r="D26" s="53"/>
      <c r="E26" s="54"/>
      <c r="F26" s="55"/>
      <c r="G26" s="28"/>
      <c r="H26" s="56"/>
      <c r="I26" s="28"/>
    </row>
    <row r="27" spans="1:9" s="1" customFormat="1" ht="15.75" customHeight="1">
      <c r="A27" s="50"/>
      <c r="B27" s="57"/>
      <c r="C27" s="57"/>
      <c r="D27" s="53"/>
      <c r="E27" s="54"/>
      <c r="F27" s="55"/>
      <c r="G27" s="28"/>
      <c r="H27" s="56"/>
      <c r="I27" s="28"/>
    </row>
    <row r="28" spans="1:9" s="1" customFormat="1" ht="15.75" customHeight="1">
      <c r="A28" s="50"/>
      <c r="B28" s="57"/>
      <c r="C28" s="57"/>
      <c r="D28" s="53"/>
      <c r="E28" s="54"/>
      <c r="F28" s="55"/>
      <c r="G28" s="28"/>
      <c r="H28" s="56"/>
      <c r="I28" s="28"/>
    </row>
    <row r="29" spans="1:9" s="1" customFormat="1" ht="15.75" customHeight="1">
      <c r="A29" s="50"/>
      <c r="B29" s="57"/>
      <c r="C29" s="57"/>
      <c r="D29" s="53"/>
      <c r="E29" s="54"/>
      <c r="F29" s="55"/>
      <c r="G29" s="28"/>
      <c r="H29" s="56"/>
      <c r="I29" s="28"/>
    </row>
    <row r="30" spans="1:9" s="1" customFormat="1" ht="15.75" customHeight="1">
      <c r="A30" s="50"/>
      <c r="B30" s="57"/>
      <c r="C30" s="57"/>
      <c r="D30" s="53"/>
      <c r="E30" s="54"/>
      <c r="F30" s="55"/>
      <c r="G30" s="28"/>
      <c r="H30" s="56"/>
      <c r="I30" s="28"/>
    </row>
    <row r="31" spans="1:9" s="1" customFormat="1" ht="15.75" customHeight="1">
      <c r="A31" s="50"/>
      <c r="B31" s="57"/>
      <c r="C31" s="57"/>
      <c r="D31" s="53"/>
      <c r="E31" s="54"/>
      <c r="F31" s="55"/>
      <c r="G31" s="28"/>
      <c r="H31" s="56"/>
      <c r="I31" s="28"/>
    </row>
    <row r="32" spans="1:9" s="1" customFormat="1" ht="15.75" customHeight="1">
      <c r="A32" s="50"/>
      <c r="B32" s="57"/>
      <c r="C32" s="57"/>
      <c r="D32" s="53"/>
      <c r="E32" s="54"/>
      <c r="F32" s="55"/>
      <c r="G32" s="28"/>
      <c r="H32" s="56"/>
      <c r="I32" s="28"/>
    </row>
    <row r="33" spans="1:9" s="1" customFormat="1" ht="15.75" customHeight="1">
      <c r="A33" s="50"/>
      <c r="B33" s="57"/>
      <c r="C33" s="57"/>
      <c r="D33" s="53"/>
      <c r="E33" s="54"/>
      <c r="F33" s="55"/>
      <c r="G33" s="28"/>
      <c r="H33" s="56"/>
      <c r="I33" s="28"/>
    </row>
    <row r="34" spans="1:9" s="1" customFormat="1" ht="15.75" customHeight="1">
      <c r="A34" s="50"/>
      <c r="B34" s="57"/>
      <c r="C34" s="57"/>
      <c r="D34" s="53"/>
      <c r="E34" s="54"/>
      <c r="F34" s="55"/>
      <c r="G34" s="28"/>
      <c r="H34" s="56"/>
      <c r="I34" s="28"/>
    </row>
    <row r="35" spans="1:9" s="1" customFormat="1" ht="15.75" customHeight="1">
      <c r="A35" s="50"/>
      <c r="B35" s="57"/>
      <c r="C35" s="57"/>
      <c r="D35" s="53"/>
      <c r="E35" s="54"/>
      <c r="F35" s="55"/>
      <c r="G35" s="28"/>
      <c r="H35" s="56"/>
      <c r="I35" s="28"/>
    </row>
    <row r="36" spans="1:9" s="1" customFormat="1" ht="15.75" customHeight="1">
      <c r="A36" s="50"/>
      <c r="B36" s="57"/>
      <c r="C36" s="57"/>
      <c r="D36" s="53"/>
      <c r="E36" s="54"/>
      <c r="F36" s="55"/>
      <c r="G36" s="28"/>
      <c r="H36" s="56"/>
      <c r="I36" s="28"/>
    </row>
    <row r="37" spans="1:9" s="1" customFormat="1" ht="15.75" customHeight="1">
      <c r="A37" s="50"/>
      <c r="B37" s="57"/>
      <c r="C37" s="57"/>
      <c r="D37" s="53"/>
      <c r="E37" s="54"/>
      <c r="F37" s="55"/>
      <c r="G37" s="28"/>
      <c r="H37" s="56"/>
      <c r="I37" s="28"/>
    </row>
    <row r="38" spans="1:9" s="1" customFormat="1" ht="15.75" customHeight="1">
      <c r="A38" s="50"/>
      <c r="B38" s="57"/>
      <c r="C38" s="57"/>
      <c r="D38" s="53"/>
      <c r="E38" s="54"/>
      <c r="F38" s="55"/>
      <c r="G38" s="28"/>
      <c r="H38" s="56"/>
      <c r="I38" s="28"/>
    </row>
    <row r="39" spans="1:9" s="1" customFormat="1" ht="15.75" customHeight="1">
      <c r="A39" s="50"/>
      <c r="B39" s="57"/>
      <c r="C39" s="57"/>
      <c r="D39" s="53"/>
      <c r="E39" s="54"/>
      <c r="F39" s="55"/>
      <c r="G39" s="28"/>
      <c r="H39" s="56"/>
      <c r="I39" s="28"/>
    </row>
    <row r="40" spans="1:9" s="1" customFormat="1" ht="15.75" customHeight="1">
      <c r="A40" s="50"/>
      <c r="B40" s="57"/>
      <c r="C40" s="57"/>
      <c r="D40" s="53"/>
      <c r="E40" s="54"/>
      <c r="F40" s="55"/>
      <c r="G40" s="28"/>
      <c r="H40" s="56"/>
      <c r="I40" s="28"/>
    </row>
    <row r="41" spans="1:9" s="1" customFormat="1" ht="15.75" customHeight="1">
      <c r="A41" s="50"/>
      <c r="B41" s="57"/>
      <c r="C41" s="57"/>
      <c r="D41" s="53"/>
      <c r="E41" s="54"/>
      <c r="F41" s="55"/>
      <c r="G41" s="28"/>
      <c r="H41" s="56"/>
      <c r="I41" s="28"/>
    </row>
    <row r="42" spans="1:9" s="1" customFormat="1" ht="15.75" customHeight="1">
      <c r="A42" s="50"/>
      <c r="B42" s="57"/>
      <c r="C42" s="57"/>
      <c r="D42" s="53"/>
      <c r="E42" s="54"/>
      <c r="F42" s="55"/>
      <c r="G42" s="28"/>
      <c r="H42" s="56"/>
      <c r="I42" s="28"/>
    </row>
    <row r="43" spans="1:9" s="1" customFormat="1" ht="15.75" customHeight="1">
      <c r="A43" s="50"/>
      <c r="B43" s="57"/>
      <c r="C43" s="57"/>
      <c r="D43" s="53"/>
      <c r="E43" s="54"/>
      <c r="F43" s="55"/>
      <c r="G43" s="28"/>
      <c r="H43" s="56"/>
      <c r="I43" s="28"/>
    </row>
    <row r="44" spans="1:9" s="1" customFormat="1" ht="15.75" customHeight="1">
      <c r="A44" s="50"/>
      <c r="B44" s="57"/>
      <c r="C44" s="57"/>
      <c r="D44" s="53"/>
      <c r="E44" s="54"/>
      <c r="F44" s="55"/>
      <c r="G44" s="28"/>
      <c r="H44" s="56"/>
      <c r="I44" s="28"/>
    </row>
    <row r="45" spans="1:9" s="1" customFormat="1" ht="15.75" customHeight="1">
      <c r="A45" s="50"/>
      <c r="B45" s="57"/>
      <c r="C45" s="57"/>
      <c r="D45" s="53"/>
      <c r="E45" s="54"/>
      <c r="F45" s="55"/>
      <c r="G45" s="28"/>
      <c r="H45" s="56"/>
      <c r="I45" s="28"/>
    </row>
    <row r="46" spans="1:9" s="1" customFormat="1" ht="15.75" customHeight="1">
      <c r="A46" s="50"/>
      <c r="B46" s="57"/>
      <c r="C46" s="57"/>
      <c r="D46" s="53"/>
      <c r="E46" s="54"/>
      <c r="F46" s="55"/>
      <c r="G46" s="28"/>
      <c r="H46" s="56"/>
      <c r="I46" s="28"/>
    </row>
    <row r="47" spans="1:9" s="1" customFormat="1" ht="15.75" customHeight="1">
      <c r="A47" s="50"/>
      <c r="B47" s="57"/>
      <c r="C47" s="57"/>
      <c r="D47" s="53"/>
      <c r="E47" s="54"/>
      <c r="F47" s="55"/>
      <c r="G47" s="28"/>
      <c r="H47" s="56"/>
      <c r="I47" s="28"/>
    </row>
    <row r="48" spans="1:9" s="1" customFormat="1" ht="15.75" customHeight="1">
      <c r="A48" s="50"/>
      <c r="B48" s="57"/>
      <c r="C48" s="57"/>
      <c r="D48" s="53"/>
      <c r="E48" s="54"/>
      <c r="F48" s="55"/>
      <c r="G48" s="28"/>
      <c r="H48" s="56"/>
      <c r="I48" s="28"/>
    </row>
    <row r="49" spans="1:6" s="1" customFormat="1" ht="15.75" customHeight="1">
      <c r="A49" s="58"/>
      <c r="B49" s="59"/>
      <c r="C49" s="59"/>
      <c r="D49" s="60"/>
      <c r="E49" s="61"/>
      <c r="F49" s="62"/>
    </row>
    <row r="50" spans="1:6" s="1" customFormat="1" ht="12.75" customHeight="1">
      <c r="A50" s="63"/>
      <c r="B50" s="64"/>
      <c r="C50" s="64"/>
      <c r="D50" s="65"/>
      <c r="E50" s="66" t="s">
        <v>52</v>
      </c>
      <c r="F50" s="67">
        <f>SUM(F19:F49)</f>
        <v>315690</v>
      </c>
    </row>
    <row r="51" spans="1:6" s="1" customFormat="1" ht="25.5" customHeight="1">
      <c r="A51" s="70" t="s">
        <v>223</v>
      </c>
      <c r="B51" s="33"/>
      <c r="C51" s="33"/>
      <c r="D51" s="33"/>
      <c r="E51" s="33"/>
      <c r="F51" s="34"/>
    </row>
    <row r="52" spans="1:6" s="1" customFormat="1" ht="9.75" customHeight="1">
      <c r="A52" s="35"/>
      <c r="B52" s="36"/>
      <c r="C52" s="36"/>
      <c r="D52" s="69"/>
      <c r="E52" s="36"/>
      <c r="F52" s="37"/>
    </row>
    <row r="53" spans="1:6" s="1" customFormat="1" ht="12.75" customHeight="1">
      <c r="A53" s="70"/>
      <c r="B53" s="33"/>
      <c r="C53" s="33"/>
      <c r="D53" s="33"/>
      <c r="E53" s="33"/>
      <c r="F53" s="34"/>
    </row>
    <row r="54" spans="1:6" s="1" customFormat="1" ht="12.75" customHeight="1">
      <c r="A54" s="70" t="s">
        <v>54</v>
      </c>
      <c r="B54" s="33"/>
      <c r="C54" s="33"/>
      <c r="D54" s="33"/>
      <c r="E54" s="33"/>
      <c r="F54" s="34"/>
    </row>
    <row r="55" spans="1:6" s="1" customFormat="1" ht="12.75" customHeight="1">
      <c r="A55" s="70" t="s">
        <v>55</v>
      </c>
      <c r="B55" s="33"/>
      <c r="C55" s="33"/>
      <c r="D55" s="33"/>
      <c r="E55" s="33"/>
      <c r="F55" s="34"/>
    </row>
    <row r="56" spans="1:6" s="1" customFormat="1" ht="12.75" customHeight="1">
      <c r="A56" s="70"/>
      <c r="B56" s="33"/>
      <c r="C56" s="33"/>
      <c r="D56" s="33"/>
      <c r="E56" s="33"/>
      <c r="F56" s="34"/>
    </row>
    <row r="57" spans="1:6" s="1" customFormat="1" ht="12.75" customHeight="1">
      <c r="A57" s="70"/>
      <c r="B57" s="33"/>
      <c r="C57" s="33"/>
      <c r="D57" s="114" t="s">
        <v>56</v>
      </c>
      <c r="E57" s="114"/>
      <c r="F57" s="34"/>
    </row>
    <row r="58" spans="1:6" s="1" customFormat="1" ht="12.75" customHeight="1">
      <c r="A58" s="70"/>
      <c r="B58" s="33"/>
      <c r="C58" s="33"/>
      <c r="F58" s="71"/>
    </row>
    <row r="59" spans="1:6" s="1" customFormat="1" ht="12.75" customHeight="1">
      <c r="A59" s="70"/>
      <c r="B59" s="33"/>
      <c r="C59" s="33"/>
      <c r="D59" s="114" t="s">
        <v>57</v>
      </c>
      <c r="E59" s="114"/>
      <c r="F59" s="117"/>
    </row>
    <row r="60" spans="1:6" s="1" customFormat="1" ht="12.75" customHeight="1">
      <c r="A60" s="70"/>
      <c r="B60" s="33"/>
      <c r="C60" s="33"/>
      <c r="D60" s="33"/>
      <c r="E60" s="72" t="s">
        <v>58</v>
      </c>
      <c r="F60" s="34"/>
    </row>
    <row r="61" spans="1:6" s="1" customFormat="1" ht="12.75" customHeight="1">
      <c r="A61" s="73" t="s">
        <v>59</v>
      </c>
      <c r="B61" s="74"/>
      <c r="C61" s="74"/>
      <c r="D61" s="33"/>
      <c r="E61" s="3" t="s">
        <v>60</v>
      </c>
      <c r="F61" s="34"/>
    </row>
    <row r="62" spans="1:6" s="1" customFormat="1" ht="12.75" customHeight="1">
      <c r="A62" s="70" t="s">
        <v>61</v>
      </c>
      <c r="B62" s="33"/>
      <c r="C62" s="33"/>
      <c r="D62" s="33"/>
      <c r="E62" s="33"/>
      <c r="F62" s="34"/>
    </row>
    <row r="63" spans="1:6" s="1" customFormat="1" ht="12.75" customHeight="1">
      <c r="A63" s="70" t="s">
        <v>62</v>
      </c>
      <c r="B63" s="33"/>
      <c r="C63" s="33"/>
      <c r="D63" s="33"/>
      <c r="E63" s="33"/>
      <c r="F63" s="34"/>
    </row>
    <row r="64" spans="1:6" s="1" customFormat="1" ht="12.75" customHeight="1">
      <c r="A64" s="70"/>
      <c r="B64" s="33"/>
      <c r="C64" s="33"/>
      <c r="D64" s="33"/>
      <c r="E64" s="33"/>
      <c r="F64" s="34"/>
    </row>
    <row r="65" spans="1:6" s="1" customFormat="1" ht="12.75" customHeight="1">
      <c r="A65" s="70" t="s">
        <v>61</v>
      </c>
      <c r="B65" s="33"/>
      <c r="C65" s="33"/>
      <c r="D65" s="33"/>
      <c r="E65" s="33"/>
      <c r="F65" s="34"/>
    </row>
    <row r="66" spans="1:6" s="1" customFormat="1" ht="12.75" customHeight="1">
      <c r="A66" s="70" t="s">
        <v>63</v>
      </c>
      <c r="B66" s="33"/>
      <c r="C66" s="33"/>
      <c r="D66" s="33"/>
      <c r="E66" s="33"/>
      <c r="F66" s="34"/>
    </row>
    <row r="67" spans="1:6" s="1" customFormat="1" ht="12.75" customHeight="1">
      <c r="A67" s="70"/>
      <c r="B67" s="33"/>
      <c r="C67" s="33"/>
      <c r="D67" s="33"/>
      <c r="E67" s="33" t="s">
        <v>64</v>
      </c>
      <c r="F67" s="34"/>
    </row>
    <row r="68" spans="1:6" s="1" customFormat="1" ht="16.5" customHeight="1">
      <c r="A68" s="78" t="s">
        <v>65</v>
      </c>
      <c r="B68" s="30"/>
      <c r="C68" s="30"/>
      <c r="D68" s="79"/>
      <c r="E68" s="80"/>
      <c r="F68" s="31"/>
    </row>
    <row r="69" spans="1:6" s="1" customFormat="1" ht="12.75" customHeight="1">
      <c r="A69" s="70"/>
      <c r="B69" s="33"/>
      <c r="C69" s="33"/>
      <c r="D69" s="33"/>
      <c r="E69" s="33"/>
      <c r="F69" s="34"/>
    </row>
    <row r="70" spans="1:6" s="1" customFormat="1" ht="12.75" customHeight="1">
      <c r="A70" s="70" t="s">
        <v>66</v>
      </c>
      <c r="B70" s="33"/>
      <c r="C70" s="33"/>
      <c r="D70" s="81"/>
      <c r="E70" s="33"/>
      <c r="F70" s="34"/>
    </row>
    <row r="71" spans="1:6" s="1" customFormat="1" ht="12.75" customHeight="1">
      <c r="A71" s="70"/>
      <c r="B71" s="33"/>
      <c r="C71" s="33"/>
      <c r="D71" s="81"/>
      <c r="E71" s="33"/>
      <c r="F71" s="34"/>
    </row>
    <row r="72" spans="1:6" s="1" customFormat="1" ht="12.75" customHeight="1">
      <c r="A72" s="70" t="s">
        <v>67</v>
      </c>
      <c r="B72" s="33"/>
      <c r="C72" s="33"/>
      <c r="D72" s="81"/>
      <c r="E72" s="33" t="s">
        <v>68</v>
      </c>
      <c r="F72" s="34"/>
    </row>
    <row r="73" spans="1:6" s="1" customFormat="1" ht="18" customHeight="1">
      <c r="A73" s="70"/>
      <c r="B73" s="33"/>
      <c r="C73" s="33" t="s">
        <v>69</v>
      </c>
      <c r="D73" s="82"/>
      <c r="E73" s="33"/>
      <c r="F73" s="34"/>
    </row>
    <row r="74" spans="1:6" s="1" customFormat="1" ht="12.75" customHeight="1">
      <c r="A74" s="24"/>
      <c r="B74" s="25"/>
      <c r="C74" s="25"/>
      <c r="D74" s="83"/>
      <c r="E74" s="25"/>
      <c r="F74" s="84"/>
    </row>
  </sheetData>
  <mergeCells count="6">
    <mergeCell ref="D59:F59"/>
    <mergeCell ref="A5:F5"/>
    <mergeCell ref="A6:F6"/>
    <mergeCell ref="C15:D15"/>
    <mergeCell ref="C16:D16"/>
    <mergeCell ref="D57:E57"/>
  </mergeCells>
  <printOptions horizontalCentered="1"/>
  <pageMargins left="0.35433070866141703" right="0.118110236220472" top="0.196850393700787" bottom="0.196850393700787" header="0" footer="0.118110236220472"/>
  <pageSetup paperSize="5" scale="85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I74"/>
  <sheetViews>
    <sheetView view="pageBreakPreview" zoomScaleNormal="100" workbookViewId="0">
      <selection activeCell="D27" sqref="D27"/>
    </sheetView>
  </sheetViews>
  <sheetFormatPr defaultColWidth="9.140625" defaultRowHeight="12.75"/>
  <cols>
    <col min="1" max="1" width="8.5703125" style="2" customWidth="1"/>
    <col min="2" max="2" width="9.140625" style="2"/>
    <col min="3" max="3" width="10.5703125" style="2" customWidth="1"/>
    <col min="4" max="4" width="42.5703125" style="2" customWidth="1"/>
    <col min="5" max="5" width="15.42578125" style="2" customWidth="1"/>
    <col min="6" max="6" width="22.28515625" style="2" customWidth="1"/>
    <col min="7" max="7" width="10.5703125" style="2" customWidth="1"/>
    <col min="8" max="8" width="9.140625" style="2"/>
    <col min="9" max="9" width="10.7109375" style="2" customWidth="1"/>
    <col min="10" max="16384" width="9.140625" style="2"/>
  </cols>
  <sheetData>
    <row r="1" spans="1:9" s="1" customFormat="1" ht="12.75" customHeight="1"/>
    <row r="2" spans="1:9" s="1" customFormat="1" ht="12.75" customHeight="1"/>
    <row r="3" spans="1:9" s="1" customFormat="1" ht="12.75" customHeight="1"/>
    <row r="4" spans="1:9" s="1" customFormat="1" ht="12.75" customHeight="1"/>
    <row r="5" spans="1:9" s="1" customFormat="1" ht="21" customHeight="1">
      <c r="A5" s="113" t="s">
        <v>0</v>
      </c>
      <c r="B5" s="113"/>
      <c r="C5" s="113"/>
      <c r="D5" s="113"/>
      <c r="E5" s="113"/>
      <c r="F5" s="113"/>
    </row>
    <row r="6" spans="1:9" s="1" customFormat="1" ht="12.75" customHeight="1">
      <c r="A6" s="114" t="s">
        <v>1</v>
      </c>
      <c r="B6" s="114"/>
      <c r="C6" s="114"/>
      <c r="D6" s="114"/>
      <c r="E6" s="114"/>
      <c r="F6" s="114"/>
    </row>
    <row r="7" spans="1:9" s="1" customFormat="1" ht="15.75" customHeight="1">
      <c r="A7" s="4" t="s">
        <v>2</v>
      </c>
      <c r="B7" s="5"/>
      <c r="C7" s="6" t="s">
        <v>224</v>
      </c>
      <c r="D7" s="7"/>
      <c r="E7" s="8" t="s">
        <v>4</v>
      </c>
      <c r="F7" s="86" t="s">
        <v>225</v>
      </c>
      <c r="I7" s="75"/>
    </row>
    <row r="8" spans="1:9" s="1" customFormat="1" ht="15.75" customHeight="1">
      <c r="A8" s="10"/>
      <c r="E8" s="11" t="s">
        <v>6</v>
      </c>
      <c r="F8" s="111" t="s">
        <v>218</v>
      </c>
      <c r="I8" s="76"/>
    </row>
    <row r="9" spans="1:9" s="1" customFormat="1" ht="15.75" customHeight="1">
      <c r="A9" s="14" t="s">
        <v>8</v>
      </c>
      <c r="B9" s="15"/>
      <c r="C9" s="16" t="s">
        <v>226</v>
      </c>
      <c r="D9" s="17"/>
      <c r="E9" s="18" t="s">
        <v>10</v>
      </c>
      <c r="F9" s="19" t="s">
        <v>11</v>
      </c>
    </row>
    <row r="10" spans="1:9" s="1" customFormat="1" ht="15.75" customHeight="1">
      <c r="A10" s="21"/>
      <c r="B10" s="22"/>
      <c r="C10" s="22"/>
      <c r="D10" s="17"/>
      <c r="E10" s="11" t="s">
        <v>12</v>
      </c>
      <c r="F10" s="23" t="s">
        <v>227</v>
      </c>
    </row>
    <row r="11" spans="1:9" s="1" customFormat="1" ht="4.5" customHeight="1">
      <c r="A11" s="24"/>
      <c r="B11" s="25"/>
      <c r="C11" s="25"/>
      <c r="D11" s="25"/>
      <c r="E11" s="25"/>
      <c r="F11" s="26"/>
      <c r="G11" s="28"/>
      <c r="H11" s="28"/>
    </row>
    <row r="12" spans="1:9" s="1" customFormat="1" ht="12.75" customHeight="1">
      <c r="A12" s="29" t="s">
        <v>14</v>
      </c>
      <c r="B12" s="8"/>
      <c r="C12" s="8"/>
      <c r="D12" s="30"/>
      <c r="E12" s="30"/>
      <c r="F12" s="31"/>
      <c r="G12" s="28"/>
      <c r="H12" s="28"/>
    </row>
    <row r="13" spans="1:9" s="1" customFormat="1" ht="15.75" customHeight="1">
      <c r="A13" s="32"/>
      <c r="B13" s="11" t="s">
        <v>15</v>
      </c>
      <c r="C13" s="11"/>
      <c r="D13" s="33"/>
      <c r="E13" s="33"/>
      <c r="F13" s="34"/>
      <c r="G13" s="28"/>
      <c r="H13" s="28"/>
    </row>
    <row r="14" spans="1:9" s="1" customFormat="1" ht="4.5" customHeight="1">
      <c r="A14" s="87"/>
      <c r="B14" s="88"/>
      <c r="C14" s="88"/>
      <c r="D14" s="36"/>
      <c r="E14" s="36"/>
      <c r="F14" s="37"/>
      <c r="G14" s="28"/>
      <c r="H14" s="28"/>
    </row>
    <row r="15" spans="1:9" s="1" customFormat="1" ht="31.5" customHeight="1">
      <c r="A15" s="38" t="s">
        <v>16</v>
      </c>
      <c r="B15" s="39"/>
      <c r="C15" s="118" t="s">
        <v>228</v>
      </c>
      <c r="D15" s="118"/>
      <c r="E15" s="40" t="s">
        <v>18</v>
      </c>
      <c r="F15" s="89" t="str">
        <f>C16</f>
        <v>December 1-3, 2025</v>
      </c>
      <c r="G15" s="28"/>
      <c r="H15" s="28"/>
    </row>
    <row r="16" spans="1:9" s="1" customFormat="1" ht="23.1" customHeight="1">
      <c r="A16" s="38" t="s">
        <v>20</v>
      </c>
      <c r="B16" s="39"/>
      <c r="C16" s="122" t="s">
        <v>229</v>
      </c>
      <c r="D16" s="123"/>
      <c r="E16" s="40" t="s">
        <v>22</v>
      </c>
      <c r="F16" s="42" t="s">
        <v>23</v>
      </c>
      <c r="G16" s="28"/>
      <c r="H16" s="28"/>
    </row>
    <row r="17" spans="1:8" s="1" customFormat="1" ht="6.75" customHeight="1">
      <c r="A17" s="43"/>
      <c r="B17" s="44"/>
      <c r="C17" s="44"/>
      <c r="D17" s="44"/>
      <c r="E17" s="45"/>
      <c r="F17" s="46"/>
      <c r="G17" s="28"/>
      <c r="H17" s="28"/>
    </row>
    <row r="18" spans="1:8" s="1" customFormat="1" ht="26.25" customHeight="1">
      <c r="A18" s="47" t="s">
        <v>24</v>
      </c>
      <c r="B18" s="48" t="s">
        <v>25</v>
      </c>
      <c r="C18" s="48" t="s">
        <v>26</v>
      </c>
      <c r="D18" s="48" t="s">
        <v>27</v>
      </c>
      <c r="E18" s="48" t="s">
        <v>28</v>
      </c>
      <c r="F18" s="49" t="s">
        <v>29</v>
      </c>
      <c r="G18" s="28"/>
      <c r="H18" s="77"/>
    </row>
    <row r="19" spans="1:8" s="85" customFormat="1" ht="18" customHeight="1">
      <c r="A19" s="50"/>
      <c r="B19" s="57"/>
      <c r="C19" s="57"/>
      <c r="D19" s="90" t="s">
        <v>230</v>
      </c>
      <c r="E19" s="54"/>
      <c r="F19" s="55"/>
      <c r="G19" s="91"/>
      <c r="H19" s="92"/>
    </row>
    <row r="20" spans="1:8" s="85" customFormat="1" ht="15.75" customHeight="1">
      <c r="A20" s="50">
        <v>1</v>
      </c>
      <c r="B20" s="57" t="s">
        <v>231</v>
      </c>
      <c r="C20" s="57">
        <v>150</v>
      </c>
      <c r="D20" s="93" t="s">
        <v>232</v>
      </c>
      <c r="E20" s="54">
        <v>300</v>
      </c>
      <c r="F20" s="55">
        <f>PRODUCT(E20*C20)</f>
        <v>45000</v>
      </c>
      <c r="G20" s="91"/>
      <c r="H20" s="92"/>
    </row>
    <row r="21" spans="1:8" s="85" customFormat="1" ht="15.75" customHeight="1">
      <c r="A21" s="50"/>
      <c r="B21" s="57"/>
      <c r="C21" s="57"/>
      <c r="D21" s="93" t="s">
        <v>233</v>
      </c>
      <c r="E21" s="54"/>
      <c r="F21" s="55"/>
      <c r="G21" s="91"/>
      <c r="H21" s="92"/>
    </row>
    <row r="22" spans="1:8" s="85" customFormat="1" ht="15.75" customHeight="1">
      <c r="A22" s="50">
        <v>2</v>
      </c>
      <c r="B22" s="57" t="s">
        <v>231</v>
      </c>
      <c r="C22" s="57">
        <v>150</v>
      </c>
      <c r="D22" s="93" t="s">
        <v>234</v>
      </c>
      <c r="E22" s="54">
        <v>400</v>
      </c>
      <c r="F22" s="55">
        <f>PRODUCT(E22*C22)</f>
        <v>60000</v>
      </c>
      <c r="G22" s="91"/>
      <c r="H22" s="92"/>
    </row>
    <row r="23" spans="1:8" s="85" customFormat="1" ht="15.75" customHeight="1">
      <c r="A23" s="50"/>
      <c r="B23" s="57"/>
      <c r="C23" s="57"/>
      <c r="D23" s="93" t="s">
        <v>235</v>
      </c>
      <c r="E23" s="54"/>
      <c r="F23" s="55"/>
      <c r="G23" s="91"/>
      <c r="H23" s="92"/>
    </row>
    <row r="24" spans="1:8" s="85" customFormat="1" ht="15.75" customHeight="1">
      <c r="A24" s="50">
        <v>3</v>
      </c>
      <c r="B24" s="57" t="s">
        <v>231</v>
      </c>
      <c r="C24" s="57">
        <v>150</v>
      </c>
      <c r="D24" s="93" t="s">
        <v>236</v>
      </c>
      <c r="E24" s="54">
        <v>300</v>
      </c>
      <c r="F24" s="55">
        <f>PRODUCT(E24*C24)</f>
        <v>45000</v>
      </c>
      <c r="G24" s="91"/>
      <c r="H24" s="92"/>
    </row>
    <row r="25" spans="1:8" s="85" customFormat="1" ht="15.75" customHeight="1">
      <c r="A25" s="50"/>
      <c r="B25" s="57"/>
      <c r="C25" s="57"/>
      <c r="D25" s="93" t="s">
        <v>233</v>
      </c>
      <c r="E25" s="54"/>
      <c r="F25" s="55"/>
      <c r="G25" s="91"/>
      <c r="H25" s="92"/>
    </row>
    <row r="26" spans="1:8" s="85" customFormat="1" ht="15.75" customHeight="1">
      <c r="A26" s="50"/>
      <c r="B26" s="57"/>
      <c r="C26" s="57"/>
      <c r="D26" s="90" t="s">
        <v>237</v>
      </c>
      <c r="E26" s="54"/>
      <c r="F26" s="55"/>
      <c r="G26" s="91"/>
      <c r="H26" s="92"/>
    </row>
    <row r="27" spans="1:8" s="85" customFormat="1" ht="15.75" customHeight="1">
      <c r="A27" s="50">
        <v>4</v>
      </c>
      <c r="B27" s="57" t="s">
        <v>231</v>
      </c>
      <c r="C27" s="57">
        <v>150</v>
      </c>
      <c r="D27" s="93" t="s">
        <v>238</v>
      </c>
      <c r="E27" s="54">
        <v>300</v>
      </c>
      <c r="F27" s="55">
        <f>PRODUCT(E27*C27)</f>
        <v>45000</v>
      </c>
      <c r="G27" s="91"/>
      <c r="H27" s="92"/>
    </row>
    <row r="28" spans="1:8" s="85" customFormat="1" ht="15.75" customHeight="1">
      <c r="A28" s="50"/>
      <c r="B28" s="57"/>
      <c r="C28" s="57"/>
      <c r="D28" s="93" t="s">
        <v>239</v>
      </c>
      <c r="E28" s="54"/>
      <c r="F28" s="55"/>
      <c r="G28" s="91"/>
      <c r="H28" s="92"/>
    </row>
    <row r="29" spans="1:8" s="85" customFormat="1" ht="15.75" customHeight="1">
      <c r="A29" s="50">
        <v>5</v>
      </c>
      <c r="B29" s="57" t="s">
        <v>231</v>
      </c>
      <c r="C29" s="57">
        <v>150</v>
      </c>
      <c r="D29" s="93" t="s">
        <v>234</v>
      </c>
      <c r="E29" s="54">
        <v>400</v>
      </c>
      <c r="F29" s="55">
        <f>PRODUCT(E29*C29)</f>
        <v>60000</v>
      </c>
      <c r="G29" s="91"/>
      <c r="H29" s="92"/>
    </row>
    <row r="30" spans="1:8" s="85" customFormat="1" ht="15.75" customHeight="1">
      <c r="A30" s="50"/>
      <c r="B30" s="57"/>
      <c r="C30" s="57"/>
      <c r="D30" s="93" t="s">
        <v>235</v>
      </c>
      <c r="E30" s="54"/>
      <c r="F30" s="55"/>
      <c r="G30" s="91"/>
      <c r="H30" s="92"/>
    </row>
    <row r="31" spans="1:8" s="85" customFormat="1" ht="15.75" customHeight="1">
      <c r="A31" s="50">
        <v>6</v>
      </c>
      <c r="B31" s="57" t="s">
        <v>231</v>
      </c>
      <c r="C31" s="57">
        <v>150</v>
      </c>
      <c r="D31" s="93" t="s">
        <v>240</v>
      </c>
      <c r="E31" s="54">
        <v>300</v>
      </c>
      <c r="F31" s="55">
        <f>PRODUCT(E31*C31)</f>
        <v>45000</v>
      </c>
      <c r="G31" s="91"/>
      <c r="H31" s="92"/>
    </row>
    <row r="32" spans="1:8" s="85" customFormat="1" ht="15.75" customHeight="1">
      <c r="A32" s="50"/>
      <c r="B32" s="57"/>
      <c r="C32" s="57"/>
      <c r="D32" s="93" t="s">
        <v>239</v>
      </c>
      <c r="E32" s="54"/>
      <c r="F32" s="55"/>
      <c r="G32" s="91"/>
      <c r="H32" s="92"/>
    </row>
    <row r="33" spans="1:8" s="85" customFormat="1" ht="15.75" customHeight="1">
      <c r="A33" s="50"/>
      <c r="B33" s="57"/>
      <c r="C33" s="57"/>
      <c r="D33" s="90" t="s">
        <v>241</v>
      </c>
      <c r="E33" s="54"/>
      <c r="F33" s="55"/>
      <c r="G33" s="91"/>
      <c r="H33" s="92"/>
    </row>
    <row r="34" spans="1:8" s="85" customFormat="1" ht="15.75" customHeight="1">
      <c r="A34" s="50">
        <v>7</v>
      </c>
      <c r="B34" s="57" t="s">
        <v>231</v>
      </c>
      <c r="C34" s="57">
        <v>150</v>
      </c>
      <c r="D34" s="93" t="s">
        <v>242</v>
      </c>
      <c r="E34" s="54">
        <v>300</v>
      </c>
      <c r="F34" s="55">
        <f>PRODUCT(E34*C34)</f>
        <v>45000</v>
      </c>
      <c r="G34" s="91"/>
      <c r="H34" s="92"/>
    </row>
    <row r="35" spans="1:8" s="85" customFormat="1" ht="15.75" customHeight="1">
      <c r="A35" s="50"/>
      <c r="B35" s="57"/>
      <c r="C35" s="57"/>
      <c r="D35" s="93" t="s">
        <v>243</v>
      </c>
      <c r="E35" s="54"/>
      <c r="F35" s="55"/>
      <c r="G35" s="91"/>
      <c r="H35" s="92"/>
    </row>
    <row r="36" spans="1:8" s="85" customFormat="1" ht="15.75" customHeight="1">
      <c r="A36" s="50">
        <v>8</v>
      </c>
      <c r="B36" s="57" t="s">
        <v>231</v>
      </c>
      <c r="C36" s="57">
        <v>150</v>
      </c>
      <c r="D36" s="93" t="s">
        <v>234</v>
      </c>
      <c r="E36" s="54">
        <v>393.33</v>
      </c>
      <c r="F36" s="55">
        <f>PRODUCT(E36*C36)</f>
        <v>58999.5</v>
      </c>
      <c r="G36" s="91"/>
      <c r="H36" s="92"/>
    </row>
    <row r="37" spans="1:8" s="85" customFormat="1" ht="15.75" customHeight="1">
      <c r="A37" s="50"/>
      <c r="B37" s="57"/>
      <c r="C37" s="57"/>
      <c r="D37" s="93" t="s">
        <v>235</v>
      </c>
      <c r="E37" s="54"/>
      <c r="F37" s="55"/>
      <c r="G37" s="91"/>
      <c r="H37" s="92"/>
    </row>
    <row r="38" spans="1:8" s="85" customFormat="1" ht="15.75" customHeight="1">
      <c r="A38" s="50">
        <v>9</v>
      </c>
      <c r="B38" s="57" t="s">
        <v>231</v>
      </c>
      <c r="C38" s="57">
        <v>150</v>
      </c>
      <c r="D38" s="93" t="s">
        <v>244</v>
      </c>
      <c r="E38" s="54">
        <v>300</v>
      </c>
      <c r="F38" s="55">
        <f>PRODUCT(E38*C38)</f>
        <v>45000</v>
      </c>
      <c r="G38" s="91"/>
      <c r="H38" s="92"/>
    </row>
    <row r="39" spans="1:8" s="85" customFormat="1" ht="15.75" customHeight="1">
      <c r="A39" s="50"/>
      <c r="B39" s="57"/>
      <c r="C39" s="57"/>
      <c r="D39" s="93" t="s">
        <v>233</v>
      </c>
      <c r="E39" s="54"/>
      <c r="F39" s="55"/>
      <c r="G39" s="91"/>
      <c r="H39" s="92"/>
    </row>
    <row r="40" spans="1:8" s="85" customFormat="1" ht="15.75" customHeight="1">
      <c r="A40" s="50"/>
      <c r="B40" s="57"/>
      <c r="C40" s="57"/>
      <c r="D40" s="93"/>
      <c r="E40" s="54"/>
      <c r="F40" s="55"/>
      <c r="G40" s="91"/>
      <c r="H40" s="92"/>
    </row>
    <row r="41" spans="1:8" s="85" customFormat="1" ht="15.75" customHeight="1">
      <c r="A41" s="50"/>
      <c r="B41" s="57"/>
      <c r="C41" s="57"/>
      <c r="D41" s="93"/>
      <c r="E41" s="54"/>
      <c r="F41" s="55"/>
      <c r="G41" s="91"/>
      <c r="H41" s="92"/>
    </row>
    <row r="42" spans="1:8" s="85" customFormat="1" ht="15.75" customHeight="1">
      <c r="A42" s="50"/>
      <c r="B42" s="57"/>
      <c r="C42" s="57"/>
      <c r="D42" s="93"/>
      <c r="E42" s="54"/>
      <c r="F42" s="55"/>
      <c r="G42" s="91"/>
      <c r="H42" s="92"/>
    </row>
    <row r="43" spans="1:8" s="85" customFormat="1" ht="15.75" customHeight="1">
      <c r="A43" s="50"/>
      <c r="B43" s="57"/>
      <c r="C43" s="57"/>
      <c r="D43" s="93"/>
      <c r="E43" s="54"/>
      <c r="F43" s="55"/>
      <c r="G43" s="91"/>
      <c r="H43" s="92"/>
    </row>
    <row r="44" spans="1:8" s="85" customFormat="1" ht="15.75" customHeight="1">
      <c r="A44" s="50"/>
      <c r="B44" s="57"/>
      <c r="C44" s="57"/>
      <c r="D44" s="93"/>
      <c r="E44" s="54"/>
      <c r="F44" s="55"/>
      <c r="G44" s="91"/>
      <c r="H44" s="92"/>
    </row>
    <row r="45" spans="1:8" s="85" customFormat="1" ht="15.75" customHeight="1">
      <c r="A45" s="50"/>
      <c r="B45" s="57"/>
      <c r="C45" s="57"/>
      <c r="D45" s="93"/>
      <c r="E45" s="54"/>
      <c r="F45" s="55"/>
      <c r="G45" s="91"/>
      <c r="H45" s="92"/>
    </row>
    <row r="46" spans="1:8" s="85" customFormat="1" ht="15.75" customHeight="1">
      <c r="A46" s="50"/>
      <c r="B46" s="57"/>
      <c r="C46" s="57"/>
      <c r="D46" s="93"/>
      <c r="E46" s="54"/>
      <c r="F46" s="55"/>
      <c r="G46" s="91"/>
      <c r="H46" s="92"/>
    </row>
    <row r="47" spans="1:8" s="85" customFormat="1" ht="15.75" customHeight="1">
      <c r="A47" s="50"/>
      <c r="B47" s="57"/>
      <c r="C47" s="57"/>
      <c r="D47" s="93"/>
      <c r="E47" s="54"/>
      <c r="F47" s="55"/>
      <c r="G47" s="91"/>
      <c r="H47" s="92"/>
    </row>
    <row r="48" spans="1:8" s="1" customFormat="1" ht="15.75" customHeight="1">
      <c r="A48" s="58"/>
      <c r="B48" s="94"/>
      <c r="C48" s="94"/>
      <c r="D48" s="60"/>
      <c r="E48" s="61"/>
      <c r="F48" s="62"/>
      <c r="G48" s="95"/>
    </row>
    <row r="49" spans="1:6" s="1" customFormat="1" ht="15.75" customHeight="1">
      <c r="A49" s="58"/>
      <c r="B49" s="59"/>
      <c r="C49" s="59"/>
      <c r="D49" s="60"/>
      <c r="E49" s="61"/>
      <c r="F49" s="62"/>
    </row>
    <row r="50" spans="1:6" s="1" customFormat="1" ht="12.75" customHeight="1">
      <c r="A50" s="63"/>
      <c r="B50" s="64"/>
      <c r="C50" s="64"/>
      <c r="D50" s="65"/>
      <c r="E50" s="66" t="s">
        <v>52</v>
      </c>
      <c r="F50" s="67">
        <f>SUM(F19:F49)</f>
        <v>448999.5</v>
      </c>
    </row>
    <row r="51" spans="1:6" s="1" customFormat="1" ht="25.5" customHeight="1">
      <c r="A51" s="70" t="s">
        <v>245</v>
      </c>
      <c r="B51" s="33"/>
      <c r="C51" s="33"/>
      <c r="D51" s="33"/>
      <c r="E51" s="33"/>
      <c r="F51" s="34"/>
    </row>
    <row r="52" spans="1:6" s="1" customFormat="1" ht="9.75" customHeight="1">
      <c r="A52" s="35"/>
      <c r="B52" s="36"/>
      <c r="C52" s="36"/>
      <c r="D52" s="69"/>
      <c r="E52" s="36"/>
      <c r="F52" s="37"/>
    </row>
    <row r="53" spans="1:6" s="1" customFormat="1" ht="12.75" customHeight="1">
      <c r="A53" s="70"/>
      <c r="B53" s="33"/>
      <c r="C53" s="33"/>
      <c r="D53" s="33"/>
      <c r="E53" s="33"/>
      <c r="F53" s="34"/>
    </row>
    <row r="54" spans="1:6" s="1" customFormat="1" ht="12.75" customHeight="1">
      <c r="A54" s="32" t="s">
        <v>97</v>
      </c>
      <c r="B54" s="11"/>
      <c r="C54" s="11"/>
      <c r="D54" s="11"/>
      <c r="E54" s="11"/>
      <c r="F54" s="96"/>
    </row>
    <row r="55" spans="1:6" s="1" customFormat="1" ht="12.75" customHeight="1">
      <c r="A55" s="32" t="s">
        <v>98</v>
      </c>
      <c r="B55" s="11"/>
      <c r="C55" s="11"/>
      <c r="D55" s="11"/>
      <c r="E55" s="11"/>
      <c r="F55" s="96"/>
    </row>
    <row r="56" spans="1:6" s="1" customFormat="1" ht="12.75" customHeight="1">
      <c r="A56" s="32"/>
      <c r="B56" s="11"/>
      <c r="C56" s="11"/>
      <c r="D56" s="11"/>
      <c r="E56" s="11"/>
      <c r="F56" s="96"/>
    </row>
    <row r="57" spans="1:6" s="1" customFormat="1" ht="12.75" customHeight="1">
      <c r="A57" s="32"/>
      <c r="B57" s="11"/>
      <c r="C57" s="11"/>
      <c r="D57" s="119" t="s">
        <v>56</v>
      </c>
      <c r="E57" s="119"/>
      <c r="F57" s="96"/>
    </row>
    <row r="58" spans="1:6" s="1" customFormat="1" ht="12.75" customHeight="1">
      <c r="A58" s="32"/>
      <c r="B58" s="11"/>
      <c r="C58" s="11"/>
      <c r="F58" s="71"/>
    </row>
    <row r="59" spans="1:6" s="1" customFormat="1" ht="12.75" customHeight="1">
      <c r="A59" s="32"/>
      <c r="B59" s="11"/>
      <c r="C59" s="11"/>
      <c r="D59" s="119" t="s">
        <v>57</v>
      </c>
      <c r="E59" s="119"/>
      <c r="F59" s="120"/>
    </row>
    <row r="60" spans="1:6" s="1" customFormat="1" ht="12.75" customHeight="1">
      <c r="A60" s="32"/>
      <c r="B60" s="11"/>
      <c r="C60" s="11"/>
      <c r="D60" s="11"/>
      <c r="E60" s="98" t="s">
        <v>58</v>
      </c>
      <c r="F60" s="96"/>
    </row>
    <row r="61" spans="1:6" s="1" customFormat="1" ht="12.75" customHeight="1">
      <c r="A61" s="99" t="s">
        <v>59</v>
      </c>
      <c r="B61" s="100"/>
      <c r="C61" s="100"/>
      <c r="D61" s="11"/>
      <c r="E61" s="97" t="s">
        <v>60</v>
      </c>
      <c r="F61" s="96"/>
    </row>
    <row r="62" spans="1:6" s="1" customFormat="1" ht="12.75" customHeight="1">
      <c r="A62" s="32" t="s">
        <v>61</v>
      </c>
      <c r="B62" s="11"/>
      <c r="C62" s="11"/>
      <c r="D62" s="11"/>
      <c r="E62" s="11"/>
      <c r="F62" s="96"/>
    </row>
    <row r="63" spans="1:6" s="1" customFormat="1" ht="12.75" customHeight="1">
      <c r="A63" s="32" t="s">
        <v>62</v>
      </c>
      <c r="B63" s="11"/>
      <c r="C63" s="11"/>
      <c r="D63" s="11"/>
      <c r="E63" s="11"/>
      <c r="F63" s="96"/>
    </row>
    <row r="64" spans="1:6" s="1" customFormat="1" ht="12.75" customHeight="1">
      <c r="A64" s="32"/>
      <c r="B64" s="11"/>
      <c r="C64" s="11"/>
      <c r="D64" s="11"/>
      <c r="E64" s="11"/>
      <c r="F64" s="96"/>
    </row>
    <row r="65" spans="1:6" s="1" customFormat="1" ht="12.75" customHeight="1">
      <c r="A65" s="32" t="s">
        <v>61</v>
      </c>
      <c r="B65" s="11"/>
      <c r="C65" s="11"/>
      <c r="D65" s="11"/>
      <c r="E65" s="11"/>
      <c r="F65" s="96"/>
    </row>
    <row r="66" spans="1:6" s="1" customFormat="1" ht="12.75" customHeight="1">
      <c r="A66" s="32" t="s">
        <v>63</v>
      </c>
      <c r="B66" s="11"/>
      <c r="C66" s="11"/>
      <c r="D66" s="11"/>
      <c r="E66" s="11"/>
      <c r="F66" s="96"/>
    </row>
    <row r="67" spans="1:6" s="1" customFormat="1" ht="12.75" customHeight="1">
      <c r="A67" s="32"/>
      <c r="B67" s="11"/>
      <c r="C67" s="11"/>
      <c r="D67" s="11"/>
      <c r="E67" s="11" t="s">
        <v>64</v>
      </c>
      <c r="F67" s="96"/>
    </row>
    <row r="68" spans="1:6" s="1" customFormat="1" ht="16.5" customHeight="1">
      <c r="A68" s="101" t="s">
        <v>65</v>
      </c>
      <c r="B68" s="8"/>
      <c r="C68" s="8"/>
      <c r="D68" s="102"/>
      <c r="E68" s="103"/>
      <c r="F68" s="104"/>
    </row>
    <row r="69" spans="1:6" s="1" customFormat="1" ht="12.75" customHeight="1">
      <c r="A69" s="32"/>
      <c r="B69" s="11"/>
      <c r="C69" s="11"/>
      <c r="D69" s="11"/>
      <c r="E69" s="11"/>
      <c r="F69" s="96"/>
    </row>
    <row r="70" spans="1:6" s="1" customFormat="1" ht="12.75" customHeight="1">
      <c r="A70" s="32" t="s">
        <v>99</v>
      </c>
      <c r="B70" s="11"/>
      <c r="C70" s="11"/>
      <c r="D70" s="105"/>
      <c r="E70" s="11"/>
      <c r="F70" s="96"/>
    </row>
    <row r="71" spans="1:6" s="1" customFormat="1" ht="12.75" customHeight="1">
      <c r="A71" s="32"/>
      <c r="B71" s="11"/>
      <c r="C71" s="11"/>
      <c r="D71" s="105"/>
      <c r="E71" s="11"/>
      <c r="F71" s="96"/>
    </row>
    <row r="72" spans="1:6" s="1" customFormat="1" ht="12.75" customHeight="1">
      <c r="A72" s="32" t="s">
        <v>67</v>
      </c>
      <c r="B72" s="11"/>
      <c r="C72" s="11"/>
      <c r="D72" s="105"/>
      <c r="E72" s="11" t="s">
        <v>68</v>
      </c>
      <c r="F72" s="96"/>
    </row>
    <row r="73" spans="1:6" s="1" customFormat="1" ht="18" customHeight="1">
      <c r="A73" s="32"/>
      <c r="B73" s="11"/>
      <c r="C73" s="11" t="s">
        <v>69</v>
      </c>
      <c r="D73" s="106"/>
      <c r="E73" s="11"/>
      <c r="F73" s="96"/>
    </row>
    <row r="74" spans="1:6" s="1" customFormat="1" ht="12.75" customHeight="1">
      <c r="A74" s="24"/>
      <c r="B74" s="25"/>
      <c r="C74" s="25"/>
      <c r="D74" s="83"/>
      <c r="E74" s="25"/>
      <c r="F74" s="84"/>
    </row>
  </sheetData>
  <mergeCells count="6">
    <mergeCell ref="D59:F59"/>
    <mergeCell ref="A5:F5"/>
    <mergeCell ref="A6:F6"/>
    <mergeCell ref="C15:D15"/>
    <mergeCell ref="C16:D16"/>
    <mergeCell ref="D57:E57"/>
  </mergeCells>
  <printOptions horizontalCentered="1"/>
  <pageMargins left="0.35433070866141703" right="0.118110236220472" top="0.196850393700787" bottom="0.196850393700787" header="0" footer="0.118110236220472"/>
  <pageSetup paperSize="5" scale="85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4"/>
  <sheetViews>
    <sheetView tabSelected="1" workbookViewId="0">
      <selection activeCell="F22" sqref="F22"/>
    </sheetView>
  </sheetViews>
  <sheetFormatPr defaultColWidth="9.140625" defaultRowHeight="12.75"/>
  <cols>
    <col min="1" max="1" width="8.5703125" style="2" customWidth="1"/>
    <col min="2" max="2" width="9.140625" style="2"/>
    <col min="3" max="3" width="10.5703125" style="2" customWidth="1"/>
    <col min="4" max="4" width="42.5703125" style="2" customWidth="1"/>
    <col min="5" max="5" width="15.42578125" style="2" customWidth="1"/>
    <col min="6" max="6" width="22.28515625" style="2" customWidth="1"/>
    <col min="7" max="7" width="9.140625" style="2"/>
    <col min="8" max="8" width="10.5703125" style="2" customWidth="1"/>
    <col min="9" max="9" width="9.140625" style="2"/>
    <col min="10" max="10" width="10.7109375" style="2" customWidth="1"/>
    <col min="11" max="16384" width="9.140625" style="2"/>
  </cols>
  <sheetData>
    <row r="1" spans="1:10" s="1" customFormat="1" ht="12.75" customHeight="1"/>
    <row r="2" spans="1:10" s="1" customFormat="1" ht="12.75" customHeight="1"/>
    <row r="3" spans="1:10" s="1" customFormat="1" ht="12.75" customHeight="1"/>
    <row r="4" spans="1:10" s="1" customFormat="1" ht="12.75" customHeight="1"/>
    <row r="5" spans="1:10" s="1" customFormat="1" ht="21" customHeight="1">
      <c r="A5" s="113" t="s">
        <v>0</v>
      </c>
      <c r="B5" s="113"/>
      <c r="C5" s="113"/>
      <c r="D5" s="113"/>
      <c r="E5" s="113"/>
      <c r="F5" s="113"/>
    </row>
    <row r="6" spans="1:10" s="1" customFormat="1" ht="12.75" customHeight="1">
      <c r="A6" s="114" t="s">
        <v>1</v>
      </c>
      <c r="B6" s="114"/>
      <c r="C6" s="114"/>
      <c r="D6" s="114"/>
      <c r="E6" s="114"/>
      <c r="F6" s="114"/>
    </row>
    <row r="7" spans="1:10" s="1" customFormat="1" ht="15.75" customHeight="1">
      <c r="A7" s="4" t="s">
        <v>2</v>
      </c>
      <c r="B7" s="5"/>
      <c r="C7" s="6" t="s">
        <v>100</v>
      </c>
      <c r="D7" s="7"/>
      <c r="E7" s="8" t="s">
        <v>4</v>
      </c>
      <c r="F7" s="9" t="s">
        <v>246</v>
      </c>
      <c r="J7" s="75"/>
    </row>
    <row r="8" spans="1:10" s="1" customFormat="1" ht="15.75" customHeight="1">
      <c r="A8" s="10"/>
      <c r="E8" s="11" t="s">
        <v>6</v>
      </c>
      <c r="F8" s="12" t="s">
        <v>218</v>
      </c>
      <c r="H8" s="13">
        <v>46722</v>
      </c>
      <c r="J8" s="76"/>
    </row>
    <row r="9" spans="1:10" s="1" customFormat="1" ht="15.75" customHeight="1">
      <c r="A9" s="14" t="s">
        <v>8</v>
      </c>
      <c r="B9" s="15"/>
      <c r="C9" s="16" t="s">
        <v>103</v>
      </c>
      <c r="D9" s="17"/>
      <c r="E9" s="18" t="s">
        <v>10</v>
      </c>
      <c r="F9" s="19" t="s">
        <v>11</v>
      </c>
      <c r="G9" s="20"/>
      <c r="H9" s="1" t="s">
        <v>247</v>
      </c>
    </row>
    <row r="10" spans="1:10" s="1" customFormat="1" ht="15.75" customHeight="1">
      <c r="A10" s="21"/>
      <c r="B10" s="22"/>
      <c r="C10" s="22"/>
      <c r="D10" s="17"/>
      <c r="E10" s="11" t="s">
        <v>12</v>
      </c>
      <c r="F10" s="23" t="s">
        <v>248</v>
      </c>
    </row>
    <row r="11" spans="1:10" s="1" customFormat="1" ht="4.5" customHeight="1">
      <c r="A11" s="24"/>
      <c r="B11" s="25"/>
      <c r="C11" s="25"/>
      <c r="D11" s="25"/>
      <c r="E11" s="25"/>
      <c r="F11" s="26"/>
      <c r="G11" s="27"/>
      <c r="H11" s="28"/>
      <c r="I11" s="28"/>
    </row>
    <row r="12" spans="1:10" s="1" customFormat="1" ht="12.75" customHeight="1">
      <c r="A12" s="29" t="s">
        <v>14</v>
      </c>
      <c r="B12" s="8"/>
      <c r="C12" s="30"/>
      <c r="D12" s="30"/>
      <c r="E12" s="30"/>
      <c r="F12" s="31"/>
      <c r="G12" s="28"/>
      <c r="H12" s="28"/>
      <c r="I12" s="28"/>
    </row>
    <row r="13" spans="1:10" s="1" customFormat="1" ht="15.75" customHeight="1">
      <c r="A13" s="32"/>
      <c r="B13" s="11" t="s">
        <v>15</v>
      </c>
      <c r="C13" s="33"/>
      <c r="D13" s="33"/>
      <c r="E13" s="33"/>
      <c r="F13" s="34"/>
      <c r="G13" s="28"/>
      <c r="H13" s="28"/>
      <c r="I13" s="28"/>
    </row>
    <row r="14" spans="1:10" s="1" customFormat="1" ht="4.5" customHeight="1">
      <c r="A14" s="35"/>
      <c r="B14" s="36"/>
      <c r="C14" s="36"/>
      <c r="D14" s="36"/>
      <c r="E14" s="36"/>
      <c r="F14" s="37"/>
      <c r="G14" s="28"/>
      <c r="H14" s="28"/>
      <c r="I14" s="28"/>
    </row>
    <row r="15" spans="1:10" s="1" customFormat="1" ht="31.5" customHeight="1">
      <c r="A15" s="38" t="s">
        <v>16</v>
      </c>
      <c r="B15" s="39"/>
      <c r="C15" s="118" t="s">
        <v>249</v>
      </c>
      <c r="D15" s="118"/>
      <c r="E15" s="40" t="s">
        <v>18</v>
      </c>
      <c r="F15" s="112" t="str">
        <f>C16</f>
        <v>December 09, 2025</v>
      </c>
      <c r="G15" s="28"/>
      <c r="H15" s="28"/>
      <c r="I15" s="28"/>
    </row>
    <row r="16" spans="1:10" s="1" customFormat="1" ht="23.1" customHeight="1">
      <c r="A16" s="38" t="s">
        <v>20</v>
      </c>
      <c r="B16" s="39"/>
      <c r="C16" s="121" t="s">
        <v>250</v>
      </c>
      <c r="D16" s="116"/>
      <c r="E16" s="40" t="s">
        <v>22</v>
      </c>
      <c r="F16" s="42" t="s">
        <v>23</v>
      </c>
      <c r="G16" s="28"/>
      <c r="H16" s="28"/>
      <c r="I16" s="28"/>
    </row>
    <row r="17" spans="1:9" s="1" customFormat="1" ht="6.75" customHeight="1">
      <c r="A17" s="43"/>
      <c r="B17" s="44"/>
      <c r="C17" s="44"/>
      <c r="D17" s="44"/>
      <c r="E17" s="45"/>
      <c r="F17" s="46"/>
      <c r="G17" s="28"/>
      <c r="H17" s="28"/>
      <c r="I17" s="28"/>
    </row>
    <row r="18" spans="1:9" s="1" customFormat="1" ht="26.25" customHeight="1">
      <c r="A18" s="47" t="s">
        <v>24</v>
      </c>
      <c r="B18" s="48" t="s">
        <v>25</v>
      </c>
      <c r="C18" s="48" t="s">
        <v>26</v>
      </c>
      <c r="D18" s="48" t="s">
        <v>27</v>
      </c>
      <c r="E18" s="48" t="s">
        <v>28</v>
      </c>
      <c r="F18" s="49" t="s">
        <v>29</v>
      </c>
      <c r="G18" s="28"/>
      <c r="H18" s="28"/>
      <c r="I18" s="77"/>
    </row>
    <row r="19" spans="1:9" s="1" customFormat="1" ht="18" customHeight="1">
      <c r="A19" s="50">
        <v>1</v>
      </c>
      <c r="B19" s="51" t="s">
        <v>107</v>
      </c>
      <c r="C19" s="52">
        <v>1078</v>
      </c>
      <c r="D19" s="53" t="s">
        <v>110</v>
      </c>
      <c r="E19" s="54">
        <v>349.75</v>
      </c>
      <c r="F19" s="55">
        <f>C19*E19</f>
        <v>377030.5</v>
      </c>
      <c r="G19" s="28"/>
      <c r="H19" s="56"/>
      <c r="I19" s="28"/>
    </row>
    <row r="20" spans="1:9" s="1" customFormat="1" ht="15.75" customHeight="1">
      <c r="A20" s="50"/>
      <c r="B20" s="57"/>
      <c r="C20" s="57"/>
      <c r="D20" s="53" t="s">
        <v>251</v>
      </c>
      <c r="E20" s="54"/>
      <c r="F20" s="55"/>
      <c r="G20" s="28"/>
      <c r="H20" s="56"/>
      <c r="I20" s="28"/>
    </row>
    <row r="21" spans="1:9" s="1" customFormat="1" ht="15.75" customHeight="1">
      <c r="A21" s="50"/>
      <c r="B21" s="57"/>
      <c r="C21" s="57"/>
      <c r="D21" s="53"/>
      <c r="E21" s="54"/>
      <c r="F21" s="55"/>
      <c r="G21" s="28"/>
      <c r="H21" s="56"/>
      <c r="I21" s="28"/>
    </row>
    <row r="22" spans="1:9" s="1" customFormat="1" ht="15.75" customHeight="1">
      <c r="A22" s="50"/>
      <c r="B22" s="57"/>
      <c r="C22" s="57"/>
      <c r="D22" s="53"/>
      <c r="E22" s="54"/>
      <c r="F22" s="55"/>
      <c r="G22" s="28"/>
      <c r="H22" s="56"/>
      <c r="I22" s="28"/>
    </row>
    <row r="23" spans="1:9" s="1" customFormat="1" ht="15.75" customHeight="1">
      <c r="A23" s="50"/>
      <c r="B23" s="57"/>
      <c r="C23" s="57"/>
      <c r="D23" s="53"/>
      <c r="E23" s="54"/>
      <c r="F23" s="55"/>
      <c r="G23" s="28"/>
      <c r="H23" s="56"/>
      <c r="I23" s="28"/>
    </row>
    <row r="24" spans="1:9" s="1" customFormat="1" ht="15.75" customHeight="1">
      <c r="A24" s="50"/>
      <c r="B24" s="57"/>
      <c r="C24" s="57"/>
      <c r="D24" s="53"/>
      <c r="E24" s="54"/>
      <c r="F24" s="55"/>
      <c r="G24" s="28"/>
      <c r="H24" s="56"/>
      <c r="I24" s="28"/>
    </row>
    <row r="25" spans="1:9" s="1" customFormat="1" ht="15.75" customHeight="1">
      <c r="A25" s="50"/>
      <c r="B25" s="57"/>
      <c r="C25" s="57"/>
      <c r="D25" s="53"/>
      <c r="E25" s="54"/>
      <c r="F25" s="55"/>
      <c r="G25" s="28"/>
      <c r="H25" s="56"/>
      <c r="I25" s="28"/>
    </row>
    <row r="26" spans="1:9" s="1" customFormat="1" ht="15.75" customHeight="1">
      <c r="A26" s="50"/>
      <c r="B26" s="57"/>
      <c r="C26" s="57"/>
      <c r="D26" s="53"/>
      <c r="E26" s="54"/>
      <c r="F26" s="55"/>
      <c r="G26" s="28"/>
      <c r="H26" s="56"/>
      <c r="I26" s="28"/>
    </row>
    <row r="27" spans="1:9" s="1" customFormat="1" ht="15.75" customHeight="1">
      <c r="A27" s="50"/>
      <c r="B27" s="57"/>
      <c r="C27" s="57"/>
      <c r="D27" s="53"/>
      <c r="E27" s="54"/>
      <c r="F27" s="55"/>
      <c r="G27" s="28"/>
      <c r="H27" s="56"/>
      <c r="I27" s="28"/>
    </row>
    <row r="28" spans="1:9" s="1" customFormat="1" ht="15.75" customHeight="1">
      <c r="A28" s="50"/>
      <c r="B28" s="57"/>
      <c r="C28" s="57"/>
      <c r="D28" s="53"/>
      <c r="E28" s="54"/>
      <c r="F28" s="55"/>
      <c r="G28" s="28"/>
      <c r="H28" s="56"/>
      <c r="I28" s="28"/>
    </row>
    <row r="29" spans="1:9" s="1" customFormat="1" ht="15.75" customHeight="1">
      <c r="A29" s="50"/>
      <c r="B29" s="57"/>
      <c r="C29" s="57"/>
      <c r="D29" s="53"/>
      <c r="E29" s="54"/>
      <c r="F29" s="55"/>
      <c r="G29" s="28"/>
      <c r="H29" s="56"/>
      <c r="I29" s="28"/>
    </row>
    <row r="30" spans="1:9" s="1" customFormat="1" ht="15.75" customHeight="1">
      <c r="A30" s="50"/>
      <c r="B30" s="57"/>
      <c r="C30" s="57"/>
      <c r="D30" s="53"/>
      <c r="E30" s="54"/>
      <c r="F30" s="55"/>
      <c r="G30" s="28"/>
      <c r="H30" s="56"/>
      <c r="I30" s="28"/>
    </row>
    <row r="31" spans="1:9" s="1" customFormat="1" ht="15.75" customHeight="1">
      <c r="A31" s="50"/>
      <c r="B31" s="57"/>
      <c r="C31" s="57"/>
      <c r="D31" s="53"/>
      <c r="E31" s="54"/>
      <c r="F31" s="55"/>
      <c r="G31" s="28"/>
      <c r="H31" s="56"/>
      <c r="I31" s="28"/>
    </row>
    <row r="32" spans="1:9" s="1" customFormat="1" ht="15.75" customHeight="1">
      <c r="A32" s="50"/>
      <c r="B32" s="57"/>
      <c r="C32" s="57"/>
      <c r="D32" s="53"/>
      <c r="E32" s="54"/>
      <c r="F32" s="55"/>
      <c r="G32" s="28"/>
      <c r="H32" s="56"/>
      <c r="I32" s="28"/>
    </row>
    <row r="33" spans="1:9" s="1" customFormat="1" ht="15.75" customHeight="1">
      <c r="A33" s="50"/>
      <c r="B33" s="57"/>
      <c r="C33" s="57"/>
      <c r="D33" s="53"/>
      <c r="E33" s="54"/>
      <c r="F33" s="55"/>
      <c r="G33" s="28"/>
      <c r="H33" s="56"/>
      <c r="I33" s="28"/>
    </row>
    <row r="34" spans="1:9" s="1" customFormat="1" ht="15.75" customHeight="1">
      <c r="A34" s="50"/>
      <c r="B34" s="57"/>
      <c r="C34" s="57"/>
      <c r="D34" s="53"/>
      <c r="E34" s="54"/>
      <c r="F34" s="55"/>
      <c r="G34" s="28"/>
      <c r="H34" s="56"/>
      <c r="I34" s="28"/>
    </row>
    <row r="35" spans="1:9" s="1" customFormat="1" ht="15.75" customHeight="1">
      <c r="A35" s="50"/>
      <c r="B35" s="57"/>
      <c r="C35" s="57"/>
      <c r="D35" s="53"/>
      <c r="E35" s="54"/>
      <c r="F35" s="55"/>
      <c r="G35" s="28"/>
      <c r="H35" s="56"/>
      <c r="I35" s="28"/>
    </row>
    <row r="36" spans="1:9" s="1" customFormat="1" ht="15.75" customHeight="1">
      <c r="A36" s="50"/>
      <c r="B36" s="57"/>
      <c r="C36" s="57"/>
      <c r="D36" s="53"/>
      <c r="E36" s="54"/>
      <c r="F36" s="55"/>
      <c r="G36" s="28"/>
      <c r="H36" s="56"/>
      <c r="I36" s="28"/>
    </row>
    <row r="37" spans="1:9" s="1" customFormat="1" ht="15.75" customHeight="1">
      <c r="A37" s="50"/>
      <c r="B37" s="57"/>
      <c r="C37" s="57"/>
      <c r="D37" s="53"/>
      <c r="E37" s="54"/>
      <c r="F37" s="55"/>
      <c r="G37" s="28"/>
      <c r="H37" s="56"/>
      <c r="I37" s="28"/>
    </row>
    <row r="38" spans="1:9" s="1" customFormat="1" ht="15.75" customHeight="1">
      <c r="A38" s="50"/>
      <c r="B38" s="57"/>
      <c r="C38" s="57"/>
      <c r="D38" s="53"/>
      <c r="E38" s="54"/>
      <c r="F38" s="55"/>
      <c r="G38" s="28"/>
      <c r="H38" s="56"/>
      <c r="I38" s="28"/>
    </row>
    <row r="39" spans="1:9" s="1" customFormat="1" ht="15.75" customHeight="1">
      <c r="A39" s="50"/>
      <c r="B39" s="57"/>
      <c r="C39" s="57"/>
      <c r="D39" s="53"/>
      <c r="E39" s="54"/>
      <c r="F39" s="55"/>
      <c r="G39" s="28"/>
      <c r="H39" s="56"/>
      <c r="I39" s="28"/>
    </row>
    <row r="40" spans="1:9" s="1" customFormat="1" ht="15.75" customHeight="1">
      <c r="A40" s="50"/>
      <c r="B40" s="57"/>
      <c r="C40" s="57"/>
      <c r="D40" s="53"/>
      <c r="E40" s="54"/>
      <c r="F40" s="55"/>
      <c r="G40" s="28"/>
      <c r="H40" s="56"/>
      <c r="I40" s="28"/>
    </row>
    <row r="41" spans="1:9" s="1" customFormat="1" ht="15.75" customHeight="1">
      <c r="A41" s="50"/>
      <c r="B41" s="57"/>
      <c r="C41" s="57"/>
      <c r="D41" s="53"/>
      <c r="E41" s="54"/>
      <c r="F41" s="55"/>
      <c r="G41" s="28"/>
      <c r="H41" s="56"/>
      <c r="I41" s="28"/>
    </row>
    <row r="42" spans="1:9" s="1" customFormat="1" ht="15.75" customHeight="1">
      <c r="A42" s="50"/>
      <c r="B42" s="57"/>
      <c r="C42" s="57"/>
      <c r="D42" s="53"/>
      <c r="E42" s="54"/>
      <c r="F42" s="55"/>
      <c r="G42" s="28"/>
      <c r="H42" s="56"/>
      <c r="I42" s="28"/>
    </row>
    <row r="43" spans="1:9" s="1" customFormat="1" ht="15.75" customHeight="1">
      <c r="A43" s="50"/>
      <c r="B43" s="57"/>
      <c r="C43" s="57"/>
      <c r="D43" s="53"/>
      <c r="E43" s="54"/>
      <c r="F43" s="55"/>
      <c r="G43" s="28"/>
      <c r="H43" s="56"/>
      <c r="I43" s="28"/>
    </row>
    <row r="44" spans="1:9" s="1" customFormat="1" ht="15.75" customHeight="1">
      <c r="A44" s="50"/>
      <c r="B44" s="57"/>
      <c r="C44" s="57"/>
      <c r="D44" s="53"/>
      <c r="E44" s="54"/>
      <c r="F44" s="55"/>
      <c r="G44" s="28"/>
      <c r="H44" s="56"/>
      <c r="I44" s="28"/>
    </row>
    <row r="45" spans="1:9" s="1" customFormat="1" ht="15.75" customHeight="1">
      <c r="A45" s="50"/>
      <c r="B45" s="57"/>
      <c r="C45" s="57"/>
      <c r="D45" s="53"/>
      <c r="E45" s="54"/>
      <c r="F45" s="55"/>
      <c r="G45" s="28"/>
      <c r="H45" s="56"/>
      <c r="I45" s="28"/>
    </row>
    <row r="46" spans="1:9" s="1" customFormat="1" ht="15.75" customHeight="1">
      <c r="A46" s="50"/>
      <c r="B46" s="57"/>
      <c r="C46" s="57"/>
      <c r="D46" s="53"/>
      <c r="E46" s="54"/>
      <c r="F46" s="55"/>
      <c r="G46" s="28"/>
      <c r="H46" s="56"/>
      <c r="I46" s="28"/>
    </row>
    <row r="47" spans="1:9" s="1" customFormat="1" ht="15.75" customHeight="1">
      <c r="A47" s="50"/>
      <c r="B47" s="57"/>
      <c r="C47" s="57"/>
      <c r="D47" s="53"/>
      <c r="E47" s="54"/>
      <c r="F47" s="55"/>
      <c r="G47" s="28"/>
      <c r="H47" s="56"/>
      <c r="I47" s="28"/>
    </row>
    <row r="48" spans="1:9" s="1" customFormat="1" ht="15.75" customHeight="1">
      <c r="A48" s="50"/>
      <c r="B48" s="57"/>
      <c r="C48" s="57"/>
      <c r="D48" s="53"/>
      <c r="E48" s="54"/>
      <c r="F48" s="55"/>
      <c r="G48" s="28"/>
      <c r="H48" s="56"/>
      <c r="I48" s="28"/>
    </row>
    <row r="49" spans="1:6" s="1" customFormat="1" ht="15.75" customHeight="1">
      <c r="A49" s="58"/>
      <c r="B49" s="59"/>
      <c r="C49" s="59"/>
      <c r="D49" s="60"/>
      <c r="E49" s="61"/>
      <c r="F49" s="62"/>
    </row>
    <row r="50" spans="1:6" s="1" customFormat="1" ht="12.75" customHeight="1">
      <c r="A50" s="63"/>
      <c r="B50" s="64"/>
      <c r="C50" s="64"/>
      <c r="D50" s="65"/>
      <c r="E50" s="66" t="s">
        <v>52</v>
      </c>
      <c r="F50" s="67">
        <f>SUM(F19:F49)</f>
        <v>377030.5</v>
      </c>
    </row>
    <row r="51" spans="1:6" s="1" customFormat="1" ht="25.5" customHeight="1">
      <c r="A51" s="68" t="s">
        <v>252</v>
      </c>
      <c r="B51" s="33"/>
      <c r="C51" s="33"/>
      <c r="D51" s="33"/>
      <c r="E51" s="33"/>
      <c r="F51" s="34"/>
    </row>
    <row r="52" spans="1:6" s="1" customFormat="1" ht="9.75" customHeight="1">
      <c r="A52" s="35"/>
      <c r="B52" s="36"/>
      <c r="C52" s="36"/>
      <c r="D52" s="69"/>
      <c r="E52" s="36"/>
      <c r="F52" s="37"/>
    </row>
    <row r="53" spans="1:6" s="1" customFormat="1" ht="12.75" customHeight="1">
      <c r="A53" s="70"/>
      <c r="B53" s="33"/>
      <c r="C53" s="33"/>
      <c r="D53" s="33"/>
      <c r="E53" s="33"/>
      <c r="F53" s="34"/>
    </row>
    <row r="54" spans="1:6" s="1" customFormat="1" ht="12.75" customHeight="1">
      <c r="A54" s="70" t="s">
        <v>54</v>
      </c>
      <c r="B54" s="33"/>
      <c r="C54" s="33"/>
      <c r="D54" s="33"/>
      <c r="E54" s="33"/>
      <c r="F54" s="34"/>
    </row>
    <row r="55" spans="1:6" s="1" customFormat="1" ht="12.75" customHeight="1">
      <c r="A55" s="70" t="s">
        <v>55</v>
      </c>
      <c r="B55" s="33"/>
      <c r="C55" s="33"/>
      <c r="D55" s="33"/>
      <c r="E55" s="33"/>
      <c r="F55" s="34"/>
    </row>
    <row r="56" spans="1:6" s="1" customFormat="1" ht="12.75" customHeight="1">
      <c r="A56" s="70"/>
      <c r="B56" s="33"/>
      <c r="C56" s="33"/>
      <c r="D56" s="33"/>
      <c r="E56" s="33"/>
      <c r="F56" s="34"/>
    </row>
    <row r="57" spans="1:6" s="1" customFormat="1" ht="12.75" customHeight="1">
      <c r="A57" s="70"/>
      <c r="B57" s="33"/>
      <c r="C57" s="33"/>
      <c r="D57" s="114" t="s">
        <v>56</v>
      </c>
      <c r="E57" s="114"/>
      <c r="F57" s="34"/>
    </row>
    <row r="58" spans="1:6" s="1" customFormat="1" ht="12.75" customHeight="1">
      <c r="A58" s="70"/>
      <c r="B58" s="33"/>
      <c r="C58" s="33"/>
      <c r="F58" s="71"/>
    </row>
    <row r="59" spans="1:6" s="1" customFormat="1" ht="12.75" customHeight="1">
      <c r="A59" s="70"/>
      <c r="B59" s="33"/>
      <c r="C59" s="33"/>
      <c r="D59" s="114" t="s">
        <v>57</v>
      </c>
      <c r="E59" s="114"/>
      <c r="F59" s="117"/>
    </row>
    <row r="60" spans="1:6" s="1" customFormat="1" ht="12.75" customHeight="1">
      <c r="A60" s="70"/>
      <c r="B60" s="33"/>
      <c r="C60" s="33"/>
      <c r="D60" s="33"/>
      <c r="E60" s="72" t="s">
        <v>58</v>
      </c>
      <c r="F60" s="34"/>
    </row>
    <row r="61" spans="1:6" s="1" customFormat="1" ht="12.75" customHeight="1">
      <c r="A61" s="73" t="s">
        <v>59</v>
      </c>
      <c r="B61" s="74"/>
      <c r="C61" s="74"/>
      <c r="D61" s="33"/>
      <c r="E61" s="3" t="s">
        <v>60</v>
      </c>
      <c r="F61" s="34"/>
    </row>
    <row r="62" spans="1:6" s="1" customFormat="1" ht="12.75" customHeight="1">
      <c r="A62" s="70" t="s">
        <v>61</v>
      </c>
      <c r="B62" s="33"/>
      <c r="C62" s="33"/>
      <c r="D62" s="33"/>
      <c r="E62" s="33"/>
      <c r="F62" s="34"/>
    </row>
    <row r="63" spans="1:6" s="1" customFormat="1" ht="12.75" customHeight="1">
      <c r="A63" s="70" t="s">
        <v>62</v>
      </c>
      <c r="B63" s="33"/>
      <c r="C63" s="33"/>
      <c r="D63" s="33"/>
      <c r="E63" s="33"/>
      <c r="F63" s="34"/>
    </row>
    <row r="64" spans="1:6" s="1" customFormat="1" ht="12.75" customHeight="1">
      <c r="A64" s="70"/>
      <c r="B64" s="33"/>
      <c r="C64" s="33"/>
      <c r="D64" s="33"/>
      <c r="E64" s="33"/>
      <c r="F64" s="34"/>
    </row>
    <row r="65" spans="1:6" s="1" customFormat="1" ht="12.75" customHeight="1">
      <c r="A65" s="70" t="s">
        <v>61</v>
      </c>
      <c r="B65" s="33"/>
      <c r="C65" s="33"/>
      <c r="D65" s="33"/>
      <c r="E65" s="33"/>
      <c r="F65" s="34"/>
    </row>
    <row r="66" spans="1:6" s="1" customFormat="1" ht="12.75" customHeight="1">
      <c r="A66" s="70" t="s">
        <v>63</v>
      </c>
      <c r="B66" s="33"/>
      <c r="C66" s="33"/>
      <c r="D66" s="33"/>
      <c r="E66" s="33"/>
      <c r="F66" s="34"/>
    </row>
    <row r="67" spans="1:6" s="1" customFormat="1" ht="12.75" customHeight="1">
      <c r="A67" s="70"/>
      <c r="B67" s="33"/>
      <c r="C67" s="33"/>
      <c r="D67" s="33"/>
      <c r="E67" s="33" t="s">
        <v>64</v>
      </c>
      <c r="F67" s="34"/>
    </row>
    <row r="68" spans="1:6" s="1" customFormat="1" ht="16.5" customHeight="1">
      <c r="A68" s="78" t="s">
        <v>65</v>
      </c>
      <c r="B68" s="30"/>
      <c r="C68" s="30"/>
      <c r="D68" s="79"/>
      <c r="E68" s="80"/>
      <c r="F68" s="31"/>
    </row>
    <row r="69" spans="1:6" s="1" customFormat="1" ht="12.75" customHeight="1">
      <c r="A69" s="70"/>
      <c r="B69" s="33"/>
      <c r="C69" s="33"/>
      <c r="D69" s="33"/>
      <c r="E69" s="33"/>
      <c r="F69" s="34"/>
    </row>
    <row r="70" spans="1:6" s="1" customFormat="1" ht="12.75" customHeight="1">
      <c r="A70" s="70" t="s">
        <v>66</v>
      </c>
      <c r="B70" s="33"/>
      <c r="C70" s="33"/>
      <c r="D70" s="81"/>
      <c r="E70" s="33"/>
      <c r="F70" s="34"/>
    </row>
    <row r="71" spans="1:6" s="1" customFormat="1" ht="12.75" customHeight="1">
      <c r="A71" s="70"/>
      <c r="B71" s="33"/>
      <c r="C71" s="33"/>
      <c r="D71" s="81"/>
      <c r="E71" s="33"/>
      <c r="F71" s="34"/>
    </row>
    <row r="72" spans="1:6" s="1" customFormat="1" ht="12.75" customHeight="1">
      <c r="A72" s="70" t="s">
        <v>67</v>
      </c>
      <c r="B72" s="33"/>
      <c r="C72" s="33"/>
      <c r="D72" s="81"/>
      <c r="E72" s="33" t="s">
        <v>68</v>
      </c>
      <c r="F72" s="34"/>
    </row>
    <row r="73" spans="1:6" s="1" customFormat="1" ht="18" customHeight="1">
      <c r="A73" s="70"/>
      <c r="B73" s="33"/>
      <c r="C73" s="33" t="s">
        <v>69</v>
      </c>
      <c r="D73" s="82"/>
      <c r="E73" s="33"/>
      <c r="F73" s="34"/>
    </row>
    <row r="74" spans="1:6" s="1" customFormat="1" ht="12.75" customHeight="1">
      <c r="A74" s="24"/>
      <c r="B74" s="25"/>
      <c r="C74" s="25"/>
      <c r="D74" s="83"/>
      <c r="E74" s="25"/>
      <c r="F74" s="84"/>
    </row>
  </sheetData>
  <mergeCells count="6">
    <mergeCell ref="D59:F59"/>
    <mergeCell ref="A5:F5"/>
    <mergeCell ref="A6:F6"/>
    <mergeCell ref="C15:D15"/>
    <mergeCell ref="C16:D16"/>
    <mergeCell ref="D57:E57"/>
  </mergeCells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056</vt:lpstr>
      <vt:lpstr>065</vt:lpstr>
      <vt:lpstr>072</vt:lpstr>
      <vt:lpstr>079</vt:lpstr>
      <vt:lpstr>081</vt:lpstr>
      <vt:lpstr>082</vt:lpstr>
      <vt:lpstr>099</vt:lpstr>
      <vt:lpstr>103</vt:lpstr>
      <vt:lpstr>104</vt:lpstr>
      <vt:lpstr>116</vt:lpstr>
      <vt:lpstr>117</vt:lpstr>
      <vt:lpstr>'065'!Print_Area</vt:lpstr>
      <vt:lpstr>'116'!Print_Area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Pablito Manalo</dc:creator>
  <cp:lastModifiedBy>Pablito Manalo</cp:lastModifiedBy>
  <cp:lastPrinted>2025-12-18T00:54:00Z</cp:lastPrinted>
  <dcterms:created xsi:type="dcterms:W3CDTF">2025-12-03T05:45:00Z</dcterms:created>
  <dcterms:modified xsi:type="dcterms:W3CDTF">2026-01-06T00:53:17Z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C8C3CB4ACB3440BEA733A6A75609A5AB_12</vt:lpwstr>
  </property>
  <property fmtid="{D5CDD505-2E9C-101B-9397-08002B2CF9AE}" pid="3" name="KSOProductBuildVer">
    <vt:lpwstr>1033-12.2.0.23196</vt:lpwstr>
  </property>
</Properties>
</file>